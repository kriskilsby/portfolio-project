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45f834dc26f9d6f3/NPS/Automation/"/>
    </mc:Choice>
  </mc:AlternateContent>
  <xr:revisionPtr revIDLastSave="641" documentId="8_{9D6E8B1C-EB4D-41A8-AE42-E372C5415862}" xr6:coauthVersionLast="47" xr6:coauthVersionMax="47" xr10:uidLastSave="{A63ACA7B-CAB9-422F-9799-143BF81DAAC4}"/>
  <bookViews>
    <workbookView xWindow="-120" yWindow="-120" windowWidth="38640" windowHeight="21120" xr2:uid="{B812EC20-1CE3-4EAD-B86A-EDB1DCE857B8}"/>
  </bookViews>
  <sheets>
    <sheet name="Dashboard" sheetId="5" r:id="rId1"/>
    <sheet name="DataSheet" sheetId="1" r:id="rId2"/>
    <sheet name="Guide" sheetId="10" r:id="rId3"/>
    <sheet name="ExampleResourceData" sheetId="9" r:id="rId4"/>
  </sheets>
  <definedNames>
    <definedName name="_xlnm._FilterDatabase" localSheetId="0" hidden="1">Dashboard!$A$4:$S$147</definedName>
    <definedName name="_xlpm.val" hidden="1" xlm="1">#NAME?</definedName>
    <definedName name="_xlnm.Print_Titles" localSheetId="0">Dashboard!$1:$5</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 i="1" l="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A2001" i="1"/>
  <c r="A2002" i="1"/>
  <c r="A2003" i="1"/>
  <c r="A2004" i="1"/>
  <c r="A2005" i="1"/>
  <c r="A2006" i="1"/>
  <c r="A2007" i="1"/>
  <c r="A2008" i="1"/>
  <c r="A2009" i="1"/>
  <c r="A2010" i="1"/>
  <c r="A2011" i="1"/>
  <c r="A2012" i="1"/>
  <c r="A2013" i="1"/>
  <c r="A2014" i="1"/>
  <c r="A2015" i="1"/>
  <c r="A2016" i="1"/>
  <c r="A2017" i="1"/>
  <c r="A2018" i="1"/>
  <c r="A2019" i="1"/>
  <c r="A2020" i="1"/>
  <c r="A2021" i="1"/>
  <c r="A2022" i="1"/>
  <c r="A2023" i="1"/>
  <c r="A2024" i="1"/>
  <c r="A2025" i="1"/>
  <c r="A2026" i="1"/>
  <c r="A2027" i="1"/>
  <c r="A2028" i="1"/>
  <c r="A2029" i="1"/>
  <c r="A2030" i="1"/>
  <c r="A2031" i="1"/>
  <c r="A2032" i="1"/>
  <c r="A2033" i="1"/>
  <c r="A2034" i="1"/>
  <c r="A2035" i="1"/>
  <c r="A2036" i="1"/>
  <c r="A2037" i="1"/>
  <c r="A2038" i="1"/>
  <c r="A2039" i="1"/>
  <c r="A2040" i="1"/>
  <c r="A2041" i="1"/>
  <c r="A2042" i="1"/>
  <c r="A2043" i="1"/>
  <c r="A2044" i="1"/>
  <c r="A2045" i="1"/>
  <c r="A2046" i="1"/>
  <c r="A2047" i="1"/>
  <c r="A2048" i="1"/>
  <c r="A2049" i="1"/>
  <c r="A2050" i="1"/>
  <c r="A2051" i="1"/>
  <c r="A2052" i="1"/>
  <c r="A2053" i="1"/>
  <c r="A2054" i="1"/>
  <c r="A2055" i="1"/>
  <c r="A2056" i="1"/>
  <c r="A2057" i="1"/>
  <c r="A2058" i="1"/>
  <c r="A2059" i="1"/>
  <c r="A2060" i="1"/>
  <c r="A2061" i="1"/>
  <c r="A2062" i="1"/>
  <c r="A2063" i="1"/>
  <c r="A2064" i="1"/>
  <c r="A2065" i="1"/>
  <c r="A2066" i="1"/>
  <c r="A2067" i="1"/>
  <c r="A2068" i="1"/>
  <c r="A2069" i="1"/>
  <c r="A2070" i="1"/>
  <c r="A2071" i="1"/>
  <c r="A2072" i="1"/>
  <c r="A2073" i="1"/>
  <c r="A2074" i="1"/>
  <c r="A2075" i="1"/>
  <c r="A2076" i="1"/>
  <c r="A2077" i="1"/>
  <c r="A2078" i="1"/>
  <c r="A2079" i="1"/>
  <c r="A2080" i="1"/>
  <c r="A2081" i="1"/>
  <c r="A2082" i="1"/>
  <c r="A2083" i="1"/>
  <c r="A2084" i="1"/>
  <c r="A2085" i="1"/>
  <c r="A2086" i="1"/>
  <c r="A2087" i="1"/>
  <c r="A2088" i="1"/>
  <c r="A2089" i="1"/>
  <c r="A2090" i="1"/>
  <c r="A2091" i="1"/>
  <c r="A2092" i="1"/>
  <c r="A2093" i="1"/>
  <c r="A2094" i="1"/>
  <c r="A2095" i="1"/>
  <c r="A2096" i="1"/>
  <c r="A2097" i="1"/>
  <c r="A2098" i="1"/>
  <c r="A2099" i="1"/>
  <c r="A2100" i="1"/>
  <c r="A2101" i="1"/>
  <c r="A2102" i="1"/>
  <c r="A2103" i="1"/>
  <c r="A2104" i="1"/>
  <c r="A2105" i="1"/>
  <c r="A2106" i="1"/>
  <c r="A2107" i="1"/>
  <c r="A2108" i="1"/>
  <c r="A2109" i="1"/>
  <c r="A2110" i="1"/>
  <c r="A2111" i="1"/>
  <c r="A2112" i="1"/>
  <c r="A2113" i="1"/>
  <c r="A2114" i="1"/>
  <c r="A2115" i="1"/>
  <c r="A2116" i="1"/>
  <c r="A2117" i="1"/>
  <c r="A2118" i="1"/>
  <c r="A2119" i="1"/>
  <c r="A2120" i="1"/>
  <c r="A2121" i="1"/>
  <c r="A2122" i="1"/>
  <c r="A2123" i="1"/>
  <c r="A2124" i="1"/>
  <c r="A2125" i="1"/>
  <c r="A2126" i="1"/>
  <c r="A2127" i="1"/>
  <c r="A2128" i="1"/>
  <c r="A2129" i="1"/>
  <c r="A2130" i="1"/>
  <c r="A2131" i="1"/>
  <c r="A2132" i="1"/>
  <c r="A2133" i="1"/>
  <c r="A2134" i="1"/>
  <c r="A2135" i="1"/>
  <c r="A2136" i="1"/>
  <c r="A2137" i="1"/>
  <c r="A2138" i="1"/>
  <c r="A2139" i="1"/>
  <c r="A2140" i="1"/>
  <c r="A2141" i="1"/>
  <c r="A2142" i="1"/>
  <c r="A2143" i="1"/>
  <c r="A2144" i="1"/>
  <c r="A2145" i="1"/>
  <c r="A2146" i="1"/>
  <c r="A2147" i="1"/>
  <c r="A2148" i="1"/>
  <c r="A2149" i="1"/>
  <c r="A2150" i="1"/>
  <c r="A2151" i="1"/>
  <c r="A2152" i="1"/>
  <c r="A2153" i="1"/>
  <c r="A2154" i="1"/>
  <c r="A2155" i="1"/>
  <c r="A2156" i="1"/>
  <c r="A2157" i="1"/>
  <c r="A2158" i="1"/>
  <c r="A2159" i="1"/>
  <c r="A2160" i="1"/>
  <c r="A2161" i="1"/>
  <c r="A2162" i="1"/>
  <c r="A2163" i="1"/>
  <c r="A2164" i="1"/>
  <c r="A2165" i="1"/>
  <c r="A2166" i="1"/>
  <c r="A2167" i="1"/>
  <c r="A2168" i="1"/>
  <c r="A2169" i="1"/>
  <c r="A2170" i="1"/>
  <c r="A2171" i="1"/>
  <c r="A2172" i="1"/>
  <c r="A2173" i="1"/>
  <c r="A2174" i="1"/>
  <c r="A2175" i="1"/>
  <c r="A2176" i="1"/>
  <c r="A2177" i="1"/>
  <c r="A2178" i="1"/>
  <c r="A2179" i="1"/>
  <c r="A2180" i="1"/>
  <c r="A2181" i="1"/>
  <c r="A2182" i="1"/>
  <c r="A2183" i="1"/>
  <c r="A2184" i="1"/>
  <c r="A2185" i="1"/>
  <c r="A2186" i="1"/>
  <c r="A2187" i="1"/>
  <c r="A2188" i="1"/>
  <c r="A2189" i="1"/>
  <c r="A2190" i="1"/>
  <c r="A2191" i="1"/>
  <c r="A2192" i="1"/>
  <c r="A2193" i="1"/>
  <c r="A2194" i="1"/>
  <c r="A2195" i="1"/>
  <c r="A2196" i="1"/>
  <c r="A2197" i="1"/>
  <c r="A2198" i="1"/>
  <c r="A2199" i="1"/>
  <c r="A2200" i="1"/>
  <c r="A2201" i="1"/>
  <c r="A2202" i="1"/>
  <c r="A2203" i="1"/>
  <c r="A2204" i="1"/>
  <c r="A2205" i="1"/>
  <c r="A2206" i="1"/>
  <c r="A2207" i="1"/>
  <c r="A2208" i="1"/>
  <c r="A2209" i="1"/>
  <c r="A2210" i="1"/>
  <c r="A2211" i="1"/>
  <c r="A2212" i="1"/>
  <c r="A2213" i="1"/>
  <c r="A2214" i="1"/>
  <c r="A2215" i="1"/>
  <c r="A2216" i="1"/>
  <c r="A2217" i="1"/>
  <c r="A2218" i="1"/>
  <c r="A2219" i="1"/>
  <c r="A2220" i="1"/>
  <c r="A2221" i="1"/>
  <c r="A2222" i="1"/>
  <c r="A2223" i="1"/>
  <c r="A2224" i="1"/>
  <c r="A2225" i="1"/>
  <c r="A2226" i="1"/>
  <c r="A2227" i="1"/>
  <c r="A2228" i="1"/>
  <c r="A2229" i="1"/>
  <c r="A2230" i="1"/>
  <c r="A2231" i="1"/>
  <c r="A2232" i="1"/>
  <c r="A2233" i="1"/>
  <c r="A2234" i="1"/>
  <c r="A2235" i="1"/>
  <c r="A2236" i="1"/>
  <c r="A2237" i="1"/>
  <c r="A2238" i="1"/>
  <c r="A2239" i="1"/>
  <c r="A2240" i="1"/>
  <c r="A2241" i="1"/>
  <c r="A2242" i="1"/>
  <c r="A2243" i="1"/>
  <c r="A2244" i="1"/>
  <c r="A2245" i="1"/>
  <c r="A2246" i="1"/>
  <c r="A2247" i="1"/>
  <c r="A2248" i="1"/>
  <c r="A2249" i="1"/>
  <c r="A2250" i="1"/>
  <c r="A2251" i="1"/>
  <c r="A2252" i="1"/>
  <c r="A2253" i="1"/>
  <c r="A2254" i="1"/>
  <c r="A2255" i="1"/>
  <c r="A2256" i="1"/>
  <c r="A2257" i="1"/>
  <c r="A2258" i="1"/>
  <c r="A2259" i="1"/>
  <c r="A2260" i="1"/>
  <c r="A2261" i="1"/>
  <c r="A2262" i="1"/>
  <c r="A2263" i="1"/>
  <c r="A2264" i="1"/>
  <c r="A2265" i="1"/>
  <c r="A2266" i="1"/>
  <c r="A2267" i="1"/>
  <c r="A2268" i="1"/>
  <c r="A2269" i="1"/>
  <c r="A2270" i="1"/>
  <c r="A2271" i="1"/>
  <c r="A2272" i="1"/>
  <c r="A2273" i="1"/>
  <c r="A2274" i="1"/>
  <c r="A2275" i="1"/>
  <c r="A2276" i="1"/>
  <c r="A2277" i="1"/>
  <c r="A2278" i="1"/>
  <c r="A2279" i="1"/>
  <c r="A2280" i="1"/>
  <c r="A2281" i="1"/>
  <c r="A2282" i="1"/>
  <c r="A2283" i="1"/>
  <c r="A2284" i="1"/>
  <c r="A2285" i="1"/>
  <c r="A2286" i="1"/>
  <c r="A2287" i="1"/>
  <c r="A2288" i="1"/>
  <c r="A2289" i="1"/>
  <c r="A2290" i="1"/>
  <c r="A2291" i="1"/>
  <c r="A2292" i="1"/>
  <c r="A2293" i="1"/>
  <c r="A2294" i="1"/>
  <c r="A2295" i="1"/>
  <c r="A2296" i="1"/>
  <c r="A2297" i="1"/>
  <c r="A2298" i="1"/>
  <c r="A2299" i="1"/>
  <c r="A2300" i="1"/>
  <c r="A2301" i="1"/>
  <c r="A2302" i="1"/>
  <c r="A2303" i="1"/>
  <c r="A2304" i="1"/>
  <c r="A2305" i="1"/>
  <c r="A2306" i="1"/>
  <c r="A2307" i="1"/>
  <c r="A2308" i="1"/>
  <c r="A2309" i="1"/>
  <c r="A2310" i="1"/>
  <c r="A2311" i="1"/>
  <c r="A2312" i="1"/>
  <c r="A2313" i="1"/>
  <c r="A2314" i="1"/>
  <c r="A2315" i="1"/>
  <c r="A2316" i="1"/>
  <c r="A2317" i="1"/>
  <c r="A2318" i="1"/>
  <c r="A2319" i="1"/>
  <c r="A2320" i="1"/>
  <c r="A2321" i="1"/>
  <c r="A2322" i="1"/>
  <c r="A2323" i="1"/>
  <c r="A2324" i="1"/>
  <c r="A2325" i="1"/>
  <c r="A2326" i="1"/>
  <c r="A2327" i="1"/>
  <c r="A2328" i="1"/>
  <c r="A2329" i="1"/>
  <c r="A2330" i="1"/>
  <c r="A2331" i="1"/>
  <c r="A2332" i="1"/>
  <c r="A2333" i="1"/>
  <c r="A2334" i="1"/>
  <c r="A2335" i="1"/>
  <c r="A2336" i="1"/>
  <c r="A2337" i="1"/>
  <c r="A2338" i="1"/>
  <c r="A2339" i="1"/>
  <c r="A2340" i="1"/>
  <c r="A2341" i="1"/>
  <c r="A2342" i="1"/>
  <c r="A2343" i="1"/>
  <c r="A2344" i="1"/>
  <c r="A2345" i="1"/>
  <c r="A2346" i="1"/>
  <c r="A2347" i="1"/>
  <c r="A2348" i="1"/>
  <c r="A2349" i="1"/>
  <c r="A2350" i="1"/>
  <c r="A2351" i="1"/>
  <c r="A2352" i="1"/>
  <c r="A2353" i="1"/>
  <c r="A2354" i="1"/>
  <c r="A2355" i="1"/>
  <c r="A2356" i="1"/>
  <c r="A2357" i="1"/>
  <c r="A2358" i="1"/>
  <c r="A2359" i="1"/>
  <c r="A2360" i="1"/>
  <c r="A2361" i="1"/>
  <c r="A2362" i="1"/>
  <c r="A2363" i="1"/>
  <c r="A2364" i="1"/>
  <c r="A2365" i="1"/>
  <c r="A2366" i="1"/>
  <c r="A2367" i="1"/>
  <c r="A2368" i="1"/>
  <c r="A2369" i="1"/>
  <c r="A2370" i="1"/>
  <c r="A2371" i="1"/>
  <c r="A2372" i="1"/>
  <c r="A2373" i="1"/>
  <c r="A2374" i="1"/>
  <c r="A2375" i="1"/>
  <c r="A2376" i="1"/>
  <c r="A2377" i="1"/>
  <c r="A2378" i="1"/>
  <c r="A2379" i="1"/>
  <c r="A2380" i="1"/>
  <c r="A2381" i="1"/>
  <c r="A2382" i="1"/>
  <c r="A2383" i="1"/>
  <c r="A2384" i="1"/>
  <c r="A2385" i="1"/>
  <c r="A2386" i="1"/>
  <c r="A2387" i="1"/>
  <c r="A2388" i="1"/>
  <c r="A2389" i="1"/>
  <c r="A2390" i="1"/>
  <c r="A2391" i="1"/>
  <c r="A2392" i="1"/>
  <c r="A2393" i="1"/>
  <c r="A2394" i="1"/>
  <c r="A2395" i="1"/>
  <c r="A2396" i="1"/>
  <c r="A2397" i="1"/>
  <c r="A2398" i="1"/>
  <c r="A2399" i="1"/>
  <c r="A2400" i="1"/>
  <c r="A2401" i="1"/>
  <c r="A2402" i="1"/>
  <c r="A2403" i="1"/>
  <c r="A2404" i="1"/>
  <c r="A2405" i="1"/>
  <c r="A2406" i="1"/>
  <c r="A2407" i="1"/>
  <c r="A2408" i="1"/>
  <c r="A2409" i="1"/>
  <c r="A2410" i="1"/>
  <c r="A2411" i="1"/>
  <c r="A2412" i="1"/>
  <c r="A2413" i="1"/>
  <c r="A2414" i="1"/>
  <c r="A2415" i="1"/>
  <c r="A2416" i="1"/>
  <c r="A2417" i="1"/>
  <c r="A2418" i="1"/>
  <c r="A2419" i="1"/>
  <c r="A2420" i="1"/>
  <c r="A2421" i="1"/>
  <c r="A2422" i="1"/>
  <c r="A2423" i="1"/>
  <c r="A2424" i="1"/>
  <c r="A2425" i="1"/>
  <c r="A2426" i="1"/>
  <c r="A2427" i="1"/>
  <c r="A2428" i="1"/>
  <c r="A2429" i="1"/>
  <c r="A2430" i="1"/>
  <c r="A2431" i="1"/>
  <c r="A2432" i="1"/>
  <c r="A2433" i="1"/>
  <c r="A2434" i="1"/>
  <c r="A2435" i="1"/>
  <c r="A2436" i="1"/>
  <c r="A2437" i="1"/>
  <c r="A2438" i="1"/>
  <c r="A2439" i="1"/>
  <c r="A2440" i="1"/>
  <c r="A2441" i="1"/>
  <c r="A2442" i="1"/>
  <c r="A2443" i="1"/>
  <c r="A2444" i="1"/>
  <c r="A2445" i="1"/>
  <c r="A2446" i="1"/>
  <c r="A2447" i="1"/>
  <c r="A2448" i="1"/>
  <c r="A2449" i="1"/>
  <c r="A2450" i="1"/>
  <c r="A2451" i="1"/>
  <c r="A2452" i="1"/>
  <c r="A2453" i="1"/>
  <c r="A2454" i="1"/>
  <c r="A2455" i="1"/>
  <c r="A2456" i="1"/>
  <c r="A2457" i="1"/>
  <c r="A2458" i="1"/>
  <c r="A2459" i="1"/>
  <c r="A2460" i="1"/>
  <c r="A2461" i="1"/>
  <c r="A2462" i="1"/>
  <c r="A2463" i="1"/>
  <c r="A2464" i="1"/>
  <c r="A2465" i="1"/>
  <c r="A2466" i="1"/>
  <c r="A2467" i="1"/>
  <c r="A2468" i="1"/>
  <c r="A2469" i="1"/>
  <c r="A2470" i="1"/>
  <c r="A2471" i="1"/>
  <c r="A2472" i="1"/>
  <c r="A2473" i="1"/>
  <c r="A2474" i="1"/>
  <c r="A2475" i="1"/>
  <c r="A2476" i="1"/>
  <c r="A2477" i="1"/>
  <c r="A2478" i="1"/>
  <c r="A2479" i="1"/>
  <c r="A2480" i="1"/>
  <c r="A2481" i="1"/>
  <c r="A2482" i="1"/>
  <c r="A2483" i="1"/>
  <c r="A2484" i="1"/>
  <c r="A2485" i="1"/>
  <c r="A2486" i="1"/>
  <c r="A2487" i="1"/>
  <c r="A2488" i="1"/>
  <c r="A2489" i="1"/>
  <c r="A2490" i="1"/>
  <c r="A2491" i="1"/>
  <c r="A2492" i="1"/>
  <c r="A2493" i="1"/>
  <c r="A2494" i="1"/>
  <c r="A2495" i="1"/>
  <c r="A2496" i="1"/>
  <c r="A2497" i="1"/>
  <c r="A2498" i="1"/>
  <c r="A2499" i="1"/>
  <c r="A2500" i="1"/>
  <c r="A2501" i="1"/>
  <c r="A2502" i="1"/>
  <c r="A2503" i="1"/>
  <c r="A2504" i="1"/>
  <c r="A2505" i="1"/>
  <c r="A2506" i="1"/>
  <c r="A2507" i="1"/>
  <c r="A2508" i="1"/>
  <c r="A2509" i="1"/>
  <c r="A2510" i="1"/>
  <c r="A2511" i="1"/>
  <c r="A2512" i="1"/>
  <c r="A2513" i="1"/>
  <c r="A2514" i="1"/>
  <c r="A2515" i="1"/>
  <c r="A2516" i="1"/>
  <c r="A2517" i="1"/>
  <c r="A2518" i="1"/>
  <c r="A2519" i="1"/>
  <c r="A2520" i="1"/>
  <c r="A2521" i="1"/>
  <c r="A2522" i="1"/>
  <c r="A2523" i="1"/>
  <c r="A2524" i="1"/>
  <c r="A2525" i="1"/>
  <c r="A2526" i="1"/>
  <c r="A2527" i="1"/>
  <c r="A2528" i="1"/>
  <c r="A2529" i="1"/>
  <c r="A2530" i="1"/>
  <c r="A2531" i="1"/>
  <c r="A2532" i="1"/>
  <c r="A2533" i="1"/>
  <c r="A2534" i="1"/>
  <c r="A2535" i="1"/>
  <c r="A2536" i="1"/>
  <c r="A2537" i="1"/>
  <c r="A2538" i="1"/>
  <c r="A2539" i="1"/>
  <c r="A2540" i="1"/>
  <c r="A2541" i="1"/>
  <c r="A2542" i="1"/>
  <c r="A2543" i="1"/>
  <c r="A2544" i="1"/>
  <c r="A2545" i="1"/>
  <c r="A2546" i="1"/>
  <c r="A2547" i="1"/>
  <c r="A2548" i="1"/>
  <c r="A2549" i="1"/>
  <c r="A2550" i="1"/>
  <c r="A2551" i="1"/>
  <c r="A2552" i="1"/>
  <c r="A2553" i="1"/>
  <c r="A2554" i="1"/>
  <c r="A2555" i="1"/>
  <c r="A2556" i="1"/>
  <c r="A2557" i="1"/>
  <c r="A2558" i="1"/>
  <c r="A2559" i="1"/>
  <c r="A2560" i="1"/>
  <c r="A2561" i="1"/>
  <c r="A2562" i="1"/>
  <c r="A2563" i="1"/>
  <c r="A2564" i="1"/>
  <c r="A2565" i="1"/>
  <c r="A2566" i="1"/>
  <c r="A2567" i="1"/>
  <c r="A2568" i="1"/>
  <c r="A2569" i="1"/>
  <c r="A2570" i="1"/>
  <c r="A2571" i="1"/>
  <c r="A2572" i="1"/>
  <c r="A2573" i="1"/>
  <c r="A2574" i="1"/>
  <c r="A2575" i="1"/>
  <c r="A2576" i="1"/>
  <c r="A2577" i="1"/>
  <c r="A2578" i="1"/>
  <c r="A2579" i="1"/>
  <c r="A2580" i="1"/>
  <c r="A2581" i="1"/>
  <c r="A2582" i="1"/>
  <c r="A2583" i="1"/>
  <c r="A2584" i="1"/>
  <c r="A2585" i="1"/>
  <c r="A2586" i="1"/>
  <c r="A2587" i="1"/>
  <c r="A2588" i="1"/>
  <c r="A2589" i="1"/>
  <c r="A2590" i="1"/>
  <c r="A2591" i="1"/>
  <c r="A2592" i="1"/>
  <c r="A2593" i="1"/>
  <c r="A2594" i="1"/>
  <c r="A2595" i="1"/>
  <c r="A2596" i="1"/>
  <c r="A2597" i="1"/>
  <c r="A2598" i="1"/>
  <c r="A2599" i="1"/>
  <c r="A2600" i="1"/>
  <c r="A2601" i="1"/>
  <c r="A2602" i="1"/>
  <c r="A2603" i="1"/>
  <c r="A2604" i="1"/>
  <c r="A2605" i="1"/>
  <c r="A2606" i="1"/>
  <c r="A2607" i="1"/>
  <c r="A2608" i="1"/>
  <c r="A2609" i="1"/>
  <c r="A2610" i="1"/>
  <c r="A2611" i="1"/>
  <c r="A2612" i="1"/>
  <c r="A2613" i="1"/>
  <c r="A2614" i="1"/>
  <c r="A2615" i="1"/>
  <c r="A2616" i="1"/>
  <c r="A2617" i="1"/>
  <c r="A2618" i="1"/>
  <c r="A2619" i="1"/>
  <c r="A2620" i="1"/>
  <c r="A2621" i="1"/>
  <c r="A2622" i="1"/>
  <c r="A2623" i="1"/>
  <c r="A2624" i="1"/>
  <c r="A2625" i="1"/>
  <c r="A2626" i="1"/>
  <c r="A2627" i="1"/>
  <c r="A2628" i="1"/>
  <c r="A2629" i="1"/>
  <c r="A2630" i="1"/>
  <c r="A2631" i="1"/>
  <c r="A2632" i="1"/>
  <c r="A2633" i="1"/>
  <c r="A2634" i="1"/>
  <c r="A2635" i="1"/>
  <c r="A2636" i="1"/>
  <c r="A2637" i="1"/>
  <c r="A2638" i="1"/>
  <c r="A2639" i="1"/>
  <c r="A2640" i="1"/>
  <c r="A2641" i="1"/>
  <c r="A2642" i="1"/>
  <c r="A2643" i="1"/>
  <c r="A2644" i="1"/>
  <c r="A2645" i="1"/>
  <c r="A2646" i="1"/>
  <c r="A2647" i="1"/>
  <c r="A2648" i="1"/>
  <c r="A2649" i="1"/>
  <c r="A2650" i="1"/>
  <c r="A2651" i="1"/>
  <c r="A2652" i="1"/>
  <c r="A2653" i="1"/>
  <c r="A2654" i="1"/>
  <c r="A2655" i="1"/>
  <c r="A2656" i="1"/>
  <c r="A2657" i="1"/>
  <c r="A2658" i="1"/>
  <c r="A2659" i="1"/>
  <c r="A2660" i="1"/>
  <c r="A2661" i="1"/>
  <c r="A2662" i="1"/>
  <c r="A2663" i="1"/>
  <c r="A2664" i="1"/>
  <c r="A2665" i="1"/>
  <c r="A2666" i="1"/>
  <c r="A2667" i="1"/>
  <c r="A2668" i="1"/>
  <c r="A2669" i="1"/>
  <c r="A2670" i="1"/>
  <c r="A2671" i="1"/>
  <c r="A2672" i="1"/>
  <c r="A2673" i="1"/>
  <c r="A2674" i="1"/>
  <c r="A2675" i="1"/>
  <c r="A2676" i="1"/>
  <c r="A2677" i="1"/>
  <c r="A2678" i="1"/>
  <c r="A2679" i="1"/>
  <c r="A2680" i="1"/>
  <c r="A2681" i="1"/>
  <c r="A2682" i="1"/>
  <c r="A2683" i="1"/>
  <c r="A2684" i="1"/>
  <c r="A2685" i="1"/>
  <c r="A2686" i="1"/>
  <c r="A2687" i="1"/>
  <c r="A2688" i="1"/>
  <c r="A2689" i="1"/>
  <c r="A2690" i="1"/>
  <c r="A2691" i="1"/>
  <c r="A2692" i="1"/>
  <c r="A2693" i="1"/>
  <c r="A2694" i="1"/>
  <c r="A2695" i="1"/>
  <c r="A2696" i="1"/>
  <c r="A2697" i="1"/>
  <c r="A2698" i="1"/>
  <c r="A2699" i="1"/>
  <c r="A2700" i="1"/>
  <c r="A2701" i="1"/>
  <c r="A2702" i="1"/>
  <c r="A2703" i="1"/>
  <c r="A2704" i="1"/>
  <c r="A2705" i="1"/>
  <c r="A2706" i="1"/>
  <c r="A2707" i="1"/>
  <c r="A2708" i="1"/>
  <c r="A2709" i="1"/>
  <c r="A2710" i="1"/>
  <c r="A2711" i="1"/>
  <c r="A2712" i="1"/>
  <c r="A2713" i="1"/>
  <c r="A2714" i="1"/>
  <c r="A2715" i="1"/>
  <c r="A2716" i="1"/>
  <c r="A2717" i="1"/>
  <c r="A2718" i="1"/>
  <c r="A2719" i="1"/>
  <c r="A2720" i="1"/>
  <c r="A2721" i="1"/>
  <c r="A2722" i="1"/>
  <c r="A2723" i="1"/>
  <c r="A2724" i="1"/>
  <c r="A2725" i="1"/>
  <c r="A2726" i="1"/>
  <c r="A2727" i="1"/>
  <c r="A2728" i="1"/>
  <c r="A2729" i="1"/>
  <c r="A2730" i="1"/>
  <c r="A2731" i="1"/>
  <c r="A2732" i="1"/>
  <c r="A2733" i="1"/>
  <c r="A2734" i="1"/>
  <c r="A2735" i="1"/>
  <c r="A2736" i="1"/>
  <c r="A2737" i="1"/>
  <c r="A2738" i="1"/>
  <c r="A2739" i="1"/>
  <c r="A2740" i="1"/>
  <c r="A2741" i="1"/>
  <c r="A2742" i="1"/>
  <c r="A2743" i="1"/>
  <c r="A2744" i="1"/>
  <c r="A2745" i="1"/>
  <c r="A2746" i="1"/>
  <c r="A2747" i="1"/>
  <c r="A2748" i="1"/>
  <c r="A2749" i="1"/>
  <c r="A2750" i="1"/>
  <c r="A2751" i="1"/>
  <c r="A2752" i="1"/>
  <c r="A2753" i="1"/>
  <c r="A2754" i="1"/>
  <c r="A2755" i="1"/>
  <c r="A2756" i="1"/>
  <c r="A2757" i="1"/>
  <c r="A2758" i="1"/>
  <c r="A2759" i="1"/>
  <c r="A2760" i="1"/>
  <c r="A2761" i="1"/>
  <c r="A2762" i="1"/>
  <c r="A2763" i="1"/>
  <c r="A2764" i="1"/>
  <c r="A2765" i="1"/>
  <c r="A2766" i="1"/>
  <c r="A2767" i="1"/>
  <c r="A2768" i="1"/>
  <c r="A2769" i="1"/>
  <c r="A2770" i="1"/>
  <c r="A2771" i="1"/>
  <c r="A2772" i="1"/>
  <c r="A2773" i="1"/>
  <c r="A2774" i="1"/>
  <c r="A2775" i="1"/>
  <c r="A2776" i="1"/>
  <c r="A2777" i="1"/>
  <c r="A2778" i="1"/>
  <c r="A2779" i="1"/>
  <c r="A2780" i="1"/>
  <c r="A2781" i="1"/>
  <c r="A2782" i="1"/>
  <c r="A2783" i="1"/>
  <c r="A2784" i="1"/>
  <c r="A2785" i="1"/>
  <c r="A2786" i="1"/>
  <c r="A2787" i="1"/>
  <c r="A2788" i="1"/>
  <c r="A2789" i="1"/>
  <c r="A2790" i="1"/>
  <c r="A2791" i="1"/>
  <c r="A2792" i="1"/>
  <c r="A2793" i="1"/>
  <c r="A2794" i="1"/>
  <c r="A2795" i="1"/>
  <c r="A2796" i="1"/>
  <c r="A2797" i="1"/>
  <c r="A2798" i="1"/>
  <c r="A2799" i="1"/>
  <c r="A2800" i="1"/>
  <c r="A2801" i="1"/>
  <c r="A2802" i="1"/>
  <c r="A2803" i="1"/>
  <c r="A2804" i="1"/>
  <c r="A2805" i="1"/>
  <c r="A2806" i="1"/>
  <c r="A2807" i="1"/>
  <c r="A2808" i="1"/>
  <c r="A2809" i="1"/>
  <c r="A2810" i="1"/>
  <c r="A2811" i="1"/>
  <c r="A2812" i="1"/>
  <c r="A2813" i="1"/>
  <c r="A2814" i="1"/>
  <c r="A2815" i="1"/>
  <c r="A2816" i="1"/>
  <c r="A2817" i="1"/>
  <c r="A2818" i="1"/>
  <c r="A2819" i="1"/>
  <c r="A2820" i="1"/>
  <c r="A2821" i="1"/>
  <c r="A2822" i="1"/>
  <c r="A2823" i="1"/>
  <c r="A2824" i="1"/>
  <c r="A2825" i="1"/>
  <c r="A2826" i="1"/>
  <c r="A2827" i="1"/>
  <c r="A2828" i="1"/>
  <c r="A2829" i="1"/>
  <c r="A2830" i="1"/>
  <c r="A2831" i="1"/>
  <c r="A2832" i="1"/>
  <c r="A2833" i="1"/>
  <c r="A2834" i="1"/>
  <c r="A2835" i="1"/>
  <c r="A2836" i="1"/>
  <c r="A2837" i="1"/>
  <c r="A2838" i="1"/>
  <c r="A2839" i="1"/>
  <c r="A2840" i="1"/>
  <c r="A2841" i="1"/>
  <c r="A2842" i="1"/>
  <c r="A2843" i="1"/>
  <c r="A2844" i="1"/>
  <c r="A2845" i="1"/>
  <c r="A2846" i="1"/>
  <c r="A2847" i="1"/>
  <c r="A2848" i="1"/>
  <c r="A2849" i="1"/>
  <c r="A2850" i="1"/>
  <c r="B4" i="1"/>
  <c r="D4" i="1" s="1"/>
  <c r="B5" i="1"/>
  <c r="B6" i="1"/>
  <c r="B7" i="1"/>
  <c r="B8" i="1"/>
  <c r="D8" i="1" s="1"/>
  <c r="B9" i="1"/>
  <c r="B10" i="1"/>
  <c r="D10" i="1" s="1"/>
  <c r="B11" i="1"/>
  <c r="D11" i="1" s="1"/>
  <c r="B12" i="1"/>
  <c r="D12" i="1" s="1"/>
  <c r="B13" i="1"/>
  <c r="B14" i="1"/>
  <c r="D14" i="1" s="1"/>
  <c r="B15" i="1"/>
  <c r="D15" i="1" s="1"/>
  <c r="B16" i="1"/>
  <c r="D16" i="1" s="1"/>
  <c r="B17" i="1"/>
  <c r="B18" i="1"/>
  <c r="B19" i="1"/>
  <c r="B20" i="1"/>
  <c r="B21" i="1"/>
  <c r="B22" i="1"/>
  <c r="B23" i="1"/>
  <c r="B24" i="1"/>
  <c r="D24" i="1" s="1"/>
  <c r="B25" i="1"/>
  <c r="B26" i="1"/>
  <c r="D26" i="1" s="1"/>
  <c r="B27" i="1"/>
  <c r="D27" i="1" s="1"/>
  <c r="B28" i="1"/>
  <c r="D28" i="1" s="1"/>
  <c r="B29" i="1"/>
  <c r="B30" i="1"/>
  <c r="D30" i="1" s="1"/>
  <c r="B31" i="1"/>
  <c r="D31" i="1" s="1"/>
  <c r="B32" i="1"/>
  <c r="D32" i="1" s="1"/>
  <c r="B33" i="1"/>
  <c r="D33" i="1" s="1"/>
  <c r="B34" i="1"/>
  <c r="B35" i="1"/>
  <c r="B36" i="1"/>
  <c r="D36" i="1" s="1"/>
  <c r="B37" i="1"/>
  <c r="B38" i="1"/>
  <c r="B39" i="1"/>
  <c r="B40" i="1"/>
  <c r="B41" i="1"/>
  <c r="B42" i="1"/>
  <c r="D42" i="1" s="1"/>
  <c r="B43" i="1"/>
  <c r="D43" i="1" s="1"/>
  <c r="B44" i="1"/>
  <c r="D44" i="1" s="1"/>
  <c r="B45" i="1"/>
  <c r="B46" i="1"/>
  <c r="D46" i="1" s="1"/>
  <c r="B47" i="1"/>
  <c r="D47" i="1" s="1"/>
  <c r="B48" i="1"/>
  <c r="D48" i="1" s="1"/>
  <c r="B49" i="1"/>
  <c r="D49" i="1" s="1"/>
  <c r="B50" i="1"/>
  <c r="B51" i="1"/>
  <c r="B52" i="1"/>
  <c r="B53" i="1"/>
  <c r="B54" i="1"/>
  <c r="B55" i="1"/>
  <c r="B56" i="1"/>
  <c r="B57" i="1"/>
  <c r="B58" i="1"/>
  <c r="D58" i="1" s="1"/>
  <c r="B59" i="1"/>
  <c r="D59" i="1" s="1"/>
  <c r="B60" i="1"/>
  <c r="D60" i="1" s="1"/>
  <c r="B61" i="1"/>
  <c r="B62" i="1"/>
  <c r="D62" i="1" s="1"/>
  <c r="B63" i="1"/>
  <c r="B64" i="1"/>
  <c r="D64" i="1" s="1"/>
  <c r="B65" i="1"/>
  <c r="B66" i="1"/>
  <c r="B67" i="1"/>
  <c r="D67" i="1" s="1"/>
  <c r="B68" i="1"/>
  <c r="D68" i="1" s="1"/>
  <c r="B69" i="1"/>
  <c r="B70" i="1"/>
  <c r="B71" i="1"/>
  <c r="B72" i="1"/>
  <c r="B73" i="1"/>
  <c r="B74" i="1"/>
  <c r="D74" i="1" s="1"/>
  <c r="B75" i="1"/>
  <c r="D75" i="1" s="1"/>
  <c r="B76" i="1"/>
  <c r="D76" i="1" s="1"/>
  <c r="B77" i="1"/>
  <c r="B78" i="1"/>
  <c r="D78" i="1" s="1"/>
  <c r="B79" i="1"/>
  <c r="D79" i="1" s="1"/>
  <c r="B80" i="1"/>
  <c r="D80" i="1" s="1"/>
  <c r="B81" i="1"/>
  <c r="D81" i="1" s="1"/>
  <c r="B82" i="1"/>
  <c r="B83" i="1"/>
  <c r="B84" i="1"/>
  <c r="B85" i="1"/>
  <c r="B86" i="1"/>
  <c r="B87" i="1"/>
  <c r="B88" i="1"/>
  <c r="B89" i="1"/>
  <c r="B90" i="1"/>
  <c r="B91" i="1"/>
  <c r="D91" i="1" s="1"/>
  <c r="B92" i="1"/>
  <c r="D92" i="1" s="1"/>
  <c r="B93" i="1"/>
  <c r="B94" i="1"/>
  <c r="D94" i="1" s="1"/>
  <c r="B95" i="1"/>
  <c r="D95" i="1" s="1"/>
  <c r="B96" i="1"/>
  <c r="D96" i="1" s="1"/>
  <c r="B97" i="1"/>
  <c r="D97" i="1" s="1"/>
  <c r="B98" i="1"/>
  <c r="B99" i="1"/>
  <c r="D99" i="1" s="1"/>
  <c r="B100" i="1"/>
  <c r="D100" i="1" s="1"/>
  <c r="B101" i="1"/>
  <c r="B102" i="1"/>
  <c r="B103" i="1"/>
  <c r="B104" i="1"/>
  <c r="B105" i="1"/>
  <c r="B106" i="1"/>
  <c r="D106" i="1" s="1"/>
  <c r="B107" i="1"/>
  <c r="D107" i="1" s="1"/>
  <c r="B108" i="1"/>
  <c r="B109" i="1"/>
  <c r="B110" i="1"/>
  <c r="D110" i="1" s="1"/>
  <c r="B111" i="1"/>
  <c r="D111" i="1" s="1"/>
  <c r="B112" i="1"/>
  <c r="D112" i="1" s="1"/>
  <c r="B113" i="1"/>
  <c r="B114" i="1"/>
  <c r="B115" i="1"/>
  <c r="B116" i="1"/>
  <c r="B117" i="1"/>
  <c r="B118" i="1"/>
  <c r="B119" i="1"/>
  <c r="B120" i="1"/>
  <c r="B121" i="1"/>
  <c r="B122" i="1"/>
  <c r="B123" i="1"/>
  <c r="D123" i="1" s="1"/>
  <c r="B124" i="1"/>
  <c r="B125" i="1"/>
  <c r="B126" i="1"/>
  <c r="D126" i="1" s="1"/>
  <c r="B127" i="1"/>
  <c r="D127" i="1" s="1"/>
  <c r="B128" i="1"/>
  <c r="D128" i="1" s="1"/>
  <c r="B129" i="1"/>
  <c r="D129" i="1" s="1"/>
  <c r="B130" i="1"/>
  <c r="B131" i="1"/>
  <c r="B132" i="1"/>
  <c r="B133" i="1"/>
  <c r="B134" i="1"/>
  <c r="B135" i="1"/>
  <c r="B136" i="1"/>
  <c r="B137" i="1"/>
  <c r="B138" i="1"/>
  <c r="D138" i="1" s="1"/>
  <c r="B139" i="1"/>
  <c r="D139" i="1" s="1"/>
  <c r="B140" i="1"/>
  <c r="D140" i="1" s="1"/>
  <c r="B141" i="1"/>
  <c r="B142" i="1"/>
  <c r="D142" i="1" s="1"/>
  <c r="B143" i="1"/>
  <c r="D143" i="1" s="1"/>
  <c r="B144" i="1"/>
  <c r="D144" i="1" s="1"/>
  <c r="B145" i="1"/>
  <c r="D145" i="1" s="1"/>
  <c r="B146" i="1"/>
  <c r="B147" i="1"/>
  <c r="D147" i="1" s="1"/>
  <c r="B148" i="1"/>
  <c r="D148" i="1" s="1"/>
  <c r="B149" i="1"/>
  <c r="B150" i="1"/>
  <c r="B151" i="1"/>
  <c r="B152" i="1"/>
  <c r="B153" i="1"/>
  <c r="B154" i="1"/>
  <c r="B155" i="1"/>
  <c r="D155" i="1" s="1"/>
  <c r="B156" i="1"/>
  <c r="B157" i="1"/>
  <c r="B158" i="1"/>
  <c r="D158" i="1" s="1"/>
  <c r="B159" i="1"/>
  <c r="D159" i="1" s="1"/>
  <c r="B160" i="1"/>
  <c r="D160" i="1" s="1"/>
  <c r="B161" i="1"/>
  <c r="D161" i="1" s="1"/>
  <c r="B162" i="1"/>
  <c r="B163" i="1"/>
  <c r="D163" i="1" s="1"/>
  <c r="B164" i="1"/>
  <c r="D164" i="1" s="1"/>
  <c r="B165" i="1"/>
  <c r="B166" i="1"/>
  <c r="B167" i="1"/>
  <c r="B168" i="1"/>
  <c r="B169" i="1"/>
  <c r="B170" i="1"/>
  <c r="B171" i="1"/>
  <c r="D171" i="1" s="1"/>
  <c r="B172" i="1"/>
  <c r="B173" i="1"/>
  <c r="B174" i="1"/>
  <c r="B175" i="1"/>
  <c r="B176" i="1"/>
  <c r="D176" i="1" s="1"/>
  <c r="B177" i="1"/>
  <c r="D177" i="1" s="1"/>
  <c r="B178" i="1"/>
  <c r="B179" i="1"/>
  <c r="D179" i="1" s="1"/>
  <c r="B180" i="1"/>
  <c r="D180" i="1" s="1"/>
  <c r="B181" i="1"/>
  <c r="B182" i="1"/>
  <c r="B183" i="1"/>
  <c r="B184" i="1"/>
  <c r="B185" i="1"/>
  <c r="B186" i="1"/>
  <c r="D186" i="1" s="1"/>
  <c r="B187" i="1"/>
  <c r="D187" i="1" s="1"/>
  <c r="B188" i="1"/>
  <c r="D188" i="1" s="1"/>
  <c r="B189" i="1"/>
  <c r="B190" i="1"/>
  <c r="D190" i="1" s="1"/>
  <c r="B191" i="1"/>
  <c r="B192" i="1"/>
  <c r="D192" i="1" s="1"/>
  <c r="B193" i="1"/>
  <c r="B194" i="1"/>
  <c r="B195" i="1"/>
  <c r="D195" i="1" s="1"/>
  <c r="B196" i="1"/>
  <c r="D196" i="1" s="1"/>
  <c r="B197" i="1"/>
  <c r="B198" i="1"/>
  <c r="B199" i="1"/>
  <c r="B200" i="1"/>
  <c r="B201" i="1"/>
  <c r="B202" i="1"/>
  <c r="D202" i="1" s="1"/>
  <c r="B203" i="1"/>
  <c r="D203" i="1" s="1"/>
  <c r="B204" i="1"/>
  <c r="D204" i="1" s="1"/>
  <c r="B205" i="1"/>
  <c r="B206" i="1"/>
  <c r="D206" i="1" s="1"/>
  <c r="B207" i="1"/>
  <c r="D207" i="1" s="1"/>
  <c r="B208" i="1"/>
  <c r="D208" i="1" s="1"/>
  <c r="B209" i="1"/>
  <c r="D209" i="1" s="1"/>
  <c r="B210" i="1"/>
  <c r="B211" i="1"/>
  <c r="B212" i="1"/>
  <c r="D212" i="1" s="1"/>
  <c r="B213" i="1"/>
  <c r="B214" i="1"/>
  <c r="B215" i="1"/>
  <c r="B216" i="1"/>
  <c r="B217" i="1"/>
  <c r="B218" i="1"/>
  <c r="B219" i="1"/>
  <c r="D219" i="1" s="1"/>
  <c r="B220" i="1"/>
  <c r="D220" i="1" s="1"/>
  <c r="B221" i="1"/>
  <c r="B222" i="1"/>
  <c r="D222" i="1" s="1"/>
  <c r="B223" i="1"/>
  <c r="D223" i="1" s="1"/>
  <c r="B224" i="1"/>
  <c r="D224" i="1" s="1"/>
  <c r="B225" i="1"/>
  <c r="D225" i="1" s="1"/>
  <c r="B226" i="1"/>
  <c r="B227" i="1"/>
  <c r="D227" i="1" s="1"/>
  <c r="B228" i="1"/>
  <c r="D228" i="1" s="1"/>
  <c r="B229" i="1"/>
  <c r="B230" i="1"/>
  <c r="B231" i="1"/>
  <c r="B232" i="1"/>
  <c r="B233" i="1"/>
  <c r="B234" i="1"/>
  <c r="B235" i="1"/>
  <c r="D235" i="1" s="1"/>
  <c r="B236" i="1"/>
  <c r="B237" i="1"/>
  <c r="B238" i="1"/>
  <c r="B239" i="1"/>
  <c r="B240" i="1"/>
  <c r="D240" i="1" s="1"/>
  <c r="B241" i="1"/>
  <c r="D241" i="1" s="1"/>
  <c r="B242" i="1"/>
  <c r="B243" i="1"/>
  <c r="B244" i="1"/>
  <c r="B245" i="1"/>
  <c r="B246" i="1"/>
  <c r="B247" i="1"/>
  <c r="B248" i="1"/>
  <c r="D248" i="1" s="1"/>
  <c r="B249" i="1"/>
  <c r="B250" i="1"/>
  <c r="B251" i="1"/>
  <c r="D251" i="1" s="1"/>
  <c r="B252" i="1"/>
  <c r="D252" i="1" s="1"/>
  <c r="B253" i="1"/>
  <c r="B254" i="1"/>
  <c r="B255" i="1"/>
  <c r="D255" i="1" s="1"/>
  <c r="B256" i="1"/>
  <c r="B257" i="1"/>
  <c r="B258" i="1"/>
  <c r="B259" i="1"/>
  <c r="D259" i="1" s="1"/>
  <c r="B260" i="1"/>
  <c r="D260" i="1" s="1"/>
  <c r="B261" i="1"/>
  <c r="B262" i="1"/>
  <c r="B263" i="1"/>
  <c r="B264" i="1"/>
  <c r="D264" i="1" s="1"/>
  <c r="B265" i="1"/>
  <c r="B266" i="1"/>
  <c r="D266" i="1" s="1"/>
  <c r="B267" i="1"/>
  <c r="D267" i="1" s="1"/>
  <c r="B268" i="1"/>
  <c r="D268" i="1" s="1"/>
  <c r="B269" i="1"/>
  <c r="B270" i="1"/>
  <c r="D270" i="1" s="1"/>
  <c r="B271" i="1"/>
  <c r="D271" i="1" s="1"/>
  <c r="B272" i="1"/>
  <c r="D272" i="1" s="1"/>
  <c r="B273" i="1"/>
  <c r="D273" i="1" s="1"/>
  <c r="B274" i="1"/>
  <c r="B275" i="1"/>
  <c r="B276" i="1"/>
  <c r="D276" i="1" s="1"/>
  <c r="B277" i="1"/>
  <c r="B278" i="1"/>
  <c r="B279" i="1"/>
  <c r="B280" i="1"/>
  <c r="D280" i="1" s="1"/>
  <c r="B281" i="1"/>
  <c r="B282" i="1"/>
  <c r="D282" i="1" s="1"/>
  <c r="B283" i="1"/>
  <c r="D283" i="1" s="1"/>
  <c r="B284" i="1"/>
  <c r="D284" i="1" s="1"/>
  <c r="B285" i="1"/>
  <c r="B286" i="1"/>
  <c r="D286" i="1" s="1"/>
  <c r="B287" i="1"/>
  <c r="D287" i="1" s="1"/>
  <c r="B288" i="1"/>
  <c r="D288" i="1" s="1"/>
  <c r="B289" i="1"/>
  <c r="D289" i="1" s="1"/>
  <c r="B290" i="1"/>
  <c r="B291" i="1"/>
  <c r="B292" i="1"/>
  <c r="D292" i="1" s="1"/>
  <c r="B293" i="1"/>
  <c r="B294" i="1"/>
  <c r="B295" i="1"/>
  <c r="B296" i="1"/>
  <c r="B297" i="1"/>
  <c r="B298" i="1"/>
  <c r="D298" i="1" s="1"/>
  <c r="B299" i="1"/>
  <c r="D299" i="1" s="1"/>
  <c r="B300" i="1"/>
  <c r="D300" i="1" s="1"/>
  <c r="B301" i="1"/>
  <c r="B302" i="1"/>
  <c r="B303" i="1"/>
  <c r="D303" i="1" s="1"/>
  <c r="B304" i="1"/>
  <c r="D304" i="1" s="1"/>
  <c r="B305" i="1"/>
  <c r="D305" i="1" s="1"/>
  <c r="B306" i="1"/>
  <c r="B307" i="1"/>
  <c r="D307" i="1" s="1"/>
  <c r="B308" i="1"/>
  <c r="D308" i="1" s="1"/>
  <c r="B309" i="1"/>
  <c r="B310" i="1"/>
  <c r="B311" i="1"/>
  <c r="B312" i="1"/>
  <c r="B313" i="1"/>
  <c r="B314" i="1"/>
  <c r="D314" i="1" s="1"/>
  <c r="B315" i="1"/>
  <c r="D315" i="1" s="1"/>
  <c r="B316" i="1"/>
  <c r="D316" i="1" s="1"/>
  <c r="B317" i="1"/>
  <c r="B318" i="1"/>
  <c r="D318" i="1" s="1"/>
  <c r="B319" i="1"/>
  <c r="D319" i="1" s="1"/>
  <c r="B320" i="1"/>
  <c r="B321" i="1"/>
  <c r="B322" i="1"/>
  <c r="B323" i="1"/>
  <c r="B324" i="1"/>
  <c r="D324" i="1" s="1"/>
  <c r="B325" i="1"/>
  <c r="B326" i="1"/>
  <c r="B327" i="1"/>
  <c r="B328" i="1"/>
  <c r="B329" i="1"/>
  <c r="B330" i="1"/>
  <c r="B331" i="1"/>
  <c r="D331" i="1" s="1"/>
  <c r="B332" i="1"/>
  <c r="D332" i="1" s="1"/>
  <c r="B333" i="1"/>
  <c r="B334" i="1"/>
  <c r="D334" i="1" s="1"/>
  <c r="B335" i="1"/>
  <c r="D335" i="1" s="1"/>
  <c r="B336" i="1"/>
  <c r="D336" i="1" s="1"/>
  <c r="B337" i="1"/>
  <c r="D337" i="1" s="1"/>
  <c r="B338" i="1"/>
  <c r="B339" i="1"/>
  <c r="B340" i="1"/>
  <c r="D340" i="1" s="1"/>
  <c r="B341" i="1"/>
  <c r="B342" i="1"/>
  <c r="B343" i="1"/>
  <c r="B344" i="1"/>
  <c r="B345" i="1"/>
  <c r="B346" i="1"/>
  <c r="B347" i="1"/>
  <c r="D347" i="1" s="1"/>
  <c r="B348" i="1"/>
  <c r="B349" i="1"/>
  <c r="B350" i="1"/>
  <c r="D350" i="1" s="1"/>
  <c r="B351" i="1"/>
  <c r="D351" i="1" s="1"/>
  <c r="B352" i="1"/>
  <c r="D352" i="1" s="1"/>
  <c r="B353" i="1"/>
  <c r="D353" i="1" s="1"/>
  <c r="B354" i="1"/>
  <c r="B355" i="1"/>
  <c r="D355" i="1" s="1"/>
  <c r="B356" i="1"/>
  <c r="D356" i="1" s="1"/>
  <c r="B357" i="1"/>
  <c r="B358" i="1"/>
  <c r="B359" i="1"/>
  <c r="B360" i="1"/>
  <c r="B361" i="1"/>
  <c r="B362" i="1"/>
  <c r="B363" i="1"/>
  <c r="D363" i="1" s="1"/>
  <c r="B364" i="1"/>
  <c r="B365" i="1"/>
  <c r="B366" i="1"/>
  <c r="D366" i="1" s="1"/>
  <c r="B367" i="1"/>
  <c r="D367" i="1" s="1"/>
  <c r="B368" i="1"/>
  <c r="D368" i="1" s="1"/>
  <c r="B369" i="1"/>
  <c r="B370" i="1"/>
  <c r="B371" i="1"/>
  <c r="B372" i="1"/>
  <c r="B373" i="1"/>
  <c r="B374" i="1"/>
  <c r="B375" i="1"/>
  <c r="B376" i="1"/>
  <c r="B377" i="1"/>
  <c r="B378" i="1"/>
  <c r="B379" i="1"/>
  <c r="D379" i="1" s="1"/>
  <c r="B380" i="1"/>
  <c r="B381" i="1"/>
  <c r="B382" i="1"/>
  <c r="D382" i="1" s="1"/>
  <c r="B383" i="1"/>
  <c r="D383" i="1" s="1"/>
  <c r="B384" i="1"/>
  <c r="D384" i="1" s="1"/>
  <c r="B385" i="1"/>
  <c r="D385" i="1" s="1"/>
  <c r="B386" i="1"/>
  <c r="B387" i="1"/>
  <c r="B388" i="1"/>
  <c r="B389" i="1"/>
  <c r="B390" i="1"/>
  <c r="B391" i="1"/>
  <c r="B392" i="1"/>
  <c r="B393" i="1"/>
  <c r="B394" i="1"/>
  <c r="D394" i="1" s="1"/>
  <c r="B395" i="1"/>
  <c r="D395" i="1" s="1"/>
  <c r="B396" i="1"/>
  <c r="D396" i="1" s="1"/>
  <c r="B397" i="1"/>
  <c r="B398" i="1"/>
  <c r="D398" i="1" s="1"/>
  <c r="B399" i="1"/>
  <c r="D399" i="1" s="1"/>
  <c r="B400" i="1"/>
  <c r="D400" i="1" s="1"/>
  <c r="B401" i="1"/>
  <c r="D401" i="1" s="1"/>
  <c r="B402" i="1"/>
  <c r="B403" i="1"/>
  <c r="B404" i="1"/>
  <c r="D404" i="1" s="1"/>
  <c r="B405" i="1"/>
  <c r="B406" i="1"/>
  <c r="B407" i="1"/>
  <c r="B408" i="1"/>
  <c r="B409" i="1"/>
  <c r="B410" i="1"/>
  <c r="B411" i="1"/>
  <c r="D411" i="1" s="1"/>
  <c r="B412" i="1"/>
  <c r="D412" i="1" s="1"/>
  <c r="B413" i="1"/>
  <c r="B414" i="1"/>
  <c r="D414" i="1" s="1"/>
  <c r="B415" i="1"/>
  <c r="D415" i="1" s="1"/>
  <c r="B416" i="1"/>
  <c r="D416" i="1" s="1"/>
  <c r="B417" i="1"/>
  <c r="D417" i="1" s="1"/>
  <c r="B418" i="1"/>
  <c r="B419" i="1"/>
  <c r="D419" i="1" s="1"/>
  <c r="B420" i="1"/>
  <c r="D420" i="1" s="1"/>
  <c r="B421" i="1"/>
  <c r="B422" i="1"/>
  <c r="B423" i="1"/>
  <c r="B424" i="1"/>
  <c r="B425" i="1"/>
  <c r="B426" i="1"/>
  <c r="B427" i="1"/>
  <c r="D427" i="1" s="1"/>
  <c r="B428" i="1"/>
  <c r="D428" i="1" s="1"/>
  <c r="B429" i="1"/>
  <c r="B430" i="1"/>
  <c r="B431" i="1"/>
  <c r="B432" i="1"/>
  <c r="B433" i="1"/>
  <c r="D433" i="1" s="1"/>
  <c r="B434" i="1"/>
  <c r="B435" i="1"/>
  <c r="D435" i="1" s="1"/>
  <c r="B436" i="1"/>
  <c r="D436" i="1" s="1"/>
  <c r="B437" i="1"/>
  <c r="B438" i="1"/>
  <c r="B439" i="1"/>
  <c r="B440" i="1"/>
  <c r="B441" i="1"/>
  <c r="B442" i="1"/>
  <c r="B443" i="1"/>
  <c r="D443" i="1" s="1"/>
  <c r="B444" i="1"/>
  <c r="D444" i="1" s="1"/>
  <c r="B445" i="1"/>
  <c r="B446" i="1"/>
  <c r="B447" i="1"/>
  <c r="D447" i="1" s="1"/>
  <c r="B448" i="1"/>
  <c r="B449" i="1"/>
  <c r="B450" i="1"/>
  <c r="B451" i="1"/>
  <c r="D451" i="1" s="1"/>
  <c r="B452" i="1"/>
  <c r="D452" i="1" s="1"/>
  <c r="B453" i="1"/>
  <c r="B454" i="1"/>
  <c r="B455" i="1"/>
  <c r="B456" i="1"/>
  <c r="B457" i="1"/>
  <c r="B458" i="1"/>
  <c r="D458" i="1" s="1"/>
  <c r="B459" i="1"/>
  <c r="D459" i="1" s="1"/>
  <c r="B460" i="1"/>
  <c r="D460" i="1" s="1"/>
  <c r="B461" i="1"/>
  <c r="B462" i="1"/>
  <c r="D462" i="1" s="1"/>
  <c r="B463" i="1"/>
  <c r="D463" i="1" s="1"/>
  <c r="B464" i="1"/>
  <c r="D464" i="1" s="1"/>
  <c r="B465" i="1"/>
  <c r="B466" i="1"/>
  <c r="B467" i="1"/>
  <c r="B468" i="1"/>
  <c r="D468" i="1" s="1"/>
  <c r="B469" i="1"/>
  <c r="B470" i="1"/>
  <c r="B471" i="1"/>
  <c r="B472" i="1"/>
  <c r="B473" i="1"/>
  <c r="B474" i="1"/>
  <c r="D474" i="1" s="1"/>
  <c r="B475" i="1"/>
  <c r="D475" i="1" s="1"/>
  <c r="B476" i="1"/>
  <c r="D476" i="1" s="1"/>
  <c r="B477" i="1"/>
  <c r="B478" i="1"/>
  <c r="D478" i="1" s="1"/>
  <c r="B479" i="1"/>
  <c r="D479" i="1" s="1"/>
  <c r="B480" i="1"/>
  <c r="D480" i="1" s="1"/>
  <c r="B481" i="1"/>
  <c r="D481" i="1" s="1"/>
  <c r="B482" i="1"/>
  <c r="B483" i="1"/>
  <c r="B484" i="1"/>
  <c r="D484" i="1" s="1"/>
  <c r="B485" i="1"/>
  <c r="B486" i="1"/>
  <c r="B487" i="1"/>
  <c r="B488" i="1"/>
  <c r="B489" i="1"/>
  <c r="B490" i="1"/>
  <c r="D490" i="1" s="1"/>
  <c r="B491" i="1"/>
  <c r="D491" i="1" s="1"/>
  <c r="B492" i="1"/>
  <c r="D492" i="1" s="1"/>
  <c r="B493" i="1"/>
  <c r="B494" i="1"/>
  <c r="D494" i="1" s="1"/>
  <c r="B495" i="1"/>
  <c r="D495" i="1" s="1"/>
  <c r="B496" i="1"/>
  <c r="D496" i="1" s="1"/>
  <c r="B497" i="1"/>
  <c r="D497" i="1" s="1"/>
  <c r="B498" i="1"/>
  <c r="B499" i="1"/>
  <c r="D499" i="1" s="1"/>
  <c r="B500" i="1"/>
  <c r="D500" i="1" s="1"/>
  <c r="B501" i="1"/>
  <c r="B502" i="1"/>
  <c r="B503" i="1"/>
  <c r="B504" i="1"/>
  <c r="D504" i="1" s="1"/>
  <c r="B505" i="1"/>
  <c r="B506" i="1"/>
  <c r="B507" i="1"/>
  <c r="D507" i="1" s="1"/>
  <c r="B508" i="1"/>
  <c r="B509" i="1"/>
  <c r="B510" i="1"/>
  <c r="D510" i="1" s="1"/>
  <c r="B511" i="1"/>
  <c r="D511" i="1" s="1"/>
  <c r="B512" i="1"/>
  <c r="B513" i="1"/>
  <c r="B514" i="1"/>
  <c r="B515" i="1"/>
  <c r="B516" i="1"/>
  <c r="B517" i="1"/>
  <c r="B518" i="1"/>
  <c r="B519" i="1"/>
  <c r="B520" i="1"/>
  <c r="D520" i="1" s="1"/>
  <c r="B521" i="1"/>
  <c r="B522" i="1"/>
  <c r="B523" i="1"/>
  <c r="D523" i="1" s="1"/>
  <c r="B524" i="1"/>
  <c r="D524" i="1" s="1"/>
  <c r="B525" i="1"/>
  <c r="B526" i="1"/>
  <c r="B527" i="1"/>
  <c r="D527" i="1" s="1"/>
  <c r="B528" i="1"/>
  <c r="D528" i="1" s="1"/>
  <c r="B529" i="1"/>
  <c r="D529" i="1" s="1"/>
  <c r="B530" i="1"/>
  <c r="B531" i="1"/>
  <c r="B532" i="1"/>
  <c r="B533" i="1"/>
  <c r="B534" i="1"/>
  <c r="B535" i="1"/>
  <c r="B536" i="1"/>
  <c r="D536" i="1" s="1"/>
  <c r="B537" i="1"/>
  <c r="B538" i="1"/>
  <c r="D538" i="1" s="1"/>
  <c r="B539" i="1"/>
  <c r="D539" i="1" s="1"/>
  <c r="B540" i="1"/>
  <c r="B541" i="1"/>
  <c r="B542" i="1"/>
  <c r="D542" i="1" s="1"/>
  <c r="B543" i="1"/>
  <c r="D543" i="1" s="1"/>
  <c r="B544" i="1"/>
  <c r="D544" i="1" s="1"/>
  <c r="B545" i="1"/>
  <c r="D545" i="1" s="1"/>
  <c r="B546" i="1"/>
  <c r="B547" i="1"/>
  <c r="D547" i="1" s="1"/>
  <c r="B548" i="1"/>
  <c r="D548" i="1" s="1"/>
  <c r="B549" i="1"/>
  <c r="B550" i="1"/>
  <c r="B551" i="1"/>
  <c r="B552" i="1"/>
  <c r="B553" i="1"/>
  <c r="B554" i="1"/>
  <c r="D554" i="1" s="1"/>
  <c r="B555" i="1"/>
  <c r="D555" i="1" s="1"/>
  <c r="B556" i="1"/>
  <c r="D556" i="1" s="1"/>
  <c r="B557" i="1"/>
  <c r="B558" i="1"/>
  <c r="B559" i="1"/>
  <c r="D559" i="1" s="1"/>
  <c r="B560" i="1"/>
  <c r="D560" i="1" s="1"/>
  <c r="B561" i="1"/>
  <c r="D561" i="1" s="1"/>
  <c r="B562" i="1"/>
  <c r="B563" i="1"/>
  <c r="D563" i="1" s="1"/>
  <c r="B564" i="1"/>
  <c r="D564" i="1" s="1"/>
  <c r="B565" i="1"/>
  <c r="B566" i="1"/>
  <c r="B567" i="1"/>
  <c r="B568" i="1"/>
  <c r="B569" i="1"/>
  <c r="B570" i="1"/>
  <c r="D570" i="1" s="1"/>
  <c r="B571" i="1"/>
  <c r="D571" i="1" s="1"/>
  <c r="B572" i="1"/>
  <c r="D572" i="1" s="1"/>
  <c r="B573" i="1"/>
  <c r="B574" i="1"/>
  <c r="B575" i="1"/>
  <c r="B576" i="1"/>
  <c r="B577" i="1"/>
  <c r="B578" i="1"/>
  <c r="B579" i="1"/>
  <c r="B580" i="1"/>
  <c r="B581" i="1"/>
  <c r="B582" i="1"/>
  <c r="B583" i="1"/>
  <c r="B584" i="1"/>
  <c r="B585" i="1"/>
  <c r="B586" i="1"/>
  <c r="D586" i="1" s="1"/>
  <c r="B587" i="1"/>
  <c r="D587" i="1" s="1"/>
  <c r="B588" i="1"/>
  <c r="D588" i="1" s="1"/>
  <c r="B589" i="1"/>
  <c r="B590" i="1"/>
  <c r="D590" i="1" s="1"/>
  <c r="B591" i="1"/>
  <c r="D591" i="1" s="1"/>
  <c r="B592" i="1"/>
  <c r="B593" i="1"/>
  <c r="D593" i="1" s="1"/>
  <c r="B594" i="1"/>
  <c r="B595" i="1"/>
  <c r="B596" i="1"/>
  <c r="B597" i="1"/>
  <c r="B598" i="1"/>
  <c r="B599" i="1"/>
  <c r="B600" i="1"/>
  <c r="B601" i="1"/>
  <c r="B602" i="1"/>
  <c r="D602" i="1" s="1"/>
  <c r="B603" i="1"/>
  <c r="D603" i="1" s="1"/>
  <c r="B604" i="1"/>
  <c r="D604" i="1" s="1"/>
  <c r="B605" i="1"/>
  <c r="B606" i="1"/>
  <c r="D606" i="1" s="1"/>
  <c r="B607" i="1"/>
  <c r="D607" i="1" s="1"/>
  <c r="B608" i="1"/>
  <c r="D608" i="1" s="1"/>
  <c r="B609" i="1"/>
  <c r="D609" i="1" s="1"/>
  <c r="B610" i="1"/>
  <c r="B611" i="1"/>
  <c r="B612" i="1"/>
  <c r="D612" i="1" s="1"/>
  <c r="B613" i="1"/>
  <c r="B614" i="1"/>
  <c r="B615" i="1"/>
  <c r="B616" i="1"/>
  <c r="B617" i="1"/>
  <c r="B618" i="1"/>
  <c r="B619" i="1"/>
  <c r="D619" i="1" s="1"/>
  <c r="B620" i="1"/>
  <c r="D620" i="1" s="1"/>
  <c r="B621" i="1"/>
  <c r="B622" i="1"/>
  <c r="D622" i="1" s="1"/>
  <c r="B623" i="1"/>
  <c r="D623" i="1" s="1"/>
  <c r="B624" i="1"/>
  <c r="D624" i="1" s="1"/>
  <c r="B625" i="1"/>
  <c r="D625" i="1" s="1"/>
  <c r="B626" i="1"/>
  <c r="B627" i="1"/>
  <c r="D627" i="1" s="1"/>
  <c r="B628" i="1"/>
  <c r="D628" i="1" s="1"/>
  <c r="B629" i="1"/>
  <c r="B630" i="1"/>
  <c r="B631" i="1"/>
  <c r="B632" i="1"/>
  <c r="B633" i="1"/>
  <c r="B634" i="1"/>
  <c r="B635" i="1"/>
  <c r="D635" i="1" s="1"/>
  <c r="B636" i="1"/>
  <c r="B637" i="1"/>
  <c r="B638" i="1"/>
  <c r="B639" i="1"/>
  <c r="D639" i="1" s="1"/>
  <c r="B640" i="1"/>
  <c r="D640" i="1" s="1"/>
  <c r="B641" i="1"/>
  <c r="D641" i="1" s="1"/>
  <c r="B642" i="1"/>
  <c r="B643" i="1"/>
  <c r="B644" i="1"/>
  <c r="B645" i="1"/>
  <c r="B646" i="1"/>
  <c r="B647" i="1"/>
  <c r="B648" i="1"/>
  <c r="B649" i="1"/>
  <c r="B650" i="1"/>
  <c r="D650" i="1" s="1"/>
  <c r="B651" i="1"/>
  <c r="D651" i="1" s="1"/>
  <c r="B652" i="1"/>
  <c r="D652" i="1" s="1"/>
  <c r="B653" i="1"/>
  <c r="B654" i="1"/>
  <c r="D654" i="1" s="1"/>
  <c r="B655" i="1"/>
  <c r="D655" i="1" s="1"/>
  <c r="B656" i="1"/>
  <c r="D656" i="1" s="1"/>
  <c r="B657" i="1"/>
  <c r="D657" i="1" s="1"/>
  <c r="B658" i="1"/>
  <c r="B659" i="1"/>
  <c r="B660" i="1"/>
  <c r="B661" i="1"/>
  <c r="B662" i="1"/>
  <c r="B663" i="1"/>
  <c r="B664" i="1"/>
  <c r="B665" i="1"/>
  <c r="B666" i="1"/>
  <c r="D666" i="1" s="1"/>
  <c r="B667" i="1"/>
  <c r="D667" i="1" s="1"/>
  <c r="B668" i="1"/>
  <c r="D668" i="1" s="1"/>
  <c r="B669" i="1"/>
  <c r="B670" i="1"/>
  <c r="D670" i="1" s="1"/>
  <c r="B671" i="1"/>
  <c r="D671" i="1" s="1"/>
  <c r="B672" i="1"/>
  <c r="D672" i="1" s="1"/>
  <c r="B673" i="1"/>
  <c r="D673" i="1" s="1"/>
  <c r="B674" i="1"/>
  <c r="B675" i="1"/>
  <c r="D675" i="1" s="1"/>
  <c r="B676" i="1"/>
  <c r="D676" i="1" s="1"/>
  <c r="B677" i="1"/>
  <c r="B678" i="1"/>
  <c r="B679" i="1"/>
  <c r="B680" i="1"/>
  <c r="B681" i="1"/>
  <c r="B682" i="1"/>
  <c r="B683" i="1"/>
  <c r="D683" i="1" s="1"/>
  <c r="B684" i="1"/>
  <c r="B685" i="1"/>
  <c r="B686" i="1"/>
  <c r="D686" i="1" s="1"/>
  <c r="B687" i="1"/>
  <c r="D687" i="1" s="1"/>
  <c r="B688" i="1"/>
  <c r="D688" i="1" s="1"/>
  <c r="B689" i="1"/>
  <c r="D689" i="1" s="1"/>
  <c r="B690" i="1"/>
  <c r="B691" i="1"/>
  <c r="D691" i="1" s="1"/>
  <c r="B692" i="1"/>
  <c r="D692" i="1" s="1"/>
  <c r="B693" i="1"/>
  <c r="B694" i="1"/>
  <c r="B695" i="1"/>
  <c r="B696" i="1"/>
  <c r="B697" i="1"/>
  <c r="B698" i="1"/>
  <c r="B699" i="1"/>
  <c r="D699" i="1" s="1"/>
  <c r="B700" i="1"/>
  <c r="B701" i="1"/>
  <c r="B702" i="1"/>
  <c r="D702" i="1" s="1"/>
  <c r="B703" i="1"/>
  <c r="B704" i="1"/>
  <c r="D704" i="1" s="1"/>
  <c r="B705" i="1"/>
  <c r="D705" i="1" s="1"/>
  <c r="B706" i="1"/>
  <c r="B707" i="1"/>
  <c r="D707" i="1" s="1"/>
  <c r="B708" i="1"/>
  <c r="D708" i="1" s="1"/>
  <c r="B709" i="1"/>
  <c r="B710" i="1"/>
  <c r="B711" i="1"/>
  <c r="B712" i="1"/>
  <c r="B713" i="1"/>
  <c r="B714" i="1"/>
  <c r="D714" i="1" s="1"/>
  <c r="B715" i="1"/>
  <c r="D715" i="1" s="1"/>
  <c r="B716" i="1"/>
  <c r="D716" i="1" s="1"/>
  <c r="B717" i="1"/>
  <c r="B718" i="1"/>
  <c r="D718" i="1" s="1"/>
  <c r="B719" i="1"/>
  <c r="D719" i="1" s="1"/>
  <c r="B720" i="1"/>
  <c r="D720" i="1" s="1"/>
  <c r="B721" i="1"/>
  <c r="D721" i="1" s="1"/>
  <c r="B722" i="1"/>
  <c r="B723" i="1"/>
  <c r="D723" i="1" s="1"/>
  <c r="B724" i="1"/>
  <c r="D724" i="1" s="1"/>
  <c r="B725" i="1"/>
  <c r="B726" i="1"/>
  <c r="B727" i="1"/>
  <c r="B728" i="1"/>
  <c r="B729" i="1"/>
  <c r="B730" i="1"/>
  <c r="B731" i="1"/>
  <c r="D731" i="1" s="1"/>
  <c r="B732" i="1"/>
  <c r="D732" i="1" s="1"/>
  <c r="B733" i="1"/>
  <c r="B734" i="1"/>
  <c r="D734" i="1" s="1"/>
  <c r="B735" i="1"/>
  <c r="D735" i="1" s="1"/>
  <c r="B736" i="1"/>
  <c r="D736" i="1" s="1"/>
  <c r="B737" i="1"/>
  <c r="D737" i="1" s="1"/>
  <c r="B738" i="1"/>
  <c r="B739" i="1"/>
  <c r="B740" i="1"/>
  <c r="D740" i="1" s="1"/>
  <c r="B741" i="1"/>
  <c r="B742" i="1"/>
  <c r="B743" i="1"/>
  <c r="B744" i="1"/>
  <c r="B745" i="1"/>
  <c r="B746" i="1"/>
  <c r="B747" i="1"/>
  <c r="D747" i="1" s="1"/>
  <c r="B748" i="1"/>
  <c r="D748" i="1" s="1"/>
  <c r="B749" i="1"/>
  <c r="B750" i="1"/>
  <c r="D750" i="1" s="1"/>
  <c r="B751" i="1"/>
  <c r="D751" i="1" s="1"/>
  <c r="B752" i="1"/>
  <c r="D752" i="1" s="1"/>
  <c r="B753" i="1"/>
  <c r="D753" i="1" s="1"/>
  <c r="B754" i="1"/>
  <c r="B755" i="1"/>
  <c r="B756" i="1"/>
  <c r="D756" i="1" s="1"/>
  <c r="B757" i="1"/>
  <c r="B758" i="1"/>
  <c r="B759" i="1"/>
  <c r="B760" i="1"/>
  <c r="D760" i="1" s="1"/>
  <c r="B761" i="1"/>
  <c r="B762" i="1"/>
  <c r="B763" i="1"/>
  <c r="D763" i="1" s="1"/>
  <c r="B764" i="1"/>
  <c r="B765" i="1"/>
  <c r="B766" i="1"/>
  <c r="D766" i="1" s="1"/>
  <c r="B767" i="1"/>
  <c r="D767" i="1" s="1"/>
  <c r="B768" i="1"/>
  <c r="D768" i="1" s="1"/>
  <c r="B769" i="1"/>
  <c r="D769" i="1" s="1"/>
  <c r="B770" i="1"/>
  <c r="B771" i="1"/>
  <c r="D771" i="1" s="1"/>
  <c r="B772" i="1"/>
  <c r="D772" i="1" s="1"/>
  <c r="B773" i="1"/>
  <c r="B774" i="1"/>
  <c r="B775" i="1"/>
  <c r="B776" i="1"/>
  <c r="D776" i="1" s="1"/>
  <c r="B777" i="1"/>
  <c r="B778" i="1"/>
  <c r="D778" i="1" s="1"/>
  <c r="B779" i="1"/>
  <c r="D779" i="1" s="1"/>
  <c r="B780" i="1"/>
  <c r="D780" i="1" s="1"/>
  <c r="B781" i="1"/>
  <c r="B782" i="1"/>
  <c r="B783" i="1"/>
  <c r="B784" i="1"/>
  <c r="B785" i="1"/>
  <c r="B786" i="1"/>
  <c r="B787" i="1"/>
  <c r="B788" i="1"/>
  <c r="B789" i="1"/>
  <c r="B790" i="1"/>
  <c r="B791" i="1"/>
  <c r="B792" i="1"/>
  <c r="D792" i="1" s="1"/>
  <c r="B793" i="1"/>
  <c r="B794" i="1"/>
  <c r="D794" i="1" s="1"/>
  <c r="B795" i="1"/>
  <c r="D795" i="1" s="1"/>
  <c r="B796" i="1"/>
  <c r="B797" i="1"/>
  <c r="B798" i="1"/>
  <c r="D798" i="1" s="1"/>
  <c r="B799" i="1"/>
  <c r="D799" i="1" s="1"/>
  <c r="B800" i="1"/>
  <c r="D800" i="1" s="1"/>
  <c r="B801" i="1"/>
  <c r="B802" i="1"/>
  <c r="B803" i="1"/>
  <c r="B804" i="1"/>
  <c r="B805" i="1"/>
  <c r="B806" i="1"/>
  <c r="B807" i="1"/>
  <c r="B808" i="1"/>
  <c r="B809" i="1"/>
  <c r="B810" i="1"/>
  <c r="D810" i="1" s="1"/>
  <c r="B811" i="1"/>
  <c r="D811" i="1" s="1"/>
  <c r="B812" i="1"/>
  <c r="D812" i="1" s="1"/>
  <c r="B813" i="1"/>
  <c r="B814" i="1"/>
  <c r="D814" i="1" s="1"/>
  <c r="B815" i="1"/>
  <c r="D815" i="1" s="1"/>
  <c r="B816" i="1"/>
  <c r="D816" i="1" s="1"/>
  <c r="B817" i="1"/>
  <c r="D817" i="1" s="1"/>
  <c r="B818" i="1"/>
  <c r="B819" i="1"/>
  <c r="B820" i="1"/>
  <c r="D820" i="1" s="1"/>
  <c r="B821" i="1"/>
  <c r="B822" i="1"/>
  <c r="B823" i="1"/>
  <c r="B824" i="1"/>
  <c r="B825" i="1"/>
  <c r="B826" i="1"/>
  <c r="D826" i="1" s="1"/>
  <c r="B827" i="1"/>
  <c r="D827" i="1" s="1"/>
  <c r="B828" i="1"/>
  <c r="D828" i="1" s="1"/>
  <c r="B829" i="1"/>
  <c r="B830" i="1"/>
  <c r="B831" i="1"/>
  <c r="D831" i="1" s="1"/>
  <c r="B832" i="1"/>
  <c r="D832" i="1" s="1"/>
  <c r="B833" i="1"/>
  <c r="D833" i="1" s="1"/>
  <c r="B834" i="1"/>
  <c r="B835" i="1"/>
  <c r="D835" i="1" s="1"/>
  <c r="B836" i="1"/>
  <c r="D836" i="1" s="1"/>
  <c r="B837" i="1"/>
  <c r="B838" i="1"/>
  <c r="B839" i="1"/>
  <c r="B840" i="1"/>
  <c r="B841" i="1"/>
  <c r="B842" i="1"/>
  <c r="B843" i="1"/>
  <c r="D843" i="1" s="1"/>
  <c r="B844" i="1"/>
  <c r="D844" i="1" s="1"/>
  <c r="B845" i="1"/>
  <c r="B846" i="1"/>
  <c r="D846" i="1" s="1"/>
  <c r="B847" i="1"/>
  <c r="D847" i="1" s="1"/>
  <c r="B848" i="1"/>
  <c r="B849" i="1"/>
  <c r="B850" i="1"/>
  <c r="B851" i="1"/>
  <c r="B852" i="1"/>
  <c r="D852" i="1" s="1"/>
  <c r="B853" i="1"/>
  <c r="B854" i="1"/>
  <c r="B855" i="1"/>
  <c r="B856" i="1"/>
  <c r="B857" i="1"/>
  <c r="B858" i="1"/>
  <c r="B859" i="1"/>
  <c r="D859" i="1" s="1"/>
  <c r="B860" i="1"/>
  <c r="B861" i="1"/>
  <c r="B862" i="1"/>
  <c r="D862" i="1" s="1"/>
  <c r="B863" i="1"/>
  <c r="D863" i="1" s="1"/>
  <c r="B864" i="1"/>
  <c r="D864" i="1" s="1"/>
  <c r="B865" i="1"/>
  <c r="B866" i="1"/>
  <c r="B867" i="1"/>
  <c r="B868" i="1"/>
  <c r="B869" i="1"/>
  <c r="B870" i="1"/>
  <c r="B871" i="1"/>
  <c r="B872" i="1"/>
  <c r="B873" i="1"/>
  <c r="B874" i="1"/>
  <c r="D874" i="1" s="1"/>
  <c r="B875" i="1"/>
  <c r="D875" i="1" s="1"/>
  <c r="B876" i="1"/>
  <c r="D876" i="1" s="1"/>
  <c r="B877" i="1"/>
  <c r="B878" i="1"/>
  <c r="D878" i="1" s="1"/>
  <c r="B879" i="1"/>
  <c r="D879" i="1" s="1"/>
  <c r="B880" i="1"/>
  <c r="D880" i="1" s="1"/>
  <c r="B881" i="1"/>
  <c r="D881" i="1" s="1"/>
  <c r="B882" i="1"/>
  <c r="B883" i="1"/>
  <c r="D883" i="1" s="1"/>
  <c r="B884" i="1"/>
  <c r="D884" i="1" s="1"/>
  <c r="B885" i="1"/>
  <c r="B886" i="1"/>
  <c r="B887" i="1"/>
  <c r="B888" i="1"/>
  <c r="B889" i="1"/>
  <c r="B890" i="1"/>
  <c r="B891" i="1"/>
  <c r="D891" i="1" s="1"/>
  <c r="B892" i="1"/>
  <c r="B893" i="1"/>
  <c r="B894" i="1"/>
  <c r="D894" i="1" s="1"/>
  <c r="B895" i="1"/>
  <c r="D895" i="1" s="1"/>
  <c r="B896" i="1"/>
  <c r="D896" i="1" s="1"/>
  <c r="B897" i="1"/>
  <c r="D897" i="1" s="1"/>
  <c r="B898" i="1"/>
  <c r="B899" i="1"/>
  <c r="D899" i="1" s="1"/>
  <c r="B900" i="1"/>
  <c r="D900" i="1" s="1"/>
  <c r="B901" i="1"/>
  <c r="B902" i="1"/>
  <c r="B903" i="1"/>
  <c r="B904" i="1"/>
  <c r="B905" i="1"/>
  <c r="B906" i="1"/>
  <c r="B907" i="1"/>
  <c r="D907" i="1" s="1"/>
  <c r="B908" i="1"/>
  <c r="D908" i="1" s="1"/>
  <c r="B909" i="1"/>
  <c r="B910" i="1"/>
  <c r="B911" i="1"/>
  <c r="D911" i="1" s="1"/>
  <c r="B912" i="1"/>
  <c r="D912" i="1" s="1"/>
  <c r="B913" i="1"/>
  <c r="D913" i="1" s="1"/>
  <c r="B914" i="1"/>
  <c r="D914" i="1" s="1"/>
  <c r="B915" i="1"/>
  <c r="B916" i="1"/>
  <c r="B917" i="1"/>
  <c r="B918" i="1"/>
  <c r="B919" i="1"/>
  <c r="B920" i="1"/>
  <c r="B921" i="1"/>
  <c r="B922" i="1"/>
  <c r="D922" i="1" s="1"/>
  <c r="B923" i="1"/>
  <c r="D923" i="1" s="1"/>
  <c r="B924" i="1"/>
  <c r="D924" i="1" s="1"/>
  <c r="B925" i="1"/>
  <c r="B926" i="1"/>
  <c r="D926" i="1" s="1"/>
  <c r="B927" i="1"/>
  <c r="D927" i="1" s="1"/>
  <c r="B928" i="1"/>
  <c r="D928" i="1" s="1"/>
  <c r="B929" i="1"/>
  <c r="D929" i="1" s="1"/>
  <c r="B930" i="1"/>
  <c r="D930" i="1" s="1"/>
  <c r="B931" i="1"/>
  <c r="D931" i="1" s="1"/>
  <c r="B932" i="1"/>
  <c r="D932" i="1" s="1"/>
  <c r="B933" i="1"/>
  <c r="B934" i="1"/>
  <c r="B935" i="1"/>
  <c r="B936" i="1"/>
  <c r="B937" i="1"/>
  <c r="B938" i="1"/>
  <c r="D938" i="1" s="1"/>
  <c r="B939" i="1"/>
  <c r="D939" i="1" s="1"/>
  <c r="B940" i="1"/>
  <c r="D940" i="1" s="1"/>
  <c r="B941" i="1"/>
  <c r="B942" i="1"/>
  <c r="D942" i="1" s="1"/>
  <c r="B943" i="1"/>
  <c r="D943" i="1" s="1"/>
  <c r="B944" i="1"/>
  <c r="D944" i="1" s="1"/>
  <c r="B945" i="1"/>
  <c r="D945" i="1" s="1"/>
  <c r="B946" i="1"/>
  <c r="D946" i="1" s="1"/>
  <c r="B947" i="1"/>
  <c r="D947" i="1" s="1"/>
  <c r="B948" i="1"/>
  <c r="D948" i="1" s="1"/>
  <c r="B949" i="1"/>
  <c r="B950" i="1"/>
  <c r="B951" i="1"/>
  <c r="B952" i="1"/>
  <c r="B953" i="1"/>
  <c r="B954" i="1"/>
  <c r="B955" i="1"/>
  <c r="D955" i="1" s="1"/>
  <c r="B956" i="1"/>
  <c r="B957" i="1"/>
  <c r="B958" i="1"/>
  <c r="D958" i="1" s="1"/>
  <c r="B959" i="1"/>
  <c r="D959" i="1" s="1"/>
  <c r="B960" i="1"/>
  <c r="D960" i="1" s="1"/>
  <c r="B961" i="1"/>
  <c r="B962" i="1"/>
  <c r="B963" i="1"/>
  <c r="D963" i="1" s="1"/>
  <c r="B964" i="1"/>
  <c r="D964" i="1" s="1"/>
  <c r="B965" i="1"/>
  <c r="B966" i="1"/>
  <c r="B967" i="1"/>
  <c r="B968" i="1"/>
  <c r="B969" i="1"/>
  <c r="B970" i="1"/>
  <c r="D970" i="1" s="1"/>
  <c r="B971" i="1"/>
  <c r="D971" i="1" s="1"/>
  <c r="B972" i="1"/>
  <c r="D972" i="1" s="1"/>
  <c r="B973" i="1"/>
  <c r="B974" i="1"/>
  <c r="D974" i="1" s="1"/>
  <c r="B975" i="1"/>
  <c r="D975" i="1" s="1"/>
  <c r="B976" i="1"/>
  <c r="D976" i="1" s="1"/>
  <c r="B977" i="1"/>
  <c r="D977" i="1" s="1"/>
  <c r="B978" i="1"/>
  <c r="B979" i="1"/>
  <c r="D979" i="1" s="1"/>
  <c r="B980" i="1"/>
  <c r="D980" i="1" s="1"/>
  <c r="B981" i="1"/>
  <c r="B982" i="1"/>
  <c r="B983" i="1"/>
  <c r="B984" i="1"/>
  <c r="B985" i="1"/>
  <c r="B986" i="1"/>
  <c r="B987" i="1"/>
  <c r="D987" i="1" s="1"/>
  <c r="B988" i="1"/>
  <c r="D988" i="1" s="1"/>
  <c r="B989" i="1"/>
  <c r="B990" i="1"/>
  <c r="D990" i="1" s="1"/>
  <c r="B991" i="1"/>
  <c r="D991" i="1" s="1"/>
  <c r="B992" i="1"/>
  <c r="D992" i="1" s="1"/>
  <c r="B993" i="1"/>
  <c r="D993" i="1" s="1"/>
  <c r="B994" i="1"/>
  <c r="B995" i="1"/>
  <c r="D995" i="1" s="1"/>
  <c r="B996" i="1"/>
  <c r="D996" i="1" s="1"/>
  <c r="B997" i="1"/>
  <c r="B998" i="1"/>
  <c r="B999" i="1"/>
  <c r="B1000" i="1"/>
  <c r="B1001" i="1"/>
  <c r="B1002" i="1"/>
  <c r="B1003" i="1"/>
  <c r="D1003" i="1" s="1"/>
  <c r="B1004" i="1"/>
  <c r="B1005" i="1"/>
  <c r="B1006" i="1"/>
  <c r="B1007" i="1"/>
  <c r="D1007" i="1" s="1"/>
  <c r="B1008" i="1"/>
  <c r="D1008" i="1" s="1"/>
  <c r="B1009" i="1"/>
  <c r="D1009" i="1" s="1"/>
  <c r="B1010" i="1"/>
  <c r="B1011" i="1"/>
  <c r="D1011" i="1" s="1"/>
  <c r="B1012" i="1"/>
  <c r="D1012" i="1" s="1"/>
  <c r="B1013" i="1"/>
  <c r="B1014" i="1"/>
  <c r="B1015" i="1"/>
  <c r="B1016" i="1"/>
  <c r="D1016" i="1" s="1"/>
  <c r="B1017" i="1"/>
  <c r="B1018" i="1"/>
  <c r="B1019" i="1"/>
  <c r="D1019" i="1" s="1"/>
  <c r="B1020" i="1"/>
  <c r="B1021" i="1"/>
  <c r="B1022" i="1"/>
  <c r="B1023" i="1"/>
  <c r="B1024" i="1"/>
  <c r="B1025" i="1"/>
  <c r="B1026" i="1"/>
  <c r="B1027" i="1"/>
  <c r="B1028" i="1"/>
  <c r="B1029" i="1"/>
  <c r="B1030" i="1"/>
  <c r="B1031" i="1"/>
  <c r="B1032" i="1"/>
  <c r="B1033" i="1"/>
  <c r="B1034" i="1"/>
  <c r="B1035" i="1"/>
  <c r="D1035" i="1" s="1"/>
  <c r="B1036" i="1"/>
  <c r="B1037" i="1"/>
  <c r="B1038" i="1"/>
  <c r="D1038" i="1" s="1"/>
  <c r="B1039" i="1"/>
  <c r="B1040" i="1"/>
  <c r="B1041" i="1"/>
  <c r="B1042" i="1"/>
  <c r="B1043" i="1"/>
  <c r="D1043" i="1" s="1"/>
  <c r="B1044" i="1"/>
  <c r="D1044" i="1" s="1"/>
  <c r="B1045" i="1"/>
  <c r="B1046" i="1"/>
  <c r="B1047" i="1"/>
  <c r="B1048" i="1"/>
  <c r="D1048" i="1" s="1"/>
  <c r="B1049" i="1"/>
  <c r="B1050" i="1"/>
  <c r="D1050" i="1" s="1"/>
  <c r="B1051" i="1"/>
  <c r="D1051" i="1" s="1"/>
  <c r="B1052" i="1"/>
  <c r="D1052" i="1" s="1"/>
  <c r="B1053" i="1"/>
  <c r="B1054" i="1"/>
  <c r="D1054" i="1" s="1"/>
  <c r="B1055" i="1"/>
  <c r="D1055" i="1" s="1"/>
  <c r="B1056" i="1"/>
  <c r="D1056" i="1" s="1"/>
  <c r="B1057" i="1"/>
  <c r="B1058" i="1"/>
  <c r="B1059" i="1"/>
  <c r="B1060" i="1"/>
  <c r="B1061" i="1"/>
  <c r="B1062" i="1"/>
  <c r="B1063" i="1"/>
  <c r="B1064" i="1"/>
  <c r="B1065" i="1"/>
  <c r="B1066" i="1"/>
  <c r="D1066" i="1" s="1"/>
  <c r="B1067" i="1"/>
  <c r="D1067" i="1" s="1"/>
  <c r="B1068" i="1"/>
  <c r="D1068" i="1" s="1"/>
  <c r="B1069" i="1"/>
  <c r="B1070" i="1"/>
  <c r="D1070" i="1" s="1"/>
  <c r="B1071" i="1"/>
  <c r="D1071" i="1" s="1"/>
  <c r="B1072" i="1"/>
  <c r="D1072" i="1" s="1"/>
  <c r="B1073" i="1"/>
  <c r="D1073" i="1" s="1"/>
  <c r="B1074" i="1"/>
  <c r="B1075" i="1"/>
  <c r="B1076" i="1"/>
  <c r="D1076" i="1" s="1"/>
  <c r="B1077" i="1"/>
  <c r="B1078" i="1"/>
  <c r="B1079" i="1"/>
  <c r="B1080" i="1"/>
  <c r="B1081" i="1"/>
  <c r="B1082" i="1"/>
  <c r="D1082" i="1" s="1"/>
  <c r="B1083" i="1"/>
  <c r="D1083" i="1" s="1"/>
  <c r="B1084" i="1"/>
  <c r="B1085" i="1"/>
  <c r="B1086" i="1"/>
  <c r="D1086" i="1" s="1"/>
  <c r="B1087" i="1"/>
  <c r="D1087" i="1" s="1"/>
  <c r="B1088" i="1"/>
  <c r="D1088" i="1" s="1"/>
  <c r="B1089" i="1"/>
  <c r="D1089" i="1" s="1"/>
  <c r="B1090" i="1"/>
  <c r="B1091" i="1"/>
  <c r="D1091" i="1" s="1"/>
  <c r="B1092" i="1"/>
  <c r="D1092" i="1" s="1"/>
  <c r="B1093" i="1"/>
  <c r="B1094" i="1"/>
  <c r="B1095" i="1"/>
  <c r="B1096" i="1"/>
  <c r="B1097" i="1"/>
  <c r="B1098" i="1"/>
  <c r="B1099" i="1"/>
  <c r="D1099" i="1" s="1"/>
  <c r="B1100" i="1"/>
  <c r="D1100" i="1" s="1"/>
  <c r="B1101" i="1"/>
  <c r="B1102" i="1"/>
  <c r="D1102" i="1" s="1"/>
  <c r="B1103" i="1"/>
  <c r="B1104" i="1"/>
  <c r="B1105" i="1"/>
  <c r="D1105" i="1" s="1"/>
  <c r="B1106" i="1"/>
  <c r="B1107" i="1"/>
  <c r="D1107" i="1" s="1"/>
  <c r="B1108" i="1"/>
  <c r="B1109" i="1"/>
  <c r="B1110" i="1"/>
  <c r="B1111" i="1"/>
  <c r="B1112" i="1"/>
  <c r="B1113" i="1"/>
  <c r="B1114" i="1"/>
  <c r="D1114" i="1" s="1"/>
  <c r="B1115" i="1"/>
  <c r="D1115" i="1" s="1"/>
  <c r="B1116" i="1"/>
  <c r="D1116" i="1" s="1"/>
  <c r="B1117" i="1"/>
  <c r="B1118" i="1"/>
  <c r="D1118" i="1" s="1"/>
  <c r="B1119" i="1"/>
  <c r="D1119" i="1" s="1"/>
  <c r="B1120" i="1"/>
  <c r="D1120" i="1" s="1"/>
  <c r="B1121" i="1"/>
  <c r="B1122" i="1"/>
  <c r="B1123" i="1"/>
  <c r="D1123" i="1" s="1"/>
  <c r="B1124" i="1"/>
  <c r="D1124" i="1" s="1"/>
  <c r="B1125" i="1"/>
  <c r="B1126" i="1"/>
  <c r="B1127" i="1"/>
  <c r="B1128" i="1"/>
  <c r="B1129" i="1"/>
  <c r="B1130" i="1"/>
  <c r="B1131" i="1"/>
  <c r="D1131" i="1" s="1"/>
  <c r="B1132" i="1"/>
  <c r="B1133" i="1"/>
  <c r="B1134" i="1"/>
  <c r="D1134" i="1" s="1"/>
  <c r="B1135" i="1"/>
  <c r="D1135" i="1" s="1"/>
  <c r="B1136" i="1"/>
  <c r="D1136" i="1" s="1"/>
  <c r="B1137" i="1"/>
  <c r="D1137" i="1" s="1"/>
  <c r="B1138" i="1"/>
  <c r="B1139" i="1"/>
  <c r="B1140" i="1"/>
  <c r="D1140" i="1" s="1"/>
  <c r="B1141" i="1"/>
  <c r="B1142" i="1"/>
  <c r="B1143" i="1"/>
  <c r="B1144" i="1"/>
  <c r="B1145" i="1"/>
  <c r="B1146" i="1"/>
  <c r="B1147" i="1"/>
  <c r="D1147" i="1" s="1"/>
  <c r="B1148" i="1"/>
  <c r="B1149" i="1"/>
  <c r="B1150" i="1"/>
  <c r="D1150" i="1" s="1"/>
  <c r="B1151" i="1"/>
  <c r="D1151" i="1" s="1"/>
  <c r="B1152" i="1"/>
  <c r="D1152" i="1" s="1"/>
  <c r="B1153" i="1"/>
  <c r="D1153" i="1" s="1"/>
  <c r="B1154" i="1"/>
  <c r="B1155" i="1"/>
  <c r="D1155" i="1" s="1"/>
  <c r="B1156" i="1"/>
  <c r="D1156" i="1" s="1"/>
  <c r="B1157" i="1"/>
  <c r="B1158" i="1"/>
  <c r="B1159" i="1"/>
  <c r="B1160" i="1"/>
  <c r="B1161" i="1"/>
  <c r="B1162" i="1"/>
  <c r="D1162" i="1" s="1"/>
  <c r="B1163" i="1"/>
  <c r="D1163" i="1" s="1"/>
  <c r="B1164" i="1"/>
  <c r="D1164" i="1" s="1"/>
  <c r="B1165" i="1"/>
  <c r="B1166" i="1"/>
  <c r="B1167" i="1"/>
  <c r="B1168" i="1"/>
  <c r="D1168" i="1" s="1"/>
  <c r="B1169" i="1"/>
  <c r="B1170" i="1"/>
  <c r="D1170" i="1" s="1"/>
  <c r="B1171" i="1"/>
  <c r="B1172" i="1"/>
  <c r="D1172" i="1" s="1"/>
  <c r="B1173" i="1"/>
  <c r="B1174" i="1"/>
  <c r="B1175" i="1"/>
  <c r="B1176" i="1"/>
  <c r="B1177" i="1"/>
  <c r="B1178" i="1"/>
  <c r="B1179" i="1"/>
  <c r="D1179" i="1" s="1"/>
  <c r="B1180" i="1"/>
  <c r="B1181" i="1"/>
  <c r="B1182" i="1"/>
  <c r="D1182" i="1" s="1"/>
  <c r="B1183" i="1"/>
  <c r="D1183" i="1" s="1"/>
  <c r="B1184" i="1"/>
  <c r="D1184" i="1" s="1"/>
  <c r="B1185" i="1"/>
  <c r="D1185" i="1" s="1"/>
  <c r="B1186" i="1"/>
  <c r="B1187" i="1"/>
  <c r="D1187" i="1" s="1"/>
  <c r="B1188" i="1"/>
  <c r="D1188" i="1" s="1"/>
  <c r="B1189" i="1"/>
  <c r="B1190" i="1"/>
  <c r="B1191" i="1"/>
  <c r="B1192" i="1"/>
  <c r="B1193" i="1"/>
  <c r="B1194" i="1"/>
  <c r="B1195" i="1"/>
  <c r="D1195" i="1" s="1"/>
  <c r="B1196" i="1"/>
  <c r="B1197" i="1"/>
  <c r="B1198" i="1"/>
  <c r="D1198" i="1" s="1"/>
  <c r="B1199" i="1"/>
  <c r="D1199" i="1" s="1"/>
  <c r="B1200" i="1"/>
  <c r="D1200" i="1" s="1"/>
  <c r="B1201" i="1"/>
  <c r="D1201" i="1" s="1"/>
  <c r="B1202" i="1"/>
  <c r="D1202" i="1" s="1"/>
  <c r="B1203" i="1"/>
  <c r="D1203" i="1" s="1"/>
  <c r="B1204" i="1"/>
  <c r="D1204" i="1" s="1"/>
  <c r="B1205" i="1"/>
  <c r="B1206" i="1"/>
  <c r="B1207" i="1"/>
  <c r="B1208" i="1"/>
  <c r="B1209" i="1"/>
  <c r="B1210" i="1"/>
  <c r="B1211" i="1"/>
  <c r="D1211" i="1" s="1"/>
  <c r="B1212" i="1"/>
  <c r="B1213" i="1"/>
  <c r="B1214" i="1"/>
  <c r="B1215" i="1"/>
  <c r="B1216" i="1"/>
  <c r="D1216" i="1" s="1"/>
  <c r="B1217" i="1"/>
  <c r="D1217" i="1" s="1"/>
  <c r="B1218" i="1"/>
  <c r="B1219" i="1"/>
  <c r="D1219" i="1" s="1"/>
  <c r="B1220" i="1"/>
  <c r="D1220" i="1" s="1"/>
  <c r="B1221" i="1"/>
  <c r="B1222" i="1"/>
  <c r="B1223" i="1"/>
  <c r="B1224" i="1"/>
  <c r="B1225" i="1"/>
  <c r="B1226" i="1"/>
  <c r="B1227" i="1"/>
  <c r="D1227" i="1" s="1"/>
  <c r="B1228" i="1"/>
  <c r="B1229" i="1"/>
  <c r="B1230" i="1"/>
  <c r="D1230" i="1" s="1"/>
  <c r="B1231" i="1"/>
  <c r="B1232" i="1"/>
  <c r="B1233" i="1"/>
  <c r="B1234" i="1"/>
  <c r="B1235" i="1"/>
  <c r="D1235" i="1" s="1"/>
  <c r="B1236" i="1"/>
  <c r="D1236" i="1" s="1"/>
  <c r="B1237" i="1"/>
  <c r="B1238" i="1"/>
  <c r="B1239" i="1"/>
  <c r="B1240" i="1"/>
  <c r="B1241" i="1"/>
  <c r="B1242" i="1"/>
  <c r="B1243" i="1"/>
  <c r="D1243" i="1" s="1"/>
  <c r="B1244" i="1"/>
  <c r="B1245" i="1"/>
  <c r="B1246" i="1"/>
  <c r="D1246" i="1" s="1"/>
  <c r="B1247" i="1"/>
  <c r="B1248" i="1"/>
  <c r="D1248" i="1" s="1"/>
  <c r="B1249" i="1"/>
  <c r="B1250" i="1"/>
  <c r="B1251" i="1"/>
  <c r="B1252" i="1"/>
  <c r="B1253" i="1"/>
  <c r="B1254" i="1"/>
  <c r="B1255" i="1"/>
  <c r="B1256" i="1"/>
  <c r="B1257" i="1"/>
  <c r="B1258" i="1"/>
  <c r="D1258" i="1" s="1"/>
  <c r="B1259" i="1"/>
  <c r="D1259" i="1" s="1"/>
  <c r="B1260" i="1"/>
  <c r="D1260" i="1" s="1"/>
  <c r="B1261" i="1"/>
  <c r="B1262" i="1"/>
  <c r="D1262" i="1" s="1"/>
  <c r="B1263" i="1"/>
  <c r="D1263" i="1" s="1"/>
  <c r="B1264" i="1"/>
  <c r="B1265" i="1"/>
  <c r="D1265" i="1" s="1"/>
  <c r="B1266" i="1"/>
  <c r="B1267" i="1"/>
  <c r="B1268" i="1"/>
  <c r="B1269" i="1"/>
  <c r="B1270" i="1"/>
  <c r="B1271" i="1"/>
  <c r="B1272" i="1"/>
  <c r="D1272" i="1" s="1"/>
  <c r="B1273" i="1"/>
  <c r="B1274" i="1"/>
  <c r="D1274" i="1" s="1"/>
  <c r="B1275" i="1"/>
  <c r="D1275" i="1" s="1"/>
  <c r="B1276" i="1"/>
  <c r="D1276" i="1" s="1"/>
  <c r="B1277" i="1"/>
  <c r="B1278" i="1"/>
  <c r="D1278" i="1" s="1"/>
  <c r="B1279" i="1"/>
  <c r="D1279" i="1" s="1"/>
  <c r="B1280" i="1"/>
  <c r="D1280" i="1" s="1"/>
  <c r="B1281" i="1"/>
  <c r="D1281" i="1" s="1"/>
  <c r="B1282" i="1"/>
  <c r="B1283" i="1"/>
  <c r="B1284" i="1"/>
  <c r="B1285" i="1"/>
  <c r="B1286" i="1"/>
  <c r="B1287" i="1"/>
  <c r="B1288" i="1"/>
  <c r="B1289" i="1"/>
  <c r="B1290" i="1"/>
  <c r="D1290" i="1" s="1"/>
  <c r="B1291" i="1"/>
  <c r="D1291" i="1" s="1"/>
  <c r="B1292" i="1"/>
  <c r="D1292" i="1" s="1"/>
  <c r="B1293" i="1"/>
  <c r="B1294" i="1"/>
  <c r="D1294" i="1" s="1"/>
  <c r="B1295" i="1"/>
  <c r="D1295" i="1" s="1"/>
  <c r="B1296" i="1"/>
  <c r="D1296" i="1" s="1"/>
  <c r="B1297" i="1"/>
  <c r="D1297" i="1" s="1"/>
  <c r="B1298" i="1"/>
  <c r="B1299" i="1"/>
  <c r="D1299" i="1" s="1"/>
  <c r="B1300" i="1"/>
  <c r="D1300" i="1" s="1"/>
  <c r="B1301" i="1"/>
  <c r="B1302" i="1"/>
  <c r="B1303" i="1"/>
  <c r="B1304" i="1"/>
  <c r="D1304" i="1" s="1"/>
  <c r="B1305" i="1"/>
  <c r="B1306" i="1"/>
  <c r="D1306" i="1" s="1"/>
  <c r="B1307" i="1"/>
  <c r="D1307" i="1" s="1"/>
  <c r="B1308" i="1"/>
  <c r="B1309" i="1"/>
  <c r="B1310" i="1"/>
  <c r="D1310" i="1" s="1"/>
  <c r="B1311" i="1"/>
  <c r="D1311" i="1" s="1"/>
  <c r="B1312" i="1"/>
  <c r="D1312" i="1" s="1"/>
  <c r="B1313" i="1"/>
  <c r="B1314" i="1"/>
  <c r="B1315" i="1"/>
  <c r="D1315" i="1" s="1"/>
  <c r="B1316" i="1"/>
  <c r="D1316" i="1" s="1"/>
  <c r="B1317" i="1"/>
  <c r="B1318" i="1"/>
  <c r="B1319" i="1"/>
  <c r="B1320" i="1"/>
  <c r="B1321" i="1"/>
  <c r="B1322" i="1"/>
  <c r="B1323" i="1"/>
  <c r="D1323" i="1" s="1"/>
  <c r="B1324" i="1"/>
  <c r="D1324" i="1" s="1"/>
  <c r="B1325" i="1"/>
  <c r="B1326" i="1"/>
  <c r="D1326" i="1" s="1"/>
  <c r="B1327" i="1"/>
  <c r="B1328" i="1"/>
  <c r="D1328" i="1" s="1"/>
  <c r="B1329" i="1"/>
  <c r="D1329" i="1" s="1"/>
  <c r="B1330" i="1"/>
  <c r="D1330" i="1" s="1"/>
  <c r="B1331" i="1"/>
  <c r="B1332" i="1"/>
  <c r="B1333" i="1"/>
  <c r="B1334" i="1"/>
  <c r="B1335" i="1"/>
  <c r="B1336" i="1"/>
  <c r="B1337" i="1"/>
  <c r="B1338" i="1"/>
  <c r="D1338" i="1" s="1"/>
  <c r="B1339" i="1"/>
  <c r="D1339" i="1" s="1"/>
  <c r="B1340" i="1"/>
  <c r="B1341" i="1"/>
  <c r="B1342" i="1"/>
  <c r="D1342" i="1" s="1"/>
  <c r="B1343" i="1"/>
  <c r="D1343" i="1" s="1"/>
  <c r="B1344" i="1"/>
  <c r="D1344" i="1" s="1"/>
  <c r="B1345" i="1"/>
  <c r="D1345" i="1" s="1"/>
  <c r="B1346" i="1"/>
  <c r="D1346" i="1" s="1"/>
  <c r="B1347" i="1"/>
  <c r="D1347" i="1" s="1"/>
  <c r="B1348" i="1"/>
  <c r="D1348" i="1" s="1"/>
  <c r="B1349" i="1"/>
  <c r="B1350" i="1"/>
  <c r="B1351" i="1"/>
  <c r="B1352" i="1"/>
  <c r="B1353" i="1"/>
  <c r="B1354" i="1"/>
  <c r="B1355" i="1"/>
  <c r="D1355" i="1" s="1"/>
  <c r="B1356" i="1"/>
  <c r="D1356" i="1" s="1"/>
  <c r="B1357" i="1"/>
  <c r="B1358" i="1"/>
  <c r="D1358" i="1" s="1"/>
  <c r="B1359" i="1"/>
  <c r="B1360" i="1"/>
  <c r="D1360" i="1" s="1"/>
  <c r="B1361" i="1"/>
  <c r="D1361" i="1" s="1"/>
  <c r="B1362" i="1"/>
  <c r="B1363" i="1"/>
  <c r="D1363" i="1" s="1"/>
  <c r="B1364" i="1"/>
  <c r="D1364" i="1" s="1"/>
  <c r="B1365" i="1"/>
  <c r="B1366" i="1"/>
  <c r="B1367" i="1"/>
  <c r="B1368" i="1"/>
  <c r="B1369" i="1"/>
  <c r="B1370" i="1"/>
  <c r="B1371" i="1"/>
  <c r="D1371" i="1" s="1"/>
  <c r="B1372" i="1"/>
  <c r="D1372" i="1" s="1"/>
  <c r="B1373" i="1"/>
  <c r="B1374" i="1"/>
  <c r="D1374" i="1" s="1"/>
  <c r="B1375" i="1"/>
  <c r="B1376" i="1"/>
  <c r="B1377" i="1"/>
  <c r="B1378" i="1"/>
  <c r="B1379" i="1"/>
  <c r="B1380" i="1"/>
  <c r="B1381" i="1"/>
  <c r="B1382" i="1"/>
  <c r="B1383" i="1"/>
  <c r="B1384" i="1"/>
  <c r="B1385" i="1"/>
  <c r="B1386" i="1"/>
  <c r="B1387" i="1"/>
  <c r="B1388" i="1"/>
  <c r="D1388" i="1" s="1"/>
  <c r="B1389" i="1"/>
  <c r="B1390" i="1"/>
  <c r="D1390" i="1" s="1"/>
  <c r="B1391" i="1"/>
  <c r="D1391" i="1" s="1"/>
  <c r="B1392" i="1"/>
  <c r="B1393" i="1"/>
  <c r="B1394" i="1"/>
  <c r="B1395" i="1"/>
  <c r="B1396" i="1"/>
  <c r="D1396" i="1" s="1"/>
  <c r="B1397" i="1"/>
  <c r="B1398" i="1"/>
  <c r="B1399" i="1"/>
  <c r="B1400" i="1"/>
  <c r="B1401" i="1"/>
  <c r="B1402" i="1"/>
  <c r="D1402" i="1" s="1"/>
  <c r="B1403" i="1"/>
  <c r="D1403" i="1" s="1"/>
  <c r="B1404" i="1"/>
  <c r="D1404" i="1" s="1"/>
  <c r="B1405" i="1"/>
  <c r="B1406" i="1"/>
  <c r="D1406" i="1" s="1"/>
  <c r="B1407" i="1"/>
  <c r="D1407" i="1" s="1"/>
  <c r="B1408" i="1"/>
  <c r="D1408" i="1" s="1"/>
  <c r="B1409" i="1"/>
  <c r="D1409" i="1" s="1"/>
  <c r="B1410" i="1"/>
  <c r="B1411" i="1"/>
  <c r="B1412" i="1"/>
  <c r="B1413" i="1"/>
  <c r="B1414" i="1"/>
  <c r="B1415" i="1"/>
  <c r="B1416" i="1"/>
  <c r="B1417" i="1"/>
  <c r="B1418" i="1"/>
  <c r="B1419" i="1"/>
  <c r="D1419" i="1" s="1"/>
  <c r="B1420" i="1"/>
  <c r="D1420" i="1" s="1"/>
  <c r="B1421" i="1"/>
  <c r="B1422" i="1"/>
  <c r="D1422" i="1" s="1"/>
  <c r="B1423" i="1"/>
  <c r="D1423" i="1" s="1"/>
  <c r="B1424" i="1"/>
  <c r="D1424" i="1" s="1"/>
  <c r="B1425" i="1"/>
  <c r="D1425" i="1" s="1"/>
  <c r="B1426" i="1"/>
  <c r="B1427" i="1"/>
  <c r="B1428" i="1"/>
  <c r="D1428" i="1" s="1"/>
  <c r="B1429" i="1"/>
  <c r="B1430" i="1"/>
  <c r="B1431" i="1"/>
  <c r="B1432" i="1"/>
  <c r="B1433" i="1"/>
  <c r="B1434" i="1"/>
  <c r="B1435" i="1"/>
  <c r="B1436" i="1"/>
  <c r="D1436" i="1" s="1"/>
  <c r="B1437" i="1"/>
  <c r="B1438" i="1"/>
  <c r="D1438" i="1" s="1"/>
  <c r="B1439" i="1"/>
  <c r="D1439" i="1" s="1"/>
  <c r="B1440" i="1"/>
  <c r="D1440" i="1" s="1"/>
  <c r="B1441" i="1"/>
  <c r="D1441" i="1" s="1"/>
  <c r="B1442" i="1"/>
  <c r="B1443" i="1"/>
  <c r="B1444" i="1"/>
  <c r="D1444" i="1" s="1"/>
  <c r="B1445" i="1"/>
  <c r="B1446" i="1"/>
  <c r="B1447" i="1"/>
  <c r="B1448" i="1"/>
  <c r="B1449" i="1"/>
  <c r="B1450" i="1"/>
  <c r="B1451" i="1"/>
  <c r="B1452" i="1"/>
  <c r="D1452" i="1" s="1"/>
  <c r="B1453" i="1"/>
  <c r="B1454" i="1"/>
  <c r="D1454" i="1" s="1"/>
  <c r="B1455" i="1"/>
  <c r="B1456" i="1"/>
  <c r="B1457" i="1"/>
  <c r="D1457" i="1" s="1"/>
  <c r="B1458" i="1"/>
  <c r="D1458" i="1" s="1"/>
  <c r="B1459" i="1"/>
  <c r="D1459" i="1" s="1"/>
  <c r="B1460" i="1"/>
  <c r="B1461" i="1"/>
  <c r="B1462" i="1"/>
  <c r="B1463" i="1"/>
  <c r="B1464" i="1"/>
  <c r="B1465" i="1"/>
  <c r="B1466" i="1"/>
  <c r="D1466" i="1" s="1"/>
  <c r="B1467" i="1"/>
  <c r="D1467" i="1" s="1"/>
  <c r="B1468" i="1"/>
  <c r="D1468" i="1" s="1"/>
  <c r="B1469" i="1"/>
  <c r="B1470" i="1"/>
  <c r="D1470" i="1" s="1"/>
  <c r="B1471" i="1"/>
  <c r="D1471" i="1" s="1"/>
  <c r="B1472" i="1"/>
  <c r="D1472" i="1" s="1"/>
  <c r="B1473" i="1"/>
  <c r="D1473" i="1" s="1"/>
  <c r="B1474" i="1"/>
  <c r="B1475" i="1"/>
  <c r="D1475" i="1" s="1"/>
  <c r="B1476" i="1"/>
  <c r="D1476" i="1" s="1"/>
  <c r="B1477" i="1"/>
  <c r="B1478" i="1"/>
  <c r="B1479" i="1"/>
  <c r="B1480" i="1"/>
  <c r="B1481" i="1"/>
  <c r="B1482" i="1"/>
  <c r="B1483" i="1"/>
  <c r="B1484" i="1"/>
  <c r="D1484" i="1" s="1"/>
  <c r="B1485" i="1"/>
  <c r="B1486" i="1"/>
  <c r="D1486" i="1" s="1"/>
  <c r="B1487" i="1"/>
  <c r="D1487" i="1" s="1"/>
  <c r="B1488" i="1"/>
  <c r="D1488" i="1" s="1"/>
  <c r="B1489" i="1"/>
  <c r="D1489" i="1" s="1"/>
  <c r="B1490" i="1"/>
  <c r="B1491" i="1"/>
  <c r="B1492" i="1"/>
  <c r="D1492" i="1" s="1"/>
  <c r="B1493" i="1"/>
  <c r="B1494" i="1"/>
  <c r="B1495" i="1"/>
  <c r="B1496" i="1"/>
  <c r="B1497" i="1"/>
  <c r="B1498" i="1"/>
  <c r="B1499" i="1"/>
  <c r="B1500" i="1"/>
  <c r="D1500" i="1" s="1"/>
  <c r="B1501" i="1"/>
  <c r="B1502" i="1"/>
  <c r="D1502" i="1" s="1"/>
  <c r="B1503" i="1"/>
  <c r="D1503" i="1" s="1"/>
  <c r="B1504" i="1"/>
  <c r="D1504" i="1" s="1"/>
  <c r="B1505" i="1"/>
  <c r="D1505" i="1" s="1"/>
  <c r="B1506" i="1"/>
  <c r="B1507" i="1"/>
  <c r="D1507" i="1" s="1"/>
  <c r="B1508" i="1"/>
  <c r="D1508" i="1" s="1"/>
  <c r="B1509" i="1"/>
  <c r="B1510" i="1"/>
  <c r="B1511" i="1"/>
  <c r="B1512" i="1"/>
  <c r="B1513" i="1"/>
  <c r="B1514" i="1"/>
  <c r="B1515" i="1"/>
  <c r="B1516" i="1"/>
  <c r="D1516" i="1" s="1"/>
  <c r="B1517" i="1"/>
  <c r="B1518" i="1"/>
  <c r="D1518" i="1" s="1"/>
  <c r="B1519" i="1"/>
  <c r="B1520" i="1"/>
  <c r="D1520" i="1" s="1"/>
  <c r="B1521" i="1"/>
  <c r="D1521" i="1" s="1"/>
  <c r="B1522" i="1"/>
  <c r="B1523" i="1"/>
  <c r="D1523" i="1" s="1"/>
  <c r="B1524" i="1"/>
  <c r="D1524" i="1" s="1"/>
  <c r="B1525" i="1"/>
  <c r="B1526" i="1"/>
  <c r="B1527" i="1"/>
  <c r="B1528" i="1"/>
  <c r="B1529" i="1"/>
  <c r="B1530" i="1"/>
  <c r="D1530" i="1" s="1"/>
  <c r="B1531" i="1"/>
  <c r="D1531" i="1" s="1"/>
  <c r="B1532" i="1"/>
  <c r="D1532" i="1" s="1"/>
  <c r="B1533" i="1"/>
  <c r="B1534" i="1"/>
  <c r="D1534" i="1" s="1"/>
  <c r="B1535" i="1"/>
  <c r="D1535" i="1" s="1"/>
  <c r="B1536" i="1"/>
  <c r="B1537" i="1"/>
  <c r="B1538" i="1"/>
  <c r="B1539" i="1"/>
  <c r="B1540" i="1"/>
  <c r="D1540" i="1" s="1"/>
  <c r="B1541" i="1"/>
  <c r="B1542" i="1"/>
  <c r="B1543" i="1"/>
  <c r="B1544" i="1"/>
  <c r="B1545" i="1"/>
  <c r="B1546" i="1"/>
  <c r="B1547" i="1"/>
  <c r="D1547" i="1" s="1"/>
  <c r="B1548" i="1"/>
  <c r="D1548" i="1" s="1"/>
  <c r="B1549" i="1"/>
  <c r="B1550" i="1"/>
  <c r="D1550" i="1" s="1"/>
  <c r="B1551" i="1"/>
  <c r="D1551" i="1" s="1"/>
  <c r="B1552" i="1"/>
  <c r="D1552" i="1" s="1"/>
  <c r="B1553" i="1"/>
  <c r="D1553" i="1" s="1"/>
  <c r="B1554" i="1"/>
  <c r="B1555" i="1"/>
  <c r="B1556" i="1"/>
  <c r="B1557" i="1"/>
  <c r="B1558" i="1"/>
  <c r="B1559" i="1"/>
  <c r="B1560" i="1"/>
  <c r="B1561" i="1"/>
  <c r="B1562" i="1"/>
  <c r="B1563" i="1"/>
  <c r="D1563" i="1" s="1"/>
  <c r="B1564" i="1"/>
  <c r="D1564" i="1" s="1"/>
  <c r="B1565" i="1"/>
  <c r="B1566" i="1"/>
  <c r="D1566" i="1" s="1"/>
  <c r="B1567" i="1"/>
  <c r="D1567" i="1" s="1"/>
  <c r="B1568" i="1"/>
  <c r="D1568" i="1" s="1"/>
  <c r="B1569" i="1"/>
  <c r="D1569" i="1" s="1"/>
  <c r="B1570" i="1"/>
  <c r="B1571" i="1"/>
  <c r="D1571" i="1" s="1"/>
  <c r="B1572" i="1"/>
  <c r="D1572" i="1" s="1"/>
  <c r="B1573" i="1"/>
  <c r="B1574" i="1"/>
  <c r="B1575" i="1"/>
  <c r="B1576" i="1"/>
  <c r="B1577" i="1"/>
  <c r="B1578" i="1"/>
  <c r="B1579" i="1"/>
  <c r="B1580" i="1"/>
  <c r="D1580" i="1" s="1"/>
  <c r="B1581" i="1"/>
  <c r="B1582" i="1"/>
  <c r="D1582" i="1" s="1"/>
  <c r="B1583" i="1"/>
  <c r="D1583" i="1" s="1"/>
  <c r="B1584" i="1"/>
  <c r="D1584" i="1" s="1"/>
  <c r="B1585" i="1"/>
  <c r="D1585" i="1" s="1"/>
  <c r="B1586" i="1"/>
  <c r="B1587" i="1"/>
  <c r="D1587" i="1" s="1"/>
  <c r="B1588" i="1"/>
  <c r="D1588" i="1" s="1"/>
  <c r="B1589" i="1"/>
  <c r="B1590" i="1"/>
  <c r="B1591" i="1"/>
  <c r="B1592" i="1"/>
  <c r="B1593" i="1"/>
  <c r="B1594" i="1"/>
  <c r="B1595" i="1"/>
  <c r="B1596" i="1"/>
  <c r="D1596" i="1" s="1"/>
  <c r="B1597" i="1"/>
  <c r="B1598" i="1"/>
  <c r="D1598" i="1" s="1"/>
  <c r="B1599" i="1"/>
  <c r="B1600" i="1"/>
  <c r="B1601" i="1"/>
  <c r="B1602" i="1"/>
  <c r="B1603" i="1"/>
  <c r="D1603" i="1" s="1"/>
  <c r="B1604" i="1"/>
  <c r="D1604" i="1" s="1"/>
  <c r="B1605" i="1"/>
  <c r="B1606" i="1"/>
  <c r="B1607" i="1"/>
  <c r="B1608" i="1"/>
  <c r="B1609" i="1"/>
  <c r="B1610" i="1"/>
  <c r="D1610" i="1" s="1"/>
  <c r="B1611" i="1"/>
  <c r="D1611" i="1" s="1"/>
  <c r="B1612" i="1"/>
  <c r="D1612" i="1" s="1"/>
  <c r="B1613" i="1"/>
  <c r="B1614" i="1"/>
  <c r="D1614" i="1" s="1"/>
  <c r="B1615" i="1"/>
  <c r="D1615" i="1" s="1"/>
  <c r="B1616" i="1"/>
  <c r="D1616" i="1" s="1"/>
  <c r="B1617" i="1"/>
  <c r="B1618" i="1"/>
  <c r="B1619" i="1"/>
  <c r="B1620" i="1"/>
  <c r="B1621" i="1"/>
  <c r="B1622" i="1"/>
  <c r="B1623" i="1"/>
  <c r="B1624" i="1"/>
  <c r="B1625" i="1"/>
  <c r="B1626" i="1"/>
  <c r="D1626" i="1" s="1"/>
  <c r="B1627" i="1"/>
  <c r="D1627" i="1" s="1"/>
  <c r="B1628" i="1"/>
  <c r="D1628" i="1" s="1"/>
  <c r="B1629" i="1"/>
  <c r="B1630" i="1"/>
  <c r="D1630" i="1" s="1"/>
  <c r="B1631" i="1"/>
  <c r="D1631" i="1" s="1"/>
  <c r="B1632" i="1"/>
  <c r="D1632" i="1" s="1"/>
  <c r="B1633" i="1"/>
  <c r="D1633" i="1" s="1"/>
  <c r="B1634" i="1"/>
  <c r="B1635" i="1"/>
  <c r="B1636" i="1"/>
  <c r="D1636" i="1" s="1"/>
  <c r="B1637" i="1"/>
  <c r="B1638" i="1"/>
  <c r="B1639" i="1"/>
  <c r="B1640" i="1"/>
  <c r="B1641" i="1"/>
  <c r="B1642" i="1"/>
  <c r="B1643" i="1"/>
  <c r="B1644" i="1"/>
  <c r="D1644" i="1" s="1"/>
  <c r="B1645" i="1"/>
  <c r="B1646" i="1"/>
  <c r="D1646" i="1" s="1"/>
  <c r="B1647" i="1"/>
  <c r="D1647" i="1" s="1"/>
  <c r="B1648" i="1"/>
  <c r="D1648" i="1" s="1"/>
  <c r="B1649" i="1"/>
  <c r="D1649" i="1" s="1"/>
  <c r="B1650" i="1"/>
  <c r="B1651" i="1"/>
  <c r="B1652" i="1"/>
  <c r="D1652" i="1" s="1"/>
  <c r="B1653" i="1"/>
  <c r="B1654" i="1"/>
  <c r="B1655" i="1"/>
  <c r="B1656" i="1"/>
  <c r="B1657" i="1"/>
  <c r="B1658" i="1"/>
  <c r="D1658" i="1" s="1"/>
  <c r="B1659" i="1"/>
  <c r="D1659" i="1" s="1"/>
  <c r="B1660" i="1"/>
  <c r="D1660" i="1" s="1"/>
  <c r="B1661" i="1"/>
  <c r="B1662" i="1"/>
  <c r="D1662" i="1" s="1"/>
  <c r="B1663" i="1"/>
  <c r="D1663" i="1" s="1"/>
  <c r="B1664" i="1"/>
  <c r="D1664" i="1" s="1"/>
  <c r="B1665" i="1"/>
  <c r="D1665" i="1" s="1"/>
  <c r="B1666" i="1"/>
  <c r="B1667" i="1"/>
  <c r="D1667" i="1" s="1"/>
  <c r="B1668" i="1"/>
  <c r="D1668" i="1" s="1"/>
  <c r="B1669" i="1"/>
  <c r="B1670" i="1"/>
  <c r="B1671" i="1"/>
  <c r="B1672" i="1"/>
  <c r="B1673" i="1"/>
  <c r="B1674" i="1"/>
  <c r="B1675" i="1"/>
  <c r="D1675" i="1" s="1"/>
  <c r="B1676" i="1"/>
  <c r="D1676" i="1" s="1"/>
  <c r="B1677" i="1"/>
  <c r="B1678" i="1"/>
  <c r="D1678" i="1" s="1"/>
  <c r="B1679" i="1"/>
  <c r="D1679" i="1" s="1"/>
  <c r="B1680" i="1"/>
  <c r="B1681" i="1"/>
  <c r="B1682" i="1"/>
  <c r="B1683" i="1"/>
  <c r="D1683" i="1" s="1"/>
  <c r="B1684" i="1"/>
  <c r="D1684" i="1" s="1"/>
  <c r="B1685" i="1"/>
  <c r="B1686" i="1"/>
  <c r="B1687" i="1"/>
  <c r="B1688" i="1"/>
  <c r="B1689" i="1"/>
  <c r="B1690" i="1"/>
  <c r="B1691" i="1"/>
  <c r="B1692" i="1"/>
  <c r="D1692" i="1" s="1"/>
  <c r="B1693" i="1"/>
  <c r="B1694" i="1"/>
  <c r="D1694" i="1" s="1"/>
  <c r="B1695" i="1"/>
  <c r="D1695" i="1" s="1"/>
  <c r="B1696" i="1"/>
  <c r="D1696" i="1" s="1"/>
  <c r="B1697" i="1"/>
  <c r="D1697" i="1" s="1"/>
  <c r="B1698" i="1"/>
  <c r="B1699" i="1"/>
  <c r="B1700" i="1"/>
  <c r="B1701" i="1"/>
  <c r="B1702" i="1"/>
  <c r="B1703" i="1"/>
  <c r="B1704" i="1"/>
  <c r="B1705" i="1"/>
  <c r="B1706" i="1"/>
  <c r="B1707" i="1"/>
  <c r="D1707" i="1" s="1"/>
  <c r="B1708" i="1"/>
  <c r="D1708" i="1" s="1"/>
  <c r="B1709" i="1"/>
  <c r="B1710" i="1"/>
  <c r="D1710" i="1" s="1"/>
  <c r="B1711" i="1"/>
  <c r="D1711" i="1" s="1"/>
  <c r="B1712" i="1"/>
  <c r="D1712" i="1" s="1"/>
  <c r="B1713" i="1"/>
  <c r="D1713" i="1" s="1"/>
  <c r="B1714" i="1"/>
  <c r="B1715" i="1"/>
  <c r="D1715" i="1" s="1"/>
  <c r="B1716" i="1"/>
  <c r="D1716" i="1" s="1"/>
  <c r="B1717" i="1"/>
  <c r="B1718" i="1"/>
  <c r="B1719" i="1"/>
  <c r="B1720" i="1"/>
  <c r="B1721" i="1"/>
  <c r="B1722" i="1"/>
  <c r="B1723" i="1"/>
  <c r="B1724" i="1"/>
  <c r="D1724" i="1" s="1"/>
  <c r="B1725" i="1"/>
  <c r="B1726" i="1"/>
  <c r="D1726" i="1" s="1"/>
  <c r="B1727" i="1"/>
  <c r="D1727" i="1" s="1"/>
  <c r="B1728" i="1"/>
  <c r="D1728" i="1" s="1"/>
  <c r="B1729" i="1"/>
  <c r="D1729" i="1" s="1"/>
  <c r="B1730" i="1"/>
  <c r="B1731" i="1"/>
  <c r="D1731" i="1" s="1"/>
  <c r="B1732" i="1"/>
  <c r="D1732" i="1" s="1"/>
  <c r="B1733" i="1"/>
  <c r="B1734" i="1"/>
  <c r="B1735" i="1"/>
  <c r="B1736" i="1"/>
  <c r="B1737" i="1"/>
  <c r="B1738" i="1"/>
  <c r="B1739" i="1"/>
  <c r="D1739" i="1" s="1"/>
  <c r="B1740" i="1"/>
  <c r="D1740" i="1" s="1"/>
  <c r="B1741" i="1"/>
  <c r="B1742" i="1"/>
  <c r="D1742" i="1" s="1"/>
  <c r="B1743" i="1"/>
  <c r="B1744" i="1"/>
  <c r="B1745" i="1"/>
  <c r="B1746" i="1"/>
  <c r="B1747" i="1"/>
  <c r="B1748" i="1"/>
  <c r="B1749" i="1"/>
  <c r="B1750" i="1"/>
  <c r="B1751" i="1"/>
  <c r="B1752" i="1"/>
  <c r="B1753" i="1"/>
  <c r="B1754" i="1"/>
  <c r="B1755" i="1"/>
  <c r="B1756" i="1"/>
  <c r="D1756" i="1" s="1"/>
  <c r="B1757" i="1"/>
  <c r="B1758" i="1"/>
  <c r="D1758" i="1" s="1"/>
  <c r="B1759" i="1"/>
  <c r="D1759" i="1" s="1"/>
  <c r="B1760" i="1"/>
  <c r="B1761" i="1"/>
  <c r="B1762" i="1"/>
  <c r="B1763" i="1"/>
  <c r="B1764" i="1"/>
  <c r="D1764" i="1" s="1"/>
  <c r="B1765" i="1"/>
  <c r="B1766" i="1"/>
  <c r="B1767" i="1"/>
  <c r="B1768" i="1"/>
  <c r="B1769" i="1"/>
  <c r="B1770" i="1"/>
  <c r="B1771" i="1"/>
  <c r="B1772" i="1"/>
  <c r="D1772" i="1" s="1"/>
  <c r="B1773" i="1"/>
  <c r="B1774" i="1"/>
  <c r="D1774" i="1" s="1"/>
  <c r="B1775" i="1"/>
  <c r="D1775" i="1" s="1"/>
  <c r="B1776" i="1"/>
  <c r="B1777" i="1"/>
  <c r="D1777" i="1" s="1"/>
  <c r="B1778" i="1"/>
  <c r="B1779" i="1"/>
  <c r="B1780" i="1"/>
  <c r="B1781" i="1"/>
  <c r="B1782" i="1"/>
  <c r="B1783" i="1"/>
  <c r="B1784" i="1"/>
  <c r="B1785" i="1"/>
  <c r="B1786" i="1"/>
  <c r="D1786" i="1" s="1"/>
  <c r="B1787" i="1"/>
  <c r="D1787" i="1" s="1"/>
  <c r="B1788" i="1"/>
  <c r="D1788" i="1" s="1"/>
  <c r="B1789" i="1"/>
  <c r="B1790" i="1"/>
  <c r="D1790" i="1" s="1"/>
  <c r="B1791" i="1"/>
  <c r="D1791" i="1" s="1"/>
  <c r="B1792" i="1"/>
  <c r="D1792" i="1" s="1"/>
  <c r="B1793" i="1"/>
  <c r="D1793" i="1" s="1"/>
  <c r="B1794" i="1"/>
  <c r="B1795" i="1"/>
  <c r="B1796" i="1"/>
  <c r="B1797" i="1"/>
  <c r="B1798" i="1"/>
  <c r="B1799" i="1"/>
  <c r="B1800" i="1"/>
  <c r="B1801" i="1"/>
  <c r="B1802" i="1"/>
  <c r="B1803" i="1"/>
  <c r="D1803" i="1" s="1"/>
  <c r="B1804" i="1"/>
  <c r="D1804" i="1" s="1"/>
  <c r="B1805" i="1"/>
  <c r="B1806" i="1"/>
  <c r="D1806" i="1" s="1"/>
  <c r="B1807" i="1"/>
  <c r="D1807" i="1" s="1"/>
  <c r="B1808" i="1"/>
  <c r="D1808" i="1" s="1"/>
  <c r="B1809" i="1"/>
  <c r="D1809" i="1" s="1"/>
  <c r="B1810" i="1"/>
  <c r="B1811" i="1"/>
  <c r="D1811" i="1" s="1"/>
  <c r="B1812" i="1"/>
  <c r="D1812" i="1" s="1"/>
  <c r="B1813" i="1"/>
  <c r="B1814" i="1"/>
  <c r="B1815" i="1"/>
  <c r="B1816" i="1"/>
  <c r="B1817" i="1"/>
  <c r="B1818" i="1"/>
  <c r="B1819" i="1"/>
  <c r="B1820" i="1"/>
  <c r="D1820" i="1" s="1"/>
  <c r="B1821" i="1"/>
  <c r="B1822" i="1"/>
  <c r="D1822" i="1" s="1"/>
  <c r="B1823" i="1"/>
  <c r="D1823" i="1" s="1"/>
  <c r="B1824" i="1"/>
  <c r="D1824" i="1" s="1"/>
  <c r="B1825" i="1"/>
  <c r="D1825" i="1" s="1"/>
  <c r="B1826" i="1"/>
  <c r="B1827" i="1"/>
  <c r="D1827" i="1" s="1"/>
  <c r="B1828" i="1"/>
  <c r="D1828" i="1" s="1"/>
  <c r="B1829" i="1"/>
  <c r="B1830" i="1"/>
  <c r="B1831" i="1"/>
  <c r="B1832" i="1"/>
  <c r="B1833" i="1"/>
  <c r="B1834" i="1"/>
  <c r="B1835" i="1"/>
  <c r="B1836" i="1"/>
  <c r="D1836" i="1" s="1"/>
  <c r="B1837" i="1"/>
  <c r="B1838" i="1"/>
  <c r="D1838" i="1" s="1"/>
  <c r="B1839" i="1"/>
  <c r="B1840" i="1"/>
  <c r="D1840" i="1" s="1"/>
  <c r="B1841" i="1"/>
  <c r="D1841" i="1" s="1"/>
  <c r="B1842" i="1"/>
  <c r="B1843" i="1"/>
  <c r="D1843" i="1" s="1"/>
  <c r="B1844" i="1"/>
  <c r="B1845" i="1"/>
  <c r="B1846" i="1"/>
  <c r="B1847" i="1"/>
  <c r="B1848" i="1"/>
  <c r="B1849" i="1"/>
  <c r="B1850" i="1"/>
  <c r="D1850" i="1" s="1"/>
  <c r="B1851" i="1"/>
  <c r="D1851" i="1" s="1"/>
  <c r="B1852" i="1"/>
  <c r="D1852" i="1" s="1"/>
  <c r="B1853" i="1"/>
  <c r="B1854" i="1"/>
  <c r="D1854" i="1" s="1"/>
  <c r="B1855" i="1"/>
  <c r="D1855" i="1" s="1"/>
  <c r="B1856" i="1"/>
  <c r="D1856" i="1" s="1"/>
  <c r="B1857" i="1"/>
  <c r="D1857" i="1" s="1"/>
  <c r="B1858" i="1"/>
  <c r="B1859" i="1"/>
  <c r="D1859" i="1" s="1"/>
  <c r="B1860" i="1"/>
  <c r="D1860" i="1" s="1"/>
  <c r="B1861" i="1"/>
  <c r="B1862" i="1"/>
  <c r="B1863" i="1"/>
  <c r="B1864" i="1"/>
  <c r="B1865" i="1"/>
  <c r="B1866" i="1"/>
  <c r="B1867" i="1"/>
  <c r="D1867" i="1" s="1"/>
  <c r="B1868" i="1"/>
  <c r="D1868" i="1" s="1"/>
  <c r="B1869" i="1"/>
  <c r="B1870" i="1"/>
  <c r="D1870" i="1" s="1"/>
  <c r="B1871" i="1"/>
  <c r="D1871" i="1" s="1"/>
  <c r="B1872" i="1"/>
  <c r="D1872" i="1" s="1"/>
  <c r="B1873" i="1"/>
  <c r="D1873" i="1" s="1"/>
  <c r="B1874" i="1"/>
  <c r="B1875" i="1"/>
  <c r="D1875" i="1" s="1"/>
  <c r="B1876" i="1"/>
  <c r="D1876" i="1" s="1"/>
  <c r="B1877" i="1"/>
  <c r="B1878" i="1"/>
  <c r="B1879" i="1"/>
  <c r="B1880" i="1"/>
  <c r="B1881" i="1"/>
  <c r="B1882" i="1"/>
  <c r="B1883" i="1"/>
  <c r="B1884" i="1"/>
  <c r="D1884" i="1" s="1"/>
  <c r="B1885" i="1"/>
  <c r="B1886" i="1"/>
  <c r="D1886" i="1" s="1"/>
  <c r="B1887" i="1"/>
  <c r="D1887" i="1" s="1"/>
  <c r="B1888" i="1"/>
  <c r="D1888" i="1" s="1"/>
  <c r="B1889" i="1"/>
  <c r="D1889" i="1" s="1"/>
  <c r="B1890" i="1"/>
  <c r="B1891" i="1"/>
  <c r="D1891" i="1" s="1"/>
  <c r="B1892" i="1"/>
  <c r="D1892" i="1" s="1"/>
  <c r="B1893" i="1"/>
  <c r="B1894" i="1"/>
  <c r="B1895" i="1"/>
  <c r="B1896" i="1"/>
  <c r="B1897" i="1"/>
  <c r="B1898" i="1"/>
  <c r="B1899" i="1"/>
  <c r="B1900" i="1"/>
  <c r="D1900" i="1" s="1"/>
  <c r="B1901" i="1"/>
  <c r="B1902" i="1"/>
  <c r="D1902" i="1" s="1"/>
  <c r="B1903" i="1"/>
  <c r="B1904" i="1"/>
  <c r="B1905" i="1"/>
  <c r="D1905" i="1" s="1"/>
  <c r="B1906" i="1"/>
  <c r="B1907" i="1"/>
  <c r="B1908" i="1"/>
  <c r="D1908" i="1" s="1"/>
  <c r="B1909" i="1"/>
  <c r="B1910" i="1"/>
  <c r="B1911" i="1"/>
  <c r="B1912" i="1"/>
  <c r="B1913" i="1"/>
  <c r="B1914" i="1"/>
  <c r="D1914" i="1" s="1"/>
  <c r="B1915" i="1"/>
  <c r="D1915" i="1" s="1"/>
  <c r="B1916" i="1"/>
  <c r="D1916" i="1" s="1"/>
  <c r="B1917" i="1"/>
  <c r="B1918" i="1"/>
  <c r="D1918" i="1" s="1"/>
  <c r="B1919" i="1"/>
  <c r="B1920" i="1"/>
  <c r="D1920" i="1" s="1"/>
  <c r="B1921" i="1"/>
  <c r="B1922" i="1"/>
  <c r="B1923" i="1"/>
  <c r="B1924" i="1"/>
  <c r="B1925" i="1"/>
  <c r="B1926" i="1"/>
  <c r="B1927" i="1"/>
  <c r="B1928" i="1"/>
  <c r="B1929" i="1"/>
  <c r="B1930" i="1"/>
  <c r="D1930" i="1" s="1"/>
  <c r="B1931" i="1"/>
  <c r="D1931" i="1" s="1"/>
  <c r="B1932" i="1"/>
  <c r="D1932" i="1" s="1"/>
  <c r="B1933" i="1"/>
  <c r="B1934" i="1"/>
  <c r="D1934" i="1" s="1"/>
  <c r="B1935" i="1"/>
  <c r="D1935" i="1" s="1"/>
  <c r="B1936" i="1"/>
  <c r="D1936" i="1" s="1"/>
  <c r="B1937" i="1"/>
  <c r="B1938" i="1"/>
  <c r="B1939" i="1"/>
  <c r="B1940" i="1"/>
  <c r="B1941" i="1"/>
  <c r="B1942" i="1"/>
  <c r="B1943" i="1"/>
  <c r="B1944" i="1"/>
  <c r="B1945" i="1"/>
  <c r="B1946" i="1"/>
  <c r="D1946" i="1" s="1"/>
  <c r="B1947" i="1"/>
  <c r="D1947" i="1" s="1"/>
  <c r="B1948" i="1"/>
  <c r="D1948" i="1" s="1"/>
  <c r="B1949" i="1"/>
  <c r="B1950" i="1"/>
  <c r="D1950" i="1" s="1"/>
  <c r="B1951" i="1"/>
  <c r="D1951" i="1" s="1"/>
  <c r="B1952" i="1"/>
  <c r="D1952" i="1" s="1"/>
  <c r="B1953" i="1"/>
  <c r="D1953" i="1" s="1"/>
  <c r="B1954" i="1"/>
  <c r="B1955" i="1"/>
  <c r="B1956" i="1"/>
  <c r="D1956" i="1" s="1"/>
  <c r="B1957" i="1"/>
  <c r="B1958" i="1"/>
  <c r="B1959" i="1"/>
  <c r="B1960" i="1"/>
  <c r="B1961" i="1"/>
  <c r="B1962" i="1"/>
  <c r="B1963" i="1"/>
  <c r="D1963" i="1" s="1"/>
  <c r="B1964" i="1"/>
  <c r="D1964" i="1" s="1"/>
  <c r="B1965" i="1"/>
  <c r="B1966" i="1"/>
  <c r="D1966" i="1" s="1"/>
  <c r="B1967" i="1"/>
  <c r="D1967" i="1" s="1"/>
  <c r="B1968" i="1"/>
  <c r="D1968" i="1" s="1"/>
  <c r="B1969" i="1"/>
  <c r="D1969" i="1" s="1"/>
  <c r="B1970" i="1"/>
  <c r="B1971" i="1"/>
  <c r="B1972" i="1"/>
  <c r="D1972" i="1" s="1"/>
  <c r="B1973" i="1"/>
  <c r="B1974" i="1"/>
  <c r="B1975" i="1"/>
  <c r="B1976" i="1"/>
  <c r="B1977" i="1"/>
  <c r="B1978" i="1"/>
  <c r="B1979" i="1"/>
  <c r="D1979" i="1" s="1"/>
  <c r="B1980" i="1"/>
  <c r="D1980" i="1" s="1"/>
  <c r="B1981" i="1"/>
  <c r="B1982" i="1"/>
  <c r="D1982" i="1" s="1"/>
  <c r="B1983" i="1"/>
  <c r="D1983" i="1" s="1"/>
  <c r="B1984" i="1"/>
  <c r="D1984" i="1" s="1"/>
  <c r="B1985" i="1"/>
  <c r="D1985" i="1" s="1"/>
  <c r="B1986" i="1"/>
  <c r="B1987" i="1"/>
  <c r="D1987" i="1" s="1"/>
  <c r="B1988" i="1"/>
  <c r="D1988" i="1" s="1"/>
  <c r="B1989" i="1"/>
  <c r="B1990" i="1"/>
  <c r="B1991" i="1"/>
  <c r="B1992" i="1"/>
  <c r="B1993" i="1"/>
  <c r="B1994" i="1"/>
  <c r="B1995" i="1"/>
  <c r="D1995" i="1" s="1"/>
  <c r="B1996" i="1"/>
  <c r="D1996" i="1" s="1"/>
  <c r="B1997" i="1"/>
  <c r="B1998" i="1"/>
  <c r="B1999" i="1"/>
  <c r="D1999" i="1" s="1"/>
  <c r="B2000" i="1"/>
  <c r="D2000" i="1" s="1"/>
  <c r="B2001" i="1"/>
  <c r="D2001" i="1" s="1"/>
  <c r="B2002" i="1"/>
  <c r="B2003" i="1"/>
  <c r="D2003" i="1" s="1"/>
  <c r="B2004" i="1"/>
  <c r="D2004" i="1" s="1"/>
  <c r="B2005" i="1"/>
  <c r="B2006" i="1"/>
  <c r="B2007" i="1"/>
  <c r="B2008" i="1"/>
  <c r="B2009" i="1"/>
  <c r="B2010" i="1"/>
  <c r="B2011" i="1"/>
  <c r="D2011" i="1" s="1"/>
  <c r="B2012" i="1"/>
  <c r="D2012" i="1" s="1"/>
  <c r="B2013" i="1"/>
  <c r="B2014" i="1"/>
  <c r="B2015" i="1"/>
  <c r="B2016" i="1"/>
  <c r="B2017" i="1"/>
  <c r="D2017" i="1" s="1"/>
  <c r="B2018" i="1"/>
  <c r="B2019" i="1"/>
  <c r="B2020" i="1"/>
  <c r="D2020" i="1" s="1"/>
  <c r="B2021" i="1"/>
  <c r="B2022" i="1"/>
  <c r="B2023" i="1"/>
  <c r="B2024" i="1"/>
  <c r="B2025" i="1"/>
  <c r="B2026" i="1"/>
  <c r="B2027" i="1"/>
  <c r="D2027" i="1" s="1"/>
  <c r="B2028" i="1"/>
  <c r="D2028" i="1" s="1"/>
  <c r="B2029" i="1"/>
  <c r="B2030" i="1"/>
  <c r="D2030" i="1" s="1"/>
  <c r="B2031" i="1"/>
  <c r="B2032" i="1"/>
  <c r="B2033" i="1"/>
  <c r="B2034" i="1"/>
  <c r="B2035" i="1"/>
  <c r="D2035" i="1" s="1"/>
  <c r="B2036" i="1"/>
  <c r="D2036" i="1" s="1"/>
  <c r="B2037" i="1"/>
  <c r="B2038" i="1"/>
  <c r="B2039" i="1"/>
  <c r="B2040" i="1"/>
  <c r="B2041" i="1"/>
  <c r="B2042" i="1"/>
  <c r="B2043" i="1"/>
  <c r="D2043" i="1" s="1"/>
  <c r="B2044" i="1"/>
  <c r="D2044" i="1" s="1"/>
  <c r="B2045" i="1"/>
  <c r="B2046" i="1"/>
  <c r="D2046" i="1" s="1"/>
  <c r="B2047" i="1"/>
  <c r="B2048" i="1"/>
  <c r="D2048" i="1" s="1"/>
  <c r="B2049" i="1"/>
  <c r="B2050" i="1"/>
  <c r="B2051" i="1"/>
  <c r="B2052" i="1"/>
  <c r="B2053" i="1"/>
  <c r="B2054" i="1"/>
  <c r="B2055" i="1"/>
  <c r="B2056" i="1"/>
  <c r="B2057" i="1"/>
  <c r="B2058" i="1"/>
  <c r="D2058" i="1" s="1"/>
  <c r="B2059" i="1"/>
  <c r="D2059" i="1" s="1"/>
  <c r="B2060" i="1"/>
  <c r="D2060" i="1" s="1"/>
  <c r="B2061" i="1"/>
  <c r="B2062" i="1"/>
  <c r="D2062" i="1" s="1"/>
  <c r="B2063" i="1"/>
  <c r="D2063" i="1" s="1"/>
  <c r="B2064" i="1"/>
  <c r="D2064" i="1" s="1"/>
  <c r="B2065" i="1"/>
  <c r="B2066" i="1"/>
  <c r="B2067" i="1"/>
  <c r="B2068" i="1"/>
  <c r="B2069" i="1"/>
  <c r="B2070" i="1"/>
  <c r="B2071" i="1"/>
  <c r="B2072" i="1"/>
  <c r="B2073" i="1"/>
  <c r="B2074" i="1"/>
  <c r="D2074" i="1" s="1"/>
  <c r="B2075" i="1"/>
  <c r="D2075" i="1" s="1"/>
  <c r="B2076" i="1"/>
  <c r="D2076" i="1" s="1"/>
  <c r="B2077" i="1"/>
  <c r="B2078" i="1"/>
  <c r="D2078" i="1" s="1"/>
  <c r="B2079" i="1"/>
  <c r="D2079" i="1" s="1"/>
  <c r="B2080" i="1"/>
  <c r="D2080" i="1" s="1"/>
  <c r="B2081" i="1"/>
  <c r="D2081" i="1" s="1"/>
  <c r="B2082" i="1"/>
  <c r="B2083" i="1"/>
  <c r="B2084" i="1"/>
  <c r="D2084" i="1" s="1"/>
  <c r="B2085" i="1"/>
  <c r="B2086" i="1"/>
  <c r="B2087" i="1"/>
  <c r="B2088" i="1"/>
  <c r="B2089" i="1"/>
  <c r="B2090" i="1"/>
  <c r="B2091" i="1"/>
  <c r="D2091" i="1" s="1"/>
  <c r="B2092" i="1"/>
  <c r="D2092" i="1" s="1"/>
  <c r="B2093" i="1"/>
  <c r="B2094" i="1"/>
  <c r="D2094" i="1" s="1"/>
  <c r="B2095" i="1"/>
  <c r="D2095" i="1" s="1"/>
  <c r="B2096" i="1"/>
  <c r="D2096" i="1" s="1"/>
  <c r="B2097" i="1"/>
  <c r="D2097" i="1" s="1"/>
  <c r="B2098" i="1"/>
  <c r="B2099" i="1"/>
  <c r="B2100" i="1"/>
  <c r="D2100" i="1" s="1"/>
  <c r="B2101" i="1"/>
  <c r="B2102" i="1"/>
  <c r="B2103" i="1"/>
  <c r="B2104" i="1"/>
  <c r="B2105" i="1"/>
  <c r="B2106" i="1"/>
  <c r="B2107" i="1"/>
  <c r="D2107" i="1" s="1"/>
  <c r="B2108" i="1"/>
  <c r="D2108" i="1" s="1"/>
  <c r="B2109" i="1"/>
  <c r="B2110" i="1"/>
  <c r="D2110" i="1" s="1"/>
  <c r="B2111" i="1"/>
  <c r="D2111" i="1" s="1"/>
  <c r="B2112" i="1"/>
  <c r="D2112" i="1" s="1"/>
  <c r="B2113" i="1"/>
  <c r="D2113" i="1" s="1"/>
  <c r="B2114" i="1"/>
  <c r="B2115" i="1"/>
  <c r="D2115" i="1" s="1"/>
  <c r="B2116" i="1"/>
  <c r="D2116" i="1" s="1"/>
  <c r="B2117" i="1"/>
  <c r="B2118" i="1"/>
  <c r="B2119" i="1"/>
  <c r="B2120" i="1"/>
  <c r="B2121" i="1"/>
  <c r="B2122" i="1"/>
  <c r="B2123" i="1"/>
  <c r="D2123" i="1" s="1"/>
  <c r="B2124" i="1"/>
  <c r="D2124" i="1" s="1"/>
  <c r="B2125" i="1"/>
  <c r="B2126" i="1"/>
  <c r="B2127" i="1"/>
  <c r="D2127" i="1" s="1"/>
  <c r="B2128" i="1"/>
  <c r="D2128" i="1" s="1"/>
  <c r="B2129" i="1"/>
  <c r="D2129" i="1" s="1"/>
  <c r="B2130" i="1"/>
  <c r="B2131" i="1"/>
  <c r="D2131" i="1" s="1"/>
  <c r="B2132" i="1"/>
  <c r="D2132" i="1" s="1"/>
  <c r="B2133" i="1"/>
  <c r="B2134" i="1"/>
  <c r="B2135" i="1"/>
  <c r="B2136" i="1"/>
  <c r="B2137" i="1"/>
  <c r="B2138" i="1"/>
  <c r="B2139" i="1"/>
  <c r="D2139" i="1" s="1"/>
  <c r="B2140" i="1"/>
  <c r="D2140" i="1" s="1"/>
  <c r="B2141" i="1"/>
  <c r="B2142" i="1"/>
  <c r="B2143" i="1"/>
  <c r="B2144" i="1"/>
  <c r="B2145" i="1"/>
  <c r="D2145" i="1" s="1"/>
  <c r="B2146" i="1"/>
  <c r="B2147" i="1"/>
  <c r="B2148" i="1"/>
  <c r="D2148" i="1" s="1"/>
  <c r="B2149" i="1"/>
  <c r="B2150" i="1"/>
  <c r="B2151" i="1"/>
  <c r="B2152" i="1"/>
  <c r="B2153" i="1"/>
  <c r="B2154" i="1"/>
  <c r="B2155" i="1"/>
  <c r="D2155" i="1" s="1"/>
  <c r="B2156" i="1"/>
  <c r="D2156" i="1" s="1"/>
  <c r="B2157" i="1"/>
  <c r="B2158" i="1"/>
  <c r="D2158" i="1" s="1"/>
  <c r="B2159" i="1"/>
  <c r="B2160" i="1"/>
  <c r="B2161" i="1"/>
  <c r="B2162" i="1"/>
  <c r="B2163" i="1"/>
  <c r="D2163" i="1" s="1"/>
  <c r="B2164" i="1"/>
  <c r="D2164" i="1" s="1"/>
  <c r="B2165" i="1"/>
  <c r="B2166" i="1"/>
  <c r="B2167" i="1"/>
  <c r="B2168" i="1"/>
  <c r="B2169" i="1"/>
  <c r="B2170" i="1"/>
  <c r="B2171" i="1"/>
  <c r="D2171" i="1" s="1"/>
  <c r="B2172" i="1"/>
  <c r="D2172" i="1" s="1"/>
  <c r="B2173" i="1"/>
  <c r="B2174" i="1"/>
  <c r="D2174" i="1" s="1"/>
  <c r="B2175" i="1"/>
  <c r="B2176" i="1"/>
  <c r="D2176" i="1" s="1"/>
  <c r="B2177" i="1"/>
  <c r="B2178" i="1"/>
  <c r="B2179" i="1"/>
  <c r="B2180" i="1"/>
  <c r="B2181" i="1"/>
  <c r="B2182" i="1"/>
  <c r="B2183" i="1"/>
  <c r="B2184" i="1"/>
  <c r="B2185" i="1"/>
  <c r="B2186" i="1"/>
  <c r="D2186" i="1" s="1"/>
  <c r="B2187" i="1"/>
  <c r="D2187" i="1" s="1"/>
  <c r="B2188" i="1"/>
  <c r="D2188" i="1" s="1"/>
  <c r="B2189" i="1"/>
  <c r="B2190" i="1"/>
  <c r="D2190" i="1" s="1"/>
  <c r="B2191" i="1"/>
  <c r="D2191" i="1" s="1"/>
  <c r="B2192" i="1"/>
  <c r="D2192" i="1" s="1"/>
  <c r="B2193" i="1"/>
  <c r="B2194" i="1"/>
  <c r="B2195" i="1"/>
  <c r="B2196" i="1"/>
  <c r="B2197" i="1"/>
  <c r="B2198" i="1"/>
  <c r="B2199" i="1"/>
  <c r="B2200" i="1"/>
  <c r="B2201" i="1"/>
  <c r="B2202" i="1"/>
  <c r="D2202" i="1" s="1"/>
  <c r="B2203" i="1"/>
  <c r="D2203" i="1" s="1"/>
  <c r="B2204" i="1"/>
  <c r="D2204" i="1" s="1"/>
  <c r="B2205" i="1"/>
  <c r="B2206" i="1"/>
  <c r="D2206" i="1" s="1"/>
  <c r="B2207" i="1"/>
  <c r="D2207" i="1" s="1"/>
  <c r="B2208" i="1"/>
  <c r="D2208" i="1" s="1"/>
  <c r="B2209" i="1"/>
  <c r="D2209" i="1" s="1"/>
  <c r="B2210" i="1"/>
  <c r="B2211" i="1"/>
  <c r="B2212" i="1"/>
  <c r="D2212" i="1" s="1"/>
  <c r="B2213" i="1"/>
  <c r="B2214" i="1"/>
  <c r="B2215" i="1"/>
  <c r="B2216" i="1"/>
  <c r="B2217" i="1"/>
  <c r="B2218" i="1"/>
  <c r="B2219" i="1"/>
  <c r="D2219" i="1" s="1"/>
  <c r="B2220" i="1"/>
  <c r="D2220" i="1" s="1"/>
  <c r="B2221" i="1"/>
  <c r="B2222" i="1"/>
  <c r="D2222" i="1" s="1"/>
  <c r="B2223" i="1"/>
  <c r="D2223" i="1" s="1"/>
  <c r="B2224" i="1"/>
  <c r="D2224" i="1" s="1"/>
  <c r="B2225" i="1"/>
  <c r="D2225" i="1" s="1"/>
  <c r="B2226" i="1"/>
  <c r="B2227" i="1"/>
  <c r="B2228" i="1"/>
  <c r="D2228" i="1" s="1"/>
  <c r="B2229" i="1"/>
  <c r="B2230" i="1"/>
  <c r="B2231" i="1"/>
  <c r="B2232" i="1"/>
  <c r="B2233" i="1"/>
  <c r="B2234" i="1"/>
  <c r="B2235" i="1"/>
  <c r="D2235" i="1" s="1"/>
  <c r="B2236" i="1"/>
  <c r="D2236" i="1" s="1"/>
  <c r="B2237" i="1"/>
  <c r="B2238" i="1"/>
  <c r="D2238" i="1" s="1"/>
  <c r="B2239" i="1"/>
  <c r="D2239" i="1" s="1"/>
  <c r="B2240" i="1"/>
  <c r="D2240" i="1" s="1"/>
  <c r="B2241" i="1"/>
  <c r="D2241" i="1" s="1"/>
  <c r="B2242" i="1"/>
  <c r="B2243" i="1"/>
  <c r="D2243" i="1" s="1"/>
  <c r="B2244" i="1"/>
  <c r="D2244" i="1" s="1"/>
  <c r="B2245" i="1"/>
  <c r="B2246" i="1"/>
  <c r="B2247" i="1"/>
  <c r="B2248" i="1"/>
  <c r="B2249" i="1"/>
  <c r="B2250" i="1"/>
  <c r="B2251" i="1"/>
  <c r="D2251" i="1" s="1"/>
  <c r="B2252" i="1"/>
  <c r="D2252" i="1" s="1"/>
  <c r="B2253" i="1"/>
  <c r="B2254" i="1"/>
  <c r="B2255" i="1"/>
  <c r="D2255" i="1" s="1"/>
  <c r="B2256" i="1"/>
  <c r="D2256" i="1" s="1"/>
  <c r="B2257" i="1"/>
  <c r="D2257" i="1" s="1"/>
  <c r="B2258" i="1"/>
  <c r="B2259" i="1"/>
  <c r="D2259" i="1" s="1"/>
  <c r="B2260" i="1"/>
  <c r="D2260" i="1" s="1"/>
  <c r="B2261" i="1"/>
  <c r="B2262" i="1"/>
  <c r="B2263" i="1"/>
  <c r="B2264" i="1"/>
  <c r="B2265" i="1"/>
  <c r="B2266" i="1"/>
  <c r="B2267" i="1"/>
  <c r="D2267" i="1" s="1"/>
  <c r="B2268" i="1"/>
  <c r="D2268" i="1" s="1"/>
  <c r="B2269" i="1"/>
  <c r="B2270" i="1"/>
  <c r="B2271" i="1"/>
  <c r="B2272" i="1"/>
  <c r="B2273" i="1"/>
  <c r="D2273" i="1" s="1"/>
  <c r="B2274" i="1"/>
  <c r="B2275" i="1"/>
  <c r="B2276" i="1"/>
  <c r="D2276" i="1" s="1"/>
  <c r="B2277" i="1"/>
  <c r="B2278" i="1"/>
  <c r="B2279" i="1"/>
  <c r="B2280" i="1"/>
  <c r="B2281" i="1"/>
  <c r="B2282" i="1"/>
  <c r="B2283" i="1"/>
  <c r="D2283" i="1" s="1"/>
  <c r="B2284" i="1"/>
  <c r="D2284" i="1" s="1"/>
  <c r="B2285" i="1"/>
  <c r="B2286" i="1"/>
  <c r="D2286" i="1" s="1"/>
  <c r="B2287" i="1"/>
  <c r="B2288" i="1"/>
  <c r="B2289" i="1"/>
  <c r="B2290" i="1"/>
  <c r="B2291" i="1"/>
  <c r="D2291" i="1" s="1"/>
  <c r="B2292" i="1"/>
  <c r="D2292" i="1" s="1"/>
  <c r="B2293" i="1"/>
  <c r="B2294" i="1"/>
  <c r="B2295" i="1"/>
  <c r="B2296" i="1"/>
  <c r="B2297" i="1"/>
  <c r="B2298" i="1"/>
  <c r="B2299" i="1"/>
  <c r="D2299" i="1" s="1"/>
  <c r="B2300" i="1"/>
  <c r="D2300" i="1" s="1"/>
  <c r="B2301" i="1"/>
  <c r="B2302" i="1"/>
  <c r="D2302" i="1" s="1"/>
  <c r="B2303" i="1"/>
  <c r="B2304" i="1"/>
  <c r="D2304" i="1" s="1"/>
  <c r="B2305" i="1"/>
  <c r="B2306" i="1"/>
  <c r="B2307" i="1"/>
  <c r="B2308" i="1"/>
  <c r="B2309" i="1"/>
  <c r="B2310" i="1"/>
  <c r="B2311" i="1"/>
  <c r="B2312" i="1"/>
  <c r="B2313" i="1"/>
  <c r="B2314" i="1"/>
  <c r="D2314" i="1" s="1"/>
  <c r="B2315" i="1"/>
  <c r="D2315" i="1" s="1"/>
  <c r="B2316" i="1"/>
  <c r="D2316" i="1" s="1"/>
  <c r="B2317" i="1"/>
  <c r="B2318" i="1"/>
  <c r="D2318" i="1" s="1"/>
  <c r="B2319" i="1"/>
  <c r="D2319" i="1" s="1"/>
  <c r="B2320" i="1"/>
  <c r="D2320" i="1" s="1"/>
  <c r="B2321" i="1"/>
  <c r="B2322" i="1"/>
  <c r="B2323" i="1"/>
  <c r="B2324" i="1"/>
  <c r="B2325" i="1"/>
  <c r="B2326" i="1"/>
  <c r="B2327" i="1"/>
  <c r="B2328" i="1"/>
  <c r="B2329" i="1"/>
  <c r="B2330" i="1"/>
  <c r="D2330" i="1" s="1"/>
  <c r="B2331" i="1"/>
  <c r="D2331" i="1" s="1"/>
  <c r="B2332" i="1"/>
  <c r="D2332" i="1" s="1"/>
  <c r="B2333" i="1"/>
  <c r="B2334" i="1"/>
  <c r="D2334" i="1" s="1"/>
  <c r="B2335" i="1"/>
  <c r="D2335" i="1" s="1"/>
  <c r="B2336" i="1"/>
  <c r="D2336" i="1" s="1"/>
  <c r="B2337" i="1"/>
  <c r="D2337" i="1" s="1"/>
  <c r="B2338" i="1"/>
  <c r="B2339" i="1"/>
  <c r="B2340" i="1"/>
  <c r="D2340" i="1" s="1"/>
  <c r="B2341" i="1"/>
  <c r="B2342" i="1"/>
  <c r="B2343" i="1"/>
  <c r="B2344" i="1"/>
  <c r="B2345" i="1"/>
  <c r="B2346" i="1"/>
  <c r="B2347" i="1"/>
  <c r="D2347" i="1" s="1"/>
  <c r="B2348" i="1"/>
  <c r="D2348" i="1" s="1"/>
  <c r="B2349" i="1"/>
  <c r="B2350" i="1"/>
  <c r="D2350" i="1" s="1"/>
  <c r="B2351" i="1"/>
  <c r="D2351" i="1" s="1"/>
  <c r="B2352" i="1"/>
  <c r="D2352" i="1" s="1"/>
  <c r="B2353" i="1"/>
  <c r="D2353" i="1" s="1"/>
  <c r="B2354" i="1"/>
  <c r="B2355" i="1"/>
  <c r="B2356" i="1"/>
  <c r="D2356" i="1" s="1"/>
  <c r="B2357" i="1"/>
  <c r="B2358" i="1"/>
  <c r="B2359" i="1"/>
  <c r="B2360" i="1"/>
  <c r="B2361" i="1"/>
  <c r="B2362" i="1"/>
  <c r="B2363" i="1"/>
  <c r="D2363" i="1" s="1"/>
  <c r="B2364" i="1"/>
  <c r="D2364" i="1" s="1"/>
  <c r="B2365" i="1"/>
  <c r="B2366" i="1"/>
  <c r="D2366" i="1" s="1"/>
  <c r="B2367" i="1"/>
  <c r="D2367" i="1" s="1"/>
  <c r="B2368" i="1"/>
  <c r="D2368" i="1" s="1"/>
  <c r="B2369" i="1"/>
  <c r="D2369" i="1" s="1"/>
  <c r="B2370" i="1"/>
  <c r="B2371" i="1"/>
  <c r="D2371" i="1" s="1"/>
  <c r="B2372" i="1"/>
  <c r="D2372" i="1" s="1"/>
  <c r="B2373" i="1"/>
  <c r="B2374" i="1"/>
  <c r="B2375" i="1"/>
  <c r="B2376" i="1"/>
  <c r="B2377" i="1"/>
  <c r="B2378" i="1"/>
  <c r="B2379" i="1"/>
  <c r="D2379" i="1" s="1"/>
  <c r="B2380" i="1"/>
  <c r="D2380" i="1" s="1"/>
  <c r="B2381" i="1"/>
  <c r="B2382" i="1"/>
  <c r="B2383" i="1"/>
  <c r="D2383" i="1" s="1"/>
  <c r="B2384" i="1"/>
  <c r="D2384" i="1" s="1"/>
  <c r="B2385" i="1"/>
  <c r="D2385" i="1" s="1"/>
  <c r="B2386" i="1"/>
  <c r="B2387" i="1"/>
  <c r="D2387" i="1" s="1"/>
  <c r="B2388" i="1"/>
  <c r="D2388" i="1" s="1"/>
  <c r="B2389" i="1"/>
  <c r="B2390" i="1"/>
  <c r="B2391" i="1"/>
  <c r="B2392" i="1"/>
  <c r="B2393" i="1"/>
  <c r="B2394" i="1"/>
  <c r="B2395" i="1"/>
  <c r="D2395" i="1" s="1"/>
  <c r="B2396" i="1"/>
  <c r="D2396" i="1" s="1"/>
  <c r="B2397" i="1"/>
  <c r="B2398" i="1"/>
  <c r="B2399" i="1"/>
  <c r="B2400" i="1"/>
  <c r="B2401" i="1"/>
  <c r="D2401" i="1" s="1"/>
  <c r="B2402" i="1"/>
  <c r="B2403" i="1"/>
  <c r="B2404" i="1"/>
  <c r="D2404" i="1" s="1"/>
  <c r="B2405" i="1"/>
  <c r="B2406" i="1"/>
  <c r="B2407" i="1"/>
  <c r="B2408" i="1"/>
  <c r="B2409" i="1"/>
  <c r="B2410" i="1"/>
  <c r="B2411" i="1"/>
  <c r="D2411" i="1" s="1"/>
  <c r="B2412" i="1"/>
  <c r="D2412" i="1" s="1"/>
  <c r="B2413" i="1"/>
  <c r="B2414" i="1"/>
  <c r="D2414" i="1" s="1"/>
  <c r="B2415" i="1"/>
  <c r="B2416" i="1"/>
  <c r="B2417" i="1"/>
  <c r="B2418" i="1"/>
  <c r="B2419" i="1"/>
  <c r="B2420" i="1"/>
  <c r="D2420" i="1" s="1"/>
  <c r="B2421" i="1"/>
  <c r="B2422" i="1"/>
  <c r="B2423" i="1"/>
  <c r="B2424" i="1"/>
  <c r="B2425" i="1"/>
  <c r="B2426" i="1"/>
  <c r="B2427" i="1"/>
  <c r="D2427" i="1" s="1"/>
  <c r="B2428" i="1"/>
  <c r="D2428" i="1" s="1"/>
  <c r="B2429" i="1"/>
  <c r="B2430" i="1"/>
  <c r="B2431" i="1"/>
  <c r="D2431" i="1" s="1"/>
  <c r="B2432" i="1"/>
  <c r="B2433" i="1"/>
  <c r="B2434" i="1"/>
  <c r="B2435" i="1"/>
  <c r="B2436" i="1"/>
  <c r="D2436" i="1" s="1"/>
  <c r="B2437" i="1"/>
  <c r="B2438" i="1"/>
  <c r="B2439" i="1"/>
  <c r="B2440" i="1"/>
  <c r="B2441" i="1"/>
  <c r="B2442" i="1"/>
  <c r="B2443" i="1"/>
  <c r="D2443" i="1" s="1"/>
  <c r="B2444" i="1"/>
  <c r="D2444" i="1" s="1"/>
  <c r="B2445" i="1"/>
  <c r="B2446" i="1"/>
  <c r="D2446" i="1" s="1"/>
  <c r="B2447" i="1"/>
  <c r="B2448" i="1"/>
  <c r="D2448" i="1" s="1"/>
  <c r="B2449" i="1"/>
  <c r="B2450" i="1"/>
  <c r="B2451" i="1"/>
  <c r="B2452" i="1"/>
  <c r="B2453" i="1"/>
  <c r="B2454" i="1"/>
  <c r="B2455" i="1"/>
  <c r="B2456" i="1"/>
  <c r="B2457" i="1"/>
  <c r="B2458" i="1"/>
  <c r="D2458" i="1" s="1"/>
  <c r="B2459" i="1"/>
  <c r="D2459" i="1" s="1"/>
  <c r="B2460" i="1"/>
  <c r="D2460" i="1" s="1"/>
  <c r="B2461" i="1"/>
  <c r="B2462" i="1"/>
  <c r="D2462" i="1" s="1"/>
  <c r="B2463" i="1"/>
  <c r="D2463" i="1" s="1"/>
  <c r="B2464" i="1"/>
  <c r="B2465" i="1"/>
  <c r="D2465" i="1" s="1"/>
  <c r="B2466" i="1"/>
  <c r="B2467" i="1"/>
  <c r="B2468" i="1"/>
  <c r="B2469" i="1"/>
  <c r="B2470" i="1"/>
  <c r="B2471" i="1"/>
  <c r="B2472" i="1"/>
  <c r="B2473" i="1"/>
  <c r="B2474" i="1"/>
  <c r="D2474" i="1" s="1"/>
  <c r="B2475" i="1"/>
  <c r="D2475" i="1" s="1"/>
  <c r="B2476" i="1"/>
  <c r="D2476" i="1" s="1"/>
  <c r="B2477" i="1"/>
  <c r="B2478" i="1"/>
  <c r="D2478" i="1" s="1"/>
  <c r="B2479" i="1"/>
  <c r="D2479" i="1" s="1"/>
  <c r="B2480" i="1"/>
  <c r="D2480" i="1" s="1"/>
  <c r="B2481" i="1"/>
  <c r="B2482" i="1"/>
  <c r="B2483" i="1"/>
  <c r="B2484" i="1"/>
  <c r="B2485" i="1"/>
  <c r="B2486" i="1"/>
  <c r="B2487" i="1"/>
  <c r="B2488" i="1"/>
  <c r="B2489" i="1"/>
  <c r="B2490" i="1"/>
  <c r="D2490" i="1" s="1"/>
  <c r="B2491" i="1"/>
  <c r="D2491" i="1" s="1"/>
  <c r="B2492" i="1"/>
  <c r="D2492" i="1" s="1"/>
  <c r="B2493" i="1"/>
  <c r="B2494" i="1"/>
  <c r="D2494" i="1" s="1"/>
  <c r="B2495" i="1"/>
  <c r="D2495" i="1" s="1"/>
  <c r="B2496" i="1"/>
  <c r="D2496" i="1" s="1"/>
  <c r="B2497" i="1"/>
  <c r="D2497" i="1" s="1"/>
  <c r="B2498" i="1"/>
  <c r="B2499" i="1"/>
  <c r="B2500" i="1"/>
  <c r="B2501" i="1"/>
  <c r="B2502" i="1"/>
  <c r="B2503" i="1"/>
  <c r="B2504" i="1"/>
  <c r="B2505" i="1"/>
  <c r="B2506" i="1"/>
  <c r="B2507" i="1"/>
  <c r="D2507" i="1" s="1"/>
  <c r="B2508" i="1"/>
  <c r="D2508" i="1" s="1"/>
  <c r="B2509" i="1"/>
  <c r="B2510" i="1"/>
  <c r="D2510" i="1" s="1"/>
  <c r="B2511" i="1"/>
  <c r="D2511" i="1" s="1"/>
  <c r="B2512" i="1"/>
  <c r="D2512" i="1" s="1"/>
  <c r="B2513" i="1"/>
  <c r="D2513" i="1" s="1"/>
  <c r="B2514" i="1"/>
  <c r="B2515" i="1"/>
  <c r="B2516" i="1"/>
  <c r="D2516" i="1" s="1"/>
  <c r="B2517" i="1"/>
  <c r="B2518" i="1"/>
  <c r="B2519" i="1"/>
  <c r="B2520" i="1"/>
  <c r="B2521" i="1"/>
  <c r="B2522" i="1"/>
  <c r="B2523" i="1"/>
  <c r="D2523" i="1" s="1"/>
  <c r="B2524" i="1"/>
  <c r="B2525" i="1"/>
  <c r="B2526" i="1"/>
  <c r="D2526" i="1" s="1"/>
  <c r="B2527" i="1"/>
  <c r="D2527" i="1" s="1"/>
  <c r="B2528" i="1"/>
  <c r="D2528" i="1" s="1"/>
  <c r="B2529" i="1"/>
  <c r="D2529" i="1" s="1"/>
  <c r="B2530" i="1"/>
  <c r="B2531" i="1"/>
  <c r="B2532" i="1"/>
  <c r="B2533" i="1"/>
  <c r="B2534" i="1"/>
  <c r="B2535" i="1"/>
  <c r="B2536" i="1"/>
  <c r="B2537" i="1"/>
  <c r="B2538" i="1"/>
  <c r="B2539" i="1"/>
  <c r="D2539" i="1" s="1"/>
  <c r="B2540" i="1"/>
  <c r="D2540" i="1" s="1"/>
  <c r="B2541" i="1"/>
  <c r="B2542" i="1"/>
  <c r="D2542" i="1" s="1"/>
  <c r="B2543" i="1"/>
  <c r="D2543" i="1" s="1"/>
  <c r="B2544" i="1"/>
  <c r="D2544" i="1" s="1"/>
  <c r="B2545" i="1"/>
  <c r="D2545" i="1" s="1"/>
  <c r="B2546" i="1"/>
  <c r="B2547" i="1"/>
  <c r="B2548" i="1"/>
  <c r="D2548" i="1" s="1"/>
  <c r="B2549" i="1"/>
  <c r="B2550" i="1"/>
  <c r="B2551" i="1"/>
  <c r="B2552" i="1"/>
  <c r="B2553" i="1"/>
  <c r="B2554" i="1"/>
  <c r="B2555" i="1"/>
  <c r="D2555" i="1" s="1"/>
  <c r="B2556" i="1"/>
  <c r="D2556" i="1" s="1"/>
  <c r="B2557" i="1"/>
  <c r="B2558" i="1"/>
  <c r="D2558" i="1" s="1"/>
  <c r="B2559" i="1"/>
  <c r="D2559" i="1" s="1"/>
  <c r="B2560" i="1"/>
  <c r="D2560" i="1" s="1"/>
  <c r="B2561" i="1"/>
  <c r="D2561" i="1" s="1"/>
  <c r="B2562" i="1"/>
  <c r="B2563" i="1"/>
  <c r="B2564" i="1"/>
  <c r="D2564" i="1" s="1"/>
  <c r="B2565" i="1"/>
  <c r="B2566" i="1"/>
  <c r="B2567" i="1"/>
  <c r="B2568" i="1"/>
  <c r="B2569" i="1"/>
  <c r="B2570" i="1"/>
  <c r="B2571" i="1"/>
  <c r="D2571" i="1" s="1"/>
  <c r="B2572" i="1"/>
  <c r="B2573" i="1"/>
  <c r="B2574" i="1"/>
  <c r="D2574" i="1" s="1"/>
  <c r="B2575" i="1"/>
  <c r="D2575" i="1" s="1"/>
  <c r="B2576" i="1"/>
  <c r="D2576" i="1" s="1"/>
  <c r="B2577" i="1"/>
  <c r="D2577" i="1" s="1"/>
  <c r="B2578" i="1"/>
  <c r="B2579" i="1"/>
  <c r="D2579" i="1" s="1"/>
  <c r="B2580" i="1"/>
  <c r="D2580" i="1" s="1"/>
  <c r="B2581" i="1"/>
  <c r="B2582" i="1"/>
  <c r="B2583" i="1"/>
  <c r="B2584" i="1"/>
  <c r="B2585" i="1"/>
  <c r="B2586" i="1"/>
  <c r="B2587" i="1"/>
  <c r="D2587" i="1" s="1"/>
  <c r="B2588" i="1"/>
  <c r="B2589" i="1"/>
  <c r="B2590" i="1"/>
  <c r="D2590" i="1" s="1"/>
  <c r="B2591" i="1"/>
  <c r="D2591" i="1" s="1"/>
  <c r="B2592" i="1"/>
  <c r="D2592" i="1" s="1"/>
  <c r="B2593" i="1"/>
  <c r="D2593" i="1" s="1"/>
  <c r="B2594" i="1"/>
  <c r="B2595" i="1"/>
  <c r="D2595" i="1" s="1"/>
  <c r="B2596" i="1"/>
  <c r="D2596" i="1" s="1"/>
  <c r="B2597" i="1"/>
  <c r="B2598" i="1"/>
  <c r="B2599" i="1"/>
  <c r="B2600" i="1"/>
  <c r="B2601" i="1"/>
  <c r="B2602" i="1"/>
  <c r="B2603" i="1"/>
  <c r="D2603" i="1" s="1"/>
  <c r="B2604" i="1"/>
  <c r="B2605" i="1"/>
  <c r="B2606" i="1"/>
  <c r="B2607" i="1"/>
  <c r="D2607" i="1" s="1"/>
  <c r="B2608" i="1"/>
  <c r="D2608" i="1" s="1"/>
  <c r="B2609" i="1"/>
  <c r="D2609" i="1" s="1"/>
  <c r="B2610" i="1"/>
  <c r="B2611" i="1"/>
  <c r="D2611" i="1" s="1"/>
  <c r="B2612" i="1"/>
  <c r="D2612" i="1" s="1"/>
  <c r="B2613" i="1"/>
  <c r="B2614" i="1"/>
  <c r="B2615" i="1"/>
  <c r="B2616" i="1"/>
  <c r="B2617" i="1"/>
  <c r="B2618" i="1"/>
  <c r="B2619" i="1"/>
  <c r="D2619" i="1" s="1"/>
  <c r="B2620" i="1"/>
  <c r="B2621" i="1"/>
  <c r="B2622" i="1"/>
  <c r="B2623" i="1"/>
  <c r="B2624" i="1"/>
  <c r="D2624" i="1" s="1"/>
  <c r="B2625" i="1"/>
  <c r="D2625" i="1" s="1"/>
  <c r="B2626" i="1"/>
  <c r="B2627" i="1"/>
  <c r="D2627" i="1" s="1"/>
  <c r="B2628" i="1"/>
  <c r="D2628" i="1" s="1"/>
  <c r="B2629" i="1"/>
  <c r="B2630" i="1"/>
  <c r="B2631" i="1"/>
  <c r="B2632" i="1"/>
  <c r="B2633" i="1"/>
  <c r="B2634" i="1"/>
  <c r="B2635" i="1"/>
  <c r="D2635" i="1" s="1"/>
  <c r="B2636" i="1"/>
  <c r="D2636" i="1" s="1"/>
  <c r="B2637" i="1"/>
  <c r="B2638" i="1"/>
  <c r="B2639" i="1"/>
  <c r="B2640" i="1"/>
  <c r="B2641" i="1"/>
  <c r="D2641" i="1" s="1"/>
  <c r="B2642" i="1"/>
  <c r="B2643" i="1"/>
  <c r="B2644" i="1"/>
  <c r="D2644" i="1" s="1"/>
  <c r="B2645" i="1"/>
  <c r="B2646" i="1"/>
  <c r="B2647" i="1"/>
  <c r="B2648" i="1"/>
  <c r="B2649" i="1"/>
  <c r="B2650" i="1"/>
  <c r="B2651" i="1"/>
  <c r="D2651" i="1" s="1"/>
  <c r="B2652" i="1"/>
  <c r="B2653" i="1"/>
  <c r="B2654" i="1"/>
  <c r="B2655" i="1"/>
  <c r="B2656" i="1"/>
  <c r="B2657" i="1"/>
  <c r="B2658" i="1"/>
  <c r="B2659" i="1"/>
  <c r="B2660" i="1"/>
  <c r="B2661" i="1"/>
  <c r="B2662" i="1"/>
  <c r="B2663" i="1"/>
  <c r="B2664" i="1"/>
  <c r="B2665" i="1"/>
  <c r="B2666" i="1"/>
  <c r="B2667" i="1"/>
  <c r="D2667" i="1" s="1"/>
  <c r="B2668" i="1"/>
  <c r="D2668" i="1" s="1"/>
  <c r="B2669" i="1"/>
  <c r="B2670" i="1"/>
  <c r="D2670" i="1" s="1"/>
  <c r="B2671" i="1"/>
  <c r="B2672" i="1"/>
  <c r="B2673" i="1"/>
  <c r="B2674" i="1"/>
  <c r="B2675" i="1"/>
  <c r="B2676" i="1"/>
  <c r="D2676" i="1" s="1"/>
  <c r="B2677" i="1"/>
  <c r="B2678" i="1"/>
  <c r="B2679" i="1"/>
  <c r="B2680" i="1"/>
  <c r="B2681" i="1"/>
  <c r="B2682" i="1"/>
  <c r="B2683" i="1"/>
  <c r="D2683" i="1" s="1"/>
  <c r="B2684" i="1"/>
  <c r="D2684" i="1" s="1"/>
  <c r="B2685" i="1"/>
  <c r="B2686" i="1"/>
  <c r="B2687" i="1"/>
  <c r="D2687" i="1" s="1"/>
  <c r="B2688" i="1"/>
  <c r="B2689" i="1"/>
  <c r="B2690" i="1"/>
  <c r="B2691" i="1"/>
  <c r="B2692" i="1"/>
  <c r="D2692" i="1" s="1"/>
  <c r="B2693" i="1"/>
  <c r="B2694" i="1"/>
  <c r="B2695" i="1"/>
  <c r="B2696" i="1"/>
  <c r="B2697" i="1"/>
  <c r="B2698" i="1"/>
  <c r="B2699" i="1"/>
  <c r="D2699" i="1" s="1"/>
  <c r="B2700" i="1"/>
  <c r="D2700" i="1" s="1"/>
  <c r="B2701" i="1"/>
  <c r="B2702" i="1"/>
  <c r="D2702" i="1" s="1"/>
  <c r="B2703" i="1"/>
  <c r="B2704" i="1"/>
  <c r="D2704" i="1" s="1"/>
  <c r="B2705" i="1"/>
  <c r="B2706" i="1"/>
  <c r="B2707" i="1"/>
  <c r="B2708" i="1"/>
  <c r="B2709" i="1"/>
  <c r="B2710" i="1"/>
  <c r="B2711" i="1"/>
  <c r="B2712" i="1"/>
  <c r="B2713" i="1"/>
  <c r="B2714" i="1"/>
  <c r="D2714" i="1" s="1"/>
  <c r="B2715" i="1"/>
  <c r="D2715" i="1" s="1"/>
  <c r="B2716" i="1"/>
  <c r="D2716" i="1" s="1"/>
  <c r="B2717" i="1"/>
  <c r="B2718" i="1"/>
  <c r="D2718" i="1" s="1"/>
  <c r="B2719" i="1"/>
  <c r="D2719" i="1" s="1"/>
  <c r="B2720" i="1"/>
  <c r="B2721" i="1"/>
  <c r="D2721" i="1" s="1"/>
  <c r="B2722" i="1"/>
  <c r="B2723" i="1"/>
  <c r="B2724" i="1"/>
  <c r="B2725" i="1"/>
  <c r="B2726" i="1"/>
  <c r="B2727" i="1"/>
  <c r="B2728" i="1"/>
  <c r="B2729" i="1"/>
  <c r="B2730" i="1"/>
  <c r="D2730" i="1" s="1"/>
  <c r="B2731" i="1"/>
  <c r="D2731" i="1" s="1"/>
  <c r="B2732" i="1"/>
  <c r="D2732" i="1" s="1"/>
  <c r="B2733" i="1"/>
  <c r="B2734" i="1"/>
  <c r="D2734" i="1" s="1"/>
  <c r="B2735" i="1"/>
  <c r="D2735" i="1" s="1"/>
  <c r="B2736" i="1"/>
  <c r="D2736" i="1" s="1"/>
  <c r="B2737" i="1"/>
  <c r="B2738" i="1"/>
  <c r="B2739" i="1"/>
  <c r="B2740" i="1"/>
  <c r="B2741" i="1"/>
  <c r="B2742" i="1"/>
  <c r="B2743" i="1"/>
  <c r="B2744" i="1"/>
  <c r="B2745" i="1"/>
  <c r="B2746" i="1"/>
  <c r="D2746" i="1" s="1"/>
  <c r="B2747" i="1"/>
  <c r="D2747" i="1" s="1"/>
  <c r="B2748" i="1"/>
  <c r="D2748" i="1" s="1"/>
  <c r="B2749" i="1"/>
  <c r="B2750" i="1"/>
  <c r="D2750" i="1" s="1"/>
  <c r="B2751" i="1"/>
  <c r="D2751" i="1" s="1"/>
  <c r="B2752" i="1"/>
  <c r="D2752" i="1" s="1"/>
  <c r="B2753" i="1"/>
  <c r="D2753" i="1" s="1"/>
  <c r="B2754" i="1"/>
  <c r="B2755" i="1"/>
  <c r="B2756" i="1"/>
  <c r="B2757" i="1"/>
  <c r="B2758" i="1"/>
  <c r="B2759" i="1"/>
  <c r="B2760" i="1"/>
  <c r="B2761" i="1"/>
  <c r="B2762" i="1"/>
  <c r="B2763" i="1"/>
  <c r="D2763" i="1" s="1"/>
  <c r="B2764" i="1"/>
  <c r="D2764" i="1" s="1"/>
  <c r="B2765" i="1"/>
  <c r="B2766" i="1"/>
  <c r="D2766" i="1" s="1"/>
  <c r="B2767" i="1"/>
  <c r="D2767" i="1" s="1"/>
  <c r="B2768" i="1"/>
  <c r="D2768" i="1" s="1"/>
  <c r="B2769" i="1"/>
  <c r="D2769" i="1" s="1"/>
  <c r="B2770" i="1"/>
  <c r="B2771" i="1"/>
  <c r="B2772" i="1"/>
  <c r="D2772" i="1" s="1"/>
  <c r="B2773" i="1"/>
  <c r="B2774" i="1"/>
  <c r="B2775" i="1"/>
  <c r="B2776" i="1"/>
  <c r="B2777" i="1"/>
  <c r="B2778" i="1"/>
  <c r="B2779" i="1"/>
  <c r="D2779" i="1" s="1"/>
  <c r="B2780" i="1"/>
  <c r="B2781" i="1"/>
  <c r="B2782" i="1"/>
  <c r="D2782" i="1" s="1"/>
  <c r="B2783" i="1"/>
  <c r="D2783" i="1" s="1"/>
  <c r="B2784" i="1"/>
  <c r="D2784" i="1" s="1"/>
  <c r="B2785" i="1"/>
  <c r="D2785" i="1" s="1"/>
  <c r="B2786" i="1"/>
  <c r="B2787" i="1"/>
  <c r="B2788" i="1"/>
  <c r="B2789" i="1"/>
  <c r="B2790" i="1"/>
  <c r="B2791" i="1"/>
  <c r="B2792" i="1"/>
  <c r="B2793" i="1"/>
  <c r="B2794" i="1"/>
  <c r="B2795" i="1"/>
  <c r="D2795" i="1" s="1"/>
  <c r="B2796" i="1"/>
  <c r="D2796" i="1" s="1"/>
  <c r="B2797" i="1"/>
  <c r="B2798" i="1"/>
  <c r="D2798" i="1" s="1"/>
  <c r="B2799" i="1"/>
  <c r="D2799" i="1" s="1"/>
  <c r="B2800" i="1"/>
  <c r="D2800" i="1" s="1"/>
  <c r="B2801" i="1"/>
  <c r="D2801" i="1" s="1"/>
  <c r="B2802" i="1"/>
  <c r="B2803" i="1"/>
  <c r="B2804" i="1"/>
  <c r="D2804" i="1" s="1"/>
  <c r="B2805" i="1"/>
  <c r="B2806" i="1"/>
  <c r="B2807" i="1"/>
  <c r="B2808" i="1"/>
  <c r="B2809" i="1"/>
  <c r="B2810" i="1"/>
  <c r="B2811" i="1"/>
  <c r="D2811" i="1" s="1"/>
  <c r="B2812" i="1"/>
  <c r="D2812" i="1" s="1"/>
  <c r="B2813" i="1"/>
  <c r="B2814" i="1"/>
  <c r="D2814" i="1" s="1"/>
  <c r="B2815" i="1"/>
  <c r="D2815" i="1" s="1"/>
  <c r="B2816" i="1"/>
  <c r="D2816" i="1" s="1"/>
  <c r="B2817" i="1"/>
  <c r="D2817" i="1" s="1"/>
  <c r="B2818" i="1"/>
  <c r="B2819" i="1"/>
  <c r="B2820" i="1"/>
  <c r="D2820" i="1" s="1"/>
  <c r="B2821" i="1"/>
  <c r="B2822" i="1"/>
  <c r="B2823" i="1"/>
  <c r="B2824" i="1"/>
  <c r="B2825" i="1"/>
  <c r="B2826" i="1"/>
  <c r="B2827" i="1"/>
  <c r="D2827" i="1" s="1"/>
  <c r="B2828" i="1"/>
  <c r="B2829" i="1"/>
  <c r="B2830" i="1"/>
  <c r="D2830" i="1" s="1"/>
  <c r="B2831" i="1"/>
  <c r="B2832" i="1"/>
  <c r="D2832" i="1" s="1"/>
  <c r="B2833" i="1"/>
  <c r="D2833" i="1" s="1"/>
  <c r="B2834" i="1"/>
  <c r="B2835" i="1"/>
  <c r="D2835" i="1" s="1"/>
  <c r="B2836" i="1"/>
  <c r="B2837" i="1"/>
  <c r="B2838" i="1"/>
  <c r="B2839" i="1"/>
  <c r="B2840" i="1"/>
  <c r="B2841" i="1"/>
  <c r="B2842" i="1"/>
  <c r="B2843" i="1"/>
  <c r="D2843" i="1" s="1"/>
  <c r="B2844" i="1"/>
  <c r="B2845" i="1"/>
  <c r="B2846" i="1"/>
  <c r="D2846" i="1" s="1"/>
  <c r="B2847" i="1"/>
  <c r="D2847" i="1" s="1"/>
  <c r="B2848" i="1"/>
  <c r="B2849" i="1"/>
  <c r="D2849" i="1" s="1"/>
  <c r="B2850"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099" i="1"/>
  <c r="C1100" i="1"/>
  <c r="C1101" i="1"/>
  <c r="C1102" i="1"/>
  <c r="C1103" i="1"/>
  <c r="C1104" i="1"/>
  <c r="C1105" i="1"/>
  <c r="C1106" i="1"/>
  <c r="C1107" i="1"/>
  <c r="C1108" i="1"/>
  <c r="C1109" i="1"/>
  <c r="C1110" i="1"/>
  <c r="C1111" i="1"/>
  <c r="C1112" i="1"/>
  <c r="C1113" i="1"/>
  <c r="C1114"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0" i="1"/>
  <c r="C1141" i="1"/>
  <c r="C1142" i="1"/>
  <c r="C1143" i="1"/>
  <c r="C1144" i="1"/>
  <c r="C1145" i="1"/>
  <c r="C1146" i="1"/>
  <c r="C1147" i="1"/>
  <c r="C1148" i="1"/>
  <c r="C1149" i="1"/>
  <c r="C1150" i="1"/>
  <c r="C1151" i="1"/>
  <c r="C1152" i="1"/>
  <c r="C1153" i="1"/>
  <c r="C1154" i="1"/>
  <c r="C1155"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1187" i="1"/>
  <c r="C1188" i="1"/>
  <c r="C1189" i="1"/>
  <c r="C1190" i="1"/>
  <c r="C1191" i="1"/>
  <c r="C1192" i="1"/>
  <c r="C1193" i="1"/>
  <c r="C1194" i="1"/>
  <c r="C1195" i="1"/>
  <c r="C1196" i="1"/>
  <c r="C1197" i="1"/>
  <c r="C1198" i="1"/>
  <c r="C1199" i="1"/>
  <c r="C1200" i="1"/>
  <c r="C1201" i="1"/>
  <c r="C1202" i="1"/>
  <c r="C1203" i="1"/>
  <c r="C1204" i="1"/>
  <c r="C1205" i="1"/>
  <c r="C1206" i="1"/>
  <c r="C1207" i="1"/>
  <c r="C1208"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C1232" i="1"/>
  <c r="C1233" i="1"/>
  <c r="C1234" i="1"/>
  <c r="C1235" i="1"/>
  <c r="C1236" i="1"/>
  <c r="C1237" i="1"/>
  <c r="C1238" i="1"/>
  <c r="C1239" i="1"/>
  <c r="C1240" i="1"/>
  <c r="C1241" i="1"/>
  <c r="C1242" i="1"/>
  <c r="C1243" i="1"/>
  <c r="C1244" i="1"/>
  <c r="C1245" i="1"/>
  <c r="C1246" i="1"/>
  <c r="C1247" i="1"/>
  <c r="C1248" i="1"/>
  <c r="C1249" i="1"/>
  <c r="C1250" i="1"/>
  <c r="C1251" i="1"/>
  <c r="C1252" i="1"/>
  <c r="C1253" i="1"/>
  <c r="C1254" i="1"/>
  <c r="C1255" i="1"/>
  <c r="C1256" i="1"/>
  <c r="C1257" i="1"/>
  <c r="C1258" i="1"/>
  <c r="C1259" i="1"/>
  <c r="C1260" i="1"/>
  <c r="C1261" i="1"/>
  <c r="C1262" i="1"/>
  <c r="C1263" i="1"/>
  <c r="C1264" i="1"/>
  <c r="C1265" i="1"/>
  <c r="C1266" i="1"/>
  <c r="C1267" i="1"/>
  <c r="C1268" i="1"/>
  <c r="C1269" i="1"/>
  <c r="C1270" i="1"/>
  <c r="C1271" i="1"/>
  <c r="C1272" i="1"/>
  <c r="C1273" i="1"/>
  <c r="C1274" i="1"/>
  <c r="C1275" i="1"/>
  <c r="C1276" i="1"/>
  <c r="C1277" i="1"/>
  <c r="C1278" i="1"/>
  <c r="C1279" i="1"/>
  <c r="C1280" i="1"/>
  <c r="C1281" i="1"/>
  <c r="C1282" i="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420" i="1"/>
  <c r="C1421" i="1"/>
  <c r="C1422" i="1"/>
  <c r="C1423" i="1"/>
  <c r="C1424" i="1"/>
  <c r="C1425" i="1"/>
  <c r="C1426" i="1"/>
  <c r="C1427" i="1"/>
  <c r="C1428" i="1"/>
  <c r="C1429" i="1"/>
  <c r="C1430" i="1"/>
  <c r="C1431" i="1"/>
  <c r="C1432" i="1"/>
  <c r="C1433" i="1"/>
  <c r="C1434" i="1"/>
  <c r="C1435" i="1"/>
  <c r="C1436" i="1"/>
  <c r="C1437" i="1"/>
  <c r="C1438" i="1"/>
  <c r="C1439" i="1"/>
  <c r="C1440" i="1"/>
  <c r="C1441" i="1"/>
  <c r="C1442" i="1"/>
  <c r="C1443" i="1"/>
  <c r="C1444" i="1"/>
  <c r="C1445" i="1"/>
  <c r="C1446" i="1"/>
  <c r="C1447" i="1"/>
  <c r="C1448" i="1"/>
  <c r="C1449" i="1"/>
  <c r="C1450" i="1"/>
  <c r="C1451" i="1"/>
  <c r="C1452" i="1"/>
  <c r="C1453" i="1"/>
  <c r="C1454" i="1"/>
  <c r="C1455" i="1"/>
  <c r="C1456" i="1"/>
  <c r="C1457" i="1"/>
  <c r="C1458" i="1"/>
  <c r="C1459" i="1"/>
  <c r="C1460" i="1"/>
  <c r="C1461" i="1"/>
  <c r="C1462" i="1"/>
  <c r="C1463" i="1"/>
  <c r="C1464" i="1"/>
  <c r="C1465" i="1"/>
  <c r="C1466" i="1"/>
  <c r="C1467" i="1"/>
  <c r="C1468" i="1"/>
  <c r="C1469" i="1"/>
  <c r="C1470" i="1"/>
  <c r="C1471" i="1"/>
  <c r="C1472" i="1"/>
  <c r="C1473" i="1"/>
  <c r="C1474" i="1"/>
  <c r="C1475" i="1"/>
  <c r="C1476" i="1"/>
  <c r="C1477" i="1"/>
  <c r="C1478" i="1"/>
  <c r="C1479" i="1"/>
  <c r="C1480" i="1"/>
  <c r="C1481" i="1"/>
  <c r="C1482" i="1"/>
  <c r="C1483" i="1"/>
  <c r="C1484" i="1"/>
  <c r="C1485" i="1"/>
  <c r="C1486" i="1"/>
  <c r="C1487" i="1"/>
  <c r="C1488" i="1"/>
  <c r="C1489" i="1"/>
  <c r="C1490" i="1"/>
  <c r="C1491" i="1"/>
  <c r="C1492" i="1"/>
  <c r="C1493" i="1"/>
  <c r="C1494" i="1"/>
  <c r="C1495" i="1"/>
  <c r="C1496" i="1"/>
  <c r="C1497" i="1"/>
  <c r="C1498" i="1"/>
  <c r="C1499" i="1"/>
  <c r="C1500" i="1"/>
  <c r="C1501" i="1"/>
  <c r="C1502" i="1"/>
  <c r="C1503" i="1"/>
  <c r="C1504" i="1"/>
  <c r="C1505" i="1"/>
  <c r="C1506" i="1"/>
  <c r="C1507" i="1"/>
  <c r="C1508" i="1"/>
  <c r="C1509" i="1"/>
  <c r="C1510" i="1"/>
  <c r="C1511" i="1"/>
  <c r="C1512" i="1"/>
  <c r="C1513" i="1"/>
  <c r="C1514" i="1"/>
  <c r="C1515" i="1"/>
  <c r="C1516" i="1"/>
  <c r="C1517" i="1"/>
  <c r="C1518" i="1"/>
  <c r="C1519" i="1"/>
  <c r="C1520" i="1"/>
  <c r="C1521" i="1"/>
  <c r="C1522" i="1"/>
  <c r="C1523" i="1"/>
  <c r="C1524" i="1"/>
  <c r="C1525" i="1"/>
  <c r="C1526" i="1"/>
  <c r="C1527" i="1"/>
  <c r="C1528" i="1"/>
  <c r="C1529" i="1"/>
  <c r="C1530" i="1"/>
  <c r="C1531" i="1"/>
  <c r="C1532" i="1"/>
  <c r="C1533" i="1"/>
  <c r="C1534" i="1"/>
  <c r="C1535" i="1"/>
  <c r="C1536" i="1"/>
  <c r="C1537" i="1"/>
  <c r="C1538" i="1"/>
  <c r="C1539" i="1"/>
  <c r="C1540" i="1"/>
  <c r="C1541" i="1"/>
  <c r="C1542" i="1"/>
  <c r="C1543" i="1"/>
  <c r="C1544" i="1"/>
  <c r="C1545" i="1"/>
  <c r="C1546" i="1"/>
  <c r="C1547" i="1"/>
  <c r="C1548" i="1"/>
  <c r="C1549" i="1"/>
  <c r="C1550" i="1"/>
  <c r="C1551" i="1"/>
  <c r="C1552" i="1"/>
  <c r="C1553" i="1"/>
  <c r="C1554" i="1"/>
  <c r="C1555" i="1"/>
  <c r="C1556" i="1"/>
  <c r="C1557" i="1"/>
  <c r="C1558" i="1"/>
  <c r="C1559" i="1"/>
  <c r="C1560" i="1"/>
  <c r="C1561" i="1"/>
  <c r="C1562" i="1"/>
  <c r="C1563" i="1"/>
  <c r="C1564" i="1"/>
  <c r="C1565" i="1"/>
  <c r="C1566" i="1"/>
  <c r="C1567" i="1"/>
  <c r="C1568" i="1"/>
  <c r="C1569" i="1"/>
  <c r="C1570" i="1"/>
  <c r="C1571" i="1"/>
  <c r="C1572" i="1"/>
  <c r="C1573" i="1"/>
  <c r="C1574" i="1"/>
  <c r="C1575" i="1"/>
  <c r="C1576" i="1"/>
  <c r="C1577" i="1"/>
  <c r="C1578" i="1"/>
  <c r="C1579" i="1"/>
  <c r="C1580" i="1"/>
  <c r="C1581" i="1"/>
  <c r="C1582" i="1"/>
  <c r="C1583" i="1"/>
  <c r="C1584" i="1"/>
  <c r="C1585" i="1"/>
  <c r="C1586" i="1"/>
  <c r="C1587" i="1"/>
  <c r="C1588" i="1"/>
  <c r="C1589" i="1"/>
  <c r="C1590" i="1"/>
  <c r="C1591" i="1"/>
  <c r="C1592" i="1"/>
  <c r="C1593" i="1"/>
  <c r="C1594" i="1"/>
  <c r="C1595" i="1"/>
  <c r="C1596" i="1"/>
  <c r="C1597" i="1"/>
  <c r="C1598" i="1"/>
  <c r="C1599" i="1"/>
  <c r="C1600" i="1"/>
  <c r="C1601" i="1"/>
  <c r="C1602" i="1"/>
  <c r="C1603" i="1"/>
  <c r="C1604" i="1"/>
  <c r="C1605" i="1"/>
  <c r="C1606" i="1"/>
  <c r="C1607" i="1"/>
  <c r="C1608" i="1"/>
  <c r="C1609" i="1"/>
  <c r="C1610" i="1"/>
  <c r="C1611" i="1"/>
  <c r="C1612" i="1"/>
  <c r="C1613" i="1"/>
  <c r="C1614" i="1"/>
  <c r="C1615" i="1"/>
  <c r="C1616" i="1"/>
  <c r="C1617" i="1"/>
  <c r="C1618" i="1"/>
  <c r="C1619" i="1"/>
  <c r="C1620" i="1"/>
  <c r="C1621" i="1"/>
  <c r="C1622" i="1"/>
  <c r="C1623" i="1"/>
  <c r="C1624" i="1"/>
  <c r="C1625" i="1"/>
  <c r="C1626" i="1"/>
  <c r="C1627" i="1"/>
  <c r="C1628" i="1"/>
  <c r="C1629" i="1"/>
  <c r="C1630" i="1"/>
  <c r="C1631" i="1"/>
  <c r="C1632" i="1"/>
  <c r="C1633" i="1"/>
  <c r="C1634" i="1"/>
  <c r="C1635" i="1"/>
  <c r="C1636" i="1"/>
  <c r="C1637" i="1"/>
  <c r="C1638" i="1"/>
  <c r="C1639" i="1"/>
  <c r="C1640" i="1"/>
  <c r="C1641" i="1"/>
  <c r="C1642" i="1"/>
  <c r="C1643" i="1"/>
  <c r="C1644" i="1"/>
  <c r="C1645" i="1"/>
  <c r="C1646" i="1"/>
  <c r="C1647" i="1"/>
  <c r="C1648" i="1"/>
  <c r="C1649" i="1"/>
  <c r="C1650" i="1"/>
  <c r="C1651" i="1"/>
  <c r="C1652" i="1"/>
  <c r="C1653" i="1"/>
  <c r="C1654" i="1"/>
  <c r="C1655" i="1"/>
  <c r="C1656" i="1"/>
  <c r="C1657" i="1"/>
  <c r="C1658" i="1"/>
  <c r="C1659" i="1"/>
  <c r="C1660" i="1"/>
  <c r="C1661" i="1"/>
  <c r="C1662" i="1"/>
  <c r="C1663" i="1"/>
  <c r="C1664" i="1"/>
  <c r="C1665" i="1"/>
  <c r="C1666" i="1"/>
  <c r="C1667" i="1"/>
  <c r="C1668" i="1"/>
  <c r="C1669" i="1"/>
  <c r="C1670" i="1"/>
  <c r="C1671" i="1"/>
  <c r="C1672" i="1"/>
  <c r="C1673" i="1"/>
  <c r="C1674" i="1"/>
  <c r="C1675" i="1"/>
  <c r="C1676" i="1"/>
  <c r="C1677" i="1"/>
  <c r="C1678" i="1"/>
  <c r="C1679" i="1"/>
  <c r="C1680" i="1"/>
  <c r="C1681" i="1"/>
  <c r="C1682" i="1"/>
  <c r="C1683" i="1"/>
  <c r="C1684" i="1"/>
  <c r="C1685" i="1"/>
  <c r="C1686" i="1"/>
  <c r="C1687" i="1"/>
  <c r="C1688" i="1"/>
  <c r="C1689" i="1"/>
  <c r="C1690" i="1"/>
  <c r="C1691" i="1"/>
  <c r="C1692" i="1"/>
  <c r="C1693" i="1"/>
  <c r="C1694" i="1"/>
  <c r="C1695" i="1"/>
  <c r="C1696" i="1"/>
  <c r="C1697" i="1"/>
  <c r="C1698" i="1"/>
  <c r="C1699" i="1"/>
  <c r="C1700" i="1"/>
  <c r="C1701" i="1"/>
  <c r="C1702" i="1"/>
  <c r="C1703" i="1"/>
  <c r="C1704" i="1"/>
  <c r="C1705" i="1"/>
  <c r="C1706" i="1"/>
  <c r="C1707" i="1"/>
  <c r="C1708" i="1"/>
  <c r="C1709" i="1"/>
  <c r="C1710" i="1"/>
  <c r="C1711" i="1"/>
  <c r="C1712" i="1"/>
  <c r="C1713" i="1"/>
  <c r="C1714" i="1"/>
  <c r="C1715" i="1"/>
  <c r="C1716" i="1"/>
  <c r="C1717" i="1"/>
  <c r="C1718" i="1"/>
  <c r="C1719" i="1"/>
  <c r="C1720" i="1"/>
  <c r="C1721" i="1"/>
  <c r="C1722" i="1"/>
  <c r="C1723" i="1"/>
  <c r="C1724" i="1"/>
  <c r="C1725" i="1"/>
  <c r="C1726" i="1"/>
  <c r="C1727" i="1"/>
  <c r="C1728" i="1"/>
  <c r="C1729" i="1"/>
  <c r="C1730" i="1"/>
  <c r="C1731" i="1"/>
  <c r="C1732" i="1"/>
  <c r="C1733" i="1"/>
  <c r="C1734" i="1"/>
  <c r="C1735" i="1"/>
  <c r="C1736" i="1"/>
  <c r="C1737" i="1"/>
  <c r="C1738" i="1"/>
  <c r="C1739" i="1"/>
  <c r="C1740" i="1"/>
  <c r="C1741" i="1"/>
  <c r="C1742" i="1"/>
  <c r="C1743" i="1"/>
  <c r="C1744" i="1"/>
  <c r="C1745" i="1"/>
  <c r="C1746" i="1"/>
  <c r="C1747" i="1"/>
  <c r="C1748" i="1"/>
  <c r="C1749" i="1"/>
  <c r="C1750" i="1"/>
  <c r="C1751" i="1"/>
  <c r="C1752" i="1"/>
  <c r="C1753" i="1"/>
  <c r="C1754" i="1"/>
  <c r="C1755" i="1"/>
  <c r="C1756" i="1"/>
  <c r="C1757" i="1"/>
  <c r="C1758" i="1"/>
  <c r="C1759" i="1"/>
  <c r="C1760" i="1"/>
  <c r="C1761" i="1"/>
  <c r="C1762" i="1"/>
  <c r="C1763" i="1"/>
  <c r="C1764" i="1"/>
  <c r="C1765" i="1"/>
  <c r="C1766" i="1"/>
  <c r="C1767" i="1"/>
  <c r="C1768" i="1"/>
  <c r="C1769" i="1"/>
  <c r="C1770" i="1"/>
  <c r="C1771" i="1"/>
  <c r="C1772" i="1"/>
  <c r="C1773" i="1"/>
  <c r="C1774" i="1"/>
  <c r="C1775" i="1"/>
  <c r="C1776" i="1"/>
  <c r="C1777" i="1"/>
  <c r="C1778" i="1"/>
  <c r="C1779" i="1"/>
  <c r="C1780" i="1"/>
  <c r="C1781" i="1"/>
  <c r="C1782" i="1"/>
  <c r="C1783" i="1"/>
  <c r="C1784" i="1"/>
  <c r="C1785" i="1"/>
  <c r="C1786" i="1"/>
  <c r="C1787" i="1"/>
  <c r="C1788" i="1"/>
  <c r="C1789" i="1"/>
  <c r="C1790" i="1"/>
  <c r="C1791" i="1"/>
  <c r="C1792" i="1"/>
  <c r="C1793" i="1"/>
  <c r="C1794" i="1"/>
  <c r="C1795" i="1"/>
  <c r="C1796" i="1"/>
  <c r="C1797" i="1"/>
  <c r="C1798" i="1"/>
  <c r="C1799" i="1"/>
  <c r="C1800" i="1"/>
  <c r="C1801" i="1"/>
  <c r="C1802" i="1"/>
  <c r="C1803" i="1"/>
  <c r="C1804" i="1"/>
  <c r="C1805" i="1"/>
  <c r="C1806" i="1"/>
  <c r="C1807" i="1"/>
  <c r="C1808" i="1"/>
  <c r="C1809" i="1"/>
  <c r="C1810" i="1"/>
  <c r="C1811" i="1"/>
  <c r="C1812" i="1"/>
  <c r="C1813" i="1"/>
  <c r="C1814" i="1"/>
  <c r="C1815" i="1"/>
  <c r="C1816" i="1"/>
  <c r="C1817" i="1"/>
  <c r="C1818" i="1"/>
  <c r="C1819" i="1"/>
  <c r="C1820" i="1"/>
  <c r="C1821" i="1"/>
  <c r="C1822" i="1"/>
  <c r="C1823" i="1"/>
  <c r="C1824" i="1"/>
  <c r="C1825" i="1"/>
  <c r="C1826" i="1"/>
  <c r="C1827" i="1"/>
  <c r="C1828" i="1"/>
  <c r="C1829" i="1"/>
  <c r="C1830" i="1"/>
  <c r="C1831" i="1"/>
  <c r="C1832" i="1"/>
  <c r="C1833" i="1"/>
  <c r="C1834" i="1"/>
  <c r="C1835" i="1"/>
  <c r="C1836" i="1"/>
  <c r="C1837" i="1"/>
  <c r="C1838" i="1"/>
  <c r="C1839" i="1"/>
  <c r="C1840" i="1"/>
  <c r="C1841" i="1"/>
  <c r="C1842" i="1"/>
  <c r="C1843" i="1"/>
  <c r="C1844" i="1"/>
  <c r="C1845" i="1"/>
  <c r="C1846" i="1"/>
  <c r="C1847" i="1"/>
  <c r="C1848" i="1"/>
  <c r="C1849" i="1"/>
  <c r="C1850" i="1"/>
  <c r="C1851" i="1"/>
  <c r="C1852" i="1"/>
  <c r="C1853" i="1"/>
  <c r="C1854" i="1"/>
  <c r="C1855" i="1"/>
  <c r="C1856" i="1"/>
  <c r="C1857" i="1"/>
  <c r="C1858" i="1"/>
  <c r="C1859" i="1"/>
  <c r="C1860" i="1"/>
  <c r="C1861" i="1"/>
  <c r="C1862" i="1"/>
  <c r="C1863" i="1"/>
  <c r="C1864" i="1"/>
  <c r="C1865" i="1"/>
  <c r="C1866" i="1"/>
  <c r="C1867" i="1"/>
  <c r="C1868" i="1"/>
  <c r="C1869" i="1"/>
  <c r="C1870" i="1"/>
  <c r="C1871" i="1"/>
  <c r="C1872" i="1"/>
  <c r="C1873" i="1"/>
  <c r="C1874" i="1"/>
  <c r="C1875" i="1"/>
  <c r="C1876" i="1"/>
  <c r="C1877" i="1"/>
  <c r="C1878" i="1"/>
  <c r="C1879" i="1"/>
  <c r="C1880" i="1"/>
  <c r="C1881" i="1"/>
  <c r="C1882" i="1"/>
  <c r="C1883" i="1"/>
  <c r="C1884" i="1"/>
  <c r="C1885" i="1"/>
  <c r="C1886" i="1"/>
  <c r="C1887" i="1"/>
  <c r="C1888" i="1"/>
  <c r="C1889" i="1"/>
  <c r="C1890" i="1"/>
  <c r="C1891" i="1"/>
  <c r="C1892" i="1"/>
  <c r="C1893" i="1"/>
  <c r="C1894" i="1"/>
  <c r="C1895" i="1"/>
  <c r="C1896" i="1"/>
  <c r="C1897" i="1"/>
  <c r="C1898" i="1"/>
  <c r="C1899" i="1"/>
  <c r="C1900" i="1"/>
  <c r="C1901" i="1"/>
  <c r="C1902" i="1"/>
  <c r="C1903" i="1"/>
  <c r="C1904" i="1"/>
  <c r="C1905" i="1"/>
  <c r="C1906" i="1"/>
  <c r="C1907" i="1"/>
  <c r="C1908" i="1"/>
  <c r="C1909" i="1"/>
  <c r="C1910" i="1"/>
  <c r="C1911" i="1"/>
  <c r="C1912" i="1"/>
  <c r="C1913" i="1"/>
  <c r="C1914" i="1"/>
  <c r="C1915" i="1"/>
  <c r="C1916" i="1"/>
  <c r="C1917" i="1"/>
  <c r="C1918" i="1"/>
  <c r="C1919" i="1"/>
  <c r="C1920" i="1"/>
  <c r="C1921" i="1"/>
  <c r="C1922" i="1"/>
  <c r="C1923" i="1"/>
  <c r="C1924" i="1"/>
  <c r="C1925" i="1"/>
  <c r="C1926" i="1"/>
  <c r="C1927" i="1"/>
  <c r="C1928" i="1"/>
  <c r="C1929" i="1"/>
  <c r="C1930" i="1"/>
  <c r="C1931" i="1"/>
  <c r="C1932" i="1"/>
  <c r="C1933" i="1"/>
  <c r="C1934" i="1"/>
  <c r="C1935" i="1"/>
  <c r="C1936" i="1"/>
  <c r="C1937" i="1"/>
  <c r="C1938" i="1"/>
  <c r="C1939" i="1"/>
  <c r="C1940" i="1"/>
  <c r="C1941" i="1"/>
  <c r="C1942" i="1"/>
  <c r="C1943" i="1"/>
  <c r="C1944" i="1"/>
  <c r="C1945" i="1"/>
  <c r="C1946" i="1"/>
  <c r="C1947" i="1"/>
  <c r="C1948" i="1"/>
  <c r="C1949" i="1"/>
  <c r="C1950" i="1"/>
  <c r="C1951" i="1"/>
  <c r="C1952" i="1"/>
  <c r="C1953" i="1"/>
  <c r="C1954" i="1"/>
  <c r="C1955" i="1"/>
  <c r="C1956" i="1"/>
  <c r="C1957" i="1"/>
  <c r="C1958" i="1"/>
  <c r="C1959" i="1"/>
  <c r="C1960" i="1"/>
  <c r="C1961" i="1"/>
  <c r="C1962" i="1"/>
  <c r="C1963" i="1"/>
  <c r="C1964" i="1"/>
  <c r="C1965" i="1"/>
  <c r="C1966" i="1"/>
  <c r="C1967" i="1"/>
  <c r="C1968" i="1"/>
  <c r="C1969" i="1"/>
  <c r="C1970" i="1"/>
  <c r="C1971" i="1"/>
  <c r="C1972" i="1"/>
  <c r="C1973" i="1"/>
  <c r="C1974" i="1"/>
  <c r="C1975" i="1"/>
  <c r="C1976" i="1"/>
  <c r="C1977" i="1"/>
  <c r="C1978" i="1"/>
  <c r="C1979" i="1"/>
  <c r="C1980" i="1"/>
  <c r="C1981" i="1"/>
  <c r="C1982" i="1"/>
  <c r="C1983" i="1"/>
  <c r="C1984" i="1"/>
  <c r="C1985" i="1"/>
  <c r="C1986" i="1"/>
  <c r="C1987" i="1"/>
  <c r="C1988" i="1"/>
  <c r="C1989" i="1"/>
  <c r="C1990" i="1"/>
  <c r="C1991" i="1"/>
  <c r="C1992" i="1"/>
  <c r="C1993" i="1"/>
  <c r="C1994" i="1"/>
  <c r="C1995" i="1"/>
  <c r="C1996" i="1"/>
  <c r="C1997" i="1"/>
  <c r="C1998" i="1"/>
  <c r="C1999" i="1"/>
  <c r="C2000" i="1"/>
  <c r="C2001" i="1"/>
  <c r="C2002" i="1"/>
  <c r="C2003" i="1"/>
  <c r="C2004" i="1"/>
  <c r="C2005" i="1"/>
  <c r="C2006" i="1"/>
  <c r="C2007" i="1"/>
  <c r="C2008" i="1"/>
  <c r="C2009" i="1"/>
  <c r="C2010" i="1"/>
  <c r="C2011" i="1"/>
  <c r="C2012" i="1"/>
  <c r="C2013" i="1"/>
  <c r="C2014" i="1"/>
  <c r="C2015" i="1"/>
  <c r="C2016" i="1"/>
  <c r="C2017" i="1"/>
  <c r="C2018" i="1"/>
  <c r="C2019" i="1"/>
  <c r="C2020" i="1"/>
  <c r="C2021" i="1"/>
  <c r="C2022" i="1"/>
  <c r="C2023" i="1"/>
  <c r="C2024" i="1"/>
  <c r="C2025" i="1"/>
  <c r="C2026" i="1"/>
  <c r="C2027" i="1"/>
  <c r="C2028" i="1"/>
  <c r="C2029" i="1"/>
  <c r="C2030" i="1"/>
  <c r="C2031" i="1"/>
  <c r="C2032" i="1"/>
  <c r="C2033" i="1"/>
  <c r="C2034" i="1"/>
  <c r="C2035" i="1"/>
  <c r="C2036" i="1"/>
  <c r="C2037" i="1"/>
  <c r="C2038" i="1"/>
  <c r="C2039" i="1"/>
  <c r="C2040" i="1"/>
  <c r="C2041" i="1"/>
  <c r="C2042" i="1"/>
  <c r="C2043" i="1"/>
  <c r="C2044" i="1"/>
  <c r="C2045" i="1"/>
  <c r="C2046" i="1"/>
  <c r="C2047" i="1"/>
  <c r="C2048" i="1"/>
  <c r="C2049" i="1"/>
  <c r="C2050" i="1"/>
  <c r="C2051" i="1"/>
  <c r="C2052" i="1"/>
  <c r="C2053" i="1"/>
  <c r="C2054" i="1"/>
  <c r="C2055" i="1"/>
  <c r="C2056" i="1"/>
  <c r="C2057" i="1"/>
  <c r="C2058" i="1"/>
  <c r="C2059" i="1"/>
  <c r="C2060" i="1"/>
  <c r="C2061" i="1"/>
  <c r="C2062" i="1"/>
  <c r="C2063" i="1"/>
  <c r="C2064" i="1"/>
  <c r="C2065" i="1"/>
  <c r="C2066" i="1"/>
  <c r="C2067" i="1"/>
  <c r="C2068" i="1"/>
  <c r="C2069" i="1"/>
  <c r="C2070" i="1"/>
  <c r="C2071" i="1"/>
  <c r="C2072" i="1"/>
  <c r="C2073" i="1"/>
  <c r="C2074" i="1"/>
  <c r="C2075" i="1"/>
  <c r="C2076" i="1"/>
  <c r="C2077" i="1"/>
  <c r="C2078" i="1"/>
  <c r="C2079" i="1"/>
  <c r="C2080" i="1"/>
  <c r="C2081" i="1"/>
  <c r="C2082" i="1"/>
  <c r="C2083" i="1"/>
  <c r="C2084" i="1"/>
  <c r="C2085" i="1"/>
  <c r="C2086" i="1"/>
  <c r="C2087" i="1"/>
  <c r="C2088" i="1"/>
  <c r="C2089" i="1"/>
  <c r="C2090" i="1"/>
  <c r="C2091" i="1"/>
  <c r="C2092" i="1"/>
  <c r="C2093" i="1"/>
  <c r="C2094" i="1"/>
  <c r="C2095" i="1"/>
  <c r="C2096" i="1"/>
  <c r="C2097" i="1"/>
  <c r="C2098" i="1"/>
  <c r="C2099" i="1"/>
  <c r="C2100" i="1"/>
  <c r="C2101" i="1"/>
  <c r="C2102" i="1"/>
  <c r="C2103" i="1"/>
  <c r="C2104" i="1"/>
  <c r="C2105" i="1"/>
  <c r="C2106" i="1"/>
  <c r="C2107" i="1"/>
  <c r="C2108" i="1"/>
  <c r="C2109" i="1"/>
  <c r="C2110" i="1"/>
  <c r="C2111" i="1"/>
  <c r="C2112" i="1"/>
  <c r="C2113" i="1"/>
  <c r="C2114" i="1"/>
  <c r="C2115" i="1"/>
  <c r="C2116" i="1"/>
  <c r="C2117" i="1"/>
  <c r="C2118" i="1"/>
  <c r="C2119" i="1"/>
  <c r="C2120" i="1"/>
  <c r="C2121" i="1"/>
  <c r="C2122" i="1"/>
  <c r="C2123" i="1"/>
  <c r="C2124" i="1"/>
  <c r="C2125" i="1"/>
  <c r="C2126" i="1"/>
  <c r="C2127" i="1"/>
  <c r="C2128" i="1"/>
  <c r="C2129" i="1"/>
  <c r="C2130" i="1"/>
  <c r="C2131" i="1"/>
  <c r="C2132" i="1"/>
  <c r="C2133" i="1"/>
  <c r="C2134" i="1"/>
  <c r="C2135" i="1"/>
  <c r="C2136" i="1"/>
  <c r="C2137" i="1"/>
  <c r="C2138" i="1"/>
  <c r="C2139" i="1"/>
  <c r="C2140" i="1"/>
  <c r="C2141" i="1"/>
  <c r="C2142" i="1"/>
  <c r="C2143" i="1"/>
  <c r="C2144" i="1"/>
  <c r="C2145" i="1"/>
  <c r="C2146" i="1"/>
  <c r="C2147" i="1"/>
  <c r="C2148" i="1"/>
  <c r="C2149" i="1"/>
  <c r="C2150" i="1"/>
  <c r="C2151" i="1"/>
  <c r="C2152" i="1"/>
  <c r="C2153" i="1"/>
  <c r="C2154" i="1"/>
  <c r="C2155" i="1"/>
  <c r="C2156" i="1"/>
  <c r="C2157" i="1"/>
  <c r="C2158" i="1"/>
  <c r="C2159" i="1"/>
  <c r="C2160" i="1"/>
  <c r="C2161" i="1"/>
  <c r="C2162" i="1"/>
  <c r="C2163" i="1"/>
  <c r="C2164" i="1"/>
  <c r="C2165" i="1"/>
  <c r="C2166" i="1"/>
  <c r="C2167" i="1"/>
  <c r="C2168" i="1"/>
  <c r="C2169" i="1"/>
  <c r="C2170" i="1"/>
  <c r="C2171" i="1"/>
  <c r="C2172" i="1"/>
  <c r="C2173" i="1"/>
  <c r="C2174" i="1"/>
  <c r="C2175" i="1"/>
  <c r="C2176" i="1"/>
  <c r="C2177" i="1"/>
  <c r="C2178" i="1"/>
  <c r="C2179" i="1"/>
  <c r="C2180" i="1"/>
  <c r="C2181" i="1"/>
  <c r="C2182" i="1"/>
  <c r="C2183" i="1"/>
  <c r="C2184" i="1"/>
  <c r="C2185" i="1"/>
  <c r="C2186" i="1"/>
  <c r="C2187" i="1"/>
  <c r="C2188" i="1"/>
  <c r="C2189" i="1"/>
  <c r="C2190" i="1"/>
  <c r="C2191" i="1"/>
  <c r="C2192" i="1"/>
  <c r="C2193" i="1"/>
  <c r="C2194" i="1"/>
  <c r="C2195" i="1"/>
  <c r="C2196" i="1"/>
  <c r="C2197" i="1"/>
  <c r="C2198" i="1"/>
  <c r="C2199" i="1"/>
  <c r="C2200" i="1"/>
  <c r="C2201" i="1"/>
  <c r="C2202" i="1"/>
  <c r="C2203" i="1"/>
  <c r="C2204" i="1"/>
  <c r="C2205" i="1"/>
  <c r="C2206" i="1"/>
  <c r="C2207" i="1"/>
  <c r="C2208" i="1"/>
  <c r="C2209" i="1"/>
  <c r="C2210" i="1"/>
  <c r="C2211" i="1"/>
  <c r="C2212" i="1"/>
  <c r="C2213" i="1"/>
  <c r="C2214" i="1"/>
  <c r="C2215" i="1"/>
  <c r="C2216" i="1"/>
  <c r="C2217" i="1"/>
  <c r="C2218" i="1"/>
  <c r="C2219" i="1"/>
  <c r="C2220" i="1"/>
  <c r="C2221" i="1"/>
  <c r="C2222" i="1"/>
  <c r="C2223" i="1"/>
  <c r="C2224" i="1"/>
  <c r="C2225" i="1"/>
  <c r="C2226" i="1"/>
  <c r="C2227" i="1"/>
  <c r="C2228" i="1"/>
  <c r="C2229" i="1"/>
  <c r="C2230" i="1"/>
  <c r="C2231" i="1"/>
  <c r="C2232" i="1"/>
  <c r="C2233" i="1"/>
  <c r="C2234" i="1"/>
  <c r="C2235" i="1"/>
  <c r="C2236" i="1"/>
  <c r="C2237" i="1"/>
  <c r="C2238" i="1"/>
  <c r="C2239" i="1"/>
  <c r="C2240" i="1"/>
  <c r="C2241" i="1"/>
  <c r="C2242" i="1"/>
  <c r="C2243" i="1"/>
  <c r="C2244" i="1"/>
  <c r="C2245" i="1"/>
  <c r="C2246" i="1"/>
  <c r="C2247" i="1"/>
  <c r="C2248" i="1"/>
  <c r="C2249" i="1"/>
  <c r="C2250" i="1"/>
  <c r="C2251" i="1"/>
  <c r="C2252" i="1"/>
  <c r="C2253" i="1"/>
  <c r="C2254" i="1"/>
  <c r="C2255" i="1"/>
  <c r="C2256" i="1"/>
  <c r="C2257" i="1"/>
  <c r="C2258" i="1"/>
  <c r="C2259" i="1"/>
  <c r="C2260" i="1"/>
  <c r="C2261" i="1"/>
  <c r="C2262" i="1"/>
  <c r="C2263" i="1"/>
  <c r="C2264" i="1"/>
  <c r="C2265" i="1"/>
  <c r="C2266" i="1"/>
  <c r="C2267" i="1"/>
  <c r="C2268" i="1"/>
  <c r="C2269" i="1"/>
  <c r="C2270" i="1"/>
  <c r="C2271" i="1"/>
  <c r="C2272" i="1"/>
  <c r="C2273" i="1"/>
  <c r="C2274" i="1"/>
  <c r="C2275" i="1"/>
  <c r="C2276" i="1"/>
  <c r="C2277" i="1"/>
  <c r="C2278" i="1"/>
  <c r="C2279" i="1"/>
  <c r="C2280" i="1"/>
  <c r="C2281" i="1"/>
  <c r="C2282" i="1"/>
  <c r="C2283" i="1"/>
  <c r="C2284" i="1"/>
  <c r="C2285" i="1"/>
  <c r="C2286" i="1"/>
  <c r="C2287" i="1"/>
  <c r="C2288" i="1"/>
  <c r="C2289" i="1"/>
  <c r="C2290" i="1"/>
  <c r="C2291" i="1"/>
  <c r="C2292" i="1"/>
  <c r="C2293" i="1"/>
  <c r="C2294" i="1"/>
  <c r="C2295" i="1"/>
  <c r="C2296" i="1"/>
  <c r="C2297" i="1"/>
  <c r="C2298" i="1"/>
  <c r="C2299" i="1"/>
  <c r="C2300" i="1"/>
  <c r="C2301" i="1"/>
  <c r="C2302" i="1"/>
  <c r="C2303" i="1"/>
  <c r="C2304" i="1"/>
  <c r="C2305" i="1"/>
  <c r="C2306" i="1"/>
  <c r="C2307" i="1"/>
  <c r="C2308" i="1"/>
  <c r="C2309" i="1"/>
  <c r="C2310" i="1"/>
  <c r="C2311" i="1"/>
  <c r="C2312" i="1"/>
  <c r="C2313" i="1"/>
  <c r="C2314" i="1"/>
  <c r="C2315" i="1"/>
  <c r="C2316" i="1"/>
  <c r="C2317" i="1"/>
  <c r="C2318" i="1"/>
  <c r="C2319" i="1"/>
  <c r="C2320" i="1"/>
  <c r="C2321" i="1"/>
  <c r="C2322" i="1"/>
  <c r="C2323" i="1"/>
  <c r="C2324" i="1"/>
  <c r="C2325" i="1"/>
  <c r="C2326" i="1"/>
  <c r="C2327" i="1"/>
  <c r="C2328" i="1"/>
  <c r="C2329" i="1"/>
  <c r="C2330" i="1"/>
  <c r="C2331" i="1"/>
  <c r="C2332" i="1"/>
  <c r="C2333" i="1"/>
  <c r="C2334" i="1"/>
  <c r="C2335" i="1"/>
  <c r="C2336" i="1"/>
  <c r="C2337" i="1"/>
  <c r="C2338" i="1"/>
  <c r="C2339" i="1"/>
  <c r="C2340" i="1"/>
  <c r="C2341" i="1"/>
  <c r="C2342" i="1"/>
  <c r="C2343" i="1"/>
  <c r="C2344" i="1"/>
  <c r="C2345" i="1"/>
  <c r="C2346" i="1"/>
  <c r="C2347" i="1"/>
  <c r="C2348" i="1"/>
  <c r="C2349" i="1"/>
  <c r="C2350" i="1"/>
  <c r="C2351" i="1"/>
  <c r="C2352" i="1"/>
  <c r="C2353" i="1"/>
  <c r="C2354" i="1"/>
  <c r="C2355" i="1"/>
  <c r="C2356" i="1"/>
  <c r="C2357" i="1"/>
  <c r="C2358" i="1"/>
  <c r="C2359" i="1"/>
  <c r="C2360" i="1"/>
  <c r="C2361" i="1"/>
  <c r="C2362" i="1"/>
  <c r="C2363" i="1"/>
  <c r="C2364" i="1"/>
  <c r="C2365" i="1"/>
  <c r="C2366" i="1"/>
  <c r="C2367" i="1"/>
  <c r="C2368" i="1"/>
  <c r="C2369" i="1"/>
  <c r="C2370" i="1"/>
  <c r="C2371" i="1"/>
  <c r="C2372" i="1"/>
  <c r="C2373" i="1"/>
  <c r="C2374" i="1"/>
  <c r="C2375" i="1"/>
  <c r="C2376" i="1"/>
  <c r="C2377" i="1"/>
  <c r="C2378" i="1"/>
  <c r="C2379" i="1"/>
  <c r="C2380" i="1"/>
  <c r="C2381" i="1"/>
  <c r="C2382" i="1"/>
  <c r="C2383" i="1"/>
  <c r="C2384" i="1"/>
  <c r="C2385" i="1"/>
  <c r="C2386" i="1"/>
  <c r="C2387" i="1"/>
  <c r="C2388" i="1"/>
  <c r="C2389" i="1"/>
  <c r="C2390" i="1"/>
  <c r="C2391" i="1"/>
  <c r="C2392" i="1"/>
  <c r="C2393" i="1"/>
  <c r="C2394" i="1"/>
  <c r="C2395" i="1"/>
  <c r="C2396" i="1"/>
  <c r="C2397" i="1"/>
  <c r="C2398" i="1"/>
  <c r="C2399" i="1"/>
  <c r="C2400" i="1"/>
  <c r="C2401" i="1"/>
  <c r="C2402" i="1"/>
  <c r="C2403" i="1"/>
  <c r="C2404" i="1"/>
  <c r="C2405" i="1"/>
  <c r="C2406" i="1"/>
  <c r="C2407" i="1"/>
  <c r="C2408" i="1"/>
  <c r="C2409" i="1"/>
  <c r="C2410" i="1"/>
  <c r="C2411" i="1"/>
  <c r="C2412" i="1"/>
  <c r="C2413" i="1"/>
  <c r="C2414" i="1"/>
  <c r="C2415" i="1"/>
  <c r="C2416" i="1"/>
  <c r="C2417" i="1"/>
  <c r="C2418" i="1"/>
  <c r="C2419" i="1"/>
  <c r="C2420" i="1"/>
  <c r="C2421" i="1"/>
  <c r="C2422" i="1"/>
  <c r="C2423" i="1"/>
  <c r="C2424" i="1"/>
  <c r="C2425" i="1"/>
  <c r="C2426" i="1"/>
  <c r="C2427" i="1"/>
  <c r="C2428" i="1"/>
  <c r="C2429" i="1"/>
  <c r="C2430" i="1"/>
  <c r="C2431" i="1"/>
  <c r="C2432" i="1"/>
  <c r="C2433" i="1"/>
  <c r="C2434" i="1"/>
  <c r="C2435" i="1"/>
  <c r="C2436" i="1"/>
  <c r="C2437" i="1"/>
  <c r="C2438" i="1"/>
  <c r="C2439" i="1"/>
  <c r="C2440" i="1"/>
  <c r="C2441" i="1"/>
  <c r="C2442" i="1"/>
  <c r="C2443" i="1"/>
  <c r="C2444" i="1"/>
  <c r="C2445" i="1"/>
  <c r="C2446" i="1"/>
  <c r="C2447" i="1"/>
  <c r="C2448" i="1"/>
  <c r="C2449" i="1"/>
  <c r="C2450" i="1"/>
  <c r="C2451" i="1"/>
  <c r="C2452" i="1"/>
  <c r="C2453" i="1"/>
  <c r="C2454" i="1"/>
  <c r="C2455" i="1"/>
  <c r="C2456" i="1"/>
  <c r="C2457" i="1"/>
  <c r="C2458" i="1"/>
  <c r="C2459" i="1"/>
  <c r="C2460" i="1"/>
  <c r="C2461" i="1"/>
  <c r="C2462" i="1"/>
  <c r="C2463" i="1"/>
  <c r="C2464" i="1"/>
  <c r="C2465" i="1"/>
  <c r="C2466" i="1"/>
  <c r="C2467" i="1"/>
  <c r="C2468" i="1"/>
  <c r="C2469" i="1"/>
  <c r="C2470" i="1"/>
  <c r="C2471" i="1"/>
  <c r="C2472" i="1"/>
  <c r="C2473" i="1"/>
  <c r="C2474" i="1"/>
  <c r="C2475" i="1"/>
  <c r="C2476" i="1"/>
  <c r="C2477" i="1"/>
  <c r="C2478" i="1"/>
  <c r="C2479" i="1"/>
  <c r="C2480" i="1"/>
  <c r="C2481" i="1"/>
  <c r="C2482" i="1"/>
  <c r="C2483" i="1"/>
  <c r="C2484" i="1"/>
  <c r="C2485" i="1"/>
  <c r="C2486" i="1"/>
  <c r="C2487" i="1"/>
  <c r="C2488" i="1"/>
  <c r="C2489" i="1"/>
  <c r="C2490" i="1"/>
  <c r="C2491" i="1"/>
  <c r="C2492" i="1"/>
  <c r="C2493" i="1"/>
  <c r="C2494" i="1"/>
  <c r="C2495" i="1"/>
  <c r="C2496" i="1"/>
  <c r="C2497" i="1"/>
  <c r="C2498" i="1"/>
  <c r="C2499" i="1"/>
  <c r="C2500" i="1"/>
  <c r="C2501" i="1"/>
  <c r="C2502" i="1"/>
  <c r="C2503" i="1"/>
  <c r="C2504" i="1"/>
  <c r="C2505" i="1"/>
  <c r="C2506" i="1"/>
  <c r="C2507" i="1"/>
  <c r="C2508" i="1"/>
  <c r="C2509" i="1"/>
  <c r="C2510" i="1"/>
  <c r="C2511" i="1"/>
  <c r="C2512" i="1"/>
  <c r="C2513" i="1"/>
  <c r="C2514" i="1"/>
  <c r="C2515" i="1"/>
  <c r="C2516" i="1"/>
  <c r="C2517" i="1"/>
  <c r="C2518" i="1"/>
  <c r="C2519" i="1"/>
  <c r="C2520" i="1"/>
  <c r="C2521" i="1"/>
  <c r="C2522" i="1"/>
  <c r="C2523" i="1"/>
  <c r="C2524" i="1"/>
  <c r="C2525" i="1"/>
  <c r="C2526" i="1"/>
  <c r="C2527" i="1"/>
  <c r="C2528" i="1"/>
  <c r="C2529" i="1"/>
  <c r="C2530" i="1"/>
  <c r="C2531" i="1"/>
  <c r="C2532" i="1"/>
  <c r="C2533" i="1"/>
  <c r="C2534" i="1"/>
  <c r="C2535" i="1"/>
  <c r="C2536" i="1"/>
  <c r="C2537" i="1"/>
  <c r="C2538" i="1"/>
  <c r="C2539" i="1"/>
  <c r="C2540" i="1"/>
  <c r="C2541" i="1"/>
  <c r="C2542" i="1"/>
  <c r="C2543" i="1"/>
  <c r="C2544" i="1"/>
  <c r="C2545" i="1"/>
  <c r="C2546" i="1"/>
  <c r="C2547" i="1"/>
  <c r="C2548" i="1"/>
  <c r="C2549" i="1"/>
  <c r="C2550" i="1"/>
  <c r="C2551" i="1"/>
  <c r="C2552" i="1"/>
  <c r="C2553" i="1"/>
  <c r="C2554" i="1"/>
  <c r="C2555" i="1"/>
  <c r="C2556" i="1"/>
  <c r="C2557" i="1"/>
  <c r="C2558" i="1"/>
  <c r="C2559" i="1"/>
  <c r="C2560" i="1"/>
  <c r="C2561" i="1"/>
  <c r="C2562" i="1"/>
  <c r="C2563" i="1"/>
  <c r="C2564" i="1"/>
  <c r="C2565" i="1"/>
  <c r="C2566" i="1"/>
  <c r="C2567" i="1"/>
  <c r="C2568" i="1"/>
  <c r="C2569" i="1"/>
  <c r="C2570" i="1"/>
  <c r="C2571" i="1"/>
  <c r="C2572" i="1"/>
  <c r="C2573" i="1"/>
  <c r="C2574" i="1"/>
  <c r="C2575" i="1"/>
  <c r="C2576" i="1"/>
  <c r="C2577" i="1"/>
  <c r="C2578" i="1"/>
  <c r="C2579" i="1"/>
  <c r="C2580" i="1"/>
  <c r="C2581" i="1"/>
  <c r="C2582" i="1"/>
  <c r="C2583" i="1"/>
  <c r="C2584" i="1"/>
  <c r="C2585" i="1"/>
  <c r="C2586" i="1"/>
  <c r="C2587" i="1"/>
  <c r="C2588" i="1"/>
  <c r="C2589" i="1"/>
  <c r="C2590" i="1"/>
  <c r="C2591" i="1"/>
  <c r="C2592" i="1"/>
  <c r="C2593" i="1"/>
  <c r="C2594" i="1"/>
  <c r="C2595" i="1"/>
  <c r="C2596" i="1"/>
  <c r="C2597" i="1"/>
  <c r="C2598" i="1"/>
  <c r="C2599" i="1"/>
  <c r="C2600" i="1"/>
  <c r="C2601" i="1"/>
  <c r="C2602" i="1"/>
  <c r="C2603" i="1"/>
  <c r="C2604" i="1"/>
  <c r="C2605" i="1"/>
  <c r="C2606" i="1"/>
  <c r="C2607" i="1"/>
  <c r="C2608" i="1"/>
  <c r="C2609" i="1"/>
  <c r="C2610" i="1"/>
  <c r="C2611" i="1"/>
  <c r="C2612" i="1"/>
  <c r="C2613" i="1"/>
  <c r="C2614" i="1"/>
  <c r="C2615" i="1"/>
  <c r="C2616" i="1"/>
  <c r="C2617" i="1"/>
  <c r="C2618" i="1"/>
  <c r="C2619" i="1"/>
  <c r="C2620" i="1"/>
  <c r="C2621" i="1"/>
  <c r="C2622" i="1"/>
  <c r="C2623" i="1"/>
  <c r="C2624" i="1"/>
  <c r="C2625" i="1"/>
  <c r="C2626" i="1"/>
  <c r="C2627" i="1"/>
  <c r="C2628" i="1"/>
  <c r="C2629" i="1"/>
  <c r="C2630" i="1"/>
  <c r="C2631" i="1"/>
  <c r="C2632" i="1"/>
  <c r="C2633" i="1"/>
  <c r="C2634" i="1"/>
  <c r="C2635" i="1"/>
  <c r="C2636" i="1"/>
  <c r="C2637" i="1"/>
  <c r="C2638" i="1"/>
  <c r="C2639" i="1"/>
  <c r="C2640" i="1"/>
  <c r="C2641" i="1"/>
  <c r="C2642" i="1"/>
  <c r="C2643" i="1"/>
  <c r="C2644" i="1"/>
  <c r="C2645" i="1"/>
  <c r="C2646" i="1"/>
  <c r="C2647" i="1"/>
  <c r="C2648" i="1"/>
  <c r="C2649" i="1"/>
  <c r="C2650" i="1"/>
  <c r="C2651" i="1"/>
  <c r="C2652" i="1"/>
  <c r="C2653" i="1"/>
  <c r="C2654" i="1"/>
  <c r="C2655" i="1"/>
  <c r="C2656" i="1"/>
  <c r="C2657" i="1"/>
  <c r="C2658" i="1"/>
  <c r="C2659" i="1"/>
  <c r="C2660" i="1"/>
  <c r="C2661" i="1"/>
  <c r="C2662" i="1"/>
  <c r="C2663" i="1"/>
  <c r="C2664" i="1"/>
  <c r="C2665" i="1"/>
  <c r="C2666" i="1"/>
  <c r="C2667" i="1"/>
  <c r="C2668" i="1"/>
  <c r="C2669" i="1"/>
  <c r="C2670" i="1"/>
  <c r="C2671" i="1"/>
  <c r="C2672" i="1"/>
  <c r="C2673" i="1"/>
  <c r="C2674" i="1"/>
  <c r="C2675" i="1"/>
  <c r="C2676" i="1"/>
  <c r="C2677" i="1"/>
  <c r="C2678" i="1"/>
  <c r="C2679" i="1"/>
  <c r="C2680" i="1"/>
  <c r="C2681" i="1"/>
  <c r="C2682" i="1"/>
  <c r="C2683" i="1"/>
  <c r="C2684" i="1"/>
  <c r="C2685" i="1"/>
  <c r="C2686" i="1"/>
  <c r="C2687" i="1"/>
  <c r="C2688" i="1"/>
  <c r="C2689" i="1"/>
  <c r="C2690" i="1"/>
  <c r="C2691" i="1"/>
  <c r="C2692" i="1"/>
  <c r="C2693" i="1"/>
  <c r="C2694" i="1"/>
  <c r="C2695" i="1"/>
  <c r="C2696" i="1"/>
  <c r="C2697" i="1"/>
  <c r="C2698" i="1"/>
  <c r="C2699" i="1"/>
  <c r="C2700" i="1"/>
  <c r="C2701" i="1"/>
  <c r="C2702" i="1"/>
  <c r="C2703" i="1"/>
  <c r="C2704" i="1"/>
  <c r="C2705" i="1"/>
  <c r="C2706" i="1"/>
  <c r="C2707" i="1"/>
  <c r="C2708" i="1"/>
  <c r="C2709" i="1"/>
  <c r="C2710" i="1"/>
  <c r="C2711" i="1"/>
  <c r="C2712" i="1"/>
  <c r="C2713" i="1"/>
  <c r="C2714" i="1"/>
  <c r="C2715" i="1"/>
  <c r="C2716" i="1"/>
  <c r="C2717" i="1"/>
  <c r="C2718" i="1"/>
  <c r="C2719" i="1"/>
  <c r="C2720" i="1"/>
  <c r="C2721" i="1"/>
  <c r="C2722" i="1"/>
  <c r="C2723" i="1"/>
  <c r="C2724" i="1"/>
  <c r="C2725" i="1"/>
  <c r="C2726" i="1"/>
  <c r="C2727" i="1"/>
  <c r="C2728" i="1"/>
  <c r="C2729" i="1"/>
  <c r="C2730" i="1"/>
  <c r="C2731" i="1"/>
  <c r="C2732" i="1"/>
  <c r="C2733" i="1"/>
  <c r="C2734" i="1"/>
  <c r="C2735" i="1"/>
  <c r="C2736" i="1"/>
  <c r="C2737" i="1"/>
  <c r="C2738" i="1"/>
  <c r="C2739" i="1"/>
  <c r="C2740" i="1"/>
  <c r="C2741" i="1"/>
  <c r="C2742" i="1"/>
  <c r="C2743" i="1"/>
  <c r="C2744" i="1"/>
  <c r="C2745" i="1"/>
  <c r="C2746" i="1"/>
  <c r="C2747" i="1"/>
  <c r="C2748" i="1"/>
  <c r="C2749" i="1"/>
  <c r="C2750" i="1"/>
  <c r="C2751" i="1"/>
  <c r="C2752" i="1"/>
  <c r="C2753" i="1"/>
  <c r="C2754" i="1"/>
  <c r="C2755" i="1"/>
  <c r="C2756" i="1"/>
  <c r="C2757" i="1"/>
  <c r="C2758" i="1"/>
  <c r="C2759" i="1"/>
  <c r="C2760" i="1"/>
  <c r="C2761" i="1"/>
  <c r="C2762" i="1"/>
  <c r="C2763" i="1"/>
  <c r="C2764" i="1"/>
  <c r="C2765" i="1"/>
  <c r="C2766" i="1"/>
  <c r="C2767" i="1"/>
  <c r="C2768" i="1"/>
  <c r="C2769" i="1"/>
  <c r="C2770" i="1"/>
  <c r="C2771" i="1"/>
  <c r="C2772" i="1"/>
  <c r="C2773" i="1"/>
  <c r="C2774" i="1"/>
  <c r="C2775" i="1"/>
  <c r="C2776" i="1"/>
  <c r="C2777" i="1"/>
  <c r="C2778" i="1"/>
  <c r="C2779" i="1"/>
  <c r="C2780" i="1"/>
  <c r="C2781" i="1"/>
  <c r="C2782" i="1"/>
  <c r="C2783" i="1"/>
  <c r="C2784" i="1"/>
  <c r="C2785" i="1"/>
  <c r="C2786" i="1"/>
  <c r="C2787" i="1"/>
  <c r="C2788" i="1"/>
  <c r="C2789" i="1"/>
  <c r="C2790" i="1"/>
  <c r="C2791" i="1"/>
  <c r="C2792" i="1"/>
  <c r="C2793" i="1"/>
  <c r="C2794" i="1"/>
  <c r="C2795" i="1"/>
  <c r="C2796" i="1"/>
  <c r="C2797" i="1"/>
  <c r="C2798" i="1"/>
  <c r="C2799" i="1"/>
  <c r="C2800" i="1"/>
  <c r="C2801" i="1"/>
  <c r="C2802" i="1"/>
  <c r="C2803" i="1"/>
  <c r="C2804" i="1"/>
  <c r="C2805" i="1"/>
  <c r="C2806" i="1"/>
  <c r="C2807" i="1"/>
  <c r="C2808" i="1"/>
  <c r="C2809" i="1"/>
  <c r="C2810" i="1"/>
  <c r="C2811" i="1"/>
  <c r="C2812" i="1"/>
  <c r="C2813" i="1"/>
  <c r="C2814" i="1"/>
  <c r="C2815" i="1"/>
  <c r="C2816" i="1"/>
  <c r="C2817" i="1"/>
  <c r="C2818" i="1"/>
  <c r="C2819" i="1"/>
  <c r="C2820" i="1"/>
  <c r="C2821" i="1"/>
  <c r="C2822" i="1"/>
  <c r="C2823" i="1"/>
  <c r="C2824" i="1"/>
  <c r="C2825" i="1"/>
  <c r="C2826" i="1"/>
  <c r="C2827" i="1"/>
  <c r="C2828" i="1"/>
  <c r="C2829" i="1"/>
  <c r="C2830" i="1"/>
  <c r="C2831" i="1"/>
  <c r="C2832" i="1"/>
  <c r="C2833" i="1"/>
  <c r="C2834" i="1"/>
  <c r="C2835" i="1"/>
  <c r="C2836" i="1"/>
  <c r="C2837" i="1"/>
  <c r="C2838" i="1"/>
  <c r="C2839" i="1"/>
  <c r="C2840" i="1"/>
  <c r="C2841" i="1"/>
  <c r="C2842" i="1"/>
  <c r="C2843" i="1"/>
  <c r="C2844" i="1"/>
  <c r="C2845" i="1"/>
  <c r="C2846" i="1"/>
  <c r="C2847" i="1"/>
  <c r="C2848" i="1"/>
  <c r="C2849" i="1"/>
  <c r="C2850" i="1"/>
  <c r="D5" i="1"/>
  <c r="D6" i="1"/>
  <c r="D7" i="1"/>
  <c r="D9" i="1"/>
  <c r="D13" i="1"/>
  <c r="D17" i="1"/>
  <c r="D18" i="1"/>
  <c r="D19" i="1"/>
  <c r="D20" i="1"/>
  <c r="D21" i="1"/>
  <c r="D22" i="1"/>
  <c r="D23" i="1"/>
  <c r="D25" i="1"/>
  <c r="D29" i="1"/>
  <c r="D34" i="1"/>
  <c r="D35" i="1"/>
  <c r="D37" i="1"/>
  <c r="D38" i="1"/>
  <c r="D39" i="1"/>
  <c r="D40" i="1"/>
  <c r="D41" i="1"/>
  <c r="D45" i="1"/>
  <c r="D50" i="1"/>
  <c r="D51" i="1"/>
  <c r="D52" i="1"/>
  <c r="D53" i="1"/>
  <c r="D54" i="1"/>
  <c r="D55" i="1"/>
  <c r="D56" i="1"/>
  <c r="D57" i="1"/>
  <c r="D61" i="1"/>
  <c r="D63" i="1"/>
  <c r="D65" i="1"/>
  <c r="D66" i="1"/>
  <c r="D69" i="1"/>
  <c r="D70" i="1"/>
  <c r="D71" i="1"/>
  <c r="D72" i="1"/>
  <c r="D73" i="1"/>
  <c r="D77" i="1"/>
  <c r="D82" i="1"/>
  <c r="D83" i="1"/>
  <c r="D84" i="1"/>
  <c r="D85" i="1"/>
  <c r="D86" i="1"/>
  <c r="D87" i="1"/>
  <c r="D88" i="1"/>
  <c r="D89" i="1"/>
  <c r="D90" i="1"/>
  <c r="D93" i="1"/>
  <c r="D98" i="1"/>
  <c r="D101" i="1"/>
  <c r="D102" i="1"/>
  <c r="D103" i="1"/>
  <c r="D104" i="1"/>
  <c r="D105" i="1"/>
  <c r="D108" i="1"/>
  <c r="D109" i="1"/>
  <c r="D113" i="1"/>
  <c r="D114" i="1"/>
  <c r="D115" i="1"/>
  <c r="D116" i="1"/>
  <c r="D117" i="1"/>
  <c r="D118" i="1"/>
  <c r="D119" i="1"/>
  <c r="D120" i="1"/>
  <c r="D121" i="1"/>
  <c r="D122" i="1"/>
  <c r="D124" i="1"/>
  <c r="D125" i="1"/>
  <c r="D130" i="1"/>
  <c r="D131" i="1"/>
  <c r="D132" i="1"/>
  <c r="D133" i="1"/>
  <c r="D134" i="1"/>
  <c r="D135" i="1"/>
  <c r="D136" i="1"/>
  <c r="D137" i="1"/>
  <c r="D141" i="1"/>
  <c r="D146" i="1"/>
  <c r="D149" i="1"/>
  <c r="D150" i="1"/>
  <c r="D151" i="1"/>
  <c r="D152" i="1"/>
  <c r="D153" i="1"/>
  <c r="D154" i="1"/>
  <c r="D156" i="1"/>
  <c r="D157" i="1"/>
  <c r="D162" i="1"/>
  <c r="D165" i="1"/>
  <c r="D166" i="1"/>
  <c r="D167" i="1"/>
  <c r="D168" i="1"/>
  <c r="D169" i="1"/>
  <c r="D170" i="1"/>
  <c r="D172" i="1"/>
  <c r="D173" i="1"/>
  <c r="D174" i="1"/>
  <c r="D175" i="1"/>
  <c r="D178" i="1"/>
  <c r="D181" i="1"/>
  <c r="D182" i="1"/>
  <c r="D183" i="1"/>
  <c r="D184" i="1"/>
  <c r="D185" i="1"/>
  <c r="D189" i="1"/>
  <c r="D191" i="1"/>
  <c r="D193" i="1"/>
  <c r="D194" i="1"/>
  <c r="D197" i="1"/>
  <c r="D198" i="1"/>
  <c r="D199" i="1"/>
  <c r="D200" i="1"/>
  <c r="D201" i="1"/>
  <c r="D205" i="1"/>
  <c r="D210" i="1"/>
  <c r="D211" i="1"/>
  <c r="D213" i="1"/>
  <c r="D214" i="1"/>
  <c r="D215" i="1"/>
  <c r="D216" i="1"/>
  <c r="D217" i="1"/>
  <c r="D218" i="1"/>
  <c r="D221" i="1"/>
  <c r="D226" i="1"/>
  <c r="D229" i="1"/>
  <c r="D230" i="1"/>
  <c r="D231" i="1"/>
  <c r="D232" i="1"/>
  <c r="D233" i="1"/>
  <c r="D234" i="1"/>
  <c r="D236" i="1"/>
  <c r="D237" i="1"/>
  <c r="D238" i="1"/>
  <c r="D239" i="1"/>
  <c r="D242" i="1"/>
  <c r="D243" i="1"/>
  <c r="D244" i="1"/>
  <c r="D245" i="1"/>
  <c r="D246" i="1"/>
  <c r="D247" i="1"/>
  <c r="D249" i="1"/>
  <c r="D250" i="1"/>
  <c r="D253" i="1"/>
  <c r="D254" i="1"/>
  <c r="D256" i="1"/>
  <c r="D257" i="1"/>
  <c r="D258" i="1"/>
  <c r="D261" i="1"/>
  <c r="D262" i="1"/>
  <c r="D263" i="1"/>
  <c r="D265" i="1"/>
  <c r="D269" i="1"/>
  <c r="D274" i="1"/>
  <c r="D275" i="1"/>
  <c r="D277" i="1"/>
  <c r="D278" i="1"/>
  <c r="D279" i="1"/>
  <c r="D281" i="1"/>
  <c r="D285" i="1"/>
  <c r="D290" i="1"/>
  <c r="D291" i="1"/>
  <c r="D293" i="1"/>
  <c r="D294" i="1"/>
  <c r="D295" i="1"/>
  <c r="D296" i="1"/>
  <c r="D297" i="1"/>
  <c r="D301" i="1"/>
  <c r="D302" i="1"/>
  <c r="D306" i="1"/>
  <c r="D309" i="1"/>
  <c r="D310" i="1"/>
  <c r="D311" i="1"/>
  <c r="D312" i="1"/>
  <c r="D313" i="1"/>
  <c r="D317" i="1"/>
  <c r="D320" i="1"/>
  <c r="D321" i="1"/>
  <c r="D322" i="1"/>
  <c r="D323" i="1"/>
  <c r="D325" i="1"/>
  <c r="D326" i="1"/>
  <c r="D327" i="1"/>
  <c r="D328" i="1"/>
  <c r="D329" i="1"/>
  <c r="D330" i="1"/>
  <c r="D333" i="1"/>
  <c r="D338" i="1"/>
  <c r="D339" i="1"/>
  <c r="D341" i="1"/>
  <c r="D342" i="1"/>
  <c r="D343" i="1"/>
  <c r="D344" i="1"/>
  <c r="D345" i="1"/>
  <c r="D346" i="1"/>
  <c r="D348" i="1"/>
  <c r="D349" i="1"/>
  <c r="D354" i="1"/>
  <c r="D357" i="1"/>
  <c r="D358" i="1"/>
  <c r="D359" i="1"/>
  <c r="D360" i="1"/>
  <c r="D361" i="1"/>
  <c r="D362" i="1"/>
  <c r="D364" i="1"/>
  <c r="D365" i="1"/>
  <c r="D369" i="1"/>
  <c r="D370" i="1"/>
  <c r="D371" i="1"/>
  <c r="D372" i="1"/>
  <c r="D373" i="1"/>
  <c r="D374" i="1"/>
  <c r="D375" i="1"/>
  <c r="D376" i="1"/>
  <c r="D377" i="1"/>
  <c r="D378" i="1"/>
  <c r="D380" i="1"/>
  <c r="D381" i="1"/>
  <c r="D386" i="1"/>
  <c r="D387" i="1"/>
  <c r="D388" i="1"/>
  <c r="D389" i="1"/>
  <c r="D390" i="1"/>
  <c r="D391" i="1"/>
  <c r="D392" i="1"/>
  <c r="D393" i="1"/>
  <c r="D397" i="1"/>
  <c r="D402" i="1"/>
  <c r="D403" i="1"/>
  <c r="D405" i="1"/>
  <c r="D406" i="1"/>
  <c r="D407" i="1"/>
  <c r="D408" i="1"/>
  <c r="D409" i="1"/>
  <c r="D410" i="1"/>
  <c r="D413" i="1"/>
  <c r="D418" i="1"/>
  <c r="D421" i="1"/>
  <c r="D422" i="1"/>
  <c r="D423" i="1"/>
  <c r="D424" i="1"/>
  <c r="D425" i="1"/>
  <c r="D426" i="1"/>
  <c r="D429" i="1"/>
  <c r="D430" i="1"/>
  <c r="D431" i="1"/>
  <c r="D432" i="1"/>
  <c r="D434" i="1"/>
  <c r="D437" i="1"/>
  <c r="D438" i="1"/>
  <c r="D439" i="1"/>
  <c r="D440" i="1"/>
  <c r="D441" i="1"/>
  <c r="D442" i="1"/>
  <c r="D445" i="1"/>
  <c r="D446" i="1"/>
  <c r="D448" i="1"/>
  <c r="D449" i="1"/>
  <c r="D450" i="1"/>
  <c r="D453" i="1"/>
  <c r="D454" i="1"/>
  <c r="D455" i="1"/>
  <c r="D456" i="1"/>
  <c r="D457" i="1"/>
  <c r="D461" i="1"/>
  <c r="D465" i="1"/>
  <c r="D466" i="1"/>
  <c r="D467" i="1"/>
  <c r="D469" i="1"/>
  <c r="D470" i="1"/>
  <c r="D471" i="1"/>
  <c r="D472" i="1"/>
  <c r="D473" i="1"/>
  <c r="D477" i="1"/>
  <c r="D482" i="1"/>
  <c r="D483" i="1"/>
  <c r="D485" i="1"/>
  <c r="D486" i="1"/>
  <c r="D487" i="1"/>
  <c r="D488" i="1"/>
  <c r="D489" i="1"/>
  <c r="D493" i="1"/>
  <c r="D498" i="1"/>
  <c r="D501" i="1"/>
  <c r="D502" i="1"/>
  <c r="D503" i="1"/>
  <c r="D505" i="1"/>
  <c r="D506" i="1"/>
  <c r="D508" i="1"/>
  <c r="D509" i="1"/>
  <c r="D512" i="1"/>
  <c r="D513" i="1"/>
  <c r="D514" i="1"/>
  <c r="D515" i="1"/>
  <c r="D516" i="1"/>
  <c r="D517" i="1"/>
  <c r="D518" i="1"/>
  <c r="D519" i="1"/>
  <c r="D521" i="1"/>
  <c r="D522" i="1"/>
  <c r="D525" i="1"/>
  <c r="D526" i="1"/>
  <c r="D530" i="1"/>
  <c r="D531" i="1"/>
  <c r="D532" i="1"/>
  <c r="D533" i="1"/>
  <c r="D534" i="1"/>
  <c r="D535" i="1"/>
  <c r="D537" i="1"/>
  <c r="D540" i="1"/>
  <c r="D541" i="1"/>
  <c r="D546" i="1"/>
  <c r="D549" i="1"/>
  <c r="D550" i="1"/>
  <c r="D551" i="1"/>
  <c r="D552" i="1"/>
  <c r="D553" i="1"/>
  <c r="D557" i="1"/>
  <c r="D558" i="1"/>
  <c r="D562" i="1"/>
  <c r="D565" i="1"/>
  <c r="D566" i="1"/>
  <c r="D567" i="1"/>
  <c r="D568" i="1"/>
  <c r="D569" i="1"/>
  <c r="D573" i="1"/>
  <c r="D574" i="1"/>
  <c r="D575" i="1"/>
  <c r="D576" i="1"/>
  <c r="D577" i="1"/>
  <c r="D578" i="1"/>
  <c r="D579" i="1"/>
  <c r="D580" i="1"/>
  <c r="D581" i="1"/>
  <c r="D582" i="1"/>
  <c r="D583" i="1"/>
  <c r="D584" i="1"/>
  <c r="D585" i="1"/>
  <c r="D589" i="1"/>
  <c r="D592" i="1"/>
  <c r="D594" i="1"/>
  <c r="D595" i="1"/>
  <c r="D596" i="1"/>
  <c r="D597" i="1"/>
  <c r="D598" i="1"/>
  <c r="D599" i="1"/>
  <c r="D600" i="1"/>
  <c r="D601" i="1"/>
  <c r="D605" i="1"/>
  <c r="D610" i="1"/>
  <c r="D611" i="1"/>
  <c r="D613" i="1"/>
  <c r="D614" i="1"/>
  <c r="D615" i="1"/>
  <c r="D616" i="1"/>
  <c r="D617" i="1"/>
  <c r="D618" i="1"/>
  <c r="D621" i="1"/>
  <c r="D626" i="1"/>
  <c r="D629" i="1"/>
  <c r="D630" i="1"/>
  <c r="D631" i="1"/>
  <c r="D632" i="1"/>
  <c r="D633" i="1"/>
  <c r="D634" i="1"/>
  <c r="D636" i="1"/>
  <c r="D637" i="1"/>
  <c r="D638" i="1"/>
  <c r="D642" i="1"/>
  <c r="D643" i="1"/>
  <c r="D644" i="1"/>
  <c r="D645" i="1"/>
  <c r="D646" i="1"/>
  <c r="D647" i="1"/>
  <c r="D648" i="1"/>
  <c r="D649" i="1"/>
  <c r="D653" i="1"/>
  <c r="D658" i="1"/>
  <c r="D659" i="1"/>
  <c r="D660" i="1"/>
  <c r="D661" i="1"/>
  <c r="D662" i="1"/>
  <c r="D663" i="1"/>
  <c r="D664" i="1"/>
  <c r="D665" i="1"/>
  <c r="D669" i="1"/>
  <c r="D674" i="1"/>
  <c r="D677" i="1"/>
  <c r="D678" i="1"/>
  <c r="D679" i="1"/>
  <c r="D680" i="1"/>
  <c r="D681" i="1"/>
  <c r="D682" i="1"/>
  <c r="D684" i="1"/>
  <c r="D685" i="1"/>
  <c r="D690" i="1"/>
  <c r="D693" i="1"/>
  <c r="D694" i="1"/>
  <c r="D695" i="1"/>
  <c r="D696" i="1"/>
  <c r="D697" i="1"/>
  <c r="D698" i="1"/>
  <c r="D700" i="1"/>
  <c r="D701" i="1"/>
  <c r="D703" i="1"/>
  <c r="D706" i="1"/>
  <c r="D709" i="1"/>
  <c r="D710" i="1"/>
  <c r="D711" i="1"/>
  <c r="D712" i="1"/>
  <c r="D713" i="1"/>
  <c r="D717" i="1"/>
  <c r="D722" i="1"/>
  <c r="D725" i="1"/>
  <c r="D726" i="1"/>
  <c r="D727" i="1"/>
  <c r="D728" i="1"/>
  <c r="D729" i="1"/>
  <c r="D730" i="1"/>
  <c r="D733" i="1"/>
  <c r="D738" i="1"/>
  <c r="D739" i="1"/>
  <c r="D741" i="1"/>
  <c r="D742" i="1"/>
  <c r="D743" i="1"/>
  <c r="D744" i="1"/>
  <c r="D745" i="1"/>
  <c r="D746" i="1"/>
  <c r="D749" i="1"/>
  <c r="D754" i="1"/>
  <c r="D755" i="1"/>
  <c r="D757" i="1"/>
  <c r="D758" i="1"/>
  <c r="D759" i="1"/>
  <c r="D761" i="1"/>
  <c r="D762" i="1"/>
  <c r="D764" i="1"/>
  <c r="D765" i="1"/>
  <c r="D770" i="1"/>
  <c r="D773" i="1"/>
  <c r="D774" i="1"/>
  <c r="D775" i="1"/>
  <c r="D777" i="1"/>
  <c r="D781" i="1"/>
  <c r="D782" i="1"/>
  <c r="D783" i="1"/>
  <c r="D784" i="1"/>
  <c r="D785" i="1"/>
  <c r="D786" i="1"/>
  <c r="D787" i="1"/>
  <c r="D788" i="1"/>
  <c r="D789" i="1"/>
  <c r="D790" i="1"/>
  <c r="D791" i="1"/>
  <c r="D793" i="1"/>
  <c r="D796" i="1"/>
  <c r="D797" i="1"/>
  <c r="D801" i="1"/>
  <c r="D802" i="1"/>
  <c r="D803" i="1"/>
  <c r="D804" i="1"/>
  <c r="D805" i="1"/>
  <c r="D806" i="1"/>
  <c r="D807" i="1"/>
  <c r="D808" i="1"/>
  <c r="D809" i="1"/>
  <c r="D813" i="1"/>
  <c r="D818" i="1"/>
  <c r="D819" i="1"/>
  <c r="D821" i="1"/>
  <c r="D822" i="1"/>
  <c r="D823" i="1"/>
  <c r="D824" i="1"/>
  <c r="D825" i="1"/>
  <c r="D829" i="1"/>
  <c r="D830" i="1"/>
  <c r="D834" i="1"/>
  <c r="D837" i="1"/>
  <c r="D838" i="1"/>
  <c r="D839" i="1"/>
  <c r="D840" i="1"/>
  <c r="D841" i="1"/>
  <c r="D842" i="1"/>
  <c r="D845" i="1"/>
  <c r="D848" i="1"/>
  <c r="D849" i="1"/>
  <c r="D850" i="1"/>
  <c r="D851" i="1"/>
  <c r="D853" i="1"/>
  <c r="D854" i="1"/>
  <c r="D855" i="1"/>
  <c r="D856" i="1"/>
  <c r="D857" i="1"/>
  <c r="D858" i="1"/>
  <c r="D860" i="1"/>
  <c r="D861" i="1"/>
  <c r="D865" i="1"/>
  <c r="D866" i="1"/>
  <c r="D867" i="1"/>
  <c r="D868" i="1"/>
  <c r="D869" i="1"/>
  <c r="D870" i="1"/>
  <c r="D871" i="1"/>
  <c r="D872" i="1"/>
  <c r="D873" i="1"/>
  <c r="D877" i="1"/>
  <c r="D882" i="1"/>
  <c r="D885" i="1"/>
  <c r="D886" i="1"/>
  <c r="D887" i="1"/>
  <c r="D888" i="1"/>
  <c r="D889" i="1"/>
  <c r="D890" i="1"/>
  <c r="D892" i="1"/>
  <c r="D893" i="1"/>
  <c r="D898" i="1"/>
  <c r="D901" i="1"/>
  <c r="D902" i="1"/>
  <c r="D903" i="1"/>
  <c r="D904" i="1"/>
  <c r="D905" i="1"/>
  <c r="D906" i="1"/>
  <c r="D909" i="1"/>
  <c r="D910" i="1"/>
  <c r="D915" i="1"/>
  <c r="D916" i="1"/>
  <c r="D917" i="1"/>
  <c r="D918" i="1"/>
  <c r="D919" i="1"/>
  <c r="D920" i="1"/>
  <c r="D921" i="1"/>
  <c r="D925" i="1"/>
  <c r="D933" i="1"/>
  <c r="D934" i="1"/>
  <c r="D935" i="1"/>
  <c r="D936" i="1"/>
  <c r="D937" i="1"/>
  <c r="D941" i="1"/>
  <c r="D949" i="1"/>
  <c r="D950" i="1"/>
  <c r="D951" i="1"/>
  <c r="D952" i="1"/>
  <c r="D953" i="1"/>
  <c r="D954" i="1"/>
  <c r="D956" i="1"/>
  <c r="D957" i="1"/>
  <c r="D961" i="1"/>
  <c r="D962" i="1"/>
  <c r="D965" i="1"/>
  <c r="D966" i="1"/>
  <c r="D967" i="1"/>
  <c r="D968" i="1"/>
  <c r="D969" i="1"/>
  <c r="D973" i="1"/>
  <c r="D978" i="1"/>
  <c r="D981" i="1"/>
  <c r="D982" i="1"/>
  <c r="D983" i="1"/>
  <c r="D984" i="1"/>
  <c r="D985" i="1"/>
  <c r="D986" i="1"/>
  <c r="D989" i="1"/>
  <c r="D994" i="1"/>
  <c r="D997" i="1"/>
  <c r="D998" i="1"/>
  <c r="D999" i="1"/>
  <c r="D1000" i="1"/>
  <c r="D1001" i="1"/>
  <c r="D1002" i="1"/>
  <c r="D1004" i="1"/>
  <c r="D1005" i="1"/>
  <c r="D1006" i="1"/>
  <c r="D1010" i="1"/>
  <c r="D1013" i="1"/>
  <c r="D1014" i="1"/>
  <c r="D1015" i="1"/>
  <c r="D1017" i="1"/>
  <c r="D1018" i="1"/>
  <c r="D1020" i="1"/>
  <c r="D1021" i="1"/>
  <c r="D1022" i="1"/>
  <c r="D1023" i="1"/>
  <c r="D1024" i="1"/>
  <c r="D1025" i="1"/>
  <c r="D1026" i="1"/>
  <c r="D1027" i="1"/>
  <c r="D1028" i="1"/>
  <c r="D1029" i="1"/>
  <c r="D1030" i="1"/>
  <c r="D1031" i="1"/>
  <c r="D1032" i="1"/>
  <c r="D1033" i="1"/>
  <c r="D1034" i="1"/>
  <c r="D1036" i="1"/>
  <c r="D1037" i="1"/>
  <c r="D1039" i="1"/>
  <c r="D1040" i="1"/>
  <c r="D1041" i="1"/>
  <c r="D1042" i="1"/>
  <c r="D1045" i="1"/>
  <c r="D1046" i="1"/>
  <c r="D1047" i="1"/>
  <c r="D1049" i="1"/>
  <c r="D1053" i="1"/>
  <c r="D1057" i="1"/>
  <c r="D1058" i="1"/>
  <c r="D1059" i="1"/>
  <c r="D1060" i="1"/>
  <c r="D1061" i="1"/>
  <c r="D1062" i="1"/>
  <c r="D1063" i="1"/>
  <c r="D1064" i="1"/>
  <c r="D1065" i="1"/>
  <c r="D1069" i="1"/>
  <c r="D1074" i="1"/>
  <c r="D1075" i="1"/>
  <c r="D1077" i="1"/>
  <c r="D1078" i="1"/>
  <c r="D1079" i="1"/>
  <c r="D1080" i="1"/>
  <c r="D1081" i="1"/>
  <c r="D1084" i="1"/>
  <c r="D1085" i="1"/>
  <c r="D1090" i="1"/>
  <c r="D1093" i="1"/>
  <c r="D1094" i="1"/>
  <c r="D1095" i="1"/>
  <c r="D1096" i="1"/>
  <c r="D1097" i="1"/>
  <c r="D1098" i="1"/>
  <c r="D1101" i="1"/>
  <c r="D1103" i="1"/>
  <c r="D1104" i="1"/>
  <c r="D1106" i="1"/>
  <c r="D1108" i="1"/>
  <c r="D1109" i="1"/>
  <c r="D1110" i="1"/>
  <c r="D1111" i="1"/>
  <c r="D1112" i="1"/>
  <c r="D1113" i="1"/>
  <c r="D1117" i="1"/>
  <c r="D1121" i="1"/>
  <c r="D1122" i="1"/>
  <c r="D1125" i="1"/>
  <c r="D1126" i="1"/>
  <c r="D1127" i="1"/>
  <c r="D1128" i="1"/>
  <c r="D1129" i="1"/>
  <c r="D1130" i="1"/>
  <c r="D1132" i="1"/>
  <c r="D1133" i="1"/>
  <c r="D1138" i="1"/>
  <c r="D1139" i="1"/>
  <c r="D1141" i="1"/>
  <c r="D1142" i="1"/>
  <c r="D1143" i="1"/>
  <c r="D1144" i="1"/>
  <c r="D1145" i="1"/>
  <c r="D1146" i="1"/>
  <c r="D1148" i="1"/>
  <c r="D1149" i="1"/>
  <c r="D1154" i="1"/>
  <c r="D1157" i="1"/>
  <c r="D1158" i="1"/>
  <c r="D1159" i="1"/>
  <c r="D1160" i="1"/>
  <c r="D1161" i="1"/>
  <c r="D1165" i="1"/>
  <c r="D1166" i="1"/>
  <c r="D1167" i="1"/>
  <c r="D1169" i="1"/>
  <c r="D1171" i="1"/>
  <c r="D1173" i="1"/>
  <c r="D1174" i="1"/>
  <c r="D1175" i="1"/>
  <c r="D1176" i="1"/>
  <c r="D1177" i="1"/>
  <c r="D1178" i="1"/>
  <c r="D1180" i="1"/>
  <c r="D1181" i="1"/>
  <c r="D1186" i="1"/>
  <c r="D1189" i="1"/>
  <c r="D1190" i="1"/>
  <c r="D1191" i="1"/>
  <c r="D1192" i="1"/>
  <c r="D1193" i="1"/>
  <c r="D1194" i="1"/>
  <c r="D1196" i="1"/>
  <c r="D1197" i="1"/>
  <c r="D1205" i="1"/>
  <c r="D1206" i="1"/>
  <c r="D1207" i="1"/>
  <c r="D1208" i="1"/>
  <c r="D1209" i="1"/>
  <c r="D1210" i="1"/>
  <c r="D1212" i="1"/>
  <c r="D1213" i="1"/>
  <c r="D1214" i="1"/>
  <c r="D1215" i="1"/>
  <c r="D1218" i="1"/>
  <c r="D1221" i="1"/>
  <c r="D1222" i="1"/>
  <c r="D1223" i="1"/>
  <c r="D1224" i="1"/>
  <c r="D1225" i="1"/>
  <c r="D1226" i="1"/>
  <c r="D1228" i="1"/>
  <c r="D1229" i="1"/>
  <c r="D1231" i="1"/>
  <c r="D1232" i="1"/>
  <c r="D1233" i="1"/>
  <c r="D1234" i="1"/>
  <c r="D1237" i="1"/>
  <c r="D1238" i="1"/>
  <c r="D1239" i="1"/>
  <c r="D1240" i="1"/>
  <c r="D1241" i="1"/>
  <c r="D1242" i="1"/>
  <c r="D1244" i="1"/>
  <c r="D1245" i="1"/>
  <c r="D1247" i="1"/>
  <c r="D1249" i="1"/>
  <c r="D1250" i="1"/>
  <c r="D1251" i="1"/>
  <c r="D1252" i="1"/>
  <c r="D1253" i="1"/>
  <c r="D1254" i="1"/>
  <c r="D1255" i="1"/>
  <c r="D1256" i="1"/>
  <c r="D1257" i="1"/>
  <c r="D1261" i="1"/>
  <c r="D1264" i="1"/>
  <c r="D1266" i="1"/>
  <c r="D1267" i="1"/>
  <c r="D1268" i="1"/>
  <c r="D1269" i="1"/>
  <c r="D1270" i="1"/>
  <c r="D1271" i="1"/>
  <c r="D1273" i="1"/>
  <c r="D1277" i="1"/>
  <c r="D1282" i="1"/>
  <c r="D1283" i="1"/>
  <c r="D1284" i="1"/>
  <c r="D1285" i="1"/>
  <c r="D1286" i="1"/>
  <c r="D1287" i="1"/>
  <c r="D1288" i="1"/>
  <c r="D1289" i="1"/>
  <c r="D1293" i="1"/>
  <c r="D1298" i="1"/>
  <c r="D1301" i="1"/>
  <c r="D1302" i="1"/>
  <c r="D1303" i="1"/>
  <c r="D1305" i="1"/>
  <c r="D1308" i="1"/>
  <c r="D1309" i="1"/>
  <c r="D1313" i="1"/>
  <c r="D1314" i="1"/>
  <c r="D1317" i="1"/>
  <c r="D1318" i="1"/>
  <c r="D1319" i="1"/>
  <c r="D1320" i="1"/>
  <c r="D1321" i="1"/>
  <c r="D1322" i="1"/>
  <c r="D1325" i="1"/>
  <c r="D1327" i="1"/>
  <c r="D1331" i="1"/>
  <c r="D1332" i="1"/>
  <c r="D1333" i="1"/>
  <c r="D1334" i="1"/>
  <c r="D1335" i="1"/>
  <c r="D1336" i="1"/>
  <c r="D1337" i="1"/>
  <c r="D1340" i="1"/>
  <c r="D1341" i="1"/>
  <c r="D1349" i="1"/>
  <c r="D1350" i="1"/>
  <c r="D1351" i="1"/>
  <c r="D1352" i="1"/>
  <c r="D1353" i="1"/>
  <c r="D1354" i="1"/>
  <c r="D1357" i="1"/>
  <c r="D1359" i="1"/>
  <c r="D1362" i="1"/>
  <c r="D1365" i="1"/>
  <c r="D1366" i="1"/>
  <c r="D1367" i="1"/>
  <c r="D1368" i="1"/>
  <c r="D1369" i="1"/>
  <c r="D1370" i="1"/>
  <c r="D1373" i="1"/>
  <c r="D1375" i="1"/>
  <c r="D1376" i="1"/>
  <c r="D1377" i="1"/>
  <c r="D1378" i="1"/>
  <c r="D1379" i="1"/>
  <c r="D1380" i="1"/>
  <c r="D1381" i="1"/>
  <c r="D1382" i="1"/>
  <c r="D1383" i="1"/>
  <c r="D1384" i="1"/>
  <c r="D1385" i="1"/>
  <c r="D1386" i="1"/>
  <c r="D1387" i="1"/>
  <c r="D1389" i="1"/>
  <c r="D1392" i="1"/>
  <c r="D1393" i="1"/>
  <c r="D1394" i="1"/>
  <c r="D1395" i="1"/>
  <c r="D1397" i="1"/>
  <c r="D1398" i="1"/>
  <c r="D1399" i="1"/>
  <c r="D1400" i="1"/>
  <c r="D1401" i="1"/>
  <c r="D1405" i="1"/>
  <c r="D1410" i="1"/>
  <c r="D1411" i="1"/>
  <c r="D1412" i="1"/>
  <c r="D1413" i="1"/>
  <c r="D1414" i="1"/>
  <c r="D1415" i="1"/>
  <c r="D1416" i="1"/>
  <c r="D1417" i="1"/>
  <c r="D1418" i="1"/>
  <c r="D1421" i="1"/>
  <c r="D1426" i="1"/>
  <c r="D1427" i="1"/>
  <c r="D1429" i="1"/>
  <c r="D1430" i="1"/>
  <c r="D1431" i="1"/>
  <c r="D1432" i="1"/>
  <c r="D1433" i="1"/>
  <c r="D1434" i="1"/>
  <c r="D1435" i="1"/>
  <c r="D1437" i="1"/>
  <c r="D1442" i="1"/>
  <c r="D1443" i="1"/>
  <c r="D1445" i="1"/>
  <c r="D1446" i="1"/>
  <c r="D1447" i="1"/>
  <c r="D1448" i="1"/>
  <c r="D1449" i="1"/>
  <c r="D1450" i="1"/>
  <c r="D1451" i="1"/>
  <c r="D1453" i="1"/>
  <c r="D1455" i="1"/>
  <c r="D1456" i="1"/>
  <c r="D1460" i="1"/>
  <c r="D1461" i="1"/>
  <c r="D1462" i="1"/>
  <c r="D1463" i="1"/>
  <c r="D1464" i="1"/>
  <c r="D1465" i="1"/>
  <c r="D1469" i="1"/>
  <c r="D1474" i="1"/>
  <c r="D1477" i="1"/>
  <c r="D1478" i="1"/>
  <c r="D1479" i="1"/>
  <c r="D1480" i="1"/>
  <c r="D1481" i="1"/>
  <c r="D1482" i="1"/>
  <c r="D1483" i="1"/>
  <c r="D1485" i="1"/>
  <c r="D1490" i="1"/>
  <c r="D1491" i="1"/>
  <c r="D1493" i="1"/>
  <c r="D1494" i="1"/>
  <c r="D1495" i="1"/>
  <c r="D1496" i="1"/>
  <c r="D1497" i="1"/>
  <c r="D1498" i="1"/>
  <c r="D1499" i="1"/>
  <c r="D1501" i="1"/>
  <c r="D1506" i="1"/>
  <c r="D1509" i="1"/>
  <c r="D1510" i="1"/>
  <c r="D1511" i="1"/>
  <c r="D1512" i="1"/>
  <c r="D1513" i="1"/>
  <c r="D1514" i="1"/>
  <c r="D1515" i="1"/>
  <c r="D1517" i="1"/>
  <c r="D1519" i="1"/>
  <c r="D1522" i="1"/>
  <c r="D1525" i="1"/>
  <c r="D1526" i="1"/>
  <c r="D1527" i="1"/>
  <c r="D1528" i="1"/>
  <c r="D1529" i="1"/>
  <c r="D1533" i="1"/>
  <c r="D1536" i="1"/>
  <c r="D1537" i="1"/>
  <c r="D1538" i="1"/>
  <c r="D1539" i="1"/>
  <c r="D1541" i="1"/>
  <c r="D1542" i="1"/>
  <c r="D1543" i="1"/>
  <c r="D1544" i="1"/>
  <c r="D1545" i="1"/>
  <c r="D1546" i="1"/>
  <c r="D1549" i="1"/>
  <c r="D1554" i="1"/>
  <c r="D1555" i="1"/>
  <c r="D1556" i="1"/>
  <c r="D1557" i="1"/>
  <c r="D1558" i="1"/>
  <c r="D1559" i="1"/>
  <c r="D1560" i="1"/>
  <c r="D1561" i="1"/>
  <c r="D1562" i="1"/>
  <c r="D1565" i="1"/>
  <c r="D1570" i="1"/>
  <c r="D1573" i="1"/>
  <c r="D1574" i="1"/>
  <c r="D1575" i="1"/>
  <c r="D1576" i="1"/>
  <c r="D1577" i="1"/>
  <c r="D1578" i="1"/>
  <c r="D1579" i="1"/>
  <c r="D1581" i="1"/>
  <c r="D1586" i="1"/>
  <c r="D1589" i="1"/>
  <c r="D1590" i="1"/>
  <c r="D1591" i="1"/>
  <c r="D1592" i="1"/>
  <c r="D1593" i="1"/>
  <c r="D1594" i="1"/>
  <c r="D1595" i="1"/>
  <c r="D1597" i="1"/>
  <c r="D1599" i="1"/>
  <c r="D1600" i="1"/>
  <c r="D1601" i="1"/>
  <c r="D1602" i="1"/>
  <c r="D1605" i="1"/>
  <c r="D1606" i="1"/>
  <c r="D1607" i="1"/>
  <c r="D1608" i="1"/>
  <c r="D1609" i="1"/>
  <c r="D1613" i="1"/>
  <c r="D1617" i="1"/>
  <c r="D1618" i="1"/>
  <c r="D1619" i="1"/>
  <c r="D1620" i="1"/>
  <c r="D1621" i="1"/>
  <c r="D1622" i="1"/>
  <c r="D1623" i="1"/>
  <c r="D1624" i="1"/>
  <c r="D1625" i="1"/>
  <c r="D1629" i="1"/>
  <c r="D1634" i="1"/>
  <c r="D1635" i="1"/>
  <c r="D1637" i="1"/>
  <c r="D1638" i="1"/>
  <c r="D1639" i="1"/>
  <c r="D1640" i="1"/>
  <c r="D1641" i="1"/>
  <c r="D1642" i="1"/>
  <c r="D1643" i="1"/>
  <c r="D1645" i="1"/>
  <c r="D1650" i="1"/>
  <c r="D1651" i="1"/>
  <c r="D1653" i="1"/>
  <c r="D1654" i="1"/>
  <c r="D1655" i="1"/>
  <c r="D1656" i="1"/>
  <c r="D1657" i="1"/>
  <c r="D1661" i="1"/>
  <c r="D1666" i="1"/>
  <c r="D1669" i="1"/>
  <c r="D1670" i="1"/>
  <c r="D1671" i="1"/>
  <c r="D1672" i="1"/>
  <c r="D1673" i="1"/>
  <c r="D1674" i="1"/>
  <c r="D1677" i="1"/>
  <c r="D1680" i="1"/>
  <c r="D1681" i="1"/>
  <c r="D1682" i="1"/>
  <c r="D1685" i="1"/>
  <c r="D1686" i="1"/>
  <c r="D1687" i="1"/>
  <c r="D1688" i="1"/>
  <c r="D1689" i="1"/>
  <c r="D1690" i="1"/>
  <c r="D1691" i="1"/>
  <c r="D1693" i="1"/>
  <c r="D1698" i="1"/>
  <c r="D1699" i="1"/>
  <c r="D1700" i="1"/>
  <c r="D1701" i="1"/>
  <c r="D1702" i="1"/>
  <c r="D1703" i="1"/>
  <c r="D1704" i="1"/>
  <c r="D1705" i="1"/>
  <c r="D1706" i="1"/>
  <c r="D1709" i="1"/>
  <c r="D1714" i="1"/>
  <c r="D1717" i="1"/>
  <c r="D1718" i="1"/>
  <c r="D1719" i="1"/>
  <c r="D1720" i="1"/>
  <c r="D1721" i="1"/>
  <c r="D1722" i="1"/>
  <c r="D1723" i="1"/>
  <c r="D1725" i="1"/>
  <c r="D1730" i="1"/>
  <c r="D1733" i="1"/>
  <c r="D1734" i="1"/>
  <c r="D1735" i="1"/>
  <c r="D1736" i="1"/>
  <c r="D1737" i="1"/>
  <c r="D1738" i="1"/>
  <c r="D1741" i="1"/>
  <c r="D1743" i="1"/>
  <c r="D1744" i="1"/>
  <c r="D1745" i="1"/>
  <c r="D1746" i="1"/>
  <c r="D1747" i="1"/>
  <c r="D1748" i="1"/>
  <c r="D1749" i="1"/>
  <c r="D1750" i="1"/>
  <c r="D1751" i="1"/>
  <c r="D1752" i="1"/>
  <c r="D1753" i="1"/>
  <c r="D1754" i="1"/>
  <c r="D1755" i="1"/>
  <c r="D1757" i="1"/>
  <c r="D1760" i="1"/>
  <c r="D1761" i="1"/>
  <c r="D1762" i="1"/>
  <c r="D1763" i="1"/>
  <c r="D1765" i="1"/>
  <c r="D1766" i="1"/>
  <c r="D1767" i="1"/>
  <c r="D1768" i="1"/>
  <c r="D1769" i="1"/>
  <c r="D1770" i="1"/>
  <c r="D1771" i="1"/>
  <c r="D1773" i="1"/>
  <c r="D1776" i="1"/>
  <c r="D1778" i="1"/>
  <c r="D1779" i="1"/>
  <c r="D1780" i="1"/>
  <c r="D1781" i="1"/>
  <c r="D1782" i="1"/>
  <c r="D1783" i="1"/>
  <c r="D1784" i="1"/>
  <c r="D1785" i="1"/>
  <c r="D1789" i="1"/>
  <c r="D1794" i="1"/>
  <c r="D1795" i="1"/>
  <c r="D1796" i="1"/>
  <c r="D1797" i="1"/>
  <c r="D1798" i="1"/>
  <c r="D1799" i="1"/>
  <c r="D1800" i="1"/>
  <c r="D1801" i="1"/>
  <c r="D1802" i="1"/>
  <c r="D1805" i="1"/>
  <c r="D1810" i="1"/>
  <c r="D1813" i="1"/>
  <c r="D1814" i="1"/>
  <c r="D1815" i="1"/>
  <c r="D1816" i="1"/>
  <c r="D1817" i="1"/>
  <c r="D1818" i="1"/>
  <c r="D1819" i="1"/>
  <c r="D1821" i="1"/>
  <c r="D1826" i="1"/>
  <c r="D1829" i="1"/>
  <c r="D1830" i="1"/>
  <c r="D1831" i="1"/>
  <c r="D1832" i="1"/>
  <c r="D1833" i="1"/>
  <c r="D1834" i="1"/>
  <c r="D1835" i="1"/>
  <c r="D1837" i="1"/>
  <c r="D1839" i="1"/>
  <c r="D1842" i="1"/>
  <c r="D1844" i="1"/>
  <c r="D1845" i="1"/>
  <c r="D1846" i="1"/>
  <c r="D1847" i="1"/>
  <c r="D1848" i="1"/>
  <c r="D1849" i="1"/>
  <c r="D1853" i="1"/>
  <c r="D1858" i="1"/>
  <c r="D1861" i="1"/>
  <c r="D1862" i="1"/>
  <c r="D1863" i="1"/>
  <c r="D1864" i="1"/>
  <c r="D1865" i="1"/>
  <c r="D1866" i="1"/>
  <c r="D1869" i="1"/>
  <c r="D1874" i="1"/>
  <c r="D1877" i="1"/>
  <c r="D1878" i="1"/>
  <c r="D1879" i="1"/>
  <c r="D1880" i="1"/>
  <c r="D1881" i="1"/>
  <c r="D1882" i="1"/>
  <c r="D1883" i="1"/>
  <c r="D1885" i="1"/>
  <c r="D1890" i="1"/>
  <c r="D1893" i="1"/>
  <c r="D1894" i="1"/>
  <c r="D1895" i="1"/>
  <c r="D1896" i="1"/>
  <c r="D1897" i="1"/>
  <c r="D1898" i="1"/>
  <c r="D1899" i="1"/>
  <c r="D1901" i="1"/>
  <c r="D1903" i="1"/>
  <c r="D1904" i="1"/>
  <c r="D1906" i="1"/>
  <c r="D1907" i="1"/>
  <c r="D1909" i="1"/>
  <c r="D1910" i="1"/>
  <c r="D1911" i="1"/>
  <c r="D1912" i="1"/>
  <c r="D1913" i="1"/>
  <c r="D1917" i="1"/>
  <c r="D1919" i="1"/>
  <c r="D1921" i="1"/>
  <c r="D1922" i="1"/>
  <c r="D1923" i="1"/>
  <c r="D1924" i="1"/>
  <c r="D1925" i="1"/>
  <c r="D1926" i="1"/>
  <c r="D1927" i="1"/>
  <c r="D1928" i="1"/>
  <c r="D1929" i="1"/>
  <c r="D1933" i="1"/>
  <c r="D1937" i="1"/>
  <c r="D1938" i="1"/>
  <c r="D1939" i="1"/>
  <c r="D1940" i="1"/>
  <c r="D1941" i="1"/>
  <c r="D1942" i="1"/>
  <c r="D1943" i="1"/>
  <c r="D1944" i="1"/>
  <c r="D1945" i="1"/>
  <c r="D1949" i="1"/>
  <c r="D1954" i="1"/>
  <c r="D1955" i="1"/>
  <c r="D1957" i="1"/>
  <c r="D1958" i="1"/>
  <c r="D1959" i="1"/>
  <c r="D1960" i="1"/>
  <c r="D1961" i="1"/>
  <c r="D1962" i="1"/>
  <c r="D1965" i="1"/>
  <c r="D1970" i="1"/>
  <c r="D1971" i="1"/>
  <c r="D1973" i="1"/>
  <c r="D1974" i="1"/>
  <c r="D1975" i="1"/>
  <c r="D1976" i="1"/>
  <c r="D1977" i="1"/>
  <c r="D1978" i="1"/>
  <c r="D1981" i="1"/>
  <c r="D1986" i="1"/>
  <c r="D1989" i="1"/>
  <c r="D1990" i="1"/>
  <c r="D1991" i="1"/>
  <c r="D1992" i="1"/>
  <c r="D1993" i="1"/>
  <c r="D1994" i="1"/>
  <c r="D1997" i="1"/>
  <c r="D1998" i="1"/>
  <c r="D2002" i="1"/>
  <c r="D2005" i="1"/>
  <c r="D2006" i="1"/>
  <c r="D2007" i="1"/>
  <c r="D2008" i="1"/>
  <c r="D2009" i="1"/>
  <c r="D2010" i="1"/>
  <c r="D2013" i="1"/>
  <c r="D2014" i="1"/>
  <c r="D2015" i="1"/>
  <c r="D2016" i="1"/>
  <c r="D2018" i="1"/>
  <c r="D2019" i="1"/>
  <c r="D2021" i="1"/>
  <c r="D2022" i="1"/>
  <c r="D2023" i="1"/>
  <c r="D2024" i="1"/>
  <c r="D2025" i="1"/>
  <c r="D2026" i="1"/>
  <c r="D2029" i="1"/>
  <c r="D2031" i="1"/>
  <c r="D2032" i="1"/>
  <c r="D2033" i="1"/>
  <c r="D2034" i="1"/>
  <c r="D2037" i="1"/>
  <c r="D2038" i="1"/>
  <c r="D2039" i="1"/>
  <c r="D2040" i="1"/>
  <c r="D2041" i="1"/>
  <c r="D2042" i="1"/>
  <c r="D2045" i="1"/>
  <c r="D2047" i="1"/>
  <c r="D2049" i="1"/>
  <c r="D2050" i="1"/>
  <c r="D2051" i="1"/>
  <c r="D2052" i="1"/>
  <c r="D2053" i="1"/>
  <c r="D2054" i="1"/>
  <c r="D2055" i="1"/>
  <c r="D2056" i="1"/>
  <c r="D2057" i="1"/>
  <c r="D2061" i="1"/>
  <c r="D2065" i="1"/>
  <c r="D2066" i="1"/>
  <c r="D2067" i="1"/>
  <c r="D2068" i="1"/>
  <c r="D2069" i="1"/>
  <c r="D2070" i="1"/>
  <c r="D2071" i="1"/>
  <c r="D2072" i="1"/>
  <c r="D2073" i="1"/>
  <c r="D2077" i="1"/>
  <c r="D2082" i="1"/>
  <c r="D2083" i="1"/>
  <c r="D2085" i="1"/>
  <c r="D2086" i="1"/>
  <c r="D2087" i="1"/>
  <c r="D2088" i="1"/>
  <c r="D2089" i="1"/>
  <c r="D2090" i="1"/>
  <c r="D2093" i="1"/>
  <c r="D2098" i="1"/>
  <c r="D2099" i="1"/>
  <c r="D2101" i="1"/>
  <c r="D2102" i="1"/>
  <c r="D2103" i="1"/>
  <c r="D2104" i="1"/>
  <c r="D2105" i="1"/>
  <c r="D2106" i="1"/>
  <c r="D2109" i="1"/>
  <c r="D2114" i="1"/>
  <c r="D2117" i="1"/>
  <c r="D2118" i="1"/>
  <c r="D2119" i="1"/>
  <c r="D2120" i="1"/>
  <c r="D2121" i="1"/>
  <c r="D2122" i="1"/>
  <c r="D2125" i="1"/>
  <c r="D2126" i="1"/>
  <c r="D2130" i="1"/>
  <c r="D2133" i="1"/>
  <c r="D2134" i="1"/>
  <c r="D2135" i="1"/>
  <c r="D2136" i="1"/>
  <c r="D2137" i="1"/>
  <c r="D2138" i="1"/>
  <c r="D2141" i="1"/>
  <c r="D2142" i="1"/>
  <c r="D2143" i="1"/>
  <c r="D2144" i="1"/>
  <c r="D2146" i="1"/>
  <c r="D2147" i="1"/>
  <c r="D2149" i="1"/>
  <c r="D2150" i="1"/>
  <c r="D2151" i="1"/>
  <c r="D2152" i="1"/>
  <c r="D2153" i="1"/>
  <c r="D2154" i="1"/>
  <c r="D2157" i="1"/>
  <c r="D2159" i="1"/>
  <c r="D2160" i="1"/>
  <c r="D2161" i="1"/>
  <c r="D2162" i="1"/>
  <c r="D2165" i="1"/>
  <c r="D2166" i="1"/>
  <c r="D2167" i="1"/>
  <c r="D2168" i="1"/>
  <c r="D2169" i="1"/>
  <c r="D2170" i="1"/>
  <c r="D2173" i="1"/>
  <c r="D2175" i="1"/>
  <c r="D2177" i="1"/>
  <c r="D2178" i="1"/>
  <c r="D2179" i="1"/>
  <c r="D2180" i="1"/>
  <c r="D2181" i="1"/>
  <c r="D2182" i="1"/>
  <c r="D2183" i="1"/>
  <c r="D2184" i="1"/>
  <c r="D2185" i="1"/>
  <c r="D2189" i="1"/>
  <c r="D2193" i="1"/>
  <c r="D2194" i="1"/>
  <c r="D2195" i="1"/>
  <c r="D2196" i="1"/>
  <c r="D2197" i="1"/>
  <c r="D2198" i="1"/>
  <c r="D2199" i="1"/>
  <c r="D2200" i="1"/>
  <c r="D2201" i="1"/>
  <c r="D2205" i="1"/>
  <c r="D2210" i="1"/>
  <c r="D2211" i="1"/>
  <c r="D2213" i="1"/>
  <c r="D2214" i="1"/>
  <c r="D2215" i="1"/>
  <c r="D2216" i="1"/>
  <c r="D2217" i="1"/>
  <c r="D2218" i="1"/>
  <c r="D2221" i="1"/>
  <c r="D2226" i="1"/>
  <c r="D2227" i="1"/>
  <c r="D2229" i="1"/>
  <c r="D2230" i="1"/>
  <c r="D2231" i="1"/>
  <c r="D2232" i="1"/>
  <c r="D2233" i="1"/>
  <c r="D2234" i="1"/>
  <c r="D2237" i="1"/>
  <c r="D2242" i="1"/>
  <c r="D2245" i="1"/>
  <c r="D2246" i="1"/>
  <c r="D2247" i="1"/>
  <c r="D2248" i="1"/>
  <c r="D2249" i="1"/>
  <c r="D2250" i="1"/>
  <c r="D2253" i="1"/>
  <c r="D2254" i="1"/>
  <c r="D2258" i="1"/>
  <c r="D2261" i="1"/>
  <c r="D2262" i="1"/>
  <c r="D2263" i="1"/>
  <c r="D2264" i="1"/>
  <c r="D2265" i="1"/>
  <c r="D2266" i="1"/>
  <c r="D2269" i="1"/>
  <c r="D2270" i="1"/>
  <c r="D2271" i="1"/>
  <c r="D2272" i="1"/>
  <c r="D2274" i="1"/>
  <c r="D2275" i="1"/>
  <c r="D2277" i="1"/>
  <c r="D2278" i="1"/>
  <c r="D2279" i="1"/>
  <c r="D2280" i="1"/>
  <c r="D2281" i="1"/>
  <c r="D2282" i="1"/>
  <c r="D2285" i="1"/>
  <c r="D2287" i="1"/>
  <c r="D2288" i="1"/>
  <c r="D2289" i="1"/>
  <c r="D2290" i="1"/>
  <c r="D2293" i="1"/>
  <c r="D2294" i="1"/>
  <c r="D2295" i="1"/>
  <c r="D2296" i="1"/>
  <c r="D2297" i="1"/>
  <c r="D2298" i="1"/>
  <c r="D2301" i="1"/>
  <c r="D2303" i="1"/>
  <c r="D2305" i="1"/>
  <c r="D2306" i="1"/>
  <c r="D2307" i="1"/>
  <c r="D2308" i="1"/>
  <c r="D2309" i="1"/>
  <c r="D2310" i="1"/>
  <c r="D2311" i="1"/>
  <c r="D2312" i="1"/>
  <c r="D2313" i="1"/>
  <c r="D2317" i="1"/>
  <c r="D2321" i="1"/>
  <c r="D2322" i="1"/>
  <c r="D2323" i="1"/>
  <c r="D2324" i="1"/>
  <c r="D2325" i="1"/>
  <c r="D2326" i="1"/>
  <c r="D2327" i="1"/>
  <c r="D2328" i="1"/>
  <c r="D2329" i="1"/>
  <c r="D2333" i="1"/>
  <c r="D2338" i="1"/>
  <c r="D2339" i="1"/>
  <c r="D2341" i="1"/>
  <c r="D2342" i="1"/>
  <c r="D2343" i="1"/>
  <c r="D2344" i="1"/>
  <c r="D2345" i="1"/>
  <c r="D2346" i="1"/>
  <c r="D2349" i="1"/>
  <c r="D2354" i="1"/>
  <c r="D2355" i="1"/>
  <c r="D2357" i="1"/>
  <c r="D2358" i="1"/>
  <c r="D2359" i="1"/>
  <c r="D2360" i="1"/>
  <c r="D2361" i="1"/>
  <c r="D2362" i="1"/>
  <c r="D2365" i="1"/>
  <c r="D2370" i="1"/>
  <c r="D2373" i="1"/>
  <c r="D2374" i="1"/>
  <c r="D2375" i="1"/>
  <c r="D2376" i="1"/>
  <c r="D2377" i="1"/>
  <c r="D2378" i="1"/>
  <c r="D2381" i="1"/>
  <c r="D2382" i="1"/>
  <c r="D2386" i="1"/>
  <c r="D2389" i="1"/>
  <c r="D2390" i="1"/>
  <c r="D2391" i="1"/>
  <c r="D2392" i="1"/>
  <c r="D2393" i="1"/>
  <c r="D2394" i="1"/>
  <c r="D2397" i="1"/>
  <c r="D2398" i="1"/>
  <c r="D2399" i="1"/>
  <c r="D2400" i="1"/>
  <c r="D2402" i="1"/>
  <c r="D2403" i="1"/>
  <c r="D2405" i="1"/>
  <c r="D2406" i="1"/>
  <c r="D2407" i="1"/>
  <c r="D2408" i="1"/>
  <c r="D2409" i="1"/>
  <c r="D2410" i="1"/>
  <c r="D2413" i="1"/>
  <c r="D2415" i="1"/>
  <c r="D2416" i="1"/>
  <c r="D2417" i="1"/>
  <c r="D2418" i="1"/>
  <c r="D2419" i="1"/>
  <c r="D2421" i="1"/>
  <c r="D2422" i="1"/>
  <c r="D2423" i="1"/>
  <c r="D2424" i="1"/>
  <c r="D2425" i="1"/>
  <c r="D2426" i="1"/>
  <c r="D2429" i="1"/>
  <c r="D2430" i="1"/>
  <c r="D2432" i="1"/>
  <c r="D2433" i="1"/>
  <c r="D2434" i="1"/>
  <c r="D2435" i="1"/>
  <c r="D2437" i="1"/>
  <c r="D2438" i="1"/>
  <c r="D2439" i="1"/>
  <c r="D2440" i="1"/>
  <c r="D2441" i="1"/>
  <c r="D2442" i="1"/>
  <c r="D2445" i="1"/>
  <c r="D2447" i="1"/>
  <c r="D2449" i="1"/>
  <c r="D2450" i="1"/>
  <c r="D2451" i="1"/>
  <c r="D2452" i="1"/>
  <c r="D2453" i="1"/>
  <c r="D2454" i="1"/>
  <c r="D2455" i="1"/>
  <c r="D2456" i="1"/>
  <c r="D2457" i="1"/>
  <c r="D2461" i="1"/>
  <c r="D2464" i="1"/>
  <c r="D2466" i="1"/>
  <c r="D2467" i="1"/>
  <c r="D2468" i="1"/>
  <c r="D2469" i="1"/>
  <c r="D2470" i="1"/>
  <c r="D2471" i="1"/>
  <c r="D2472" i="1"/>
  <c r="D2473" i="1"/>
  <c r="D2477" i="1"/>
  <c r="D2481" i="1"/>
  <c r="D2482" i="1"/>
  <c r="D2483" i="1"/>
  <c r="D2484" i="1"/>
  <c r="D2485" i="1"/>
  <c r="D2486" i="1"/>
  <c r="D2487" i="1"/>
  <c r="D2488" i="1"/>
  <c r="D2489" i="1"/>
  <c r="D2493" i="1"/>
  <c r="D2498" i="1"/>
  <c r="D2499" i="1"/>
  <c r="D2500" i="1"/>
  <c r="D2501" i="1"/>
  <c r="D2502" i="1"/>
  <c r="D2503" i="1"/>
  <c r="D2504" i="1"/>
  <c r="D2505" i="1"/>
  <c r="D2506" i="1"/>
  <c r="D2509" i="1"/>
  <c r="D2514" i="1"/>
  <c r="D2515" i="1"/>
  <c r="D2517" i="1"/>
  <c r="D2518" i="1"/>
  <c r="D2519" i="1"/>
  <c r="D2520" i="1"/>
  <c r="D2521" i="1"/>
  <c r="D2522" i="1"/>
  <c r="D2524" i="1"/>
  <c r="D2525" i="1"/>
  <c r="D2530" i="1"/>
  <c r="D2531" i="1"/>
  <c r="D2532" i="1"/>
  <c r="D2533" i="1"/>
  <c r="D2534" i="1"/>
  <c r="D2535" i="1"/>
  <c r="D2536" i="1"/>
  <c r="D2537" i="1"/>
  <c r="D2538" i="1"/>
  <c r="D2541" i="1"/>
  <c r="D2546" i="1"/>
  <c r="D2547" i="1"/>
  <c r="D2549" i="1"/>
  <c r="D2550" i="1"/>
  <c r="D2551" i="1"/>
  <c r="D2552" i="1"/>
  <c r="D2553" i="1"/>
  <c r="D2554" i="1"/>
  <c r="D2557" i="1"/>
  <c r="D2562" i="1"/>
  <c r="D2563" i="1"/>
  <c r="D2565" i="1"/>
  <c r="D2566" i="1"/>
  <c r="D2567" i="1"/>
  <c r="D2568" i="1"/>
  <c r="D2569" i="1"/>
  <c r="D2570" i="1"/>
  <c r="D2572" i="1"/>
  <c r="D2573" i="1"/>
  <c r="D2578" i="1"/>
  <c r="D2581" i="1"/>
  <c r="D2582" i="1"/>
  <c r="D2583" i="1"/>
  <c r="D2584" i="1"/>
  <c r="D2585" i="1"/>
  <c r="D2586" i="1"/>
  <c r="D2588" i="1"/>
  <c r="D2589" i="1"/>
  <c r="D2594" i="1"/>
  <c r="D2597" i="1"/>
  <c r="D2598" i="1"/>
  <c r="D2599" i="1"/>
  <c r="D2600" i="1"/>
  <c r="D2601" i="1"/>
  <c r="D2602" i="1"/>
  <c r="D2604" i="1"/>
  <c r="D2605" i="1"/>
  <c r="D2606" i="1"/>
  <c r="D2610" i="1"/>
  <c r="D2613" i="1"/>
  <c r="D2614" i="1"/>
  <c r="D2615" i="1"/>
  <c r="D2616" i="1"/>
  <c r="D2617" i="1"/>
  <c r="D2618" i="1"/>
  <c r="D2620" i="1"/>
  <c r="D2621" i="1"/>
  <c r="D2622" i="1"/>
  <c r="D2623" i="1"/>
  <c r="D2626" i="1"/>
  <c r="D2629" i="1"/>
  <c r="D2630" i="1"/>
  <c r="D2631" i="1"/>
  <c r="D2632" i="1"/>
  <c r="D2633" i="1"/>
  <c r="D2634" i="1"/>
  <c r="D2637" i="1"/>
  <c r="D2638" i="1"/>
  <c r="D2639" i="1"/>
  <c r="D2640" i="1"/>
  <c r="D2642" i="1"/>
  <c r="D2643" i="1"/>
  <c r="D2645" i="1"/>
  <c r="D2646" i="1"/>
  <c r="D2647" i="1"/>
  <c r="D2648" i="1"/>
  <c r="D2649" i="1"/>
  <c r="D2650" i="1"/>
  <c r="D2652" i="1"/>
  <c r="D2653" i="1"/>
  <c r="D2654" i="1"/>
  <c r="D2655" i="1"/>
  <c r="D2656" i="1"/>
  <c r="D2657" i="1"/>
  <c r="D2658" i="1"/>
  <c r="D2659" i="1"/>
  <c r="D2660" i="1"/>
  <c r="D2661" i="1"/>
  <c r="D2662" i="1"/>
  <c r="D2663" i="1"/>
  <c r="D2664" i="1"/>
  <c r="D2665" i="1"/>
  <c r="D2666" i="1"/>
  <c r="D2669" i="1"/>
  <c r="D2671" i="1"/>
  <c r="D2672" i="1"/>
  <c r="D2673" i="1"/>
  <c r="D2674" i="1"/>
  <c r="D2675" i="1"/>
  <c r="D2677" i="1"/>
  <c r="D2678" i="1"/>
  <c r="D2679" i="1"/>
  <c r="D2680" i="1"/>
  <c r="D2681" i="1"/>
  <c r="D2682" i="1"/>
  <c r="D2685" i="1"/>
  <c r="D2686" i="1"/>
  <c r="D2688" i="1"/>
  <c r="D2689" i="1"/>
  <c r="D2690" i="1"/>
  <c r="D2691" i="1"/>
  <c r="D2693" i="1"/>
  <c r="D2694" i="1"/>
  <c r="D2695" i="1"/>
  <c r="D2696" i="1"/>
  <c r="D2697" i="1"/>
  <c r="D2698" i="1"/>
  <c r="D2701" i="1"/>
  <c r="D2703" i="1"/>
  <c r="D2705" i="1"/>
  <c r="D2706" i="1"/>
  <c r="D2707" i="1"/>
  <c r="D2708" i="1"/>
  <c r="D2709" i="1"/>
  <c r="D2710" i="1"/>
  <c r="D2711" i="1"/>
  <c r="D2712" i="1"/>
  <c r="D2713" i="1"/>
  <c r="D2717" i="1"/>
  <c r="D2720" i="1"/>
  <c r="D2722" i="1"/>
  <c r="D2723" i="1"/>
  <c r="D2724" i="1"/>
  <c r="D2725" i="1"/>
  <c r="D2726" i="1"/>
  <c r="D2727" i="1"/>
  <c r="D2728" i="1"/>
  <c r="D2729" i="1"/>
  <c r="D2733" i="1"/>
  <c r="D2737" i="1"/>
  <c r="D2738" i="1"/>
  <c r="D2739" i="1"/>
  <c r="D2740" i="1"/>
  <c r="D2741" i="1"/>
  <c r="D2742" i="1"/>
  <c r="D2743" i="1"/>
  <c r="D2744" i="1"/>
  <c r="D2745" i="1"/>
  <c r="D2749" i="1"/>
  <c r="D2754" i="1"/>
  <c r="D2755" i="1"/>
  <c r="D2756" i="1"/>
  <c r="D2757" i="1"/>
  <c r="D2758" i="1"/>
  <c r="D2759" i="1"/>
  <c r="D2760" i="1"/>
  <c r="D2761" i="1"/>
  <c r="D2762" i="1"/>
  <c r="D2765" i="1"/>
  <c r="D2770" i="1"/>
  <c r="D2771" i="1"/>
  <c r="D2773" i="1"/>
  <c r="D2774" i="1"/>
  <c r="D2775" i="1"/>
  <c r="D2776" i="1"/>
  <c r="D2777" i="1"/>
  <c r="D2778" i="1"/>
  <c r="D2780" i="1"/>
  <c r="D2781" i="1"/>
  <c r="D2786" i="1"/>
  <c r="D2787" i="1"/>
  <c r="D2788" i="1"/>
  <c r="D2789" i="1"/>
  <c r="D2790" i="1"/>
  <c r="D2791" i="1"/>
  <c r="D2792" i="1"/>
  <c r="D2793" i="1"/>
  <c r="D2794" i="1"/>
  <c r="D2797" i="1"/>
  <c r="D2802" i="1"/>
  <c r="D2803" i="1"/>
  <c r="D2805" i="1"/>
  <c r="D2806" i="1"/>
  <c r="D2807" i="1"/>
  <c r="D2808" i="1"/>
  <c r="D2809" i="1"/>
  <c r="D2810" i="1"/>
  <c r="D2813" i="1"/>
  <c r="D2818" i="1"/>
  <c r="D2819" i="1"/>
  <c r="D2821" i="1"/>
  <c r="D2822" i="1"/>
  <c r="D2823" i="1"/>
  <c r="D2824" i="1"/>
  <c r="D2825" i="1"/>
  <c r="D2826" i="1"/>
  <c r="D2828" i="1"/>
  <c r="D2829" i="1"/>
  <c r="D2831" i="1"/>
  <c r="D2834" i="1"/>
  <c r="D2836" i="1"/>
  <c r="D2837" i="1"/>
  <c r="D2838" i="1"/>
  <c r="D2839" i="1"/>
  <c r="D2840" i="1"/>
  <c r="D2841" i="1"/>
  <c r="D2842" i="1"/>
  <c r="D2844" i="1"/>
  <c r="D2845" i="1"/>
  <c r="D2848" i="1"/>
  <c r="D2850" i="1"/>
  <c r="A3" i="1" l="1"/>
  <c r="B3" i="1"/>
  <c r="C3" i="1"/>
  <c r="D3" i="1"/>
  <c r="A2" i="1"/>
  <c r="B2" i="1" l="1"/>
  <c r="D2" i="1" s="1"/>
  <c r="C2" i="1"/>
  <c r="H155" i="5" l="1"/>
  <c r="R6" i="5"/>
  <c r="J22" i="5"/>
  <c r="I86" i="5"/>
  <c r="M145" i="5"/>
  <c r="K54" i="5"/>
  <c r="I106" i="5"/>
  <c r="I122" i="5"/>
  <c r="N145" i="5"/>
  <c r="E6" i="5"/>
  <c r="P144" i="5"/>
  <c r="C155" i="5"/>
  <c r="K10" i="5"/>
  <c r="K26" i="5"/>
  <c r="K58" i="5"/>
  <c r="J7" i="5"/>
  <c r="J11" i="5"/>
  <c r="J15" i="5"/>
  <c r="J19" i="5"/>
  <c r="J23" i="5"/>
  <c r="J27" i="5"/>
  <c r="J31" i="5"/>
  <c r="J35" i="5"/>
  <c r="J39" i="5"/>
  <c r="J43" i="5"/>
  <c r="J47" i="5"/>
  <c r="J51" i="5"/>
  <c r="J55" i="5"/>
  <c r="J59" i="5"/>
  <c r="J63" i="5"/>
  <c r="J67" i="5"/>
  <c r="J71" i="5"/>
  <c r="J75" i="5"/>
  <c r="J79" i="5"/>
  <c r="J83" i="5"/>
  <c r="J87" i="5"/>
  <c r="J91" i="5"/>
  <c r="J95" i="5"/>
  <c r="J99" i="5"/>
  <c r="J103" i="5"/>
  <c r="J107" i="5"/>
  <c r="J111" i="5"/>
  <c r="J115" i="5"/>
  <c r="J119" i="5"/>
  <c r="J123" i="5"/>
  <c r="J127" i="5"/>
  <c r="J131" i="5"/>
  <c r="J135" i="5"/>
  <c r="J139" i="5"/>
  <c r="J143" i="5"/>
  <c r="J147" i="5"/>
  <c r="O9" i="5"/>
  <c r="O13" i="5"/>
  <c r="O17" i="5"/>
  <c r="O21" i="5"/>
  <c r="O25" i="5"/>
  <c r="O29" i="5"/>
  <c r="O33" i="5"/>
  <c r="O37" i="5"/>
  <c r="O41" i="5"/>
  <c r="O45" i="5"/>
  <c r="O49" i="5"/>
  <c r="O53" i="5"/>
  <c r="O57" i="5"/>
  <c r="O61" i="5"/>
  <c r="O65" i="5"/>
  <c r="O69" i="5"/>
  <c r="O73" i="5"/>
  <c r="O77" i="5"/>
  <c r="O81" i="5"/>
  <c r="O85" i="5"/>
  <c r="O89" i="5"/>
  <c r="O93" i="5"/>
  <c r="O97" i="5"/>
  <c r="O101" i="5"/>
  <c r="O105" i="5"/>
  <c r="O109" i="5"/>
  <c r="O113" i="5"/>
  <c r="O117" i="5"/>
  <c r="O121" i="5"/>
  <c r="O125" i="5"/>
  <c r="O129" i="5"/>
  <c r="O133" i="5"/>
  <c r="O137" i="5"/>
  <c r="O141" i="5"/>
  <c r="O145" i="5"/>
  <c r="K14" i="5"/>
  <c r="K38" i="5"/>
  <c r="K66" i="5"/>
  <c r="K7" i="5"/>
  <c r="K11" i="5"/>
  <c r="K15" i="5"/>
  <c r="K19" i="5"/>
  <c r="K23" i="5"/>
  <c r="K27" i="5"/>
  <c r="K31" i="5"/>
  <c r="K35" i="5"/>
  <c r="K39" i="5"/>
  <c r="K43" i="5"/>
  <c r="K47" i="5"/>
  <c r="K51" i="5"/>
  <c r="K55" i="5"/>
  <c r="K59" i="5"/>
  <c r="K63" i="5"/>
  <c r="K67" i="5"/>
  <c r="K71" i="5"/>
  <c r="K75" i="5"/>
  <c r="K79" i="5"/>
  <c r="K83" i="5"/>
  <c r="K87" i="5"/>
  <c r="K91" i="5"/>
  <c r="K95" i="5"/>
  <c r="K99" i="5"/>
  <c r="K103" i="5"/>
  <c r="K107" i="5"/>
  <c r="K111" i="5"/>
  <c r="K115" i="5"/>
  <c r="K119" i="5"/>
  <c r="K123" i="5"/>
  <c r="K127" i="5"/>
  <c r="K131" i="5"/>
  <c r="K135" i="5"/>
  <c r="K139" i="5"/>
  <c r="K143" i="5"/>
  <c r="K147" i="5"/>
  <c r="P9" i="5"/>
  <c r="P13" i="5"/>
  <c r="P17" i="5"/>
  <c r="P21" i="5"/>
  <c r="P25" i="5"/>
  <c r="P29" i="5"/>
  <c r="P33" i="5"/>
  <c r="P37" i="5"/>
  <c r="P41" i="5"/>
  <c r="P45" i="5"/>
  <c r="P49" i="5"/>
  <c r="P53" i="5"/>
  <c r="P57" i="5"/>
  <c r="P61" i="5"/>
  <c r="P65" i="5"/>
  <c r="P69" i="5"/>
  <c r="P73" i="5"/>
  <c r="P77" i="5"/>
  <c r="P81" i="5"/>
  <c r="P85" i="5"/>
  <c r="P89" i="5"/>
  <c r="P93" i="5"/>
  <c r="P97" i="5"/>
  <c r="P101" i="5"/>
  <c r="P105" i="5"/>
  <c r="P109" i="5"/>
  <c r="P113" i="5"/>
  <c r="P117" i="5"/>
  <c r="P121" i="5"/>
  <c r="P125" i="5"/>
  <c r="P129" i="5"/>
  <c r="P133" i="5"/>
  <c r="P137" i="5"/>
  <c r="P141" i="5"/>
  <c r="P145" i="5"/>
  <c r="H20" i="5"/>
  <c r="H52" i="5"/>
  <c r="H64" i="5"/>
  <c r="H96" i="5"/>
  <c r="H100" i="5"/>
  <c r="H104" i="5"/>
  <c r="H108" i="5"/>
  <c r="H116" i="5"/>
  <c r="H120" i="5"/>
  <c r="H124" i="5"/>
  <c r="H128" i="5"/>
  <c r="H132" i="5"/>
  <c r="H136" i="5"/>
  <c r="H140" i="5"/>
  <c r="H144" i="5"/>
  <c r="M6" i="5"/>
  <c r="M10" i="5"/>
  <c r="M14" i="5"/>
  <c r="M18" i="5"/>
  <c r="M22" i="5"/>
  <c r="M26" i="5"/>
  <c r="M30" i="5"/>
  <c r="M34" i="5"/>
  <c r="M38" i="5"/>
  <c r="M42" i="5"/>
  <c r="M46" i="5"/>
  <c r="M50" i="5"/>
  <c r="M54" i="5"/>
  <c r="M58" i="5"/>
  <c r="M62" i="5"/>
  <c r="M66" i="5"/>
  <c r="M70" i="5"/>
  <c r="M74" i="5"/>
  <c r="M78" i="5"/>
  <c r="M82" i="5"/>
  <c r="M86" i="5"/>
  <c r="M90" i="5"/>
  <c r="M94" i="5"/>
  <c r="M98" i="5"/>
  <c r="M102" i="5"/>
  <c r="M106" i="5"/>
  <c r="M110" i="5"/>
  <c r="M114" i="5"/>
  <c r="M118" i="5"/>
  <c r="M122" i="5"/>
  <c r="M126" i="5"/>
  <c r="M130" i="5"/>
  <c r="M134" i="5"/>
  <c r="M138" i="5"/>
  <c r="M142" i="5"/>
  <c r="M146" i="5"/>
  <c r="H12" i="5"/>
  <c r="H40" i="5"/>
  <c r="H56" i="5"/>
  <c r="H60" i="5"/>
  <c r="H112" i="5"/>
  <c r="I8" i="5"/>
  <c r="I12" i="5"/>
  <c r="I16" i="5"/>
  <c r="I20" i="5"/>
  <c r="I24" i="5"/>
  <c r="I28" i="5"/>
  <c r="I32" i="5"/>
  <c r="I36" i="5"/>
  <c r="I40" i="5"/>
  <c r="I44" i="5"/>
  <c r="I48" i="5"/>
  <c r="I52" i="5"/>
  <c r="I56" i="5"/>
  <c r="I60" i="5"/>
  <c r="I64" i="5"/>
  <c r="I68" i="5"/>
  <c r="I72" i="5"/>
  <c r="I76" i="5"/>
  <c r="I80" i="5"/>
  <c r="I84" i="5"/>
  <c r="I88" i="5"/>
  <c r="I92" i="5"/>
  <c r="I96" i="5"/>
  <c r="I100" i="5"/>
  <c r="I104" i="5"/>
  <c r="I108" i="5"/>
  <c r="I112" i="5"/>
  <c r="I116" i="5"/>
  <c r="I120" i="5"/>
  <c r="I124" i="5"/>
  <c r="I128" i="5"/>
  <c r="I132" i="5"/>
  <c r="I136" i="5"/>
  <c r="I140" i="5"/>
  <c r="I144" i="5"/>
  <c r="N6" i="5"/>
  <c r="N10" i="5"/>
  <c r="N14" i="5"/>
  <c r="N18" i="5"/>
  <c r="N22" i="5"/>
  <c r="N26" i="5"/>
  <c r="N30" i="5"/>
  <c r="N34" i="5"/>
  <c r="N38" i="5"/>
  <c r="N42" i="5"/>
  <c r="N46" i="5"/>
  <c r="N50" i="5"/>
  <c r="N54" i="5"/>
  <c r="N58" i="5"/>
  <c r="N62" i="5"/>
  <c r="N66" i="5"/>
  <c r="N70" i="5"/>
  <c r="N74" i="5"/>
  <c r="N78" i="5"/>
  <c r="N82" i="5"/>
  <c r="N86" i="5"/>
  <c r="N90" i="5"/>
  <c r="N94" i="5"/>
  <c r="N98" i="5"/>
  <c r="N102" i="5"/>
  <c r="N106" i="5"/>
  <c r="N110" i="5"/>
  <c r="N114" i="5"/>
  <c r="N118" i="5"/>
  <c r="N122" i="5"/>
  <c r="N126" i="5"/>
  <c r="N130" i="5"/>
  <c r="N134" i="5"/>
  <c r="N138" i="5"/>
  <c r="N142" i="5"/>
  <c r="N146" i="5"/>
  <c r="H28" i="5"/>
  <c r="H48" i="5"/>
  <c r="H76" i="5"/>
  <c r="J8" i="5"/>
  <c r="J12" i="5"/>
  <c r="J16" i="5"/>
  <c r="J20" i="5"/>
  <c r="J24" i="5"/>
  <c r="J28" i="5"/>
  <c r="J32" i="5"/>
  <c r="J36" i="5"/>
  <c r="J40" i="5"/>
  <c r="J44" i="5"/>
  <c r="J48" i="5"/>
  <c r="J52" i="5"/>
  <c r="J56" i="5"/>
  <c r="J60" i="5"/>
  <c r="J64" i="5"/>
  <c r="J68" i="5"/>
  <c r="J72" i="5"/>
  <c r="J76" i="5"/>
  <c r="J80" i="5"/>
  <c r="J84" i="5"/>
  <c r="J88" i="5"/>
  <c r="J92" i="5"/>
  <c r="J96" i="5"/>
  <c r="J100" i="5"/>
  <c r="J104" i="5"/>
  <c r="J108" i="5"/>
  <c r="J112" i="5"/>
  <c r="J116" i="5"/>
  <c r="J120" i="5"/>
  <c r="J124" i="5"/>
  <c r="J128" i="5"/>
  <c r="J132" i="5"/>
  <c r="J136" i="5"/>
  <c r="J140" i="5"/>
  <c r="J144" i="5"/>
  <c r="O6" i="5"/>
  <c r="O10" i="5"/>
  <c r="O14" i="5"/>
  <c r="O18" i="5"/>
  <c r="O22" i="5"/>
  <c r="O26" i="5"/>
  <c r="O30" i="5"/>
  <c r="O34" i="5"/>
  <c r="O38" i="5"/>
  <c r="O42" i="5"/>
  <c r="O46" i="5"/>
  <c r="O50" i="5"/>
  <c r="O54" i="5"/>
  <c r="O58" i="5"/>
  <c r="O62" i="5"/>
  <c r="O66" i="5"/>
  <c r="O70" i="5"/>
  <c r="O74" i="5"/>
  <c r="O78" i="5"/>
  <c r="O82" i="5"/>
  <c r="O86" i="5"/>
  <c r="O90" i="5"/>
  <c r="O94" i="5"/>
  <c r="O98" i="5"/>
  <c r="O102" i="5"/>
  <c r="O106" i="5"/>
  <c r="O110" i="5"/>
  <c r="O114" i="5"/>
  <c r="O118" i="5"/>
  <c r="O122" i="5"/>
  <c r="O126" i="5"/>
  <c r="O130" i="5"/>
  <c r="O134" i="5"/>
  <c r="O138" i="5"/>
  <c r="O142" i="5"/>
  <c r="O146" i="5"/>
  <c r="I14" i="5"/>
  <c r="H36" i="5"/>
  <c r="H80" i="5"/>
  <c r="K8" i="5"/>
  <c r="K16" i="5"/>
  <c r="K28" i="5"/>
  <c r="K32" i="5"/>
  <c r="K36" i="5"/>
  <c r="K40" i="5"/>
  <c r="K44" i="5"/>
  <c r="K48" i="5"/>
  <c r="K52" i="5"/>
  <c r="K56" i="5"/>
  <c r="K60" i="5"/>
  <c r="K64" i="5"/>
  <c r="K68" i="5"/>
  <c r="K72" i="5"/>
  <c r="K76" i="5"/>
  <c r="K80" i="5"/>
  <c r="K84" i="5"/>
  <c r="K88" i="5"/>
  <c r="K92" i="5"/>
  <c r="K96" i="5"/>
  <c r="K100" i="5"/>
  <c r="K104" i="5"/>
  <c r="K108" i="5"/>
  <c r="K112" i="5"/>
  <c r="K116" i="5"/>
  <c r="K120" i="5"/>
  <c r="K124" i="5"/>
  <c r="K128" i="5"/>
  <c r="K132" i="5"/>
  <c r="K136" i="5"/>
  <c r="K140" i="5"/>
  <c r="K144" i="5"/>
  <c r="P6" i="5"/>
  <c r="P10" i="5"/>
  <c r="P14" i="5"/>
  <c r="P18" i="5"/>
  <c r="P22" i="5"/>
  <c r="P26" i="5"/>
  <c r="P30" i="5"/>
  <c r="P34" i="5"/>
  <c r="P38" i="5"/>
  <c r="P42" i="5"/>
  <c r="P46" i="5"/>
  <c r="P50" i="5"/>
  <c r="P54" i="5"/>
  <c r="P58" i="5"/>
  <c r="P62" i="5"/>
  <c r="P66" i="5"/>
  <c r="P70" i="5"/>
  <c r="P74" i="5"/>
  <c r="P78" i="5"/>
  <c r="P82" i="5"/>
  <c r="P86" i="5"/>
  <c r="P90" i="5"/>
  <c r="P94" i="5"/>
  <c r="P98" i="5"/>
  <c r="P102" i="5"/>
  <c r="P106" i="5"/>
  <c r="P110" i="5"/>
  <c r="P114" i="5"/>
  <c r="P118" i="5"/>
  <c r="P122" i="5"/>
  <c r="P126" i="5"/>
  <c r="P130" i="5"/>
  <c r="P134" i="5"/>
  <c r="P138" i="5"/>
  <c r="P142" i="5"/>
  <c r="P146" i="5"/>
  <c r="H68" i="5"/>
  <c r="H13" i="5"/>
  <c r="H17" i="5"/>
  <c r="H21" i="5"/>
  <c r="H41" i="5"/>
  <c r="H45" i="5"/>
  <c r="H49" i="5"/>
  <c r="H53" i="5"/>
  <c r="H57" i="5"/>
  <c r="H61" i="5"/>
  <c r="H65" i="5"/>
  <c r="H69" i="5"/>
  <c r="H73" i="5"/>
  <c r="H77" i="5"/>
  <c r="H81" i="5"/>
  <c r="H85" i="5"/>
  <c r="H89" i="5"/>
  <c r="H93" i="5"/>
  <c r="H97" i="5"/>
  <c r="H101" i="5"/>
  <c r="H105" i="5"/>
  <c r="H109" i="5"/>
  <c r="H113" i="5"/>
  <c r="H117" i="5"/>
  <c r="H121" i="5"/>
  <c r="H125" i="5"/>
  <c r="H129" i="5"/>
  <c r="H133" i="5"/>
  <c r="H137" i="5"/>
  <c r="H141" i="5"/>
  <c r="H145" i="5"/>
  <c r="M7" i="5"/>
  <c r="M11" i="5"/>
  <c r="M15" i="5"/>
  <c r="M19" i="5"/>
  <c r="M23" i="5"/>
  <c r="M27" i="5"/>
  <c r="M31" i="5"/>
  <c r="M35" i="5"/>
  <c r="M39" i="5"/>
  <c r="M43" i="5"/>
  <c r="M47" i="5"/>
  <c r="M51" i="5"/>
  <c r="M55" i="5"/>
  <c r="M59" i="5"/>
  <c r="M63" i="5"/>
  <c r="M67" i="5"/>
  <c r="M71" i="5"/>
  <c r="M75" i="5"/>
  <c r="M79" i="5"/>
  <c r="M83" i="5"/>
  <c r="M87" i="5"/>
  <c r="M91" i="5"/>
  <c r="M95" i="5"/>
  <c r="M99" i="5"/>
  <c r="M103" i="5"/>
  <c r="M107" i="5"/>
  <c r="M111" i="5"/>
  <c r="M115" i="5"/>
  <c r="M119" i="5"/>
  <c r="M123" i="5"/>
  <c r="M127" i="5"/>
  <c r="M131" i="5"/>
  <c r="M135" i="5"/>
  <c r="M139" i="5"/>
  <c r="M143" i="5"/>
  <c r="M147" i="5"/>
  <c r="H72" i="5"/>
  <c r="H29" i="5"/>
  <c r="I9" i="5"/>
  <c r="I13" i="5"/>
  <c r="I21" i="5"/>
  <c r="I25" i="5"/>
  <c r="I37" i="5"/>
  <c r="I41" i="5"/>
  <c r="I45" i="5"/>
  <c r="I49" i="5"/>
  <c r="I53" i="5"/>
  <c r="I57" i="5"/>
  <c r="I61" i="5"/>
  <c r="I65" i="5"/>
  <c r="I69" i="5"/>
  <c r="I73" i="5"/>
  <c r="I77" i="5"/>
  <c r="I81" i="5"/>
  <c r="I85" i="5"/>
  <c r="I89" i="5"/>
  <c r="I93" i="5"/>
  <c r="I97" i="5"/>
  <c r="I101" i="5"/>
  <c r="I105" i="5"/>
  <c r="I109" i="5"/>
  <c r="I113" i="5"/>
  <c r="I117" i="5"/>
  <c r="I121" i="5"/>
  <c r="I125" i="5"/>
  <c r="I129" i="5"/>
  <c r="I133" i="5"/>
  <c r="I137" i="5"/>
  <c r="I141" i="5"/>
  <c r="I145" i="5"/>
  <c r="N7" i="5"/>
  <c r="N11" i="5"/>
  <c r="N15" i="5"/>
  <c r="N19" i="5"/>
  <c r="N23" i="5"/>
  <c r="N27" i="5"/>
  <c r="N31" i="5"/>
  <c r="N35" i="5"/>
  <c r="N39" i="5"/>
  <c r="N43" i="5"/>
  <c r="N47" i="5"/>
  <c r="N51" i="5"/>
  <c r="N55" i="5"/>
  <c r="N59" i="5"/>
  <c r="N63" i="5"/>
  <c r="N67" i="5"/>
  <c r="N71" i="5"/>
  <c r="N75" i="5"/>
  <c r="N79" i="5"/>
  <c r="N83" i="5"/>
  <c r="N87" i="5"/>
  <c r="N91" i="5"/>
  <c r="N95" i="5"/>
  <c r="N99" i="5"/>
  <c r="N103" i="5"/>
  <c r="N107" i="5"/>
  <c r="N111" i="5"/>
  <c r="N115" i="5"/>
  <c r="N119" i="5"/>
  <c r="N123" i="5"/>
  <c r="N127" i="5"/>
  <c r="N131" i="5"/>
  <c r="N135" i="5"/>
  <c r="N139" i="5"/>
  <c r="N143" i="5"/>
  <c r="N147" i="5"/>
  <c r="I18" i="5"/>
  <c r="H84" i="5"/>
  <c r="H25" i="5"/>
  <c r="I29" i="5"/>
  <c r="J9" i="5"/>
  <c r="J13" i="5"/>
  <c r="J17" i="5"/>
  <c r="J21" i="5"/>
  <c r="J25" i="5"/>
  <c r="J29" i="5"/>
  <c r="J33" i="5"/>
  <c r="J37" i="5"/>
  <c r="J41" i="5"/>
  <c r="J45" i="5"/>
  <c r="J49" i="5"/>
  <c r="J53" i="5"/>
  <c r="J57" i="5"/>
  <c r="J61" i="5"/>
  <c r="J65" i="5"/>
  <c r="J69" i="5"/>
  <c r="J73" i="5"/>
  <c r="J77" i="5"/>
  <c r="J81" i="5"/>
  <c r="J85" i="5"/>
  <c r="J89" i="5"/>
  <c r="J93" i="5"/>
  <c r="J97" i="5"/>
  <c r="J101" i="5"/>
  <c r="J105" i="5"/>
  <c r="J109" i="5"/>
  <c r="J113" i="5"/>
  <c r="J117" i="5"/>
  <c r="J121" i="5"/>
  <c r="J125" i="5"/>
  <c r="J129" i="5"/>
  <c r="J133" i="5"/>
  <c r="J137" i="5"/>
  <c r="J141" i="5"/>
  <c r="J145" i="5"/>
  <c r="O7" i="5"/>
  <c r="O11" i="5"/>
  <c r="O15" i="5"/>
  <c r="O19" i="5"/>
  <c r="O23" i="5"/>
  <c r="O27" i="5"/>
  <c r="O31" i="5"/>
  <c r="O35" i="5"/>
  <c r="O39" i="5"/>
  <c r="O43" i="5"/>
  <c r="O47" i="5"/>
  <c r="O51" i="5"/>
  <c r="O55" i="5"/>
  <c r="O59" i="5"/>
  <c r="O63" i="5"/>
  <c r="O67" i="5"/>
  <c r="O71" i="5"/>
  <c r="O75" i="5"/>
  <c r="O79" i="5"/>
  <c r="O83" i="5"/>
  <c r="O87" i="5"/>
  <c r="O91" i="5"/>
  <c r="O95" i="5"/>
  <c r="O99" i="5"/>
  <c r="O103" i="5"/>
  <c r="O107" i="5"/>
  <c r="O111" i="5"/>
  <c r="O115" i="5"/>
  <c r="O119" i="5"/>
  <c r="O123" i="5"/>
  <c r="O127" i="5"/>
  <c r="O131" i="5"/>
  <c r="O135" i="5"/>
  <c r="O139" i="5"/>
  <c r="O143" i="5"/>
  <c r="O147" i="5"/>
  <c r="I10" i="5"/>
  <c r="H8" i="5"/>
  <c r="H32" i="5"/>
  <c r="H92" i="5"/>
  <c r="K12" i="5"/>
  <c r="K20" i="5"/>
  <c r="H33" i="5"/>
  <c r="I33" i="5"/>
  <c r="K9" i="5"/>
  <c r="K13" i="5"/>
  <c r="K17" i="5"/>
  <c r="K21" i="5"/>
  <c r="K25" i="5"/>
  <c r="K29" i="5"/>
  <c r="K33" i="5"/>
  <c r="K37" i="5"/>
  <c r="K41" i="5"/>
  <c r="K45" i="5"/>
  <c r="K49" i="5"/>
  <c r="K53" i="5"/>
  <c r="K57" i="5"/>
  <c r="K61" i="5"/>
  <c r="K65" i="5"/>
  <c r="K69" i="5"/>
  <c r="K73" i="5"/>
  <c r="K77" i="5"/>
  <c r="K81" i="5"/>
  <c r="K85" i="5"/>
  <c r="K89" i="5"/>
  <c r="K93" i="5"/>
  <c r="K97" i="5"/>
  <c r="K101" i="5"/>
  <c r="K105" i="5"/>
  <c r="K109" i="5"/>
  <c r="K113" i="5"/>
  <c r="K117" i="5"/>
  <c r="K121" i="5"/>
  <c r="K125" i="5"/>
  <c r="K129" i="5"/>
  <c r="K133" i="5"/>
  <c r="K137" i="5"/>
  <c r="K141" i="5"/>
  <c r="K145" i="5"/>
  <c r="P7" i="5"/>
  <c r="P11" i="5"/>
  <c r="P15" i="5"/>
  <c r="P19" i="5"/>
  <c r="P23" i="5"/>
  <c r="P27" i="5"/>
  <c r="P31" i="5"/>
  <c r="P35" i="5"/>
  <c r="P39" i="5"/>
  <c r="P43" i="5"/>
  <c r="P47" i="5"/>
  <c r="P51" i="5"/>
  <c r="P55" i="5"/>
  <c r="P59" i="5"/>
  <c r="P63" i="5"/>
  <c r="P67" i="5"/>
  <c r="P71" i="5"/>
  <c r="P75" i="5"/>
  <c r="P79" i="5"/>
  <c r="P83" i="5"/>
  <c r="P87" i="5"/>
  <c r="P91" i="5"/>
  <c r="P95" i="5"/>
  <c r="P99" i="5"/>
  <c r="P103" i="5"/>
  <c r="P107" i="5"/>
  <c r="P111" i="5"/>
  <c r="P115" i="5"/>
  <c r="P119" i="5"/>
  <c r="P123" i="5"/>
  <c r="P127" i="5"/>
  <c r="P131" i="5"/>
  <c r="P135" i="5"/>
  <c r="P139" i="5"/>
  <c r="P143" i="5"/>
  <c r="P147" i="5"/>
  <c r="I6" i="5"/>
  <c r="H16" i="5"/>
  <c r="H24" i="5"/>
  <c r="H44" i="5"/>
  <c r="H88" i="5"/>
  <c r="K24" i="5"/>
  <c r="H9" i="5"/>
  <c r="H37" i="5"/>
  <c r="I17" i="5"/>
  <c r="H6" i="5"/>
  <c r="H10" i="5"/>
  <c r="H14" i="5"/>
  <c r="H18" i="5"/>
  <c r="H22" i="5"/>
  <c r="H26" i="5"/>
  <c r="H30" i="5"/>
  <c r="H34" i="5"/>
  <c r="H38" i="5"/>
  <c r="H42" i="5"/>
  <c r="H46" i="5"/>
  <c r="H50" i="5"/>
  <c r="H54" i="5"/>
  <c r="H58" i="5"/>
  <c r="H62" i="5"/>
  <c r="H66" i="5"/>
  <c r="H70" i="5"/>
  <c r="H74" i="5"/>
  <c r="H78" i="5"/>
  <c r="H82" i="5"/>
  <c r="H86" i="5"/>
  <c r="H90" i="5"/>
  <c r="H94" i="5"/>
  <c r="H98" i="5"/>
  <c r="H102" i="5"/>
  <c r="H106" i="5"/>
  <c r="H110" i="5"/>
  <c r="H114" i="5"/>
  <c r="H118" i="5"/>
  <c r="H122" i="5"/>
  <c r="H126" i="5"/>
  <c r="H130" i="5"/>
  <c r="H134" i="5"/>
  <c r="H138" i="5"/>
  <c r="H142" i="5"/>
  <c r="H146" i="5"/>
  <c r="M8" i="5"/>
  <c r="M12" i="5"/>
  <c r="M16" i="5"/>
  <c r="M20" i="5"/>
  <c r="M24" i="5"/>
  <c r="M28" i="5"/>
  <c r="M32" i="5"/>
  <c r="M36" i="5"/>
  <c r="M40" i="5"/>
  <c r="M44" i="5"/>
  <c r="M48" i="5"/>
  <c r="M52" i="5"/>
  <c r="M56" i="5"/>
  <c r="M60" i="5"/>
  <c r="M64" i="5"/>
  <c r="M68" i="5"/>
  <c r="M72" i="5"/>
  <c r="M76" i="5"/>
  <c r="M80" i="5"/>
  <c r="M84" i="5"/>
  <c r="M88" i="5"/>
  <c r="M92" i="5"/>
  <c r="M96" i="5"/>
  <c r="M100" i="5"/>
  <c r="M104" i="5"/>
  <c r="M108" i="5"/>
  <c r="M112" i="5"/>
  <c r="M116" i="5"/>
  <c r="M120" i="5"/>
  <c r="M124" i="5"/>
  <c r="M128" i="5"/>
  <c r="M132" i="5"/>
  <c r="M136" i="5"/>
  <c r="M140" i="5"/>
  <c r="M144" i="5"/>
  <c r="I26" i="5"/>
  <c r="I46" i="5"/>
  <c r="I54" i="5"/>
  <c r="I62" i="5"/>
  <c r="I66" i="5"/>
  <c r="I70" i="5"/>
  <c r="I90" i="5"/>
  <c r="I94" i="5"/>
  <c r="I98" i="5"/>
  <c r="I102" i="5"/>
  <c r="I110" i="5"/>
  <c r="I114" i="5"/>
  <c r="I118" i="5"/>
  <c r="I126" i="5"/>
  <c r="I130" i="5"/>
  <c r="I134" i="5"/>
  <c r="I138" i="5"/>
  <c r="I142" i="5"/>
  <c r="I146" i="5"/>
  <c r="N8" i="5"/>
  <c r="N12" i="5"/>
  <c r="N16" i="5"/>
  <c r="N20" i="5"/>
  <c r="N24" i="5"/>
  <c r="N28" i="5"/>
  <c r="N32" i="5"/>
  <c r="N36" i="5"/>
  <c r="N40" i="5"/>
  <c r="N44" i="5"/>
  <c r="N48" i="5"/>
  <c r="N52" i="5"/>
  <c r="N56" i="5"/>
  <c r="N60" i="5"/>
  <c r="N64" i="5"/>
  <c r="N68" i="5"/>
  <c r="N72" i="5"/>
  <c r="N76" i="5"/>
  <c r="N80" i="5"/>
  <c r="N84" i="5"/>
  <c r="N88" i="5"/>
  <c r="N92" i="5"/>
  <c r="N96" i="5"/>
  <c r="N100" i="5"/>
  <c r="N104" i="5"/>
  <c r="N108" i="5"/>
  <c r="N112" i="5"/>
  <c r="N116" i="5"/>
  <c r="N120" i="5"/>
  <c r="N124" i="5"/>
  <c r="N128" i="5"/>
  <c r="N132" i="5"/>
  <c r="N136" i="5"/>
  <c r="N140" i="5"/>
  <c r="N144" i="5"/>
  <c r="I42" i="5"/>
  <c r="I78" i="5"/>
  <c r="J6" i="5"/>
  <c r="J10" i="5"/>
  <c r="J14" i="5"/>
  <c r="J18" i="5"/>
  <c r="J26" i="5"/>
  <c r="J30" i="5"/>
  <c r="J34" i="5"/>
  <c r="J38" i="5"/>
  <c r="J42" i="5"/>
  <c r="J46" i="5"/>
  <c r="J50" i="5"/>
  <c r="J54" i="5"/>
  <c r="J58" i="5"/>
  <c r="J62" i="5"/>
  <c r="J66" i="5"/>
  <c r="J70" i="5"/>
  <c r="J74" i="5"/>
  <c r="J78" i="5"/>
  <c r="J82" i="5"/>
  <c r="J86" i="5"/>
  <c r="J90" i="5"/>
  <c r="J94" i="5"/>
  <c r="J98" i="5"/>
  <c r="J102" i="5"/>
  <c r="J106" i="5"/>
  <c r="J110" i="5"/>
  <c r="J114" i="5"/>
  <c r="J118" i="5"/>
  <c r="J122" i="5"/>
  <c r="J126" i="5"/>
  <c r="J130" i="5"/>
  <c r="J134" i="5"/>
  <c r="J138" i="5"/>
  <c r="J142" i="5"/>
  <c r="J146" i="5"/>
  <c r="O8" i="5"/>
  <c r="O12" i="5"/>
  <c r="O16" i="5"/>
  <c r="O20" i="5"/>
  <c r="O24" i="5"/>
  <c r="O28" i="5"/>
  <c r="O32" i="5"/>
  <c r="O36" i="5"/>
  <c r="O40" i="5"/>
  <c r="O44" i="5"/>
  <c r="O48" i="5"/>
  <c r="O52" i="5"/>
  <c r="O56" i="5"/>
  <c r="O60" i="5"/>
  <c r="O64" i="5"/>
  <c r="O68" i="5"/>
  <c r="O72" i="5"/>
  <c r="O76" i="5"/>
  <c r="O80" i="5"/>
  <c r="O84" i="5"/>
  <c r="O88" i="5"/>
  <c r="O92" i="5"/>
  <c r="O96" i="5"/>
  <c r="O100" i="5"/>
  <c r="O104" i="5"/>
  <c r="O108" i="5"/>
  <c r="O112" i="5"/>
  <c r="O116" i="5"/>
  <c r="O120" i="5"/>
  <c r="O124" i="5"/>
  <c r="O128" i="5"/>
  <c r="O132" i="5"/>
  <c r="O136" i="5"/>
  <c r="O140" i="5"/>
  <c r="O144" i="5"/>
  <c r="I22" i="5"/>
  <c r="I38" i="5"/>
  <c r="I74" i="5"/>
  <c r="K30" i="5"/>
  <c r="K42" i="5"/>
  <c r="K46" i="5"/>
  <c r="K50" i="5"/>
  <c r="K70" i="5"/>
  <c r="K74" i="5"/>
  <c r="K78" i="5"/>
  <c r="K82" i="5"/>
  <c r="K86" i="5"/>
  <c r="K90" i="5"/>
  <c r="K94" i="5"/>
  <c r="K98" i="5"/>
  <c r="K102" i="5"/>
  <c r="K106" i="5"/>
  <c r="K110" i="5"/>
  <c r="K114" i="5"/>
  <c r="K118" i="5"/>
  <c r="K122" i="5"/>
  <c r="K126" i="5"/>
  <c r="K130" i="5"/>
  <c r="K134" i="5"/>
  <c r="K138" i="5"/>
  <c r="K142" i="5"/>
  <c r="K146" i="5"/>
  <c r="P8" i="5"/>
  <c r="P12" i="5"/>
  <c r="P16" i="5"/>
  <c r="P20" i="5"/>
  <c r="P24" i="5"/>
  <c r="P28" i="5"/>
  <c r="P32" i="5"/>
  <c r="P36" i="5"/>
  <c r="P40" i="5"/>
  <c r="P44" i="5"/>
  <c r="P48" i="5"/>
  <c r="P52" i="5"/>
  <c r="P56" i="5"/>
  <c r="P60" i="5"/>
  <c r="P64" i="5"/>
  <c r="P68" i="5"/>
  <c r="P72" i="5"/>
  <c r="P76" i="5"/>
  <c r="P80" i="5"/>
  <c r="P84" i="5"/>
  <c r="P88" i="5"/>
  <c r="P92" i="5"/>
  <c r="P96" i="5"/>
  <c r="P100" i="5"/>
  <c r="P104" i="5"/>
  <c r="P108" i="5"/>
  <c r="P112" i="5"/>
  <c r="P116" i="5"/>
  <c r="P120" i="5"/>
  <c r="P124" i="5"/>
  <c r="P128" i="5"/>
  <c r="P132" i="5"/>
  <c r="P136" i="5"/>
  <c r="P140" i="5"/>
  <c r="M155" i="5"/>
  <c r="I34" i="5"/>
  <c r="I82" i="5"/>
  <c r="K18" i="5"/>
  <c r="K34" i="5"/>
  <c r="K62" i="5"/>
  <c r="H7" i="5"/>
  <c r="H11" i="5"/>
  <c r="H15" i="5"/>
  <c r="H19" i="5"/>
  <c r="H23" i="5"/>
  <c r="H27" i="5"/>
  <c r="H31" i="5"/>
  <c r="H35" i="5"/>
  <c r="H39" i="5"/>
  <c r="H43" i="5"/>
  <c r="H47" i="5"/>
  <c r="H51" i="5"/>
  <c r="H55" i="5"/>
  <c r="H59" i="5"/>
  <c r="H63" i="5"/>
  <c r="H67" i="5"/>
  <c r="H71" i="5"/>
  <c r="H75" i="5"/>
  <c r="H79" i="5"/>
  <c r="H83" i="5"/>
  <c r="H87" i="5"/>
  <c r="H91" i="5"/>
  <c r="H95" i="5"/>
  <c r="H99" i="5"/>
  <c r="H103" i="5"/>
  <c r="H107" i="5"/>
  <c r="H111" i="5"/>
  <c r="H115" i="5"/>
  <c r="H119" i="5"/>
  <c r="H123" i="5"/>
  <c r="H127" i="5"/>
  <c r="H131" i="5"/>
  <c r="H135" i="5"/>
  <c r="H139" i="5"/>
  <c r="H143" i="5"/>
  <c r="H147" i="5"/>
  <c r="M9" i="5"/>
  <c r="M13" i="5"/>
  <c r="M17" i="5"/>
  <c r="M21" i="5"/>
  <c r="M25" i="5"/>
  <c r="M29" i="5"/>
  <c r="M33" i="5"/>
  <c r="M37" i="5"/>
  <c r="M41" i="5"/>
  <c r="M45" i="5"/>
  <c r="M49" i="5"/>
  <c r="M53" i="5"/>
  <c r="M57" i="5"/>
  <c r="M61" i="5"/>
  <c r="M65" i="5"/>
  <c r="M69" i="5"/>
  <c r="M73" i="5"/>
  <c r="M77" i="5"/>
  <c r="M81" i="5"/>
  <c r="M85" i="5"/>
  <c r="M89" i="5"/>
  <c r="M93" i="5"/>
  <c r="M97" i="5"/>
  <c r="M101" i="5"/>
  <c r="M105" i="5"/>
  <c r="M109" i="5"/>
  <c r="M113" i="5"/>
  <c r="M117" i="5"/>
  <c r="M121" i="5"/>
  <c r="M125" i="5"/>
  <c r="M129" i="5"/>
  <c r="M133" i="5"/>
  <c r="M137" i="5"/>
  <c r="M141" i="5"/>
  <c r="I30" i="5"/>
  <c r="I50" i="5"/>
  <c r="I58" i="5"/>
  <c r="K6" i="5"/>
  <c r="K22" i="5"/>
  <c r="I7" i="5"/>
  <c r="I11" i="5"/>
  <c r="I15" i="5"/>
  <c r="I19" i="5"/>
  <c r="I23" i="5"/>
  <c r="I27" i="5"/>
  <c r="I31" i="5"/>
  <c r="I35" i="5"/>
  <c r="I39" i="5"/>
  <c r="I43" i="5"/>
  <c r="I47" i="5"/>
  <c r="I51" i="5"/>
  <c r="I55" i="5"/>
  <c r="I59" i="5"/>
  <c r="I63" i="5"/>
  <c r="I67" i="5"/>
  <c r="I71" i="5"/>
  <c r="I75" i="5"/>
  <c r="I79" i="5"/>
  <c r="I83" i="5"/>
  <c r="I87" i="5"/>
  <c r="I91" i="5"/>
  <c r="I95" i="5"/>
  <c r="I99" i="5"/>
  <c r="I103" i="5"/>
  <c r="I107" i="5"/>
  <c r="I111" i="5"/>
  <c r="I115" i="5"/>
  <c r="I119" i="5"/>
  <c r="I123" i="5"/>
  <c r="I127" i="5"/>
  <c r="I131" i="5"/>
  <c r="I135" i="5"/>
  <c r="I139" i="5"/>
  <c r="I143" i="5"/>
  <c r="I147" i="5"/>
  <c r="N9" i="5"/>
  <c r="N13" i="5"/>
  <c r="N17" i="5"/>
  <c r="N21" i="5"/>
  <c r="N25" i="5"/>
  <c r="N29" i="5"/>
  <c r="N33" i="5"/>
  <c r="N37" i="5"/>
  <c r="N41" i="5"/>
  <c r="N45" i="5"/>
  <c r="N49" i="5"/>
  <c r="N53" i="5"/>
  <c r="N57" i="5"/>
  <c r="N61" i="5"/>
  <c r="N65" i="5"/>
  <c r="N69" i="5"/>
  <c r="N73" i="5"/>
  <c r="N77" i="5"/>
  <c r="N81" i="5"/>
  <c r="N85" i="5"/>
  <c r="N89" i="5"/>
  <c r="N93" i="5"/>
  <c r="N97" i="5"/>
  <c r="N101" i="5"/>
  <c r="N105" i="5"/>
  <c r="N109" i="5"/>
  <c r="N113" i="5"/>
  <c r="N117" i="5"/>
  <c r="N121" i="5"/>
  <c r="N125" i="5"/>
  <c r="N129" i="5"/>
  <c r="N133" i="5"/>
  <c r="N137" i="5"/>
  <c r="N141" i="5"/>
  <c r="C6" i="5"/>
  <c r="C95" i="5"/>
  <c r="C107" i="5"/>
  <c r="E26" i="5"/>
  <c r="C100" i="5"/>
  <c r="D107" i="5"/>
  <c r="F106" i="5"/>
  <c r="E118" i="5"/>
  <c r="F118" i="5"/>
  <c r="C119" i="5"/>
  <c r="D119" i="5"/>
  <c r="E119" i="5"/>
  <c r="F119" i="5"/>
  <c r="C120" i="5"/>
  <c r="F111" i="5"/>
  <c r="E37" i="5"/>
  <c r="E71" i="5"/>
  <c r="C144" i="5"/>
  <c r="E139" i="5"/>
  <c r="E134" i="5"/>
  <c r="C130" i="5"/>
  <c r="E125" i="5"/>
  <c r="D121" i="5"/>
  <c r="D117" i="5"/>
  <c r="D113" i="5"/>
  <c r="D109" i="5"/>
  <c r="D105" i="5"/>
  <c r="D101" i="5"/>
  <c r="D97" i="5"/>
  <c r="D93" i="5"/>
  <c r="D89" i="5"/>
  <c r="D85" i="5"/>
  <c r="D81" i="5"/>
  <c r="D77" i="5"/>
  <c r="D73" i="5"/>
  <c r="D69" i="5"/>
  <c r="D65" i="5"/>
  <c r="D61" i="5"/>
  <c r="D57" i="5"/>
  <c r="D53" i="5"/>
  <c r="D49" i="5"/>
  <c r="D45" i="5"/>
  <c r="D41" i="5"/>
  <c r="D37" i="5"/>
  <c r="D33" i="5"/>
  <c r="D29" i="5"/>
  <c r="D25" i="5"/>
  <c r="D21" i="5"/>
  <c r="D17" i="5"/>
  <c r="D13" i="5"/>
  <c r="D9" i="5"/>
  <c r="D143" i="5"/>
  <c r="D138" i="5"/>
  <c r="F133" i="5"/>
  <c r="D129" i="5"/>
  <c r="F124" i="5"/>
  <c r="E120" i="5"/>
  <c r="E116" i="5"/>
  <c r="E112" i="5"/>
  <c r="E108" i="5"/>
  <c r="E104" i="5"/>
  <c r="E100" i="5"/>
  <c r="E96" i="5"/>
  <c r="E92" i="5"/>
  <c r="E88" i="5"/>
  <c r="E84" i="5"/>
  <c r="E80" i="5"/>
  <c r="E76" i="5"/>
  <c r="E72" i="5"/>
  <c r="E68" i="5"/>
  <c r="E64" i="5"/>
  <c r="E60" i="5"/>
  <c r="E56" i="5"/>
  <c r="E52" i="5"/>
  <c r="E48" i="5"/>
  <c r="E44" i="5"/>
  <c r="E40" i="5"/>
  <c r="E36" i="5"/>
  <c r="E32" i="5"/>
  <c r="E28" i="5"/>
  <c r="E24" i="5"/>
  <c r="E20" i="5"/>
  <c r="E16" i="5"/>
  <c r="E12" i="5"/>
  <c r="E8" i="5"/>
  <c r="C138" i="5"/>
  <c r="E133" i="5"/>
  <c r="C129" i="5"/>
  <c r="E124" i="5"/>
  <c r="D120" i="5"/>
  <c r="D116" i="5"/>
  <c r="D108" i="5"/>
  <c r="D100" i="5"/>
  <c r="D96" i="5"/>
  <c r="D84" i="5"/>
  <c r="D80" i="5"/>
  <c r="D68" i="5"/>
  <c r="D64" i="5"/>
  <c r="D56" i="5"/>
  <c r="D48" i="5"/>
  <c r="D40" i="5"/>
  <c r="F143" i="5"/>
  <c r="D139" i="5"/>
  <c r="D134" i="5"/>
  <c r="F129" i="5"/>
  <c r="D125" i="5"/>
  <c r="C121" i="5"/>
  <c r="C117" i="5"/>
  <c r="C113" i="5"/>
  <c r="C109" i="5"/>
  <c r="C105" i="5"/>
  <c r="C101" i="5"/>
  <c r="C97" i="5"/>
  <c r="C93" i="5"/>
  <c r="C89" i="5"/>
  <c r="C85" i="5"/>
  <c r="C81" i="5"/>
  <c r="C77" i="5"/>
  <c r="C73" i="5"/>
  <c r="C69" i="5"/>
  <c r="C65" i="5"/>
  <c r="C61" i="5"/>
  <c r="C57" i="5"/>
  <c r="C53" i="5"/>
  <c r="C49" i="5"/>
  <c r="C45" i="5"/>
  <c r="C41" i="5"/>
  <c r="C37" i="5"/>
  <c r="C33" i="5"/>
  <c r="C29" i="5"/>
  <c r="C25" i="5"/>
  <c r="C21" i="5"/>
  <c r="C17" i="5"/>
  <c r="C13" i="5"/>
  <c r="C9" i="5"/>
  <c r="E142" i="5"/>
  <c r="D112" i="5"/>
  <c r="D104" i="5"/>
  <c r="D92" i="5"/>
  <c r="D88" i="5"/>
  <c r="D76" i="5"/>
  <c r="D72" i="5"/>
  <c r="D60" i="5"/>
  <c r="D52" i="5"/>
  <c r="D44" i="5"/>
  <c r="D36" i="5"/>
  <c r="E7" i="5"/>
  <c r="E143" i="5"/>
  <c r="E138" i="5"/>
  <c r="C134" i="5"/>
  <c r="E129" i="5"/>
  <c r="C125" i="5"/>
  <c r="F120" i="5"/>
  <c r="F116" i="5"/>
  <c r="F112" i="5"/>
  <c r="F108" i="5"/>
  <c r="F104" i="5"/>
  <c r="F100" i="5"/>
  <c r="F96" i="5"/>
  <c r="F92" i="5"/>
  <c r="F88" i="5"/>
  <c r="F84" i="5"/>
  <c r="F80" i="5"/>
  <c r="F76" i="5"/>
  <c r="F72" i="5"/>
  <c r="F68" i="5"/>
  <c r="F64" i="5"/>
  <c r="F60" i="5"/>
  <c r="F56" i="5"/>
  <c r="F52" i="5"/>
  <c r="F48" i="5"/>
  <c r="F44" i="5"/>
  <c r="F40" i="5"/>
  <c r="F36" i="5"/>
  <c r="F32" i="5"/>
  <c r="F28" i="5"/>
  <c r="F24" i="5"/>
  <c r="F20" i="5"/>
  <c r="F16" i="5"/>
  <c r="F12" i="5"/>
  <c r="F8" i="5"/>
  <c r="F147" i="5"/>
  <c r="E147" i="5"/>
  <c r="D147" i="5"/>
  <c r="E146" i="5"/>
  <c r="D146" i="5"/>
  <c r="C146" i="5"/>
  <c r="F145" i="5"/>
  <c r="E145" i="5"/>
  <c r="D145" i="5"/>
  <c r="C145" i="5"/>
  <c r="F144" i="5"/>
  <c r="E144" i="5"/>
  <c r="D144" i="5"/>
  <c r="F136" i="5"/>
  <c r="E130" i="5"/>
  <c r="E123" i="5"/>
  <c r="C118" i="5"/>
  <c r="E111" i="5"/>
  <c r="D106" i="5"/>
  <c r="F99" i="5"/>
  <c r="E94" i="5"/>
  <c r="C88" i="5"/>
  <c r="F82" i="5"/>
  <c r="E77" i="5"/>
  <c r="C71" i="5"/>
  <c r="F65" i="5"/>
  <c r="D59" i="5"/>
  <c r="C54" i="5"/>
  <c r="E47" i="5"/>
  <c r="D42" i="5"/>
  <c r="F35" i="5"/>
  <c r="F30" i="5"/>
  <c r="F25" i="5"/>
  <c r="F19" i="5"/>
  <c r="F14" i="5"/>
  <c r="F9" i="5"/>
  <c r="C136" i="5"/>
  <c r="E135" i="5"/>
  <c r="C122" i="5"/>
  <c r="E115" i="5"/>
  <c r="D110" i="5"/>
  <c r="F103" i="5"/>
  <c r="E98" i="5"/>
  <c r="C92" i="5"/>
  <c r="F86" i="5"/>
  <c r="E81" i="5"/>
  <c r="C75" i="5"/>
  <c r="F69" i="5"/>
  <c r="D63" i="5"/>
  <c r="C58" i="5"/>
  <c r="E51" i="5"/>
  <c r="D46" i="5"/>
  <c r="F39" i="5"/>
  <c r="E34" i="5"/>
  <c r="E18" i="5"/>
  <c r="E13" i="5"/>
  <c r="F127" i="5"/>
  <c r="D115" i="5"/>
  <c r="E103" i="5"/>
  <c r="F91" i="5"/>
  <c r="C80" i="5"/>
  <c r="E69" i="5"/>
  <c r="D51" i="5"/>
  <c r="C46" i="5"/>
  <c r="D28" i="5"/>
  <c r="D23" i="5"/>
  <c r="C7" i="5"/>
  <c r="E121" i="5"/>
  <c r="D142" i="5"/>
  <c r="E136" i="5"/>
  <c r="D130" i="5"/>
  <c r="D123" i="5"/>
  <c r="F117" i="5"/>
  <c r="D111" i="5"/>
  <c r="C106" i="5"/>
  <c r="E99" i="5"/>
  <c r="D94" i="5"/>
  <c r="F87" i="5"/>
  <c r="E82" i="5"/>
  <c r="C76" i="5"/>
  <c r="F70" i="5"/>
  <c r="E65" i="5"/>
  <c r="C59" i="5"/>
  <c r="F53" i="5"/>
  <c r="D47" i="5"/>
  <c r="C42" i="5"/>
  <c r="E35" i="5"/>
  <c r="E30" i="5"/>
  <c r="E25" i="5"/>
  <c r="E19" i="5"/>
  <c r="E14" i="5"/>
  <c r="E9" i="5"/>
  <c r="C64" i="5"/>
  <c r="D14" i="5"/>
  <c r="F141" i="5"/>
  <c r="E128" i="5"/>
  <c r="E122" i="5"/>
  <c r="F110" i="5"/>
  <c r="E105" i="5"/>
  <c r="C99" i="5"/>
  <c r="F93" i="5"/>
  <c r="D87" i="5"/>
  <c r="C82" i="5"/>
  <c r="E75" i="5"/>
  <c r="D70" i="5"/>
  <c r="F63" i="5"/>
  <c r="E58" i="5"/>
  <c r="F46" i="5"/>
  <c r="C35" i="5"/>
  <c r="C24" i="5"/>
  <c r="C14" i="5"/>
  <c r="E141" i="5"/>
  <c r="D122" i="5"/>
  <c r="E110" i="5"/>
  <c r="F98" i="5"/>
  <c r="C87" i="5"/>
  <c r="D75" i="5"/>
  <c r="E63" i="5"/>
  <c r="D58" i="5"/>
  <c r="C40" i="5"/>
  <c r="F34" i="5"/>
  <c r="F18" i="5"/>
  <c r="F13" i="5"/>
  <c r="C128" i="5"/>
  <c r="E29" i="5"/>
  <c r="E23" i="5"/>
  <c r="D7" i="5"/>
  <c r="F121" i="5"/>
  <c r="C110" i="5"/>
  <c r="D98" i="5"/>
  <c r="E86" i="5"/>
  <c r="F74" i="5"/>
  <c r="C63" i="5"/>
  <c r="F57" i="5"/>
  <c r="E39" i="5"/>
  <c r="D34" i="5"/>
  <c r="D18" i="5"/>
  <c r="D12" i="5"/>
  <c r="E127" i="5"/>
  <c r="F109" i="5"/>
  <c r="D103" i="5"/>
  <c r="C98" i="5"/>
  <c r="E91" i="5"/>
  <c r="D86" i="5"/>
  <c r="F79" i="5"/>
  <c r="E74" i="5"/>
  <c r="C68" i="5"/>
  <c r="F62" i="5"/>
  <c r="E57" i="5"/>
  <c r="C51" i="5"/>
  <c r="F45" i="5"/>
  <c r="C34" i="5"/>
  <c r="C23" i="5"/>
  <c r="C142" i="5"/>
  <c r="D136" i="5"/>
  <c r="F128" i="5"/>
  <c r="C123" i="5"/>
  <c r="E117" i="5"/>
  <c r="C111" i="5"/>
  <c r="F105" i="5"/>
  <c r="D99" i="5"/>
  <c r="C94" i="5"/>
  <c r="E87" i="5"/>
  <c r="D82" i="5"/>
  <c r="F75" i="5"/>
  <c r="E70" i="5"/>
  <c r="F58" i="5"/>
  <c r="E53" i="5"/>
  <c r="C47" i="5"/>
  <c r="F41" i="5"/>
  <c r="D35" i="5"/>
  <c r="D30" i="5"/>
  <c r="D24" i="5"/>
  <c r="D19" i="5"/>
  <c r="D8" i="5"/>
  <c r="C116" i="5"/>
  <c r="C52" i="5"/>
  <c r="E41" i="5"/>
  <c r="C30" i="5"/>
  <c r="C19" i="5"/>
  <c r="C8" i="5"/>
  <c r="F135" i="5"/>
  <c r="D128" i="5"/>
  <c r="F115" i="5"/>
  <c r="C104" i="5"/>
  <c r="E93" i="5"/>
  <c r="F81" i="5"/>
  <c r="C70" i="5"/>
  <c r="F51" i="5"/>
  <c r="E46" i="5"/>
  <c r="F29" i="5"/>
  <c r="F23" i="5"/>
  <c r="F7" i="5"/>
  <c r="C115" i="5"/>
  <c r="D39" i="5"/>
  <c r="C28" i="5"/>
  <c r="C18" i="5"/>
  <c r="D141" i="5"/>
  <c r="C141" i="5"/>
  <c r="D135" i="5"/>
  <c r="F140" i="5"/>
  <c r="D133" i="5"/>
  <c r="E140" i="5"/>
  <c r="C133" i="5"/>
  <c r="D140" i="5"/>
  <c r="F132" i="5"/>
  <c r="C140" i="5"/>
  <c r="E132" i="5"/>
  <c r="F139" i="5"/>
  <c r="D132" i="5"/>
  <c r="F137" i="5"/>
  <c r="C132" i="5"/>
  <c r="E137" i="5"/>
  <c r="F131" i="5"/>
  <c r="D137" i="5"/>
  <c r="E131" i="5"/>
  <c r="C137" i="5"/>
  <c r="D131" i="5"/>
  <c r="C60" i="5"/>
  <c r="D95" i="5"/>
  <c r="F26" i="5"/>
  <c r="E61" i="5"/>
  <c r="C72" i="5"/>
  <c r="F123" i="5"/>
  <c r="E10" i="5"/>
  <c r="D20" i="5"/>
  <c r="D31" i="5"/>
  <c r="F42" i="5"/>
  <c r="E54" i="5"/>
  <c r="D66" i="5"/>
  <c r="C78" i="5"/>
  <c r="F89" i="5"/>
  <c r="E101" i="5"/>
  <c r="C112" i="5"/>
  <c r="C124" i="5"/>
  <c r="F10" i="5"/>
  <c r="E21" i="5"/>
  <c r="E31" i="5"/>
  <c r="C43" i="5"/>
  <c r="F54" i="5"/>
  <c r="E66" i="5"/>
  <c r="D78" i="5"/>
  <c r="C90" i="5"/>
  <c r="F101" i="5"/>
  <c r="E113" i="5"/>
  <c r="D124" i="5"/>
  <c r="F125" i="5"/>
  <c r="C126" i="5"/>
  <c r="D126" i="5"/>
  <c r="C84" i="5"/>
  <c r="E85" i="5"/>
  <c r="F6" i="5"/>
  <c r="F38" i="5"/>
  <c r="D62" i="5"/>
  <c r="F85" i="5"/>
  <c r="F17" i="5"/>
  <c r="E62" i="5"/>
  <c r="F97" i="5"/>
  <c r="C31" i="5"/>
  <c r="F77" i="5"/>
  <c r="C11" i="5"/>
  <c r="D43" i="5"/>
  <c r="D90" i="5"/>
  <c r="D102" i="5"/>
  <c r="F90" i="5"/>
  <c r="D15" i="5"/>
  <c r="F59" i="5"/>
  <c r="D83" i="5"/>
  <c r="E15" i="5"/>
  <c r="E49" i="5"/>
  <c r="F71" i="5"/>
  <c r="C38" i="5"/>
  <c r="F83" i="5"/>
  <c r="C27" i="5"/>
  <c r="D38" i="5"/>
  <c r="F61" i="5"/>
  <c r="F95" i="5"/>
  <c r="D6" i="5"/>
  <c r="D27" i="5"/>
  <c r="D50" i="5"/>
  <c r="F73" i="5"/>
  <c r="C96" i="5"/>
  <c r="E17" i="5"/>
  <c r="E97" i="5"/>
  <c r="C10" i="5"/>
  <c r="F27" i="5"/>
  <c r="F50" i="5"/>
  <c r="C86" i="5"/>
  <c r="D10" i="5"/>
  <c r="E42" i="5"/>
  <c r="D54" i="5"/>
  <c r="E89" i="5"/>
  <c r="F31" i="5"/>
  <c r="E78" i="5"/>
  <c r="F113" i="5"/>
  <c r="D11" i="5"/>
  <c r="E43" i="5"/>
  <c r="D55" i="5"/>
  <c r="F78" i="5"/>
  <c r="C114" i="5"/>
  <c r="D22" i="5"/>
  <c r="F43" i="5"/>
  <c r="D67" i="5"/>
  <c r="C79" i="5"/>
  <c r="D114" i="5"/>
  <c r="F11" i="5"/>
  <c r="E22" i="5"/>
  <c r="E33" i="5"/>
  <c r="C44" i="5"/>
  <c r="F55" i="5"/>
  <c r="E67" i="5"/>
  <c r="D79" i="5"/>
  <c r="C91" i="5"/>
  <c r="F102" i="5"/>
  <c r="E114" i="5"/>
  <c r="E126" i="5"/>
  <c r="C12" i="5"/>
  <c r="F22" i="5"/>
  <c r="F33" i="5"/>
  <c r="E45" i="5"/>
  <c r="C56" i="5"/>
  <c r="F67" i="5"/>
  <c r="E79" i="5"/>
  <c r="D91" i="5"/>
  <c r="C103" i="5"/>
  <c r="F114" i="5"/>
  <c r="D127" i="5"/>
  <c r="D26" i="5"/>
  <c r="C48" i="5"/>
  <c r="F37" i="5"/>
  <c r="E83" i="5"/>
  <c r="F15" i="5"/>
  <c r="F49" i="5"/>
  <c r="E95" i="5"/>
  <c r="C16" i="5"/>
  <c r="C50" i="5"/>
  <c r="E73" i="5"/>
  <c r="E107" i="5"/>
  <c r="D16" i="5"/>
  <c r="E38" i="5"/>
  <c r="C62" i="5"/>
  <c r="F107" i="5"/>
  <c r="E27" i="5"/>
  <c r="E50" i="5"/>
  <c r="C74" i="5"/>
  <c r="C108" i="5"/>
  <c r="C39" i="5"/>
  <c r="D74" i="5"/>
  <c r="E109" i="5"/>
  <c r="C20" i="5"/>
  <c r="C66" i="5"/>
  <c r="F21" i="5"/>
  <c r="C55" i="5"/>
  <c r="F66" i="5"/>
  <c r="C102" i="5"/>
  <c r="C22" i="5"/>
  <c r="C32" i="5"/>
  <c r="C67" i="5"/>
  <c r="E90" i="5"/>
  <c r="E11" i="5"/>
  <c r="D32" i="5"/>
  <c r="E55" i="5"/>
  <c r="E102" i="5"/>
  <c r="C15" i="5"/>
  <c r="C26" i="5"/>
  <c r="C36" i="5"/>
  <c r="F47" i="5"/>
  <c r="E59" i="5"/>
  <c r="D71" i="5"/>
  <c r="C83" i="5"/>
  <c r="F94" i="5"/>
  <c r="E106" i="5"/>
  <c r="D118" i="5"/>
  <c r="C147" i="5"/>
  <c r="F122" i="5"/>
  <c r="F126" i="5"/>
  <c r="F130" i="5"/>
  <c r="F134" i="5"/>
  <c r="F138" i="5"/>
  <c r="F142" i="5"/>
  <c r="F146" i="5"/>
  <c r="C127" i="5"/>
  <c r="C131" i="5"/>
  <c r="C135" i="5"/>
  <c r="C139" i="5"/>
  <c r="C143" i="5"/>
  <c r="R84" i="5"/>
  <c r="R52" i="5"/>
  <c r="R20" i="5"/>
  <c r="R40" i="5"/>
  <c r="R8" i="5"/>
  <c r="R72" i="5"/>
  <c r="R68" i="5"/>
  <c r="R36" i="5"/>
  <c r="R120" i="5"/>
  <c r="R147" i="5"/>
  <c r="R104" i="5"/>
  <c r="R116" i="5"/>
  <c r="R100" i="5"/>
  <c r="R124" i="5"/>
  <c r="R24" i="5"/>
  <c r="R56" i="5"/>
  <c r="R88" i="5"/>
  <c r="R12" i="5"/>
  <c r="R28" i="5"/>
  <c r="R44" i="5"/>
  <c r="R60" i="5"/>
  <c r="R76" i="5"/>
  <c r="R92" i="5"/>
  <c r="R108" i="5"/>
  <c r="R140" i="5"/>
  <c r="R136" i="5"/>
  <c r="R132" i="5"/>
  <c r="R16" i="5"/>
  <c r="R32" i="5"/>
  <c r="R48" i="5"/>
  <c r="R64" i="5"/>
  <c r="R80" i="5"/>
  <c r="R96" i="5"/>
  <c r="R112" i="5"/>
  <c r="R128" i="5"/>
  <c r="R144" i="5"/>
  <c r="R9" i="5"/>
  <c r="R13" i="5"/>
  <c r="R17" i="5"/>
  <c r="R21" i="5"/>
  <c r="R25" i="5"/>
  <c r="R29" i="5"/>
  <c r="R33" i="5"/>
  <c r="R37" i="5"/>
  <c r="R41" i="5"/>
  <c r="R45" i="5"/>
  <c r="R49" i="5"/>
  <c r="R53" i="5"/>
  <c r="R57" i="5"/>
  <c r="R61" i="5"/>
  <c r="R65" i="5"/>
  <c r="R69" i="5"/>
  <c r="R73" i="5"/>
  <c r="R77" i="5"/>
  <c r="R81" i="5"/>
  <c r="R85" i="5"/>
  <c r="R89" i="5"/>
  <c r="R93" i="5"/>
  <c r="R97" i="5"/>
  <c r="R101" i="5"/>
  <c r="R105" i="5"/>
  <c r="R109" i="5"/>
  <c r="R113" i="5"/>
  <c r="R117" i="5"/>
  <c r="R121" i="5"/>
  <c r="R125" i="5"/>
  <c r="R129" i="5"/>
  <c r="R133" i="5"/>
  <c r="R137" i="5"/>
  <c r="R141" i="5"/>
  <c r="R145" i="5"/>
  <c r="R10" i="5"/>
  <c r="R14" i="5"/>
  <c r="R18" i="5"/>
  <c r="R22" i="5"/>
  <c r="R26" i="5"/>
  <c r="R30" i="5"/>
  <c r="R34" i="5"/>
  <c r="R38" i="5"/>
  <c r="R42" i="5"/>
  <c r="R46" i="5"/>
  <c r="R50" i="5"/>
  <c r="R54" i="5"/>
  <c r="R58" i="5"/>
  <c r="R62" i="5"/>
  <c r="R66" i="5"/>
  <c r="R70" i="5"/>
  <c r="R74" i="5"/>
  <c r="R78" i="5"/>
  <c r="R82" i="5"/>
  <c r="R86" i="5"/>
  <c r="R90" i="5"/>
  <c r="R94" i="5"/>
  <c r="R98" i="5"/>
  <c r="R102" i="5"/>
  <c r="R106" i="5"/>
  <c r="R110" i="5"/>
  <c r="R114" i="5"/>
  <c r="R118" i="5"/>
  <c r="R122" i="5"/>
  <c r="R126" i="5"/>
  <c r="R130" i="5"/>
  <c r="R134" i="5"/>
  <c r="R138" i="5"/>
  <c r="R142" i="5"/>
  <c r="R146" i="5"/>
  <c r="R7" i="5"/>
  <c r="R11" i="5"/>
  <c r="R15" i="5"/>
  <c r="R19" i="5"/>
  <c r="R23" i="5"/>
  <c r="R27" i="5"/>
  <c r="R31" i="5"/>
  <c r="R35" i="5"/>
  <c r="R39" i="5"/>
  <c r="R43" i="5"/>
  <c r="R47" i="5"/>
  <c r="R51" i="5"/>
  <c r="R55" i="5"/>
  <c r="R59" i="5"/>
  <c r="R63" i="5"/>
  <c r="R67" i="5"/>
  <c r="R71" i="5"/>
  <c r="R75" i="5"/>
  <c r="R79" i="5"/>
  <c r="R83" i="5"/>
  <c r="R87" i="5"/>
  <c r="R91" i="5"/>
  <c r="R95" i="5"/>
  <c r="R99" i="5"/>
  <c r="R103" i="5"/>
  <c r="R107" i="5"/>
  <c r="R111" i="5"/>
  <c r="R115" i="5"/>
  <c r="R119" i="5"/>
  <c r="R123" i="5"/>
  <c r="R127" i="5"/>
  <c r="R131" i="5"/>
  <c r="R135" i="5"/>
  <c r="R139" i="5"/>
  <c r="R143" i="5"/>
  <c r="R155" i="5" l="1"/>
  <c r="R150" i="5"/>
  <c r="K150" i="5" l="1"/>
  <c r="G141" i="5"/>
  <c r="G128" i="5"/>
  <c r="G119" i="5"/>
  <c r="G137" i="5"/>
  <c r="G110" i="5"/>
  <c r="G94" i="5"/>
  <c r="G78" i="5"/>
  <c r="G54" i="5"/>
  <c r="G38" i="5"/>
  <c r="G30" i="5"/>
  <c r="G14" i="5"/>
  <c r="G120" i="5"/>
  <c r="G135" i="5"/>
  <c r="G102" i="5"/>
  <c r="G86" i="5"/>
  <c r="G70" i="5"/>
  <c r="G62" i="5"/>
  <c r="G46" i="5"/>
  <c r="G22" i="5"/>
  <c r="G134" i="5"/>
  <c r="G145" i="5"/>
  <c r="G125" i="5"/>
  <c r="G142" i="5"/>
  <c r="G131" i="5"/>
  <c r="G113" i="5"/>
  <c r="G105" i="5"/>
  <c r="G97" i="5"/>
  <c r="G89" i="5"/>
  <c r="G81" i="5"/>
  <c r="G73" i="5"/>
  <c r="G65" i="5"/>
  <c r="G57" i="5"/>
  <c r="G49" i="5"/>
  <c r="G41" i="5"/>
  <c r="G33" i="5"/>
  <c r="G25" i="5"/>
  <c r="G17" i="5"/>
  <c r="G9" i="5"/>
  <c r="G126" i="5"/>
  <c r="G117" i="5"/>
  <c r="G130" i="5"/>
  <c r="G121" i="5"/>
  <c r="G6" i="5"/>
  <c r="G116" i="5"/>
  <c r="G108" i="5"/>
  <c r="G100" i="5"/>
  <c r="G92" i="5"/>
  <c r="G84" i="5"/>
  <c r="G76" i="5"/>
  <c r="G68" i="5"/>
  <c r="G60" i="5"/>
  <c r="G52" i="5"/>
  <c r="G44" i="5"/>
  <c r="G36" i="5"/>
  <c r="G28" i="5"/>
  <c r="G20" i="5"/>
  <c r="G12" i="5"/>
  <c r="G136" i="5"/>
  <c r="G127" i="5"/>
  <c r="G122" i="5"/>
  <c r="G111" i="5"/>
  <c r="G103" i="5"/>
  <c r="G95" i="5"/>
  <c r="G87" i="5"/>
  <c r="G79" i="5"/>
  <c r="G71" i="5"/>
  <c r="G63" i="5"/>
  <c r="G55" i="5"/>
  <c r="G47" i="5"/>
  <c r="G39" i="5"/>
  <c r="G31" i="5"/>
  <c r="G23" i="5"/>
  <c r="G15" i="5"/>
  <c r="G7" i="5"/>
  <c r="G133" i="5"/>
  <c r="G144" i="5"/>
  <c r="G132" i="5"/>
  <c r="G123" i="5"/>
  <c r="G114" i="5"/>
  <c r="G106" i="5"/>
  <c r="G98" i="5"/>
  <c r="G90" i="5"/>
  <c r="G82" i="5"/>
  <c r="G74" i="5"/>
  <c r="G66" i="5"/>
  <c r="G58" i="5"/>
  <c r="G50" i="5"/>
  <c r="G42" i="5"/>
  <c r="G34" i="5"/>
  <c r="G26" i="5"/>
  <c r="G18" i="5"/>
  <c r="G10" i="5"/>
  <c r="G147" i="5"/>
  <c r="G139" i="5"/>
  <c r="G129" i="5"/>
  <c r="G109" i="5"/>
  <c r="G101" i="5"/>
  <c r="G93" i="5"/>
  <c r="G85" i="5"/>
  <c r="G77" i="5"/>
  <c r="G69" i="5"/>
  <c r="G61" i="5"/>
  <c r="G53" i="5"/>
  <c r="G45" i="5"/>
  <c r="G37" i="5"/>
  <c r="G29" i="5"/>
  <c r="G21" i="5"/>
  <c r="G13" i="5"/>
  <c r="G140" i="5"/>
  <c r="G112" i="5"/>
  <c r="G104" i="5"/>
  <c r="G96" i="5"/>
  <c r="G88" i="5"/>
  <c r="G80" i="5"/>
  <c r="G72" i="5"/>
  <c r="G64" i="5"/>
  <c r="G56" i="5"/>
  <c r="G48" i="5"/>
  <c r="G40" i="5"/>
  <c r="G32" i="5"/>
  <c r="G24" i="5"/>
  <c r="G16" i="5"/>
  <c r="G8" i="5"/>
  <c r="G118" i="5"/>
  <c r="G143" i="5"/>
  <c r="G146" i="5"/>
  <c r="G124" i="5"/>
  <c r="G115" i="5"/>
  <c r="G107" i="5"/>
  <c r="G99" i="5"/>
  <c r="G91" i="5"/>
  <c r="G83" i="5"/>
  <c r="G75" i="5"/>
  <c r="G67" i="5"/>
  <c r="G59" i="5"/>
  <c r="G51" i="5"/>
  <c r="G43" i="5"/>
  <c r="G35" i="5"/>
  <c r="G27" i="5"/>
  <c r="G19" i="5"/>
  <c r="G11" i="5"/>
  <c r="G138" i="5"/>
  <c r="L137" i="5"/>
  <c r="Q137" i="5"/>
  <c r="L138" i="5"/>
  <c r="Q138" i="5"/>
  <c r="S137" i="5" l="1"/>
  <c r="S138" i="5"/>
  <c r="Q6" i="5" l="1"/>
  <c r="C150" i="5"/>
  <c r="E150" i="5"/>
  <c r="Q146" i="5"/>
  <c r="L147" i="5"/>
  <c r="M150" i="5"/>
  <c r="O150" i="5"/>
  <c r="L7" i="5"/>
  <c r="L13" i="5"/>
  <c r="L19" i="5"/>
  <c r="L25" i="5"/>
  <c r="L29" i="5"/>
  <c r="L35" i="5"/>
  <c r="L37" i="5"/>
  <c r="L39" i="5"/>
  <c r="L43" i="5"/>
  <c r="L45" i="5"/>
  <c r="L47" i="5"/>
  <c r="L49" i="5"/>
  <c r="L51" i="5"/>
  <c r="L53" i="5"/>
  <c r="L57" i="5"/>
  <c r="L59" i="5"/>
  <c r="L61" i="5"/>
  <c r="L63" i="5"/>
  <c r="L65" i="5"/>
  <c r="L67" i="5"/>
  <c r="L69" i="5"/>
  <c r="L71" i="5"/>
  <c r="L73" i="5"/>
  <c r="L75" i="5"/>
  <c r="L77" i="5"/>
  <c r="L79" i="5"/>
  <c r="L81" i="5"/>
  <c r="L85" i="5"/>
  <c r="L87" i="5"/>
  <c r="L89" i="5"/>
  <c r="L91" i="5"/>
  <c r="L93" i="5"/>
  <c r="L95" i="5"/>
  <c r="L97" i="5"/>
  <c r="L99" i="5"/>
  <c r="L101" i="5"/>
  <c r="L103" i="5"/>
  <c r="L105" i="5"/>
  <c r="L107" i="5"/>
  <c r="L109" i="5"/>
  <c r="L111" i="5"/>
  <c r="L113" i="5"/>
  <c r="L115" i="5"/>
  <c r="L117" i="5"/>
  <c r="L119" i="5"/>
  <c r="L121" i="5"/>
  <c r="L123" i="5"/>
  <c r="L125" i="5"/>
  <c r="L127" i="5"/>
  <c r="L129" i="5"/>
  <c r="L131" i="5"/>
  <c r="L133" i="5"/>
  <c r="L135" i="5"/>
  <c r="L139" i="5"/>
  <c r="L141" i="5"/>
  <c r="L143" i="5"/>
  <c r="L145" i="5"/>
  <c r="L9" i="5"/>
  <c r="L11" i="5"/>
  <c r="L15" i="5"/>
  <c r="L17" i="5"/>
  <c r="L21" i="5"/>
  <c r="L23" i="5"/>
  <c r="L27" i="5"/>
  <c r="L31" i="5"/>
  <c r="L33" i="5"/>
  <c r="L41" i="5"/>
  <c r="H150" i="5"/>
  <c r="L83" i="5"/>
  <c r="P150" i="5"/>
  <c r="F150" i="5"/>
  <c r="L55" i="5"/>
  <c r="Q147" i="5"/>
  <c r="Q7" i="5"/>
  <c r="Q9" i="5"/>
  <c r="Q11" i="5"/>
  <c r="Q13" i="5"/>
  <c r="Q15" i="5"/>
  <c r="Q17" i="5"/>
  <c r="Q19" i="5"/>
  <c r="Q21" i="5"/>
  <c r="Q23" i="5"/>
  <c r="Q25" i="5"/>
  <c r="Q27" i="5"/>
  <c r="Q29" i="5"/>
  <c r="Q31" i="5"/>
  <c r="Q33" i="5"/>
  <c r="Q35" i="5"/>
  <c r="Q37" i="5"/>
  <c r="Q39" i="5"/>
  <c r="Q41" i="5"/>
  <c r="Q43" i="5"/>
  <c r="Q45" i="5"/>
  <c r="Q47" i="5"/>
  <c r="Q49" i="5"/>
  <c r="Q51" i="5"/>
  <c r="Q53" i="5"/>
  <c r="Q55" i="5"/>
  <c r="Q57" i="5"/>
  <c r="Q59" i="5"/>
  <c r="Q61" i="5"/>
  <c r="Q63" i="5"/>
  <c r="Q65" i="5"/>
  <c r="Q67" i="5"/>
  <c r="Q69" i="5"/>
  <c r="Q71" i="5"/>
  <c r="Q73" i="5"/>
  <c r="Q75" i="5"/>
  <c r="Q77" i="5"/>
  <c r="Q79" i="5"/>
  <c r="Q81" i="5"/>
  <c r="Q83" i="5"/>
  <c r="Q85" i="5"/>
  <c r="Q87" i="5"/>
  <c r="Q89" i="5"/>
  <c r="Q91" i="5"/>
  <c r="Q93" i="5"/>
  <c r="Q95" i="5"/>
  <c r="Q97" i="5"/>
  <c r="Q99" i="5"/>
  <c r="Q101" i="5"/>
  <c r="Q103" i="5"/>
  <c r="Q105" i="5"/>
  <c r="Q107" i="5"/>
  <c r="Q109" i="5"/>
  <c r="Q111" i="5"/>
  <c r="L6" i="5"/>
  <c r="L10" i="5"/>
  <c r="L16" i="5"/>
  <c r="L20" i="5"/>
  <c r="L26" i="5"/>
  <c r="L30" i="5"/>
  <c r="L32" i="5"/>
  <c r="L34" i="5"/>
  <c r="L36" i="5"/>
  <c r="L38" i="5"/>
  <c r="L40" i="5"/>
  <c r="L42" i="5"/>
  <c r="L44" i="5"/>
  <c r="L46" i="5"/>
  <c r="L48" i="5"/>
  <c r="L50" i="5"/>
  <c r="L52" i="5"/>
  <c r="L54" i="5"/>
  <c r="L56" i="5"/>
  <c r="L58" i="5"/>
  <c r="L60" i="5"/>
  <c r="L62" i="5"/>
  <c r="L64" i="5"/>
  <c r="L66" i="5"/>
  <c r="L68" i="5"/>
  <c r="L70" i="5"/>
  <c r="L72" i="5"/>
  <c r="L74" i="5"/>
  <c r="L76" i="5"/>
  <c r="L78" i="5"/>
  <c r="L80" i="5"/>
  <c r="L82" i="5"/>
  <c r="L84" i="5"/>
  <c r="L86" i="5"/>
  <c r="L88" i="5"/>
  <c r="L90" i="5"/>
  <c r="L92" i="5"/>
  <c r="L94" i="5"/>
  <c r="L96" i="5"/>
  <c r="L98" i="5"/>
  <c r="L100" i="5"/>
  <c r="L102" i="5"/>
  <c r="L104" i="5"/>
  <c r="L106" i="5"/>
  <c r="L108" i="5"/>
  <c r="L110" i="5"/>
  <c r="L112" i="5"/>
  <c r="L114" i="5"/>
  <c r="L116" i="5"/>
  <c r="L118" i="5"/>
  <c r="L120" i="5"/>
  <c r="L122" i="5"/>
  <c r="L124" i="5"/>
  <c r="L126" i="5"/>
  <c r="L128" i="5"/>
  <c r="L130" i="5"/>
  <c r="L132" i="5"/>
  <c r="L134" i="5"/>
  <c r="L136" i="5"/>
  <c r="L140" i="5"/>
  <c r="L142" i="5"/>
  <c r="L144" i="5"/>
  <c r="L12" i="5"/>
  <c r="L18" i="5"/>
  <c r="L24" i="5"/>
  <c r="I150" i="5"/>
  <c r="Q8" i="5"/>
  <c r="Q10" i="5"/>
  <c r="Q12" i="5"/>
  <c r="Q14" i="5"/>
  <c r="Q16" i="5"/>
  <c r="Q18" i="5"/>
  <c r="Q20" i="5"/>
  <c r="Q22" i="5"/>
  <c r="Q24" i="5"/>
  <c r="Q26" i="5"/>
  <c r="Q28" i="5"/>
  <c r="Q30" i="5"/>
  <c r="Q32" i="5"/>
  <c r="Q34" i="5"/>
  <c r="Q36" i="5"/>
  <c r="Q38" i="5"/>
  <c r="Q40" i="5"/>
  <c r="Q42" i="5"/>
  <c r="Q44" i="5"/>
  <c r="Q46" i="5"/>
  <c r="Q48" i="5"/>
  <c r="Q50" i="5"/>
  <c r="Q52" i="5"/>
  <c r="Q54" i="5"/>
  <c r="Q56" i="5"/>
  <c r="Q58" i="5"/>
  <c r="Q60" i="5"/>
  <c r="Q62" i="5"/>
  <c r="Q64" i="5"/>
  <c r="Q66" i="5"/>
  <c r="Q68" i="5"/>
  <c r="Q70" i="5"/>
  <c r="Q72" i="5"/>
  <c r="Q74" i="5"/>
  <c r="Q76" i="5"/>
  <c r="Q78" i="5"/>
  <c r="Q80" i="5"/>
  <c r="Q82" i="5"/>
  <c r="Q84" i="5"/>
  <c r="Q86" i="5"/>
  <c r="Q88" i="5"/>
  <c r="Q90" i="5"/>
  <c r="Q92" i="5"/>
  <c r="Q94" i="5"/>
  <c r="Q96" i="5"/>
  <c r="Q98" i="5"/>
  <c r="Q100" i="5"/>
  <c r="Q102" i="5"/>
  <c r="Q104" i="5"/>
  <c r="Q106" i="5"/>
  <c r="Q108" i="5"/>
  <c r="Q110" i="5"/>
  <c r="Q112" i="5"/>
  <c r="Q114" i="5"/>
  <c r="Q116" i="5"/>
  <c r="Q118" i="5"/>
  <c r="Q120" i="5"/>
  <c r="Q122" i="5"/>
  <c r="Q124" i="5"/>
  <c r="Q126" i="5"/>
  <c r="Q128" i="5"/>
  <c r="Q130" i="5"/>
  <c r="Q132" i="5"/>
  <c r="Q134" i="5"/>
  <c r="Q136" i="5"/>
  <c r="L8" i="5"/>
  <c r="L14" i="5"/>
  <c r="L22" i="5"/>
  <c r="L28" i="5"/>
  <c r="J150" i="5"/>
  <c r="N150" i="5"/>
  <c r="Q113" i="5"/>
  <c r="Q115" i="5"/>
  <c r="Q117" i="5"/>
  <c r="Q119" i="5"/>
  <c r="Q121" i="5"/>
  <c r="Q123" i="5"/>
  <c r="Q125" i="5"/>
  <c r="Q127" i="5"/>
  <c r="Q129" i="5"/>
  <c r="Q131" i="5"/>
  <c r="Q133" i="5"/>
  <c r="Q135" i="5"/>
  <c r="Q139" i="5"/>
  <c r="Q141" i="5"/>
  <c r="Q143" i="5"/>
  <c r="Q145" i="5"/>
  <c r="Q140" i="5"/>
  <c r="Q142" i="5"/>
  <c r="Q144" i="5"/>
  <c r="D150" i="5"/>
  <c r="L146" i="5"/>
  <c r="L150" i="5" l="1"/>
  <c r="S146" i="5"/>
  <c r="S24" i="5"/>
  <c r="S6" i="5"/>
  <c r="S8" i="5"/>
  <c r="S55" i="5"/>
  <c r="S22" i="5"/>
  <c r="S15" i="5"/>
  <c r="S14" i="5"/>
  <c r="S142" i="5"/>
  <c r="S26" i="5"/>
  <c r="S109" i="5"/>
  <c r="S101" i="5"/>
  <c r="S93" i="5"/>
  <c r="S85" i="5"/>
  <c r="S49" i="5"/>
  <c r="S39" i="5"/>
  <c r="S25" i="5"/>
  <c r="S23" i="5"/>
  <c r="S143" i="5"/>
  <c r="S133" i="5"/>
  <c r="S125" i="5"/>
  <c r="S117" i="5"/>
  <c r="S31" i="5"/>
  <c r="S116" i="5"/>
  <c r="S92" i="5"/>
  <c r="S76" i="5"/>
  <c r="S52" i="5"/>
  <c r="S27" i="5"/>
  <c r="S67" i="5"/>
  <c r="S59" i="5"/>
  <c r="S18" i="5"/>
  <c r="S140" i="5"/>
  <c r="S130" i="5"/>
  <c r="S122" i="5"/>
  <c r="S114" i="5"/>
  <c r="S106" i="5"/>
  <c r="S98" i="5"/>
  <c r="S90" i="5"/>
  <c r="S82" i="5"/>
  <c r="S74" i="5"/>
  <c r="S66" i="5"/>
  <c r="S58" i="5"/>
  <c r="S50" i="5"/>
  <c r="S42" i="5"/>
  <c r="S34" i="5"/>
  <c r="S20" i="5"/>
  <c r="S41" i="5"/>
  <c r="S11" i="5"/>
  <c r="S141" i="5"/>
  <c r="S131" i="5"/>
  <c r="S123" i="5"/>
  <c r="S115" i="5"/>
  <c r="S107" i="5"/>
  <c r="S99" i="5"/>
  <c r="S91" i="5"/>
  <c r="S81" i="5"/>
  <c r="S73" i="5"/>
  <c r="S65" i="5"/>
  <c r="S57" i="5"/>
  <c r="S47" i="5"/>
  <c r="S37" i="5"/>
  <c r="S19" i="5"/>
  <c r="S132" i="5"/>
  <c r="S100" i="5"/>
  <c r="S68" i="5"/>
  <c r="S44" i="5"/>
  <c r="S28" i="5"/>
  <c r="S12" i="5"/>
  <c r="S136" i="5"/>
  <c r="S128" i="5"/>
  <c r="S120" i="5"/>
  <c r="S112" i="5"/>
  <c r="S104" i="5"/>
  <c r="S96" i="5"/>
  <c r="S88" i="5"/>
  <c r="S80" i="5"/>
  <c r="S72" i="5"/>
  <c r="S64" i="5"/>
  <c r="S56" i="5"/>
  <c r="S48" i="5"/>
  <c r="S40" i="5"/>
  <c r="S32" i="5"/>
  <c r="S16" i="5"/>
  <c r="S33" i="5"/>
  <c r="S21" i="5"/>
  <c r="S9" i="5"/>
  <c r="S139" i="5"/>
  <c r="S129" i="5"/>
  <c r="S121" i="5"/>
  <c r="S113" i="5"/>
  <c r="S105" i="5"/>
  <c r="S97" i="5"/>
  <c r="S89" i="5"/>
  <c r="S79" i="5"/>
  <c r="S71" i="5"/>
  <c r="S63" i="5"/>
  <c r="S53" i="5"/>
  <c r="S45" i="5"/>
  <c r="S35" i="5"/>
  <c r="S13" i="5"/>
  <c r="S147" i="5"/>
  <c r="Q150" i="5"/>
  <c r="S124" i="5"/>
  <c r="S108" i="5"/>
  <c r="S84" i="5"/>
  <c r="S60" i="5"/>
  <c r="S36" i="5"/>
  <c r="S75" i="5"/>
  <c r="S144" i="5"/>
  <c r="S134" i="5"/>
  <c r="S126" i="5"/>
  <c r="S118" i="5"/>
  <c r="S110" i="5"/>
  <c r="S102" i="5"/>
  <c r="S94" i="5"/>
  <c r="S86" i="5"/>
  <c r="S78" i="5"/>
  <c r="S70" i="5"/>
  <c r="S62" i="5"/>
  <c r="S54" i="5"/>
  <c r="S46" i="5"/>
  <c r="S38" i="5"/>
  <c r="S30" i="5"/>
  <c r="S10" i="5"/>
  <c r="S83" i="5"/>
  <c r="S17" i="5"/>
  <c r="S145" i="5"/>
  <c r="S135" i="5"/>
  <c r="S127" i="5"/>
  <c r="S119" i="5"/>
  <c r="S111" i="5"/>
  <c r="S103" i="5"/>
  <c r="S95" i="5"/>
  <c r="S87" i="5"/>
  <c r="S77" i="5"/>
  <c r="S69" i="5"/>
  <c r="S61" i="5"/>
  <c r="S51" i="5"/>
  <c r="S43" i="5"/>
  <c r="S29" i="5"/>
  <c r="S7" i="5"/>
  <c r="G150" i="5"/>
  <c r="S150" i="5" l="1"/>
</calcChain>
</file>

<file path=xl/sharedStrings.xml><?xml version="1.0" encoding="utf-8"?>
<sst xmlns="http://schemas.openxmlformats.org/spreadsheetml/2006/main" count="40260" uniqueCount="482">
  <si>
    <t>Group</t>
  </si>
  <si>
    <t>Taskcode</t>
  </si>
  <si>
    <t>Date</t>
  </si>
  <si>
    <t>Staff Name</t>
  </si>
  <si>
    <t>Project ID</t>
  </si>
  <si>
    <t>Task</t>
  </si>
  <si>
    <t>Service</t>
  </si>
  <si>
    <t>Activity</t>
  </si>
  <si>
    <t>Hours</t>
  </si>
  <si>
    <t>Resource Cost</t>
  </si>
  <si>
    <t>Home Group</t>
  </si>
  <si>
    <t>Write (Off)/Up</t>
  </si>
  <si>
    <t>General</t>
  </si>
  <si>
    <t>Project Title</t>
  </si>
  <si>
    <t>Task Name</t>
  </si>
  <si>
    <t>0001</t>
  </si>
  <si>
    <t>Total Hours</t>
  </si>
  <si>
    <t>Service Name</t>
  </si>
  <si>
    <t>0004</t>
  </si>
  <si>
    <t>0007</t>
  </si>
  <si>
    <t>0010</t>
  </si>
  <si>
    <t>0036</t>
  </si>
  <si>
    <t>0042</t>
  </si>
  <si>
    <t>0051</t>
  </si>
  <si>
    <t>0054</t>
  </si>
  <si>
    <t>0063</t>
  </si>
  <si>
    <t>0085</t>
  </si>
  <si>
    <t>0087</t>
  </si>
  <si>
    <t>0092</t>
  </si>
  <si>
    <t>0104</t>
  </si>
  <si>
    <t>0128</t>
  </si>
  <si>
    <t>All Schools Total</t>
  </si>
  <si>
    <t>Activity Title</t>
  </si>
  <si>
    <t>0003</t>
  </si>
  <si>
    <t>REACTIVE MAINTENANCE</t>
  </si>
  <si>
    <t>NON RECHARGEABLE WORK</t>
  </si>
  <si>
    <t>PLANNED MAINTENANCE</t>
  </si>
  <si>
    <t>Activity_help</t>
  </si>
  <si>
    <t>Other</t>
  </si>
  <si>
    <t>Total Other</t>
  </si>
  <si>
    <t>44-08-457894</t>
  </si>
  <si>
    <t>0011</t>
  </si>
  <si>
    <t>0031</t>
  </si>
  <si>
    <t>0041</t>
  </si>
  <si>
    <t>0061</t>
  </si>
  <si>
    <t>0081</t>
  </si>
  <si>
    <t>0091</t>
  </si>
  <si>
    <t>0101</t>
  </si>
  <si>
    <t>0121</t>
  </si>
  <si>
    <t>0141</t>
  </si>
  <si>
    <t>0002</t>
  </si>
  <si>
    <t>0012</t>
  </si>
  <si>
    <t>0082</t>
  </si>
  <si>
    <t>0005</t>
  </si>
  <si>
    <t>0006</t>
  </si>
  <si>
    <t>0008</t>
  </si>
  <si>
    <t>0009</t>
  </si>
  <si>
    <t>0013</t>
  </si>
  <si>
    <t>0014</t>
  </si>
  <si>
    <t>0015</t>
  </si>
  <si>
    <t>0016</t>
  </si>
  <si>
    <t>0017</t>
  </si>
  <si>
    <t>0018</t>
  </si>
  <si>
    <t>0019</t>
  </si>
  <si>
    <t>0020</t>
  </si>
  <si>
    <t>0021</t>
  </si>
  <si>
    <t>0022</t>
  </si>
  <si>
    <t>0023</t>
  </si>
  <si>
    <t>0024</t>
  </si>
  <si>
    <t>0025</t>
  </si>
  <si>
    <t>0026</t>
  </si>
  <si>
    <t>0027</t>
  </si>
  <si>
    <t>0028</t>
  </si>
  <si>
    <t>0029</t>
  </si>
  <si>
    <t>0030</t>
  </si>
  <si>
    <t>0032</t>
  </si>
  <si>
    <t>0033</t>
  </si>
  <si>
    <t>0034</t>
  </si>
  <si>
    <t>0035</t>
  </si>
  <si>
    <t>0037</t>
  </si>
  <si>
    <t>0038</t>
  </si>
  <si>
    <t>0039</t>
  </si>
  <si>
    <t>0040</t>
  </si>
  <si>
    <t>0043</t>
  </si>
  <si>
    <t>0044</t>
  </si>
  <si>
    <t>0045</t>
  </si>
  <si>
    <t>0046</t>
  </si>
  <si>
    <t>0047</t>
  </si>
  <si>
    <t>0048</t>
  </si>
  <si>
    <t>0049</t>
  </si>
  <si>
    <t>0050</t>
  </si>
  <si>
    <t>0052</t>
  </si>
  <si>
    <t>0053</t>
  </si>
  <si>
    <t>0055</t>
  </si>
  <si>
    <t>0056</t>
  </si>
  <si>
    <t>0057</t>
  </si>
  <si>
    <t>0058</t>
  </si>
  <si>
    <t>0059</t>
  </si>
  <si>
    <t>0060</t>
  </si>
  <si>
    <t>0062</t>
  </si>
  <si>
    <t>0064</t>
  </si>
  <si>
    <t>0065</t>
  </si>
  <si>
    <t>0066</t>
  </si>
  <si>
    <t>0067</t>
  </si>
  <si>
    <t>0068</t>
  </si>
  <si>
    <t>0069</t>
  </si>
  <si>
    <t>0070</t>
  </si>
  <si>
    <t>0071</t>
  </si>
  <si>
    <t>0072</t>
  </si>
  <si>
    <t>0073</t>
  </si>
  <si>
    <t>0074</t>
  </si>
  <si>
    <t>0075</t>
  </si>
  <si>
    <t>0076</t>
  </si>
  <si>
    <t>0077</t>
  </si>
  <si>
    <t>0078</t>
  </si>
  <si>
    <t>0079</t>
  </si>
  <si>
    <t>0080</t>
  </si>
  <si>
    <t>0083</t>
  </si>
  <si>
    <t>0084</t>
  </si>
  <si>
    <t>0086</t>
  </si>
  <si>
    <t>0088</t>
  </si>
  <si>
    <t>0089</t>
  </si>
  <si>
    <t>0090</t>
  </si>
  <si>
    <t>0093</t>
  </si>
  <si>
    <t>0094</t>
  </si>
  <si>
    <t>0095</t>
  </si>
  <si>
    <t>0096</t>
  </si>
  <si>
    <t>0097</t>
  </si>
  <si>
    <t>0098</t>
  </si>
  <si>
    <t>0099</t>
  </si>
  <si>
    <t>0100</t>
  </si>
  <si>
    <t>0102</t>
  </si>
  <si>
    <t>0103</t>
  </si>
  <si>
    <t>0105</t>
  </si>
  <si>
    <t>0106</t>
  </si>
  <si>
    <t>0107</t>
  </si>
  <si>
    <t>0108</t>
  </si>
  <si>
    <t>0109</t>
  </si>
  <si>
    <t>0110</t>
  </si>
  <si>
    <t>0111</t>
  </si>
  <si>
    <t>0112</t>
  </si>
  <si>
    <t>0113</t>
  </si>
  <si>
    <t>0114</t>
  </si>
  <si>
    <t>0115</t>
  </si>
  <si>
    <t>0116</t>
  </si>
  <si>
    <t>0117</t>
  </si>
  <si>
    <t>0118</t>
  </si>
  <si>
    <t>0119</t>
  </si>
  <si>
    <t>0120</t>
  </si>
  <si>
    <t>0122</t>
  </si>
  <si>
    <t>0123</t>
  </si>
  <si>
    <t>0124</t>
  </si>
  <si>
    <t>0125</t>
  </si>
  <si>
    <t>0126</t>
  </si>
  <si>
    <t>0127</t>
  </si>
  <si>
    <t>0129</t>
  </si>
  <si>
    <t>0130</t>
  </si>
  <si>
    <t>0131</t>
  </si>
  <si>
    <t>0132</t>
  </si>
  <si>
    <t>0133</t>
  </si>
  <si>
    <t>0134</t>
  </si>
  <si>
    <t>0135</t>
  </si>
  <si>
    <t>0136</t>
  </si>
  <si>
    <t>0137</t>
  </si>
  <si>
    <t>0138</t>
  </si>
  <si>
    <t>0139</t>
  </si>
  <si>
    <t>0140</t>
  </si>
  <si>
    <t>0142</t>
  </si>
  <si>
    <t>School Building 01</t>
  </si>
  <si>
    <t>School Building 02</t>
  </si>
  <si>
    <t>School Building 03</t>
  </si>
  <si>
    <t>School Building 04</t>
  </si>
  <si>
    <t>School Building 05</t>
  </si>
  <si>
    <t>School Building 06</t>
  </si>
  <si>
    <t>School Building 07</t>
  </si>
  <si>
    <t>School Building 08</t>
  </si>
  <si>
    <t>School Building 09</t>
  </si>
  <si>
    <t>School Building 10</t>
  </si>
  <si>
    <t>School Building 11</t>
  </si>
  <si>
    <t>School Building 12</t>
  </si>
  <si>
    <t>School Building 13</t>
  </si>
  <si>
    <t>School Building 14</t>
  </si>
  <si>
    <t>School Building 15</t>
  </si>
  <si>
    <t>School Building 16</t>
  </si>
  <si>
    <t>School Building 17</t>
  </si>
  <si>
    <t>School Building 18</t>
  </si>
  <si>
    <t>School Building 19</t>
  </si>
  <si>
    <t>School Building 20</t>
  </si>
  <si>
    <t>School Building 21</t>
  </si>
  <si>
    <t>School Building 22</t>
  </si>
  <si>
    <t>School Building 23</t>
  </si>
  <si>
    <t>School Building 24</t>
  </si>
  <si>
    <t>School Building 25</t>
  </si>
  <si>
    <t>School Building 26</t>
  </si>
  <si>
    <t>School Building 27</t>
  </si>
  <si>
    <t>School Building 28</t>
  </si>
  <si>
    <t>School Building 29</t>
  </si>
  <si>
    <t>School Building 30</t>
  </si>
  <si>
    <t>School Building 31</t>
  </si>
  <si>
    <t>School Building 32</t>
  </si>
  <si>
    <t>School Building 33</t>
  </si>
  <si>
    <t>School Building 34</t>
  </si>
  <si>
    <t>School Building 35</t>
  </si>
  <si>
    <t>School Building 36</t>
  </si>
  <si>
    <t>School Building 37</t>
  </si>
  <si>
    <t>School Building 38</t>
  </si>
  <si>
    <t>School Building 39</t>
  </si>
  <si>
    <t>School Building 40</t>
  </si>
  <si>
    <t>School Building 41</t>
  </si>
  <si>
    <t>School Building 42</t>
  </si>
  <si>
    <t>School Building 43</t>
  </si>
  <si>
    <t>School Building 44</t>
  </si>
  <si>
    <t>School Building 45</t>
  </si>
  <si>
    <t>School Building 46</t>
  </si>
  <si>
    <t>School Building 47</t>
  </si>
  <si>
    <t>School Building 48</t>
  </si>
  <si>
    <t>School Building 49</t>
  </si>
  <si>
    <t>School Building 50</t>
  </si>
  <si>
    <t>School Building 51</t>
  </si>
  <si>
    <t>School Building 52</t>
  </si>
  <si>
    <t>School Building 53</t>
  </si>
  <si>
    <t>School Building 54</t>
  </si>
  <si>
    <t>School Building 55</t>
  </si>
  <si>
    <t>School Building 56</t>
  </si>
  <si>
    <t>School Building 57</t>
  </si>
  <si>
    <t>School Building 58</t>
  </si>
  <si>
    <t>School Building 59</t>
  </si>
  <si>
    <t>School Building 60</t>
  </si>
  <si>
    <t>School Building 61</t>
  </si>
  <si>
    <t>School Building 62</t>
  </si>
  <si>
    <t>School Building 63</t>
  </si>
  <si>
    <t>School Building 64</t>
  </si>
  <si>
    <t>School Building 65</t>
  </si>
  <si>
    <t>School Building 66</t>
  </si>
  <si>
    <t>School Building 67</t>
  </si>
  <si>
    <t>School Building 68</t>
  </si>
  <si>
    <t>School Building 69</t>
  </si>
  <si>
    <t>School Building 70</t>
  </si>
  <si>
    <t>School Building 71</t>
  </si>
  <si>
    <t>School Building 72</t>
  </si>
  <si>
    <t>School Building 73</t>
  </si>
  <si>
    <t>School Building 74</t>
  </si>
  <si>
    <t>School Building 75</t>
  </si>
  <si>
    <t>School Building 76</t>
  </si>
  <si>
    <t>School Building 77</t>
  </si>
  <si>
    <t>School Building 78</t>
  </si>
  <si>
    <t>School Building 79</t>
  </si>
  <si>
    <t>School Building 80</t>
  </si>
  <si>
    <t>School Building 81</t>
  </si>
  <si>
    <t>School Building 82</t>
  </si>
  <si>
    <t>School Building 83</t>
  </si>
  <si>
    <t>School Building 84</t>
  </si>
  <si>
    <t>School Building 85</t>
  </si>
  <si>
    <t>School Building 86</t>
  </si>
  <si>
    <t>School Building 87</t>
  </si>
  <si>
    <t>School Building 88</t>
  </si>
  <si>
    <t>School Building 89</t>
  </si>
  <si>
    <t>School Building 90</t>
  </si>
  <si>
    <t>School Building 91</t>
  </si>
  <si>
    <t>School Building 92</t>
  </si>
  <si>
    <t>School Building 93</t>
  </si>
  <si>
    <t>School Building 94</t>
  </si>
  <si>
    <t>School Building 95</t>
  </si>
  <si>
    <t>School Building 96</t>
  </si>
  <si>
    <t>School Building 97</t>
  </si>
  <si>
    <t>School Building 98</t>
  </si>
  <si>
    <t>School Building 99</t>
  </si>
  <si>
    <t>School Building 100</t>
  </si>
  <si>
    <t>School Building 101</t>
  </si>
  <si>
    <t>School Building 102</t>
  </si>
  <si>
    <t>School Building 103</t>
  </si>
  <si>
    <t>School Building 104</t>
  </si>
  <si>
    <t>School Building 105</t>
  </si>
  <si>
    <t>School Building 106</t>
  </si>
  <si>
    <t>School Building 107</t>
  </si>
  <si>
    <t>School Building 108</t>
  </si>
  <si>
    <t>School Building 109</t>
  </si>
  <si>
    <t>School Building 110</t>
  </si>
  <si>
    <t>School Building 111</t>
  </si>
  <si>
    <t>School Building 112</t>
  </si>
  <si>
    <t>School Building 113</t>
  </si>
  <si>
    <t>School Building 114</t>
  </si>
  <si>
    <t>School Building 115</t>
  </si>
  <si>
    <t>School Building 116</t>
  </si>
  <si>
    <t>School Building 117</t>
  </si>
  <si>
    <t>School Building 118</t>
  </si>
  <si>
    <t>School Building 119</t>
  </si>
  <si>
    <t>School Building 120</t>
  </si>
  <si>
    <t>School Building 121</t>
  </si>
  <si>
    <t>School Building 122</t>
  </si>
  <si>
    <t>School Building 123</t>
  </si>
  <si>
    <t>School Building 124</t>
  </si>
  <si>
    <t>School Building 125</t>
  </si>
  <si>
    <t>School Building 126</t>
  </si>
  <si>
    <t>School Building 127</t>
  </si>
  <si>
    <t>School Building 128</t>
  </si>
  <si>
    <t>School Building 129</t>
  </si>
  <si>
    <t>School Building 130</t>
  </si>
  <si>
    <t>School Building 131</t>
  </si>
  <si>
    <t>School Building 132</t>
  </si>
  <si>
    <t>School Building 133</t>
  </si>
  <si>
    <t>School Building 134</t>
  </si>
  <si>
    <t>School Building 135</t>
  </si>
  <si>
    <t>School Building 136</t>
  </si>
  <si>
    <t>School Building 137</t>
  </si>
  <si>
    <t>School Building 138</t>
  </si>
  <si>
    <t>School Building 139</t>
  </si>
  <si>
    <t>School Building 140</t>
  </si>
  <si>
    <t>School Building 141</t>
  </si>
  <si>
    <t>School Building 142</t>
  </si>
  <si>
    <t>School Building Maintenance</t>
  </si>
  <si>
    <t>PROJECT MANAGEMENT</t>
  </si>
  <si>
    <t>DESIGN WORK</t>
  </si>
  <si>
    <t>LAND AND BUILDING SURVEY</t>
  </si>
  <si>
    <t>Engineering Compliance</t>
  </si>
  <si>
    <t>Contract Support</t>
  </si>
  <si>
    <t>Contract Support Service</t>
  </si>
  <si>
    <t>CSS</t>
  </si>
  <si>
    <t>CSO</t>
  </si>
  <si>
    <t>CSD</t>
  </si>
  <si>
    <t>Contract Service Desk</t>
  </si>
  <si>
    <t>CSS-0001</t>
  </si>
  <si>
    <t>CSD-0001</t>
  </si>
  <si>
    <t>Alex Mercer</t>
  </si>
  <si>
    <t>Daniel Cooper</t>
  </si>
  <si>
    <t>Ethan Ward</t>
  </si>
  <si>
    <t>Olivia Bennett</t>
  </si>
  <si>
    <t>Rachel Dawson</t>
  </si>
  <si>
    <t>Matthew Clarke</t>
  </si>
  <si>
    <t>Nathan Cole</t>
  </si>
  <si>
    <t>Laura Simmons</t>
  </si>
  <si>
    <t>Megan Foster</t>
  </si>
  <si>
    <t>Ryan Palmer</t>
  </si>
  <si>
    <t>Victoria Hayes</t>
  </si>
  <si>
    <t>Hannah Griffiths</t>
  </si>
  <si>
    <t>Contract Support Service South</t>
  </si>
  <si>
    <t>Contract Support Service North</t>
  </si>
  <si>
    <t>CSN</t>
  </si>
  <si>
    <t>CSN-0001</t>
  </si>
  <si>
    <t>BEC</t>
  </si>
  <si>
    <t>Business Engineering Compliance</t>
  </si>
  <si>
    <t>SITE VISITS</t>
  </si>
  <si>
    <t>C20</t>
  </si>
  <si>
    <t>C30</t>
  </si>
  <si>
    <t>C40</t>
  </si>
  <si>
    <t>EDC</t>
  </si>
  <si>
    <t>PCM</t>
  </si>
  <si>
    <t>PCB</t>
  </si>
  <si>
    <t>PCF</t>
  </si>
  <si>
    <t>D01</t>
  </si>
  <si>
    <t>D02</t>
  </si>
  <si>
    <t>D03</t>
  </si>
  <si>
    <t>D04</t>
  </si>
  <si>
    <t>PCB-0110</t>
  </si>
  <si>
    <t>PCB-0001</t>
  </si>
  <si>
    <t>PCF-0068</t>
  </si>
  <si>
    <t>PCF-0021</t>
  </si>
  <si>
    <t>PCF-0069</t>
  </si>
  <si>
    <t>PCF-0098</t>
  </si>
  <si>
    <t>BEC-0001</t>
  </si>
  <si>
    <t>PCB-0103</t>
  </si>
  <si>
    <t>PCB-0102</t>
  </si>
  <si>
    <t>PCB-0105</t>
  </si>
  <si>
    <t>PCB-0104</t>
  </si>
  <si>
    <t>PCM-0069</t>
  </si>
  <si>
    <t>PCB-0058</t>
  </si>
  <si>
    <t>PCB-0030</t>
  </si>
  <si>
    <t>PCB-0039</t>
  </si>
  <si>
    <t>PCB-0016</t>
  </si>
  <si>
    <t>PCB-0054</t>
  </si>
  <si>
    <t>PCB-0042</t>
  </si>
  <si>
    <t>PCB-0134</t>
  </si>
  <si>
    <t>PCB-0137</t>
  </si>
  <si>
    <t>PCB-0062</t>
  </si>
  <si>
    <t>PCB-0071</t>
  </si>
  <si>
    <t>PCB-0080</t>
  </si>
  <si>
    <t>PCB-0126</t>
  </si>
  <si>
    <t>PCB-0127</t>
  </si>
  <si>
    <t>PCB-0120</t>
  </si>
  <si>
    <t>PCB-0128</t>
  </si>
  <si>
    <t>PCB-0130</t>
  </si>
  <si>
    <t>PCB-0091</t>
  </si>
  <si>
    <t>PCB-0138</t>
  </si>
  <si>
    <t>PCB-0096</t>
  </si>
  <si>
    <t>PCB-0097</t>
  </si>
  <si>
    <t>PCB-0081</t>
  </si>
  <si>
    <t>PCB-0101</t>
  </si>
  <si>
    <t>PCF-0066</t>
  </si>
  <si>
    <t>PCF-0008</t>
  </si>
  <si>
    <t>PCF-0067</t>
  </si>
  <si>
    <t>PCB-0004</t>
  </si>
  <si>
    <t>PCM-0033</t>
  </si>
  <si>
    <t>PCM-0045</t>
  </si>
  <si>
    <t>PCM-0065</t>
  </si>
  <si>
    <t>PCM-0099</t>
  </si>
  <si>
    <t>PCM-0034</t>
  </si>
  <si>
    <t>PCB-0014</t>
  </si>
  <si>
    <t>PCB-0019</t>
  </si>
  <si>
    <t>PCB-0135</t>
  </si>
  <si>
    <t>PCB-0043</t>
  </si>
  <si>
    <t>PCB-0136</t>
  </si>
  <si>
    <t>PCB-0059</t>
  </si>
  <si>
    <t>PCB-0073</t>
  </si>
  <si>
    <t>PCB-0074</t>
  </si>
  <si>
    <t>PCB-0075</t>
  </si>
  <si>
    <t>PCB-0121</t>
  </si>
  <si>
    <t>PCB-0131</t>
  </si>
  <si>
    <t>PCB-0092</t>
  </si>
  <si>
    <t>PCB-0086</t>
  </si>
  <si>
    <t>PCB-0082</t>
  </si>
  <si>
    <t>PCB-0063</t>
  </si>
  <si>
    <t>PCB-0129</t>
  </si>
  <si>
    <t>PCB-0124</t>
  </si>
  <si>
    <t>PCB-0031</t>
  </si>
  <si>
    <t>PCB-0032</t>
  </si>
  <si>
    <t>PCB-0117</t>
  </si>
  <si>
    <t>PCB-0085</t>
  </si>
  <si>
    <t>PCF-0040</t>
  </si>
  <si>
    <t>PCF-0101</t>
  </si>
  <si>
    <t>PCM-0001</t>
  </si>
  <si>
    <t>PCM-0064</t>
  </si>
  <si>
    <t>PCM-0107</t>
  </si>
  <si>
    <t>PCB-0012</t>
  </si>
  <si>
    <t>PCB-0057</t>
  </si>
  <si>
    <t>PCB-0003</t>
  </si>
  <si>
    <t>PCB-0109</t>
  </si>
  <si>
    <t>PCM-0005</t>
  </si>
  <si>
    <t>PCF-0070</t>
  </si>
  <si>
    <t>PCB-0123</t>
  </si>
  <si>
    <t>PCM-0116</t>
  </si>
  <si>
    <t>PCM-0114</t>
  </si>
  <si>
    <t>PCM-0035</t>
  </si>
  <si>
    <t>PCM-0052</t>
  </si>
  <si>
    <t>PCM-0002</t>
  </si>
  <si>
    <t>PCM-0119</t>
  </si>
  <si>
    <t>PCM-0078</t>
  </si>
  <si>
    <t>PCM-0100</t>
  </si>
  <si>
    <t>PCB-0044</t>
  </si>
  <si>
    <t>PCB-0023</t>
  </si>
  <si>
    <t>PCB-0022</t>
  </si>
  <si>
    <t>PCF-0090</t>
  </si>
  <si>
    <t>PCB-0087</t>
  </si>
  <si>
    <t>PCB-0095</t>
  </si>
  <si>
    <t>PCB-0108</t>
  </si>
  <si>
    <t>PCB-0094</t>
  </si>
  <si>
    <t>PCM-0113</t>
  </si>
  <si>
    <t>PCB-0029</t>
  </si>
  <si>
    <t>PCB-0055</t>
  </si>
  <si>
    <t>PCM-0118</t>
  </si>
  <si>
    <t>PCB-0028</t>
  </si>
  <si>
    <t>PCB-0048</t>
  </si>
  <si>
    <t>PCM-0115</t>
  </si>
  <si>
    <t>PCB-0111</t>
  </si>
  <si>
    <t>PCF-0060</t>
  </si>
  <si>
    <t>PCF-0142</t>
  </si>
  <si>
    <t>PCB-0132</t>
  </si>
  <si>
    <t>PCM-0041</t>
  </si>
  <si>
    <t>PCB-0077</t>
  </si>
  <si>
    <t>PCB-0009</t>
  </si>
  <si>
    <t>PCB-0017</t>
  </si>
  <si>
    <t>PCB-0011</t>
  </si>
  <si>
    <t>PCB-0010</t>
  </si>
  <si>
    <t>PCB-0088</t>
  </si>
  <si>
    <t>PCB-0089</t>
  </si>
  <si>
    <t>PCF-0133</t>
  </si>
  <si>
    <t>PCB-0013</t>
  </si>
  <si>
    <t>PCB-0024</t>
  </si>
  <si>
    <t>PCB-0015</t>
  </si>
  <si>
    <t>PCB-0139</t>
  </si>
  <si>
    <t>PCB-0106</t>
  </si>
  <si>
    <t>PCB-0038</t>
  </si>
  <si>
    <t>EDC-0123</t>
  </si>
  <si>
    <t>PCB-0140</t>
  </si>
  <si>
    <t>PCM-0049</t>
  </si>
  <si>
    <t>EDC-0130</t>
  </si>
  <si>
    <t>CSS  &amp; CSN</t>
  </si>
  <si>
    <t>Compliance</t>
  </si>
  <si>
    <t>Contact Service</t>
  </si>
  <si>
    <t>check On Dashboard sheet</t>
  </si>
  <si>
    <t>C20 - Planned Maintenance</t>
  </si>
  <si>
    <t>C30 - Reactive Maintenance</t>
  </si>
  <si>
    <t>C40 - School Visits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</si>
</sst>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quot;£&quot;#,##0.00"/>
  </numFmts>
  <fonts count="1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color theme="0"/>
      <name val="ARIAL"/>
      <family val="2"/>
      <charset val="1"/>
    </font>
    <font>
      <sz val="11"/>
      <color theme="0" tint="-0.499984740745262"/>
      <name val="Calibri"/>
      <family val="2"/>
      <scheme val="minor"/>
    </font>
    <font>
      <b/>
      <i/>
      <sz val="11"/>
      <color theme="1"/>
      <name val="Calibri"/>
      <family val="2"/>
      <scheme val="minor"/>
    </font>
    <font>
      <b/>
      <i/>
      <sz val="11"/>
      <color theme="0"/>
      <name val="Calibri"/>
      <family val="2"/>
      <scheme val="minor"/>
    </font>
    <font>
      <b/>
      <sz val="14"/>
      <color theme="0"/>
      <name val="Calibri"/>
      <family val="2"/>
      <scheme val="minor"/>
    </font>
    <font>
      <b/>
      <sz val="12"/>
      <color theme="1"/>
      <name val="Calibri"/>
      <family val="2"/>
      <scheme val="minor"/>
    </font>
    <font>
      <b/>
      <i/>
      <sz val="14"/>
      <color theme="0"/>
      <name val="Calibri"/>
      <family val="2"/>
      <scheme val="minor"/>
    </font>
    <font>
      <sz val="8"/>
      <name val="Calibri"/>
      <family val="2"/>
      <scheme val="minor"/>
    </font>
    <font>
      <i/>
      <sz val="11"/>
      <color theme="1"/>
      <name val="Calibri"/>
      <family val="2"/>
      <scheme val="minor"/>
    </font>
    <font>
      <b/>
      <sz val="11"/>
      <name val="Calibri"/>
      <family val="2"/>
      <scheme val="minor"/>
    </font>
    <font>
      <b/>
      <sz val="11"/>
      <color theme="2" tint="-0.249977111117893"/>
      <name val="Calibri"/>
      <family val="2"/>
      <scheme val="minor"/>
    </font>
  </fonts>
  <fills count="25">
    <fill>
      <patternFill patternType="none"/>
    </fill>
    <fill>
      <patternFill patternType="gray125"/>
    </fill>
    <fill>
      <patternFill patternType="solid">
        <fgColor theme="9" tint="0.39997558519241921"/>
        <bgColor indexed="64"/>
      </patternFill>
    </fill>
    <fill>
      <patternFill patternType="solid">
        <fgColor theme="1"/>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49998474074526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7" tint="-0.249977111117893"/>
        <bgColor indexed="64"/>
      </patternFill>
    </fill>
    <fill>
      <patternFill patternType="solid">
        <fgColor theme="8" tint="0.39997558519241921"/>
        <bgColor indexed="64"/>
      </patternFill>
    </fill>
    <fill>
      <patternFill patternType="solid">
        <fgColor theme="8" tint="-0.49998474074526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theme="2" tint="-0.499984740745262"/>
        <bgColor indexed="64"/>
      </patternFill>
    </fill>
    <fill>
      <patternFill patternType="solid">
        <fgColor theme="6" tint="-0.249977111117893"/>
        <bgColor indexed="64"/>
      </patternFill>
    </fill>
    <fill>
      <patternFill patternType="solid">
        <fgColor rgb="FFFFFFCC"/>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tint="-0.499984740745262"/>
        <bgColor indexed="64"/>
      </patternFill>
    </fill>
    <fill>
      <patternFill patternType="solid">
        <fgColor theme="6" tint="0.39997558519241921"/>
        <bgColor indexed="64"/>
      </patternFill>
    </fill>
    <fill>
      <patternFill patternType="solid">
        <fgColor rgb="FFFFFF00"/>
        <bgColor indexed="64"/>
      </patternFill>
    </fill>
    <fill>
      <patternFill patternType="solid">
        <fgColor theme="3" tint="0.89999084444715716"/>
        <bgColor indexed="64"/>
      </patternFill>
    </fill>
    <fill>
      <patternFill patternType="solid">
        <fgColor theme="3" tint="0.89999084444715716"/>
        <bgColor theme="4"/>
      </patternFill>
    </fill>
  </fills>
  <borders count="38">
    <border>
      <left/>
      <right/>
      <top/>
      <bottom/>
      <diagonal/>
    </border>
    <border>
      <left style="thin">
        <color auto="1"/>
      </left>
      <right style="thin">
        <color auto="1"/>
      </right>
      <top/>
      <bottom style="thin">
        <color auto="1"/>
      </bottom>
      <diagonal/>
    </border>
    <border>
      <left/>
      <right style="thin">
        <color theme="0"/>
      </right>
      <top/>
      <bottom/>
      <diagonal/>
    </border>
    <border>
      <left style="thin">
        <color theme="0"/>
      </left>
      <right/>
      <top/>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style="medium">
        <color theme="1"/>
      </left>
      <right style="thin">
        <color theme="0" tint="-0.24994659260841701"/>
      </right>
      <top style="medium">
        <color theme="1"/>
      </top>
      <bottom style="thin">
        <color theme="0" tint="-0.24994659260841701"/>
      </bottom>
      <diagonal/>
    </border>
    <border>
      <left style="thin">
        <color theme="0" tint="-0.24994659260841701"/>
      </left>
      <right style="medium">
        <color theme="1"/>
      </right>
      <top style="medium">
        <color theme="1"/>
      </top>
      <bottom style="thin">
        <color theme="0" tint="-0.24994659260841701"/>
      </bottom>
      <diagonal/>
    </border>
    <border>
      <left style="medium">
        <color theme="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theme="1"/>
      </right>
      <top style="thin">
        <color theme="0" tint="-0.24994659260841701"/>
      </top>
      <bottom style="thin">
        <color theme="0" tint="-0.24994659260841701"/>
      </bottom>
      <diagonal/>
    </border>
    <border>
      <left style="medium">
        <color theme="1"/>
      </left>
      <right style="thin">
        <color theme="0" tint="-0.24994659260841701"/>
      </right>
      <top style="thin">
        <color theme="0" tint="-0.24994659260841701"/>
      </top>
      <bottom style="medium">
        <color theme="1"/>
      </bottom>
      <diagonal/>
    </border>
    <border>
      <left style="thin">
        <color theme="0" tint="-0.24994659260841701"/>
      </left>
      <right style="medium">
        <color theme="1"/>
      </right>
      <top style="thin">
        <color theme="0" tint="-0.24994659260841701"/>
      </top>
      <bottom style="medium">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theme="0" tint="-0.24994659260841701"/>
      </right>
      <top/>
      <bottom style="thin">
        <color theme="0" tint="-0.24994659260841701"/>
      </bottom>
      <diagonal/>
    </border>
    <border>
      <left/>
      <right style="medium">
        <color indexed="64"/>
      </right>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right style="medium">
        <color indexed="64"/>
      </right>
      <top style="thin">
        <color theme="0" tint="-0.24994659260841701"/>
      </top>
      <bottom style="thin">
        <color theme="0" tint="-0.24994659260841701"/>
      </bottom>
      <diagonal/>
    </border>
    <border>
      <left style="medium">
        <color indexed="64"/>
      </left>
      <right style="thin">
        <color theme="0" tint="-0.24994659260841701"/>
      </right>
      <top style="thin">
        <color theme="0" tint="-0.24994659260841701"/>
      </top>
      <bottom style="medium">
        <color indexed="64"/>
      </bottom>
      <diagonal/>
    </border>
    <border>
      <left style="thin">
        <color theme="0" tint="-0.24994659260841701"/>
      </left>
      <right/>
      <top style="thin">
        <color theme="0" tint="-0.24994659260841701"/>
      </top>
      <bottom style="medium">
        <color indexed="64"/>
      </bottom>
      <diagonal/>
    </border>
    <border>
      <left/>
      <right/>
      <top style="thin">
        <color theme="0" tint="-0.24994659260841701"/>
      </top>
      <bottom style="medium">
        <color indexed="64"/>
      </bottom>
      <diagonal/>
    </border>
    <border>
      <left/>
      <right style="medium">
        <color indexed="64"/>
      </right>
      <top style="thin">
        <color theme="0" tint="-0.24994659260841701"/>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theme="0" tint="-0.24994659260841701"/>
      </right>
      <top style="thin">
        <color theme="0" tint="-0.24994659260841701"/>
      </top>
      <bottom/>
      <diagonal/>
    </border>
    <border>
      <left style="thin">
        <color theme="0" tint="-0.24994659260841701"/>
      </left>
      <right style="medium">
        <color indexed="64"/>
      </right>
      <top/>
      <bottom style="thin">
        <color theme="0" tint="-0.24994659260841701"/>
      </bottom>
      <diagonal/>
    </border>
    <border>
      <left style="thin">
        <color theme="0" tint="-0.24994659260841701"/>
      </left>
      <right style="medium">
        <color indexed="64"/>
      </right>
      <top style="thin">
        <color theme="0" tint="-0.24994659260841701"/>
      </top>
      <bottom style="thin">
        <color theme="0" tint="-0.24994659260841701"/>
      </bottom>
      <diagonal/>
    </border>
    <border>
      <left style="thin">
        <color theme="0" tint="-0.24994659260841701"/>
      </left>
      <right style="medium">
        <color indexed="64"/>
      </right>
      <top style="thin">
        <color theme="0" tint="-0.24994659260841701"/>
      </top>
      <bottom/>
      <diagonal/>
    </border>
    <border>
      <left style="thin">
        <color theme="0" tint="-0.24994659260841701"/>
      </left>
      <right style="medium">
        <color indexed="64"/>
      </right>
      <top style="thin">
        <color theme="0" tint="-0.24994659260841701"/>
      </top>
      <bottom style="medium">
        <color indexed="64"/>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3" tint="0.749961851863155"/>
      </left>
      <right style="thin">
        <color theme="3" tint="0.749961851863155"/>
      </right>
      <top style="thin">
        <color theme="3" tint="0.749961851863155"/>
      </top>
      <bottom style="thin">
        <color theme="3" tint="0.749961851863155"/>
      </bottom>
      <diagonal/>
    </border>
  </borders>
  <cellStyleXfs count="2">
    <xf numFmtId="0" fontId="0" fillId="0" borderId="0"/>
    <xf numFmtId="0" fontId="1" fillId="0" borderId="0"/>
  </cellStyleXfs>
  <cellXfs count="131">
    <xf numFmtId="0" fontId="0" fillId="0" borderId="0" xfId="0"/>
    <xf numFmtId="0" fontId="2" fillId="0" borderId="0" xfId="1" applyFont="1" applyAlignment="1">
      <alignment horizontal="center" vertical="center" wrapText="1"/>
    </xf>
    <xf numFmtId="0" fontId="0" fillId="0" borderId="0" xfId="0" applyAlignment="1">
      <alignment horizontal="center" vertical="center"/>
    </xf>
    <xf numFmtId="0" fontId="2" fillId="3" borderId="2" xfId="0" applyFont="1" applyFill="1" applyBorder="1" applyAlignment="1">
      <alignment horizontal="center" vertical="center" wrapText="1"/>
    </xf>
    <xf numFmtId="0" fontId="2" fillId="3" borderId="3" xfId="0" applyFont="1" applyFill="1" applyBorder="1" applyAlignment="1">
      <alignment horizontal="left" vertical="center" wrapText="1"/>
    </xf>
    <xf numFmtId="0" fontId="0" fillId="5" borderId="4" xfId="0" applyFill="1" applyBorder="1" applyAlignment="1">
      <alignment horizontal="center" vertical="center"/>
    </xf>
    <xf numFmtId="0" fontId="0" fillId="8" borderId="4" xfId="0" applyFill="1" applyBorder="1" applyAlignment="1">
      <alignment horizontal="center" vertical="center"/>
    </xf>
    <xf numFmtId="0" fontId="0" fillId="5" borderId="5" xfId="0" applyFill="1" applyBorder="1" applyAlignment="1">
      <alignment horizontal="center" vertical="center"/>
    </xf>
    <xf numFmtId="0" fontId="0" fillId="8" borderId="5" xfId="0" applyFill="1" applyBorder="1" applyAlignment="1">
      <alignment horizontal="center" vertical="center"/>
    </xf>
    <xf numFmtId="0" fontId="4" fillId="15" borderId="0" xfId="0" applyFont="1" applyFill="1" applyAlignment="1">
      <alignment horizontal="center" vertical="center" wrapText="1"/>
    </xf>
    <xf numFmtId="0" fontId="5" fillId="14" borderId="0" xfId="0" applyFont="1" applyFill="1" applyAlignment="1">
      <alignment horizontal="center" vertical="center"/>
    </xf>
    <xf numFmtId="0" fontId="6" fillId="0" borderId="0" xfId="0" applyFont="1" applyAlignment="1">
      <alignment horizontal="right"/>
    </xf>
    <xf numFmtId="0" fontId="6" fillId="4" borderId="5" xfId="0" applyFont="1" applyFill="1" applyBorder="1" applyAlignment="1">
      <alignment horizontal="center" vertical="center"/>
    </xf>
    <xf numFmtId="0" fontId="6" fillId="2" borderId="5" xfId="0" applyFont="1" applyFill="1" applyBorder="1" applyAlignment="1">
      <alignment horizontal="center" vertical="center"/>
    </xf>
    <xf numFmtId="0" fontId="6" fillId="4" borderId="4" xfId="0" applyFont="1" applyFill="1" applyBorder="1" applyAlignment="1">
      <alignment horizontal="center" vertical="center"/>
    </xf>
    <xf numFmtId="0" fontId="6" fillId="2" borderId="4" xfId="0" applyFont="1" applyFill="1" applyBorder="1" applyAlignment="1">
      <alignment horizontal="center" vertical="center"/>
    </xf>
    <xf numFmtId="0" fontId="2" fillId="6" borderId="0" xfId="0" applyFont="1" applyFill="1" applyAlignment="1">
      <alignment horizontal="center" vertical="center" wrapText="1"/>
    </xf>
    <xf numFmtId="0" fontId="7" fillId="6" borderId="0" xfId="0" applyFont="1" applyFill="1" applyAlignment="1">
      <alignment horizontal="center" vertical="center" wrapText="1"/>
    </xf>
    <xf numFmtId="0" fontId="2" fillId="9" borderId="0" xfId="0" applyFont="1" applyFill="1" applyAlignment="1">
      <alignment horizontal="center" vertical="center" wrapText="1"/>
    </xf>
    <xf numFmtId="0" fontId="7" fillId="9" borderId="0" xfId="0" applyFont="1" applyFill="1" applyAlignment="1">
      <alignment horizontal="center" vertical="center" wrapText="1"/>
    </xf>
    <xf numFmtId="0" fontId="6" fillId="11" borderId="18" xfId="0" applyFont="1" applyFill="1" applyBorder="1" applyAlignment="1">
      <alignment horizontal="center" vertical="center"/>
    </xf>
    <xf numFmtId="0" fontId="6" fillId="11" borderId="20" xfId="0" applyFont="1" applyFill="1" applyBorder="1" applyAlignment="1">
      <alignment horizontal="center" vertical="center"/>
    </xf>
    <xf numFmtId="0" fontId="0" fillId="0" borderId="21" xfId="0" applyBorder="1" applyAlignment="1">
      <alignment horizontal="center" vertical="center"/>
    </xf>
    <xf numFmtId="0" fontId="0" fillId="0" borderId="22" xfId="0" applyBorder="1"/>
    <xf numFmtId="0" fontId="0" fillId="5" borderId="23" xfId="0" applyFill="1" applyBorder="1" applyAlignment="1">
      <alignment horizontal="center" vertical="center"/>
    </xf>
    <xf numFmtId="0" fontId="0" fillId="8" borderId="23" xfId="0" applyFill="1" applyBorder="1" applyAlignment="1">
      <alignment horizontal="center" vertical="center"/>
    </xf>
    <xf numFmtId="0" fontId="6" fillId="2" borderId="23" xfId="0" applyFont="1" applyFill="1" applyBorder="1" applyAlignment="1">
      <alignment horizontal="center" vertical="center"/>
    </xf>
    <xf numFmtId="0" fontId="6" fillId="11" borderId="24" xfId="0" applyFont="1" applyFill="1" applyBorder="1" applyAlignment="1">
      <alignment horizontal="center" vertical="center"/>
    </xf>
    <xf numFmtId="0" fontId="6" fillId="5" borderId="25" xfId="0" applyFont="1" applyFill="1" applyBorder="1" applyAlignment="1">
      <alignment horizontal="center" vertical="center"/>
    </xf>
    <xf numFmtId="0" fontId="6" fillId="5" borderId="26" xfId="0" applyFont="1" applyFill="1" applyBorder="1" applyAlignment="1">
      <alignment horizontal="center" vertical="center"/>
    </xf>
    <xf numFmtId="0" fontId="6" fillId="8" borderId="26" xfId="0" applyFont="1" applyFill="1" applyBorder="1" applyAlignment="1">
      <alignment horizontal="center" vertical="center"/>
    </xf>
    <xf numFmtId="0" fontId="6" fillId="2" borderId="26" xfId="0" applyFont="1" applyFill="1" applyBorder="1" applyAlignment="1">
      <alignment horizontal="center" vertical="center"/>
    </xf>
    <xf numFmtId="0" fontId="6" fillId="11" borderId="27" xfId="0" applyFont="1" applyFill="1" applyBorder="1" applyAlignment="1">
      <alignment horizontal="center" vertical="center"/>
    </xf>
    <xf numFmtId="0" fontId="3" fillId="0" borderId="0" xfId="0" applyFont="1" applyAlignment="1">
      <alignment horizontal="center" vertical="center"/>
    </xf>
    <xf numFmtId="49" fontId="0" fillId="0" borderId="17" xfId="0" applyNumberFormat="1" applyBorder="1" applyAlignment="1">
      <alignment horizontal="center" vertical="center"/>
    </xf>
    <xf numFmtId="49" fontId="0" fillId="0" borderId="19" xfId="0" applyNumberFormat="1" applyBorder="1" applyAlignment="1">
      <alignment horizontal="center" vertical="center"/>
    </xf>
    <xf numFmtId="49" fontId="0" fillId="0" borderId="21" xfId="0" applyNumberFormat="1" applyBorder="1" applyAlignment="1">
      <alignment horizontal="center" vertical="center"/>
    </xf>
    <xf numFmtId="0" fontId="9" fillId="17" borderId="1" xfId="0" applyFont="1" applyFill="1" applyBorder="1" applyAlignment="1">
      <alignment horizontal="center" vertical="center"/>
    </xf>
    <xf numFmtId="0" fontId="9" fillId="17" borderId="1" xfId="0" applyFont="1" applyFill="1" applyBorder="1"/>
    <xf numFmtId="0" fontId="6" fillId="18" borderId="5" xfId="0" applyFont="1" applyFill="1" applyBorder="1" applyAlignment="1">
      <alignment horizontal="center" vertical="center"/>
    </xf>
    <xf numFmtId="0" fontId="6" fillId="19" borderId="5" xfId="0" applyFont="1" applyFill="1" applyBorder="1" applyAlignment="1">
      <alignment horizontal="center" vertical="center"/>
    </xf>
    <xf numFmtId="0" fontId="6" fillId="18" borderId="4" xfId="0" applyFont="1" applyFill="1" applyBorder="1" applyAlignment="1">
      <alignment horizontal="center" vertical="center"/>
    </xf>
    <xf numFmtId="0" fontId="6" fillId="18" borderId="23" xfId="0" applyFont="1" applyFill="1" applyBorder="1" applyAlignment="1">
      <alignment horizontal="center" vertical="center"/>
    </xf>
    <xf numFmtId="0" fontId="6" fillId="18" borderId="26" xfId="0" applyFont="1" applyFill="1" applyBorder="1" applyAlignment="1">
      <alignment horizontal="center" vertical="center"/>
    </xf>
    <xf numFmtId="0" fontId="6" fillId="19" borderId="26" xfId="0" applyFont="1" applyFill="1" applyBorder="1" applyAlignment="1">
      <alignment horizontal="center" vertical="center"/>
    </xf>
    <xf numFmtId="0" fontId="6" fillId="19" borderId="4" xfId="0" applyFont="1" applyFill="1" applyBorder="1" applyAlignment="1">
      <alignment horizontal="center" vertical="center"/>
    </xf>
    <xf numFmtId="0" fontId="6" fillId="19" borderId="23" xfId="0" applyFont="1" applyFill="1" applyBorder="1" applyAlignment="1">
      <alignment horizontal="center" vertical="center"/>
    </xf>
    <xf numFmtId="0" fontId="7" fillId="20" borderId="0" xfId="0" applyFont="1" applyFill="1" applyAlignment="1">
      <alignment horizontal="center" vertical="center" wrapText="1"/>
    </xf>
    <xf numFmtId="0" fontId="2" fillId="6" borderId="25" xfId="0" applyFont="1" applyFill="1" applyBorder="1" applyAlignment="1">
      <alignment horizontal="center" vertical="center" wrapText="1"/>
    </xf>
    <xf numFmtId="0" fontId="2" fillId="6" borderId="26" xfId="0" applyFont="1" applyFill="1" applyBorder="1" applyAlignment="1">
      <alignment horizontal="center" vertical="center" wrapText="1"/>
    </xf>
    <xf numFmtId="0" fontId="2" fillId="9" borderId="26" xfId="0" applyFont="1" applyFill="1" applyBorder="1" applyAlignment="1">
      <alignment horizontal="center" vertical="center" wrapText="1"/>
    </xf>
    <xf numFmtId="0" fontId="7" fillId="9" borderId="26" xfId="0" applyFont="1" applyFill="1" applyBorder="1" applyAlignment="1">
      <alignment horizontal="center" vertical="center" wrapText="1"/>
    </xf>
    <xf numFmtId="0" fontId="7" fillId="20" borderId="26" xfId="0" applyFont="1" applyFill="1" applyBorder="1" applyAlignment="1">
      <alignment horizontal="center" vertical="center" wrapText="1"/>
    </xf>
    <xf numFmtId="0" fontId="10" fillId="12" borderId="27" xfId="0" applyFont="1" applyFill="1" applyBorder="1" applyAlignment="1">
      <alignment horizontal="center" vertical="top" wrapText="1"/>
    </xf>
    <xf numFmtId="165" fontId="0" fillId="0" borderId="0" xfId="0" applyNumberFormat="1" applyAlignment="1">
      <alignment horizontal="center" vertical="center"/>
    </xf>
    <xf numFmtId="49" fontId="0" fillId="0" borderId="30" xfId="0" applyNumberFormat="1" applyBorder="1" applyAlignment="1">
      <alignment horizontal="center" vertical="center"/>
    </xf>
    <xf numFmtId="49" fontId="0" fillId="0" borderId="0" xfId="0" applyNumberFormat="1" applyAlignment="1">
      <alignment horizontal="center" vertical="center"/>
    </xf>
    <xf numFmtId="0" fontId="0" fillId="0" borderId="26" xfId="0" applyBorder="1" applyAlignment="1">
      <alignment horizontal="center" vertical="center"/>
    </xf>
    <xf numFmtId="0" fontId="0" fillId="0" borderId="0" xfId="0" applyAlignment="1">
      <alignment horizontal="right" vertical="center"/>
    </xf>
    <xf numFmtId="0" fontId="0" fillId="0" borderId="0" xfId="0" applyAlignment="1">
      <alignment horizontal="left" vertical="center"/>
    </xf>
    <xf numFmtId="49" fontId="1" fillId="0" borderId="0" xfId="1" applyNumberFormat="1" applyAlignment="1" applyProtection="1">
      <alignment horizontal="center" vertical="center"/>
      <protection locked="0"/>
    </xf>
    <xf numFmtId="4" fontId="0" fillId="0" borderId="0" xfId="0" applyNumberFormat="1" applyAlignment="1">
      <alignment horizontal="center" vertical="center"/>
    </xf>
    <xf numFmtId="0" fontId="12" fillId="21" borderId="4" xfId="0" applyFont="1" applyFill="1" applyBorder="1" applyAlignment="1">
      <alignment horizontal="center" vertical="center"/>
    </xf>
    <xf numFmtId="0" fontId="6" fillId="21" borderId="5" xfId="0" applyFont="1" applyFill="1" applyBorder="1" applyAlignment="1">
      <alignment horizontal="center" vertical="center"/>
    </xf>
    <xf numFmtId="0" fontId="6" fillId="21" borderId="23" xfId="0" applyFont="1" applyFill="1" applyBorder="1" applyAlignment="1">
      <alignment horizontal="center" vertical="center"/>
    </xf>
    <xf numFmtId="0" fontId="0" fillId="0" borderId="31" xfId="0" applyBorder="1"/>
    <xf numFmtId="0" fontId="0" fillId="0" borderId="32" xfId="0" applyBorder="1"/>
    <xf numFmtId="0" fontId="0" fillId="0" borderId="33" xfId="0" applyBorder="1"/>
    <xf numFmtId="0" fontId="0" fillId="0" borderId="34" xfId="0" applyBorder="1"/>
    <xf numFmtId="0" fontId="7" fillId="6" borderId="25" xfId="0" applyFont="1" applyFill="1" applyBorder="1" applyAlignment="1">
      <alignment horizontal="center" vertical="center" wrapText="1"/>
    </xf>
    <xf numFmtId="0" fontId="6" fillId="4" borderId="25" xfId="0" applyFont="1" applyFill="1" applyBorder="1" applyAlignment="1">
      <alignment horizontal="center" vertical="center"/>
    </xf>
    <xf numFmtId="0" fontId="7" fillId="16" borderId="26" xfId="0" applyFont="1" applyFill="1" applyBorder="1" applyAlignment="1">
      <alignment horizontal="center" vertical="center" wrapText="1"/>
    </xf>
    <xf numFmtId="0" fontId="6" fillId="21" borderId="26" xfId="0" applyFont="1" applyFill="1" applyBorder="1" applyAlignment="1">
      <alignment horizontal="center" vertical="center"/>
    </xf>
    <xf numFmtId="0" fontId="0" fillId="0" borderId="6" xfId="0" applyBorder="1" applyAlignment="1">
      <alignment horizontal="center" vertical="center"/>
    </xf>
    <xf numFmtId="0" fontId="0" fillId="0" borderId="7" xfId="0" applyBorder="1"/>
    <xf numFmtId="0" fontId="0" fillId="0" borderId="8" xfId="0" applyBorder="1" applyAlignment="1">
      <alignment horizontal="center" vertical="center"/>
    </xf>
    <xf numFmtId="0" fontId="0" fillId="0" borderId="9" xfId="0" applyBorder="1"/>
    <xf numFmtId="0" fontId="0" fillId="0" borderId="10" xfId="0" applyBorder="1" applyAlignment="1">
      <alignment horizontal="center" vertical="center"/>
    </xf>
    <xf numFmtId="0" fontId="0" fillId="0" borderId="11" xfId="0" applyBorder="1"/>
    <xf numFmtId="164" fontId="1" fillId="0" borderId="0" xfId="1" applyNumberFormat="1" applyAlignment="1" applyProtection="1">
      <alignment horizontal="center" vertical="center"/>
      <protection locked="0"/>
    </xf>
    <xf numFmtId="0" fontId="1" fillId="0" borderId="0" xfId="1" applyAlignment="1" applyProtection="1">
      <alignment horizontal="center" vertical="center"/>
      <protection locked="0"/>
    </xf>
    <xf numFmtId="4" fontId="1" fillId="0" borderId="0" xfId="1" applyNumberFormat="1" applyAlignment="1" applyProtection="1">
      <alignment horizontal="center" vertical="center"/>
      <protection locked="0"/>
    </xf>
    <xf numFmtId="165" fontId="1" fillId="0" borderId="0" xfId="1" applyNumberFormat="1" applyAlignment="1" applyProtection="1">
      <alignment horizontal="center" vertical="center"/>
      <protection locked="0"/>
    </xf>
    <xf numFmtId="164" fontId="0" fillId="22" borderId="0" xfId="0" applyNumberFormat="1" applyFill="1" applyAlignment="1">
      <alignment horizontal="center" vertical="center"/>
    </xf>
    <xf numFmtId="0" fontId="13" fillId="0" borderId="0" xfId="1" applyFont="1" applyAlignment="1">
      <alignment horizontal="center" vertical="center" wrapText="1"/>
    </xf>
    <xf numFmtId="0" fontId="14" fillId="23" borderId="35" xfId="1" applyFont="1" applyFill="1" applyBorder="1" applyAlignment="1">
      <alignment horizontal="center" vertical="center" wrapText="1"/>
    </xf>
    <xf numFmtId="0" fontId="14" fillId="24" borderId="36" xfId="1" applyFont="1" applyFill="1" applyBorder="1" applyAlignment="1">
      <alignment horizontal="center" vertical="center" wrapText="1"/>
    </xf>
    <xf numFmtId="164" fontId="0" fillId="0" borderId="37" xfId="0" applyNumberFormat="1" applyBorder="1" applyAlignment="1">
      <alignment horizontal="center" vertical="center"/>
    </xf>
    <xf numFmtId="0" fontId="0" fillId="0" borderId="37" xfId="0" applyBorder="1" applyAlignment="1">
      <alignment horizontal="center" vertical="center"/>
    </xf>
    <xf numFmtId="49" fontId="0" fillId="0" borderId="37" xfId="1" applyNumberFormat="1" applyFont="1" applyBorder="1" applyAlignment="1">
      <alignment horizontal="center" vertical="center"/>
    </xf>
    <xf numFmtId="4" fontId="0" fillId="0" borderId="37" xfId="0" applyNumberFormat="1" applyBorder="1" applyAlignment="1">
      <alignment horizontal="center" vertical="center"/>
    </xf>
    <xf numFmtId="165" fontId="0" fillId="0" borderId="37" xfId="0" applyNumberFormat="1" applyBorder="1" applyAlignment="1">
      <alignment horizontal="center" vertical="center"/>
    </xf>
    <xf numFmtId="164" fontId="0" fillId="0" borderId="37" xfId="1" applyNumberFormat="1" applyFont="1" applyBorder="1" applyAlignment="1">
      <alignment horizontal="center" vertical="center"/>
    </xf>
    <xf numFmtId="0" fontId="0" fillId="0" borderId="37" xfId="1" applyFont="1" applyBorder="1" applyAlignment="1">
      <alignment horizontal="center" vertical="center"/>
    </xf>
    <xf numFmtId="4" fontId="0" fillId="0" borderId="37" xfId="1" applyNumberFormat="1" applyFont="1" applyBorder="1" applyAlignment="1">
      <alignment horizontal="center" vertical="center"/>
    </xf>
    <xf numFmtId="165" fontId="0" fillId="0" borderId="37" xfId="1" applyNumberFormat="1" applyFont="1" applyBorder="1" applyAlignment="1">
      <alignment horizontal="center" vertical="center"/>
    </xf>
    <xf numFmtId="0" fontId="2" fillId="3" borderId="12" xfId="0" applyFont="1" applyFill="1" applyBorder="1" applyAlignment="1">
      <alignment horizontal="center" vertical="center" wrapText="1"/>
    </xf>
    <xf numFmtId="0" fontId="0" fillId="0" borderId="15" xfId="0" applyBorder="1" applyAlignment="1">
      <alignment horizontal="center" vertical="center" wrapText="1"/>
    </xf>
    <xf numFmtId="0" fontId="2" fillId="3" borderId="14" xfId="0" applyFont="1" applyFill="1" applyBorder="1" applyAlignment="1">
      <alignment horizontal="left" vertical="center" wrapText="1"/>
    </xf>
    <xf numFmtId="0" fontId="0" fillId="0" borderId="16" xfId="0" applyBorder="1" applyAlignment="1">
      <alignment horizontal="left" vertical="center" wrapText="1"/>
    </xf>
    <xf numFmtId="0" fontId="8" fillId="6" borderId="13" xfId="0" applyFont="1" applyFill="1" applyBorder="1" applyAlignment="1">
      <alignment horizontal="center" vertical="center" wrapText="1"/>
    </xf>
    <xf numFmtId="0" fontId="8" fillId="9" borderId="13" xfId="0" applyFont="1" applyFill="1" applyBorder="1" applyAlignment="1">
      <alignment horizontal="center" vertical="center" wrapText="1"/>
    </xf>
    <xf numFmtId="0" fontId="8" fillId="20" borderId="13" xfId="0" applyFont="1" applyFill="1" applyBorder="1" applyAlignment="1">
      <alignment horizontal="center" vertical="center" wrapText="1"/>
    </xf>
    <xf numFmtId="0" fontId="0" fillId="0" borderId="13" xfId="0" applyBorder="1" applyAlignment="1">
      <alignment horizontal="center" vertical="center" wrapText="1"/>
    </xf>
    <xf numFmtId="0" fontId="2" fillId="3" borderId="13" xfId="0" applyFont="1" applyFill="1" applyBorder="1" applyAlignment="1">
      <alignment horizontal="left" vertical="center" wrapText="1"/>
    </xf>
    <xf numFmtId="0" fontId="0" fillId="0" borderId="0" xfId="0" applyAlignment="1">
      <alignment horizontal="left" vertical="center" wrapText="1"/>
    </xf>
    <xf numFmtId="0" fontId="2" fillId="6" borderId="13" xfId="0" applyFont="1" applyFill="1" applyBorder="1" applyAlignment="1">
      <alignment horizontal="center" vertical="center"/>
    </xf>
    <xf numFmtId="0" fontId="0" fillId="0" borderId="13" xfId="0" applyBorder="1" applyAlignment="1">
      <alignment horizontal="center" vertical="center"/>
    </xf>
    <xf numFmtId="0" fontId="2" fillId="16" borderId="13" xfId="0" applyFont="1" applyFill="1" applyBorder="1" applyAlignment="1">
      <alignment horizontal="center" vertical="center"/>
    </xf>
    <xf numFmtId="0" fontId="2" fillId="10" borderId="13" xfId="0" applyFont="1" applyFill="1" applyBorder="1" applyAlignment="1">
      <alignment horizontal="center" vertical="center"/>
    </xf>
    <xf numFmtId="0" fontId="2" fillId="6" borderId="0" xfId="0" applyFont="1" applyFill="1" applyAlignment="1">
      <alignment horizontal="center" vertical="center"/>
    </xf>
    <xf numFmtId="0" fontId="0" fillId="0" borderId="0" xfId="0" applyAlignment="1">
      <alignment horizontal="center" vertical="center"/>
    </xf>
    <xf numFmtId="0" fontId="2" fillId="16" borderId="0" xfId="0" applyFont="1" applyFill="1" applyAlignment="1">
      <alignment horizontal="center" vertical="center"/>
    </xf>
    <xf numFmtId="0" fontId="2" fillId="10" borderId="0" xfId="0" applyFont="1" applyFill="1" applyAlignment="1">
      <alignment horizontal="center" vertical="center"/>
    </xf>
    <xf numFmtId="0" fontId="10" fillId="12" borderId="14" xfId="0" applyFont="1" applyFill="1" applyBorder="1" applyAlignment="1">
      <alignment horizontal="center" vertical="top" wrapText="1"/>
    </xf>
    <xf numFmtId="0" fontId="0" fillId="0" borderId="16" xfId="0" applyBorder="1" applyAlignment="1">
      <alignment horizontal="center" vertical="top" wrapText="1"/>
    </xf>
    <xf numFmtId="0" fontId="3" fillId="5" borderId="28" xfId="0" applyFont="1" applyFill="1" applyBorder="1" applyAlignment="1">
      <alignment horizontal="center" vertical="center"/>
    </xf>
    <xf numFmtId="0" fontId="0" fillId="0" borderId="28" xfId="0" applyBorder="1" applyAlignment="1">
      <alignment horizontal="center" vertical="center"/>
    </xf>
    <xf numFmtId="0" fontId="3" fillId="13" borderId="28" xfId="0" applyFont="1" applyFill="1" applyBorder="1" applyAlignment="1">
      <alignment horizontal="center" vertical="center"/>
    </xf>
    <xf numFmtId="0" fontId="3" fillId="7" borderId="28" xfId="0" applyFont="1" applyFill="1" applyBorder="1" applyAlignment="1">
      <alignment horizontal="center" vertical="center"/>
    </xf>
    <xf numFmtId="0" fontId="8" fillId="16" borderId="13" xfId="0" applyFont="1" applyFill="1" applyBorder="1" applyAlignment="1">
      <alignment horizontal="center" vertical="center" wrapText="1"/>
    </xf>
    <xf numFmtId="0" fontId="8" fillId="16" borderId="0" xfId="0" applyFont="1" applyFill="1" applyAlignment="1">
      <alignment horizontal="center" vertical="center" wrapText="1"/>
    </xf>
    <xf numFmtId="0" fontId="7" fillId="9" borderId="13" xfId="0" applyFont="1" applyFill="1" applyBorder="1" applyAlignment="1">
      <alignment horizontal="center" vertical="center" wrapText="1"/>
    </xf>
    <xf numFmtId="0" fontId="0" fillId="0" borderId="14" xfId="0" applyBorder="1" applyAlignment="1">
      <alignment horizontal="center" vertical="center"/>
    </xf>
    <xf numFmtId="0" fontId="0" fillId="0" borderId="16" xfId="0" applyBorder="1" applyAlignment="1">
      <alignment horizontal="center" vertical="center"/>
    </xf>
    <xf numFmtId="0" fontId="6" fillId="2" borderId="28" xfId="0" applyFont="1" applyFill="1" applyBorder="1" applyAlignment="1">
      <alignment horizontal="center" vertical="center"/>
    </xf>
    <xf numFmtId="0" fontId="0" fillId="0" borderId="29" xfId="0" applyBorder="1" applyAlignment="1">
      <alignment horizontal="center" vertical="center"/>
    </xf>
    <xf numFmtId="165"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right" vertical="center"/>
    </xf>
    <xf numFmtId="0" fontId="6" fillId="4" borderId="23" xfId="0" applyFont="1" applyFill="1" applyBorder="1" applyAlignment="1">
      <alignment horizontal="center" vertical="center"/>
    </xf>
  </cellXfs>
  <cellStyles count="2">
    <cellStyle name="Normal" xfId="0" builtinId="0"/>
    <cellStyle name="Normal 2" xfId="1" xr:uid="{03554469-DE7A-4FDB-ACBC-15CF8F0A6961}"/>
  </cellStyles>
  <dxfs count="16">
    <dxf>
      <numFmt numFmtId="165" formatCode="&quot;£&quot;#,##0.00"/>
      <alignment horizontal="center" vertical="center" textRotation="0" indent="0" justifyLastLine="0" shrinkToFit="0" readingOrder="0"/>
      <protection locked="0" hidden="0"/>
    </dxf>
    <dxf>
      <numFmt numFmtId="4" formatCode="#,##0.00"/>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30" formatCode="@"/>
      <alignment horizontal="center" vertical="center" textRotation="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164" formatCode="dd/mm/yyyy;@"/>
      <alignment horizontal="center" vertical="center" textRotation="0" indent="0" justifyLastLine="0" shrinkToFit="0" readingOrder="0"/>
      <protection locked="0" hidden="0"/>
    </dxf>
    <dxf>
      <font>
        <b val="0"/>
        <i val="0"/>
        <strike val="0"/>
        <condense val="0"/>
        <extend val="0"/>
        <outline val="0"/>
        <shadow val="0"/>
        <u val="none"/>
        <vertAlign val="baseline"/>
        <sz val="11"/>
        <color theme="0" tint="-0.499984740745262"/>
        <name val="Calibri"/>
        <family val="2"/>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tint="-0.499984740745262"/>
        <name val="Calibri"/>
        <family val="2"/>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1"/>
        <color theme="0" tint="-0.499984740745262"/>
        <name val="Calibri"/>
        <family val="2"/>
        <scheme val="minor"/>
      </font>
      <fill>
        <patternFill patternType="solid">
          <fgColor indexed="64"/>
          <bgColor theme="0" tint="-0.249977111117893"/>
        </patternFill>
      </fill>
      <alignment horizontal="center" vertical="center" textRotation="0" indent="0" justifyLastLine="0" shrinkToFit="0" readingOrder="0"/>
    </dxf>
    <dxf>
      <font>
        <strike val="0"/>
        <outline val="0"/>
        <shadow val="0"/>
        <u val="none"/>
        <vertAlign val="baseline"/>
        <sz val="11"/>
        <color theme="0" tint="-0.499984740745262"/>
        <name val="Calibri"/>
        <family val="2"/>
        <scheme val="minor"/>
      </font>
      <numFmt numFmtId="0" formatCode="General"/>
      <fill>
        <patternFill patternType="solid">
          <fgColor indexed="64"/>
          <bgColor theme="0" tint="-0.249977111117893"/>
        </patternFill>
      </fill>
      <alignment horizontal="center" vertical="center" textRotation="0" indent="0" justifyLastLine="0" shrinkToFit="0" readingOrder="0"/>
    </dxf>
    <dxf>
      <font>
        <b/>
        <i val="0"/>
        <strike val="0"/>
        <condense val="0"/>
        <extend val="0"/>
        <outline val="0"/>
        <shadow val="0"/>
        <u val="none"/>
        <vertAlign val="baseline"/>
        <sz val="11"/>
        <color theme="0"/>
        <name val="Calibri"/>
        <family val="2"/>
        <scheme val="minor"/>
      </font>
      <alignment horizontal="center" vertical="center" textRotation="0" wrapText="1" indent="0" justifyLastLine="0" shrinkToFit="0" readingOrder="0"/>
    </dxf>
    <dxf>
      <font>
        <b/>
        <i val="0"/>
        <color theme="1"/>
      </font>
      <fill>
        <patternFill>
          <bgColor rgb="FFFF6161"/>
        </patternFill>
      </fill>
    </dxf>
  </dxfs>
  <tableStyles count="0" defaultTableStyle="TableStyleMedium2" defaultPivotStyle="PivotStyleLight16"/>
  <colors>
    <mruColors>
      <color rgb="FFAB640E"/>
      <color rgb="FF40749B"/>
      <color rgb="FFFF6161"/>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absolute">
    <xdr:from>
      <xdr:col>4</xdr:col>
      <xdr:colOff>48129</xdr:colOff>
      <xdr:row>0</xdr:row>
      <xdr:rowOff>47625</xdr:rowOff>
    </xdr:from>
    <xdr:to>
      <xdr:col>6</xdr:col>
      <xdr:colOff>205972</xdr:colOff>
      <xdr:row>2</xdr:row>
      <xdr:rowOff>9525</xdr:rowOff>
    </xdr:to>
    <xdr:sp macro="[0]!ClientVersion" textlink="">
      <xdr:nvSpPr>
        <xdr:cNvPr id="2" name="Rectangle: Rounded Corners 1">
          <a:extLst>
            <a:ext uri="{FF2B5EF4-FFF2-40B4-BE49-F238E27FC236}">
              <a16:creationId xmlns:a16="http://schemas.microsoft.com/office/drawing/2014/main" id="{F36A0494-479B-3347-45AB-BE3B7098C0F5}"/>
            </a:ext>
          </a:extLst>
        </xdr:cNvPr>
        <xdr:cNvSpPr/>
      </xdr:nvSpPr>
      <xdr:spPr>
        <a:xfrm>
          <a:off x="4267201" y="47625"/>
          <a:ext cx="1371600" cy="352425"/>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b="1">
              <a:solidFill>
                <a:schemeClr val="tx1"/>
              </a:solidFill>
            </a:rPr>
            <a:t>Report View</a:t>
          </a:r>
        </a:p>
      </xdr:txBody>
    </xdr:sp>
    <xdr:clientData/>
  </xdr:twoCellAnchor>
  <xdr:twoCellAnchor editAs="absolute">
    <xdr:from>
      <xdr:col>6</xdr:col>
      <xdr:colOff>396471</xdr:colOff>
      <xdr:row>0</xdr:row>
      <xdr:rowOff>47625</xdr:rowOff>
    </xdr:from>
    <xdr:to>
      <xdr:col>8</xdr:col>
      <xdr:colOff>572305</xdr:colOff>
      <xdr:row>2</xdr:row>
      <xdr:rowOff>9525</xdr:rowOff>
    </xdr:to>
    <xdr:sp macro="[0]!ReturnNormal" textlink="">
      <xdr:nvSpPr>
        <xdr:cNvPr id="3" name="Rectangle: Rounded Corners 2">
          <a:extLst>
            <a:ext uri="{FF2B5EF4-FFF2-40B4-BE49-F238E27FC236}">
              <a16:creationId xmlns:a16="http://schemas.microsoft.com/office/drawing/2014/main" id="{EE21949C-8E2F-5269-4B97-EB49CFBDDD46}"/>
            </a:ext>
          </a:extLst>
        </xdr:cNvPr>
        <xdr:cNvSpPr/>
      </xdr:nvSpPr>
      <xdr:spPr>
        <a:xfrm>
          <a:off x="5829300" y="47625"/>
          <a:ext cx="1390650" cy="352425"/>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GB" sz="1600" b="1">
              <a:solidFill>
                <a:schemeClr val="tx1"/>
              </a:solidFill>
            </a:rPr>
            <a:t>Full View</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18</xdr:col>
      <xdr:colOff>374431</xdr:colOff>
      <xdr:row>0</xdr:row>
      <xdr:rowOff>25289</xdr:rowOff>
    </xdr:from>
    <xdr:to>
      <xdr:col>21</xdr:col>
      <xdr:colOff>172436</xdr:colOff>
      <xdr:row>0</xdr:row>
      <xdr:rowOff>730797</xdr:rowOff>
    </xdr:to>
    <xdr:sp macro="[0]!ClearSheet" textlink="">
      <xdr:nvSpPr>
        <xdr:cNvPr id="2" name="Rectangle: Rounded Corners 1">
          <a:extLst>
            <a:ext uri="{FF2B5EF4-FFF2-40B4-BE49-F238E27FC236}">
              <a16:creationId xmlns:a16="http://schemas.microsoft.com/office/drawing/2014/main" id="{B82331AB-7D62-D5A1-D6D7-A45FB912FFFD}"/>
            </a:ext>
          </a:extLst>
        </xdr:cNvPr>
        <xdr:cNvSpPr/>
      </xdr:nvSpPr>
      <xdr:spPr>
        <a:xfrm>
          <a:off x="17141715" y="25289"/>
          <a:ext cx="1620893" cy="705508"/>
        </a:xfrm>
        <a:prstGeom prst="roundRect">
          <a:avLst/>
        </a:prstGeom>
        <a:ln/>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600" b="1">
              <a:solidFill>
                <a:schemeClr val="bg1"/>
              </a:solidFill>
            </a:rPr>
            <a:t>PRESS</a:t>
          </a:r>
          <a:r>
            <a:rPr lang="en-GB" sz="1600" b="1" baseline="0">
              <a:solidFill>
                <a:schemeClr val="bg1"/>
              </a:solidFill>
            </a:rPr>
            <a:t> TO </a:t>
          </a:r>
          <a:r>
            <a:rPr lang="en-GB" sz="1600" b="1">
              <a:solidFill>
                <a:schemeClr val="bg1"/>
              </a:solidFill>
            </a:rPr>
            <a:t>CLEAR SHEET</a:t>
          </a:r>
        </a:p>
      </xdr:txBody>
    </xdr:sp>
    <xdr:clientData/>
  </xdr:twoCellAnchor>
  <xdr:twoCellAnchor>
    <xdr:from>
      <xdr:col>14</xdr:col>
      <xdr:colOff>90321</xdr:colOff>
      <xdr:row>0</xdr:row>
      <xdr:rowOff>8211</xdr:rowOff>
    </xdr:from>
    <xdr:to>
      <xdr:col>18</xdr:col>
      <xdr:colOff>320237</xdr:colOff>
      <xdr:row>0</xdr:row>
      <xdr:rowOff>739008</xdr:rowOff>
    </xdr:to>
    <xdr:sp macro="" textlink="">
      <xdr:nvSpPr>
        <xdr:cNvPr id="3" name="Rectangle: Rounded Corners 2">
          <a:extLst>
            <a:ext uri="{FF2B5EF4-FFF2-40B4-BE49-F238E27FC236}">
              <a16:creationId xmlns:a16="http://schemas.microsoft.com/office/drawing/2014/main" id="{F85BA37F-EC28-A083-B2DF-E3A520AC108E}"/>
            </a:ext>
          </a:extLst>
        </xdr:cNvPr>
        <xdr:cNvSpPr/>
      </xdr:nvSpPr>
      <xdr:spPr>
        <a:xfrm>
          <a:off x="14205386" y="8211"/>
          <a:ext cx="2882135" cy="730797"/>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solidFill>
                <a:srgbClr val="FF0000"/>
              </a:solidFill>
              <a:latin typeface="+mn-lt"/>
              <a:ea typeface="ADLaM Display" panose="02010000000000000000" pitchFamily="2" charset="0"/>
              <a:cs typeface="ADLaM Display" panose="02010000000000000000" pitchFamily="2" charset="0"/>
            </a:rPr>
            <a:t>ADD DATA TO CELL E2</a:t>
          </a:r>
          <a:r>
            <a:rPr lang="en-GB" sz="1600" b="1" baseline="0">
              <a:solidFill>
                <a:srgbClr val="FF0000"/>
              </a:solidFill>
              <a:latin typeface="+mn-lt"/>
              <a:ea typeface="ADLaM Display" panose="02010000000000000000" pitchFamily="2" charset="0"/>
              <a:cs typeface="ADLaM Display" panose="02010000000000000000" pitchFamily="2" charset="0"/>
            </a:rPr>
            <a:t> USING PASTE SPECIAL - VALUES</a:t>
          </a:r>
          <a:endParaRPr lang="en-GB" sz="1600" b="1">
            <a:solidFill>
              <a:srgbClr val="FF0000"/>
            </a:solidFill>
            <a:latin typeface="+mn-lt"/>
            <a:ea typeface="ADLaM Display" panose="02010000000000000000" pitchFamily="2" charset="0"/>
            <a:cs typeface="ADLaM Display" panose="02010000000000000000" pitchFamily="2"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66675</xdr:colOff>
      <xdr:row>0</xdr:row>
      <xdr:rowOff>57151</xdr:rowOff>
    </xdr:from>
    <xdr:to>
      <xdr:col>27</xdr:col>
      <xdr:colOff>15875</xdr:colOff>
      <xdr:row>36</xdr:row>
      <xdr:rowOff>55563</xdr:rowOff>
    </xdr:to>
    <xdr:sp macro="" textlink="">
      <xdr:nvSpPr>
        <xdr:cNvPr id="2" name="Rectangle 1">
          <a:extLst>
            <a:ext uri="{FF2B5EF4-FFF2-40B4-BE49-F238E27FC236}">
              <a16:creationId xmlns:a16="http://schemas.microsoft.com/office/drawing/2014/main" id="{9025217D-F136-4752-8231-0C1E83157B2D}"/>
            </a:ext>
          </a:extLst>
        </xdr:cNvPr>
        <xdr:cNvSpPr/>
      </xdr:nvSpPr>
      <xdr:spPr>
        <a:xfrm>
          <a:off x="66675" y="57151"/>
          <a:ext cx="16451263" cy="6856412"/>
        </a:xfrm>
        <a:prstGeom prst="rect">
          <a:avLst/>
        </a:prstGeom>
        <a:gradFill flip="none" rotWithShape="1">
          <a:gsLst>
            <a:gs pos="0">
              <a:schemeClr val="accent4">
                <a:tint val="66000"/>
                <a:satMod val="160000"/>
              </a:schemeClr>
            </a:gs>
            <a:gs pos="50000">
              <a:schemeClr val="accent4">
                <a:tint val="44500"/>
                <a:satMod val="160000"/>
              </a:schemeClr>
            </a:gs>
            <a:gs pos="100000">
              <a:schemeClr val="accent4">
                <a:tint val="23500"/>
                <a:satMod val="160000"/>
              </a:schemeClr>
            </a:gs>
          </a:gsLst>
          <a:lin ang="16200000" scaled="1"/>
          <a:tileRect/>
        </a:gradFill>
        <a:ln>
          <a:solidFill>
            <a:schemeClr val="accent3">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n-GB" sz="1800" b="1">
              <a:solidFill>
                <a:schemeClr val="tx1"/>
              </a:solidFill>
            </a:rPr>
            <a:t>Overview &amp; User Guide</a:t>
          </a:r>
        </a:p>
        <a:p>
          <a:pPr algn="l"/>
          <a:endParaRPr lang="en-GB" sz="400" b="1">
            <a:solidFill>
              <a:schemeClr val="tx1"/>
            </a:solidFill>
          </a:endParaRPr>
        </a:p>
        <a:p>
          <a:pPr algn="l"/>
          <a:endParaRPr lang="en-GB" sz="400" b="0">
            <a:solidFill>
              <a:schemeClr val="tx1"/>
            </a:solidFill>
          </a:endParaRPr>
        </a:p>
        <a:p>
          <a:pPr algn="l"/>
          <a:r>
            <a:rPr lang="en-GB" sz="1200" b="0">
              <a:solidFill>
                <a:schemeClr val="tx1"/>
              </a:solidFill>
            </a:rPr>
            <a:t>This workbook is designed for Microsoft 365 and uses modern Excel functions and calculations. Some features may not operate correctly in older versions of Microsoft Excel.</a:t>
          </a:r>
        </a:p>
        <a:p>
          <a:pPr algn="l"/>
          <a:endParaRPr lang="en-GB" sz="1200" b="0">
            <a:solidFill>
              <a:schemeClr val="tx1"/>
            </a:solidFill>
          </a:endParaRPr>
        </a:p>
        <a:p>
          <a:pPr algn="l"/>
          <a:r>
            <a:rPr lang="en-GB" sz="1200" b="0">
              <a:solidFill>
                <a:schemeClr val="tx1"/>
              </a:solidFill>
            </a:rPr>
            <a:t>This Excel-based Business Estates Report was developed as an operational resource reporting and workload analysis tool designed to support both internal management reporting and external client reporting within an estates and facilities environment.</a:t>
          </a:r>
        </a:p>
        <a:p>
          <a:pPr algn="l"/>
          <a:endParaRPr lang="en-GB" sz="1200" b="0">
            <a:solidFill>
              <a:schemeClr val="tx1"/>
            </a:solidFill>
          </a:endParaRPr>
        </a:p>
        <a:p>
          <a:pPr algn="l"/>
          <a:r>
            <a:rPr lang="en-GB" sz="1200" b="0">
              <a:solidFill>
                <a:schemeClr val="tx1"/>
              </a:solidFill>
            </a:rPr>
            <a:t>Workbook Contents:</a:t>
          </a:r>
        </a:p>
        <a:p>
          <a:pPr algn="l"/>
          <a:endParaRPr lang="en-GB" sz="400" b="0">
            <a:solidFill>
              <a:schemeClr val="tx1"/>
            </a:solidFill>
          </a:endParaRPr>
        </a:p>
        <a:p>
          <a:pPr marL="628650" lvl="1" indent="-171450" algn="l">
            <a:buFont typeface="Wingdings" panose="05000000000000000000" pitchFamily="2" charset="2"/>
            <a:buChar char="§"/>
          </a:pPr>
          <a:r>
            <a:rPr lang="en-GB" sz="1200" b="0">
              <a:solidFill>
                <a:schemeClr val="tx1"/>
              </a:solidFill>
            </a:rPr>
            <a:t>DataSheet: Main input table for importing resource and staff allocation data, including VBA tools to clear and reset the dataset.</a:t>
          </a:r>
        </a:p>
        <a:p>
          <a:pPr marL="628650" lvl="1" indent="-171450" algn="l">
            <a:buFont typeface="Wingdings" panose="05000000000000000000" pitchFamily="2" charset="2"/>
            <a:buChar char="§"/>
          </a:pPr>
          <a:r>
            <a:rPr lang="en-GB" sz="1200" b="0">
              <a:solidFill>
                <a:schemeClr val="tx1"/>
              </a:solidFill>
            </a:rPr>
            <a:t>ExampleResourceData: Sample dataset used for demonstration purposes or workbook reset.</a:t>
          </a:r>
        </a:p>
        <a:p>
          <a:pPr marL="628650" lvl="1" indent="-171450" algn="l">
            <a:buFont typeface="Wingdings" panose="05000000000000000000" pitchFamily="2" charset="2"/>
            <a:buChar char="§"/>
          </a:pPr>
          <a:r>
            <a:rPr lang="en-GB" sz="1200" b="0">
              <a:solidFill>
                <a:schemeClr val="tx1"/>
              </a:solidFill>
            </a:rPr>
            <a:t>Guide: Intended user guide and workbook instructions.</a:t>
          </a:r>
        </a:p>
        <a:p>
          <a:pPr marL="628650" lvl="1" indent="-171450" algn="l">
            <a:buFont typeface="Wingdings" panose="05000000000000000000" pitchFamily="2" charset="2"/>
            <a:buChar char="§"/>
          </a:pPr>
          <a:r>
            <a:rPr lang="en-GB" sz="1200" b="0">
              <a:solidFill>
                <a:schemeClr val="tx1"/>
              </a:solidFill>
            </a:rPr>
            <a:t>Dashboard: Interactive reporting dashboard displaying:</a:t>
          </a:r>
        </a:p>
        <a:p>
          <a:pPr marL="1085850" lvl="2" indent="-171450" algn="l">
            <a:buFont typeface="Courier New" panose="02070309020205020404" pitchFamily="49" charset="0"/>
            <a:buChar char="o"/>
          </a:pPr>
          <a:r>
            <a:rPr lang="en-GB" sz="1200" b="0">
              <a:solidFill>
                <a:schemeClr val="tx1"/>
              </a:solidFill>
            </a:rPr>
            <a:t>Resource hours by school building and Taskcode</a:t>
          </a:r>
        </a:p>
        <a:p>
          <a:pPr marL="1085850" lvl="2" indent="-171450" algn="l">
            <a:buFont typeface="Courier New" panose="02070309020205020404" pitchFamily="49" charset="0"/>
            <a:buChar char="o"/>
          </a:pPr>
          <a:r>
            <a:rPr lang="en-GB" sz="1200" b="0">
              <a:solidFill>
                <a:schemeClr val="tx1"/>
              </a:solidFill>
            </a:rPr>
            <a:t>Breakdown by operational work groups</a:t>
          </a:r>
        </a:p>
        <a:p>
          <a:pPr marL="1085850" lvl="2" indent="-171450" algn="l">
            <a:buFont typeface="Courier New" panose="02070309020205020404" pitchFamily="49" charset="0"/>
            <a:buChar char="o"/>
          </a:pPr>
          <a:r>
            <a:rPr lang="en-GB" sz="1200" b="0">
              <a:solidFill>
                <a:schemeClr val="tx1"/>
              </a:solidFill>
            </a:rPr>
            <a:t>Totals across four main business categories</a:t>
          </a:r>
        </a:p>
        <a:p>
          <a:pPr marL="1085850" lvl="2" indent="-171450" algn="l">
            <a:buFont typeface="Courier New" panose="02070309020205020404" pitchFamily="49" charset="0"/>
            <a:buChar char="o"/>
          </a:pPr>
          <a:r>
            <a:rPr lang="en-GB" sz="1200" b="0">
              <a:solidFill>
                <a:schemeClr val="tx1"/>
              </a:solidFill>
            </a:rPr>
            <a:t>Internal support staff reporting</a:t>
          </a:r>
        </a:p>
        <a:p>
          <a:pPr marL="1085850" lvl="2" indent="-171450" algn="l">
            <a:buFont typeface="Courier New" panose="02070309020205020404" pitchFamily="49" charset="0"/>
            <a:buChar char="o"/>
          </a:pPr>
          <a:r>
            <a:rPr lang="en-GB" sz="1200" b="0">
              <a:solidFill>
                <a:schemeClr val="tx1"/>
              </a:solidFill>
            </a:rPr>
            <a:t>Internal and client-facing reporting views</a:t>
          </a:r>
        </a:p>
        <a:p>
          <a:pPr algn="l"/>
          <a:endParaRPr lang="en-GB" sz="800" b="0">
            <a:solidFill>
              <a:schemeClr val="tx1"/>
            </a:solidFill>
          </a:endParaRPr>
        </a:p>
        <a:p>
          <a:pPr algn="l"/>
          <a:r>
            <a:rPr lang="en-GB" sz="1200" b="0">
              <a:solidFill>
                <a:schemeClr val="tx1"/>
              </a:solidFill>
            </a:rPr>
            <a:t>Dashboard Features:</a:t>
          </a:r>
        </a:p>
        <a:p>
          <a:pPr algn="l"/>
          <a:endParaRPr lang="en-GB" sz="400" b="0">
            <a:solidFill>
              <a:schemeClr val="tx1"/>
            </a:solidFill>
          </a:endParaRPr>
        </a:p>
        <a:p>
          <a:pPr marL="628650" lvl="1" indent="-171450" algn="l">
            <a:buFont typeface="Wingdings" panose="05000000000000000000" pitchFamily="2" charset="2"/>
            <a:buChar char="§"/>
          </a:pPr>
          <a:r>
            <a:rPr lang="en-GB" sz="1200" b="0">
              <a:solidFill>
                <a:schemeClr val="tx1"/>
              </a:solidFill>
            </a:rPr>
            <a:t>Automated SUMIFS-based resource calculations</a:t>
          </a:r>
        </a:p>
        <a:p>
          <a:pPr marL="628650" lvl="1" indent="-171450" algn="l">
            <a:buFont typeface="Wingdings" panose="05000000000000000000" pitchFamily="2" charset="2"/>
            <a:buChar char="§"/>
          </a:pPr>
          <a:r>
            <a:rPr lang="en-GB" sz="1200" b="0">
              <a:solidFill>
                <a:schemeClr val="tx1"/>
              </a:solidFill>
            </a:rPr>
            <a:t>Dynamic helper columns for data preparation and validation</a:t>
          </a:r>
        </a:p>
        <a:p>
          <a:pPr marL="628650" lvl="1" indent="-171450" algn="l">
            <a:buFont typeface="Wingdings" panose="05000000000000000000" pitchFamily="2" charset="2"/>
            <a:buChar char="§"/>
          </a:pPr>
          <a:r>
            <a:rPr lang="en-GB" sz="1200" b="0">
              <a:solidFill>
                <a:schemeClr val="tx1"/>
              </a:solidFill>
            </a:rPr>
            <a:t>Missing Taskcode warning checks</a:t>
          </a:r>
        </a:p>
        <a:p>
          <a:pPr marL="628650" lvl="1" indent="-171450" algn="l">
            <a:buFont typeface="Wingdings" panose="05000000000000000000" pitchFamily="2" charset="2"/>
            <a:buChar char="§"/>
          </a:pPr>
          <a:r>
            <a:rPr lang="en-GB" sz="1200" b="0">
              <a:solidFill>
                <a:schemeClr val="tx1"/>
              </a:solidFill>
            </a:rPr>
            <a:t>Internal management and simplified client reporting modes</a:t>
          </a:r>
        </a:p>
        <a:p>
          <a:pPr marL="628650" lvl="1" indent="-171450" algn="l">
            <a:buFont typeface="Wingdings" panose="05000000000000000000" pitchFamily="2" charset="2"/>
            <a:buChar char="§"/>
          </a:pPr>
          <a:r>
            <a:rPr lang="en-GB" sz="1200" b="0">
              <a:solidFill>
                <a:schemeClr val="tx1"/>
              </a:solidFill>
            </a:rPr>
            <a:t>VBA-driven report reconfiguration buttons</a:t>
          </a:r>
        </a:p>
        <a:p>
          <a:pPr marL="628650" lvl="1" indent="-171450" algn="l">
            <a:buFont typeface="Wingdings" panose="05000000000000000000" pitchFamily="2" charset="2"/>
            <a:buChar char="§"/>
          </a:pPr>
          <a:r>
            <a:rPr lang="en-GB" sz="1200" b="0">
              <a:solidFill>
                <a:schemeClr val="tx1"/>
              </a:solidFill>
            </a:rPr>
            <a:t>Financial year-to-date operational reporting</a:t>
          </a:r>
        </a:p>
        <a:p>
          <a:pPr algn="l"/>
          <a:endParaRPr lang="en-GB" sz="800" b="0">
            <a:solidFill>
              <a:schemeClr val="tx1"/>
            </a:solidFill>
          </a:endParaRPr>
        </a:p>
        <a:p>
          <a:pPr algn="l"/>
          <a:r>
            <a:rPr lang="en-GB" sz="1200" b="0">
              <a:solidFill>
                <a:schemeClr val="tx1"/>
              </a:solidFill>
            </a:rPr>
            <a:t>How to Use:</a:t>
          </a:r>
        </a:p>
        <a:p>
          <a:pPr algn="l"/>
          <a:endParaRPr lang="en-GB" sz="400" b="0">
            <a:solidFill>
              <a:schemeClr val="tx1"/>
            </a:solidFill>
          </a:endParaRPr>
        </a:p>
        <a:p>
          <a:pPr marL="685800" lvl="1" indent="-228600" algn="l">
            <a:buFont typeface="+mj-lt"/>
            <a:buAutoNum type="arabicPeriod"/>
          </a:pPr>
          <a:r>
            <a:rPr lang="en-GB" sz="1200" b="0">
              <a:solidFill>
                <a:schemeClr val="tx1"/>
              </a:solidFill>
            </a:rPr>
            <a:t>Import or paste updated resource data into the DataSheet table.</a:t>
          </a:r>
        </a:p>
        <a:p>
          <a:pPr marL="685800" lvl="1" indent="-228600" algn="l">
            <a:buFont typeface="+mj-lt"/>
            <a:buAutoNum type="arabicPeriod"/>
          </a:pPr>
          <a:r>
            <a:rPr lang="en-GB" sz="1200" b="0">
              <a:solidFill>
                <a:schemeClr val="tx1"/>
              </a:solidFill>
            </a:rPr>
            <a:t>Use the dashboard to review resource allocation by building, group, and maintenance category.</a:t>
          </a:r>
        </a:p>
        <a:p>
          <a:pPr marL="685800" lvl="1" indent="-228600" algn="l">
            <a:buFont typeface="+mj-lt"/>
            <a:buAutoNum type="arabicPeriod"/>
          </a:pPr>
          <a:r>
            <a:rPr lang="en-GB" sz="1200" b="0">
              <a:solidFill>
                <a:schemeClr val="tx1"/>
              </a:solidFill>
            </a:rPr>
            <a:t>Switch between Full View and Report View depending on the reporting audience.</a:t>
          </a:r>
        </a:p>
        <a:p>
          <a:pPr marL="685800" lvl="1" indent="-228600" algn="l">
            <a:buFont typeface="+mj-lt"/>
            <a:buAutoNum type="arabicPeriod"/>
          </a:pPr>
          <a:r>
            <a:rPr lang="en-GB" sz="1200" b="0">
              <a:solidFill>
                <a:schemeClr val="tx1"/>
              </a:solidFill>
            </a:rPr>
            <a:t>Review totals and support staff allocations for workload and operational analysis.</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596E432-D900-4193-B830-E4E702BB54D9}" name="Datadetails" displayName="Datadetails" ref="A1:N2850" totalsRowShown="0" headerRowDxfId="14" headerRowCellStyle="Normal 2" dataCellStyle="Normal 2">
  <autoFilter ref="A1:N2850" xr:uid="{9596E432-D900-4193-B830-E4E702BB54D9}"/>
  <tableColumns count="14">
    <tableColumn id="1" xr3:uid="{FBF0B379-1765-4536-826B-07C027F40308}" name="Group" dataDxfId="13">
      <calculatedColumnFormula>_xlfn.IFNA(
    IF(J2=
        "PCB-0001",
        "CSS",
        IF(
            ISNUMBER(MATCH(_xlfn.TEXTBEFORE(J2,"-"), {"CSS","CSN","PCB","PCF","BEC","CSD","PCM"}, 0)),
            _xlfn.TEXTBEFORE(J2,"-"),
            "Other"
        )
    ),
"Add")</calculatedColumnFormula>
    </tableColumn>
    <tableColumn id="2" xr3:uid="{2787F265-B185-46DA-AB9F-E60B0519A82E}" name="Taskcode" dataDxfId="12">
      <calculatedColumnFormula>_xlfn.IFNA(_xlfn.TEXTAFTER(J2,"-"),"Data to C2")</calculatedColumnFormula>
    </tableColumn>
    <tableColumn id="20" xr3:uid="{B09C2A34-E838-4C29-A442-0D745188DBD9}" name="Activity_help" dataDxfId="11">
      <calculatedColumnFormula>_xlfn.LET(
    _xlpm.val, IF(Datadetails[[#This Row],[Activity]]="D02","C20",Datadetails[[#This Row],[Activity]]),
    IF(ISNUMBER(MATCH(_xlpm.val,{"D04","C30","c40","C20"},0)), _xlpm.val, "Other")
)</calculatedColumnFormula>
    </tableColumn>
    <tableColumn id="19" xr3:uid="{55092D4B-20E6-40E4-B44A-90C37F6E1F91}" name="check On Dashboard sheet" dataDxfId="10">
      <calculatedColumnFormula>IFERROR(VLOOKUP(Datadetails[[#This Row],[Taskcode]],Dashboard!A:A,1,FALSE),"00 Err Missing")</calculatedColumnFormula>
    </tableColumn>
    <tableColumn id="3" xr3:uid="{E2BE82BF-E0F2-454A-BD19-D9F0E8A6C999}" name="Date" dataDxfId="9" dataCellStyle="Normal 2"/>
    <tableColumn id="4" xr3:uid="{FF8FD4CF-E059-47D6-A8DD-74F367601252}" name="Staff Name" dataDxfId="8" dataCellStyle="Normal 2"/>
    <tableColumn id="5" xr3:uid="{FD463A29-869F-4529-9A28-F1DAF31DFE15}" name="Project ID" dataDxfId="7" dataCellStyle="Normal 2"/>
    <tableColumn id="21" xr3:uid="{369A1721-021B-449E-9DF6-B765D87CD518}" name="Task Name" dataDxfId="6" dataCellStyle="Normal 2"/>
    <tableColumn id="22" xr3:uid="{AE1BB164-DB0B-4CD3-BC84-3E27F17F64F2}" name="Activity Title" dataDxfId="5" dataCellStyle="Normal 2"/>
    <tableColumn id="6" xr3:uid="{B686D49E-77C5-45BE-A877-FB4A389939C4}" name="Task" dataDxfId="4" dataCellStyle="Normal 2"/>
    <tableColumn id="7" xr3:uid="{4CD1C73D-761A-4EEF-BD34-2E48377FB9C6}" name="Service" dataDxfId="3" dataCellStyle="Normal 2"/>
    <tableColumn id="8" xr3:uid="{53B8F624-736F-44C2-85AF-F5DC5B754162}" name="Activity" dataDxfId="2" dataCellStyle="Normal 2"/>
    <tableColumn id="11" xr3:uid="{5A52CCA0-08AF-418C-80B3-3C733DC2A1FC}" name="Hours" dataDxfId="1" dataCellStyle="Normal 2"/>
    <tableColumn id="13" xr3:uid="{F04E1B3E-9D16-4DF1-8BF0-5A0375C98B0B}" name="Resource Cost" dataDxfId="0" dataCellStyle="Normal 2"/>
  </tableColumns>
  <tableStyleInfo name="TableStyleMedium17"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Parallax">
  <a:themeElements>
    <a:clrScheme name="Parallax">
      <a:dk1>
        <a:sysClr val="windowText" lastClr="000000"/>
      </a:dk1>
      <a:lt1>
        <a:sysClr val="window" lastClr="FFFFFF"/>
      </a:lt1>
      <a:dk2>
        <a:srgbClr val="212121"/>
      </a:dk2>
      <a:lt2>
        <a:srgbClr val="CDD0D1"/>
      </a:lt2>
      <a:accent1>
        <a:srgbClr val="30ACEC"/>
      </a:accent1>
      <a:accent2>
        <a:srgbClr val="80C34F"/>
      </a:accent2>
      <a:accent3>
        <a:srgbClr val="E29D3E"/>
      </a:accent3>
      <a:accent4>
        <a:srgbClr val="D64A3B"/>
      </a:accent4>
      <a:accent5>
        <a:srgbClr val="D64787"/>
      </a:accent5>
      <a:accent6>
        <a:srgbClr val="A666E1"/>
      </a:accent6>
      <a:hlink>
        <a:srgbClr val="3085ED"/>
      </a:hlink>
      <a:folHlink>
        <a:srgbClr val="82B6F4"/>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arallax">
      <a:fillStyleLst>
        <a:solidFill>
          <a:schemeClr val="phClr"/>
        </a:solidFill>
        <a:gradFill rotWithShape="1">
          <a:gsLst>
            <a:gs pos="0">
              <a:schemeClr val="phClr">
                <a:tint val="60000"/>
                <a:lumMod val="104000"/>
              </a:schemeClr>
            </a:gs>
            <a:gs pos="100000">
              <a:schemeClr val="phClr">
                <a:tint val="84000"/>
              </a:schemeClr>
            </a:gs>
          </a:gsLst>
          <a:lin ang="5400000" scaled="0"/>
        </a:gradFill>
        <a:gradFill rotWithShape="1">
          <a:gsLst>
            <a:gs pos="0">
              <a:schemeClr val="phClr">
                <a:tint val="96000"/>
                <a:lumMod val="102000"/>
              </a:schemeClr>
            </a:gs>
            <a:gs pos="100000">
              <a:schemeClr val="phClr">
                <a:shade val="88000"/>
                <a:lumMod val="94000"/>
              </a:schemeClr>
            </a:gs>
          </a:gsLst>
          <a:path path="circle">
            <a:fillToRect l="50000" t="100000" r="100000" b="50000"/>
          </a:path>
        </a:gradFill>
      </a:fillStyleLst>
      <a:lnStyleLst>
        <a:ln w="9525" cap="rnd" cmpd="sng" algn="ctr">
          <a:solidFill>
            <a:schemeClr val="phClr">
              <a:tint val="60000"/>
            </a:schemeClr>
          </a:solidFill>
          <a:prstDash val="solid"/>
        </a:ln>
        <a:ln w="15875" cap="rnd" cmpd="sng" algn="ctr">
          <a:solidFill>
            <a:schemeClr val="phClr"/>
          </a:solidFill>
          <a:prstDash val="solid"/>
        </a:ln>
        <a:ln w="22225" cap="rnd" cmpd="sng" algn="ctr">
          <a:solidFill>
            <a:schemeClr val="phClr"/>
          </a:solidFill>
          <a:prstDash val="solid"/>
        </a:ln>
      </a:lnStyleLst>
      <a:effectStyleLst>
        <a:effectStyle>
          <a:effectLst/>
        </a:effectStyle>
        <a:effectStyle>
          <a:effectLst>
            <a:reflection blurRad="12700" stA="26000" endPos="32000" dist="12700" dir="5400000" sy="-100000" rotWithShape="0"/>
          </a:effectLst>
        </a:effectStyle>
        <a:effectStyle>
          <a:effectLst>
            <a:outerShdw blurRad="38100" dist="25400" dir="5400000" rotWithShape="0">
              <a:srgbClr val="000000">
                <a:alpha val="64000"/>
              </a:srgbClr>
            </a:outerShdw>
          </a:effectLst>
          <a:scene3d>
            <a:camera prst="orthographicFront">
              <a:rot lat="0" lon="0" rev="0"/>
            </a:camera>
            <a:lightRig rig="threePt" dir="tl">
              <a:rot lat="0" lon="0" rev="1200000"/>
            </a:lightRig>
          </a:scene3d>
          <a:sp3d>
            <a:bevelT w="25400" h="12700"/>
          </a:sp3d>
        </a:effectStyle>
      </a:effectStyleLst>
      <a:bgFillStyleLst>
        <a:solidFill>
          <a:schemeClr val="phClr"/>
        </a:solidFill>
        <a:gradFill rotWithShape="1">
          <a:gsLst>
            <a:gs pos="0">
              <a:schemeClr val="phClr">
                <a:tint val="90000"/>
                <a:lumMod val="110000"/>
              </a:schemeClr>
            </a:gs>
            <a:gs pos="100000">
              <a:schemeClr val="phClr">
                <a:shade val="64000"/>
                <a:lumMod val="98000"/>
              </a:schemeClr>
            </a:gs>
          </a:gsLst>
          <a:lin ang="5400000" scaled="0"/>
        </a:gradFill>
        <a:blipFill rotWithShape="1">
          <a:blip xmlns:r="http://schemas.openxmlformats.org/officeDocument/2006/relationships" r:embed="rId1">
            <a:duotone>
              <a:schemeClr val="phClr">
                <a:shade val="76000"/>
                <a:satMod val="180000"/>
              </a:schemeClr>
              <a:schemeClr val="phClr">
                <a:tint val="80000"/>
                <a:satMod val="120000"/>
                <a:lumMod val="180000"/>
              </a:schemeClr>
            </a:duotone>
          </a:blip>
          <a:stretch/>
        </a:blipFill>
      </a:bgFillStyleLst>
    </a:fmtScheme>
  </a:themeElements>
  <a:objectDefaults/>
  <a:extraClrSchemeLst/>
  <a:extLst>
    <a:ext uri="{05A4C25C-085E-4340-85A3-A5531E510DB2}">
      <thm15:themeFamily xmlns:thm15="http://schemas.microsoft.com/office/thememl/2012/main" name="Parallax" id="{3388167B-A2EB-4685-9635-1831D9AEF8C4}" vid="{4F7A876A-7598-49CA-AFC8-8EDA2551E4A7}"/>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B0C4-1301-41A8-943B-C52CF2DA777F}">
  <sheetPr codeName="Sheet4">
    <tabColor theme="1"/>
    <pageSetUpPr fitToPage="1"/>
  </sheetPr>
  <dimension ref="A1:W162"/>
  <sheetViews>
    <sheetView showGridLines="0" tabSelected="1" zoomScaleNormal="100" workbookViewId="0">
      <pane ySplit="5" topLeftCell="A6" activePane="bottomLeft" state="frozen"/>
      <selection pane="bottomLeft" activeCell="T83" sqref="T83"/>
    </sheetView>
  </sheetViews>
  <sheetFormatPr defaultRowHeight="15" x14ac:dyDescent="0.25"/>
  <cols>
    <col min="1" max="1" width="14.28515625" style="2" customWidth="1"/>
    <col min="2" max="2" width="30.85546875" customWidth="1"/>
    <col min="3" max="18" width="9.140625" style="2" customWidth="1"/>
    <col min="19" max="19" width="15.7109375" style="2" customWidth="1"/>
  </cols>
  <sheetData>
    <row r="1" spans="1:19" x14ac:dyDescent="0.25">
      <c r="A1" s="3" t="s">
        <v>4</v>
      </c>
      <c r="B1" s="4" t="s">
        <v>13</v>
      </c>
    </row>
    <row r="2" spans="1:19" ht="15.75" x14ac:dyDescent="0.25">
      <c r="A2" s="37" t="s">
        <v>40</v>
      </c>
      <c r="B2" s="38" t="s">
        <v>310</v>
      </c>
    </row>
    <row r="3" spans="1:19" ht="8.1" customHeight="1" thickBot="1" x14ac:dyDescent="0.3"/>
    <row r="4" spans="1:19" ht="24.95" customHeight="1" x14ac:dyDescent="0.25">
      <c r="A4" s="96" t="s">
        <v>1</v>
      </c>
      <c r="B4" s="98" t="s">
        <v>14</v>
      </c>
      <c r="C4" s="100" t="s">
        <v>479</v>
      </c>
      <c r="D4" s="100"/>
      <c r="E4" s="100"/>
      <c r="F4" s="100"/>
      <c r="G4" s="100"/>
      <c r="H4" s="101" t="s">
        <v>480</v>
      </c>
      <c r="I4" s="101"/>
      <c r="J4" s="101"/>
      <c r="K4" s="101"/>
      <c r="L4" s="101"/>
      <c r="M4" s="102" t="s">
        <v>481</v>
      </c>
      <c r="N4" s="103"/>
      <c r="O4" s="103"/>
      <c r="P4" s="103"/>
      <c r="Q4" s="103"/>
      <c r="R4" s="120" t="s">
        <v>38</v>
      </c>
      <c r="S4" s="114" t="s">
        <v>16</v>
      </c>
    </row>
    <row r="5" spans="1:19" ht="30" customHeight="1" x14ac:dyDescent="0.25">
      <c r="A5" s="97"/>
      <c r="B5" s="99"/>
      <c r="C5" s="16" t="s">
        <v>339</v>
      </c>
      <c r="D5" s="16" t="s">
        <v>348</v>
      </c>
      <c r="E5" s="16" t="s">
        <v>347</v>
      </c>
      <c r="F5" s="16" t="s">
        <v>346</v>
      </c>
      <c r="G5" s="17" t="s">
        <v>16</v>
      </c>
      <c r="H5" s="18" t="s">
        <v>339</v>
      </c>
      <c r="I5" s="18" t="s">
        <v>348</v>
      </c>
      <c r="J5" s="18" t="s">
        <v>347</v>
      </c>
      <c r="K5" s="18" t="s">
        <v>346</v>
      </c>
      <c r="L5" s="19" t="s">
        <v>16</v>
      </c>
      <c r="M5" s="47" t="s">
        <v>339</v>
      </c>
      <c r="N5" s="47" t="s">
        <v>348</v>
      </c>
      <c r="O5" s="47" t="s">
        <v>347</v>
      </c>
      <c r="P5" s="47" t="s">
        <v>346</v>
      </c>
      <c r="Q5" s="47" t="s">
        <v>16</v>
      </c>
      <c r="R5" s="121"/>
      <c r="S5" s="115"/>
    </row>
    <row r="6" spans="1:19" x14ac:dyDescent="0.25">
      <c r="A6" s="34" t="s">
        <v>15</v>
      </c>
      <c r="B6" s="65" t="s">
        <v>168</v>
      </c>
      <c r="C6" s="5">
        <f>SUMIFS(Datadetails[[Hours]:[Hours]],Datadetails[[Group]:[Group]],C$5,Datadetails[[Taskcode]:[Taskcode]],$A6,Datadetails[[Activity_help]:[Activity_help]],"C20")</f>
        <v>0</v>
      </c>
      <c r="D6" s="5">
        <f>SUMIFS(Datadetails[[Hours]:[Hours]],Datadetails[[Group]:[Group]],D$5,Datadetails[[Taskcode]:[Taskcode]],$A6,Datadetails[[Activity_help]:[Activity_help]],"C20")</f>
        <v>0</v>
      </c>
      <c r="E6" s="7">
        <f>SUMIFS(Datadetails[[Hours]:[Hours]],Datadetails[[Group]:[Group]],E$5,Datadetails[[Taskcode]:[Taskcode]],$A6,Datadetails[[Activity_help]:[Activity_help]],"C20")</f>
        <v>0</v>
      </c>
      <c r="F6" s="5">
        <f>SUMIFS(Datadetails[[Hours]:[Hours]],Datadetails[[Group]:[Group]],F$5,Datadetails[[Taskcode]:[Taskcode]],$A6,Datadetails[[Activity_help]:[Activity_help]],"C20")</f>
        <v>6.33</v>
      </c>
      <c r="G6" s="14">
        <f>SUM(C6:F6)</f>
        <v>6.33</v>
      </c>
      <c r="H6" s="6">
        <f>SUMIFS(Datadetails[[Hours]:[Hours]],Datadetails[[Group]:[Group]],H$5,Datadetails[[Taskcode]:[Taskcode]],$A6,Datadetails[[Activity_help]:[Activity_help]],"C30")</f>
        <v>0</v>
      </c>
      <c r="I6" s="6">
        <f>SUMIFS(Datadetails[[Hours]:[Hours]],Datadetails[[Group]:[Group]],I$5,Datadetails[[Taskcode]:[Taskcode]],$A6,Datadetails[[Activity_help]:[Activity_help]],"C30")</f>
        <v>0</v>
      </c>
      <c r="J6" s="6">
        <f>SUMIFS(Datadetails[[Hours]:[Hours]],Datadetails[[Group]:[Group]],J$5,Datadetails[[Taskcode]:[Taskcode]],$A6,Datadetails[[Activity_help]:[Activity_help]],"C30")</f>
        <v>0</v>
      </c>
      <c r="K6" s="6">
        <f>SUMIFS(Datadetails[[Hours]:[Hours]],Datadetails[[Group]:[Group]],K$5,Datadetails[[Taskcode]:[Taskcode]],$A6,Datadetails[[Activity_help]:[Activity_help]],"C30")</f>
        <v>0.5</v>
      </c>
      <c r="L6" s="15">
        <f t="shared" ref="L6:L37" si="0">SUM(H6:K6)</f>
        <v>0.5</v>
      </c>
      <c r="M6" s="41">
        <f>SUMIFS(Datadetails[[Hours]:[Hours]],Datadetails[[Group]:[Group]],M$5,Datadetails[[Taskcode]:[Taskcode]],$A6,Datadetails[[Activity_help]:[Activity_help]],"C40")</f>
        <v>0</v>
      </c>
      <c r="N6" s="41">
        <f>SUMIFS(Datadetails[[Hours]:[Hours]],Datadetails[[Group]:[Group]],N$5,Datadetails[[Taskcode]:[Taskcode]],$A6,Datadetails[[Activity_help]:[Activity_help]],"C40")</f>
        <v>0</v>
      </c>
      <c r="O6" s="41">
        <f>SUMIFS(Datadetails[[Hours]:[Hours]],Datadetails[[Group]:[Group]],O$5,Datadetails[[Taskcode]:[Taskcode]],$A6,Datadetails[[Activity_help]:[Activity_help]],"C40")</f>
        <v>0</v>
      </c>
      <c r="P6" s="41">
        <f>SUMIFS(Datadetails[[Hours]:[Hours]],Datadetails[[Group]:[Group]],P$5,Datadetails[[Taskcode]:[Taskcode]],$A6,Datadetails[[Activity_help]:[Activity_help]],"C40")</f>
        <v>2</v>
      </c>
      <c r="Q6" s="45">
        <f t="shared" ref="Q6:Q37" si="1">SUM(M6:P6)</f>
        <v>2</v>
      </c>
      <c r="R6" s="62">
        <f>SUMIFS(Datadetails[[Hours]:[Hours]],Datadetails[[Group]:[Group]],"Other",Datadetails[[Taskcode]:[Taskcode]],$A6,Datadetails[[Activity_help]:[Activity_help]],"Other")</f>
        <v>0</v>
      </c>
      <c r="S6" s="20">
        <f>SUM(G6+L6+Q6+R6)</f>
        <v>8.83</v>
      </c>
    </row>
    <row r="7" spans="1:19" x14ac:dyDescent="0.25">
      <c r="A7" s="35" t="s">
        <v>50</v>
      </c>
      <c r="B7" s="66" t="s">
        <v>169</v>
      </c>
      <c r="C7" s="7">
        <f>SUMIFS(Datadetails[[Hours]:[Hours]],Datadetails[[Group]:[Group]],C$5,Datadetails[[Taskcode]:[Taskcode]],$A7,Datadetails[[Activity_help]:[Activity_help]],"C20")</f>
        <v>0</v>
      </c>
      <c r="D7" s="7">
        <f>SUMIFS(Datadetails[[Hours]:[Hours]],Datadetails[[Group]:[Group]],D$5,Datadetails[[Taskcode]:[Taskcode]],$A7,Datadetails[[Activity_help]:[Activity_help]],"C20")</f>
        <v>0</v>
      </c>
      <c r="E7" s="7">
        <f>SUMIFS(Datadetails[[Hours]:[Hours]],Datadetails[[Group]:[Group]],E$5,Datadetails[[Taskcode]:[Taskcode]],$A7,Datadetails[[Activity_help]:[Activity_help]],"C20")</f>
        <v>0</v>
      </c>
      <c r="F7" s="7">
        <f>SUMIFS(Datadetails[[Hours]:[Hours]],Datadetails[[Group]:[Group]],F$5,Datadetails[[Taskcode]:[Taskcode]],$A7,Datadetails[[Activity_help]:[Activity_help]],"C20")</f>
        <v>5.91</v>
      </c>
      <c r="G7" s="12">
        <f t="shared" ref="G7:G70" si="2">SUM(C7:F7)</f>
        <v>5.91</v>
      </c>
      <c r="H7" s="8">
        <f>SUMIFS(Datadetails[[Hours]:[Hours]],Datadetails[[Group]:[Group]],H$5,Datadetails[[Taskcode]:[Taskcode]],$A7,Datadetails[[Activity_help]:[Activity_help]],"C30")</f>
        <v>0</v>
      </c>
      <c r="I7" s="8">
        <f>SUMIFS(Datadetails[[Hours]:[Hours]],Datadetails[[Group]:[Group]],I$5,Datadetails[[Taskcode]:[Taskcode]],$A7,Datadetails[[Activity_help]:[Activity_help]],"C30")</f>
        <v>0</v>
      </c>
      <c r="J7" s="8">
        <f>SUMIFS(Datadetails[[Hours]:[Hours]],Datadetails[[Group]:[Group]],J$5,Datadetails[[Taskcode]:[Taskcode]],$A7,Datadetails[[Activity_help]:[Activity_help]],"C30")</f>
        <v>0</v>
      </c>
      <c r="K7" s="8">
        <f>SUMIFS(Datadetails[[Hours]:[Hours]],Datadetails[[Group]:[Group]],K$5,Datadetails[[Taskcode]:[Taskcode]],$A7,Datadetails[[Activity_help]:[Activity_help]],"C30")</f>
        <v>2.83</v>
      </c>
      <c r="L7" s="13">
        <f t="shared" si="0"/>
        <v>2.83</v>
      </c>
      <c r="M7" s="39">
        <f>SUMIFS(Datadetails[[Hours]:[Hours]],Datadetails[[Group]:[Group]],M$5,Datadetails[[Taskcode]:[Taskcode]],$A7,Datadetails[[Activity_help]:[Activity_help]],"C40")</f>
        <v>0</v>
      </c>
      <c r="N7" s="39">
        <f>SUMIFS(Datadetails[[Hours]:[Hours]],Datadetails[[Group]:[Group]],N$5,Datadetails[[Taskcode]:[Taskcode]],$A7,Datadetails[[Activity_help]:[Activity_help]],"C40")</f>
        <v>0</v>
      </c>
      <c r="O7" s="39">
        <f>SUMIFS(Datadetails[[Hours]:[Hours]],Datadetails[[Group]:[Group]],O$5,Datadetails[[Taskcode]:[Taskcode]],$A7,Datadetails[[Activity_help]:[Activity_help]],"C40")</f>
        <v>0</v>
      </c>
      <c r="P7" s="39">
        <f>SUMIFS(Datadetails[[Hours]:[Hours]],Datadetails[[Group]:[Group]],P$5,Datadetails[[Taskcode]:[Taskcode]],$A7,Datadetails[[Activity_help]:[Activity_help]],"C40")</f>
        <v>1</v>
      </c>
      <c r="Q7" s="40">
        <f t="shared" si="1"/>
        <v>1</v>
      </c>
      <c r="R7" s="63">
        <f>SUMIFS(Datadetails[[Hours]:[Hours]],Datadetails[[Group]:[Group]],"Other",Datadetails[[Taskcode]:[Taskcode]],$A7,Datadetails[[Activity_help]:[Activity_help]],"Other")</f>
        <v>0</v>
      </c>
      <c r="S7" s="21">
        <f t="shared" ref="S7:S70" si="3">SUM(G7+L7+Q7+R7)</f>
        <v>9.74</v>
      </c>
    </row>
    <row r="8" spans="1:19" x14ac:dyDescent="0.25">
      <c r="A8" s="35" t="s">
        <v>33</v>
      </c>
      <c r="B8" s="66" t="s">
        <v>170</v>
      </c>
      <c r="C8" s="7">
        <f>SUMIFS(Datadetails[[Hours]:[Hours]],Datadetails[[Group]:[Group]],C$5,Datadetails[[Taskcode]:[Taskcode]],$A8,Datadetails[[Activity_help]:[Activity_help]],"C20")</f>
        <v>0</v>
      </c>
      <c r="D8" s="7">
        <f>SUMIFS(Datadetails[[Hours]:[Hours]],Datadetails[[Group]:[Group]],D$5,Datadetails[[Taskcode]:[Taskcode]],$A8,Datadetails[[Activity_help]:[Activity_help]],"C20")</f>
        <v>0</v>
      </c>
      <c r="E8" s="7">
        <f>SUMIFS(Datadetails[[Hours]:[Hours]],Datadetails[[Group]:[Group]],E$5,Datadetails[[Taskcode]:[Taskcode]],$A8,Datadetails[[Activity_help]:[Activity_help]],"C20")</f>
        <v>0</v>
      </c>
      <c r="F8" s="7">
        <f>SUMIFS(Datadetails[[Hours]:[Hours]],Datadetails[[Group]:[Group]],F$5,Datadetails[[Taskcode]:[Taskcode]],$A8,Datadetails[[Activity_help]:[Activity_help]],"C20")</f>
        <v>0</v>
      </c>
      <c r="G8" s="12">
        <f t="shared" si="2"/>
        <v>0</v>
      </c>
      <c r="H8" s="8">
        <f>SUMIFS(Datadetails[[Hours]:[Hours]],Datadetails[[Group]:[Group]],H$5,Datadetails[[Taskcode]:[Taskcode]],$A8,Datadetails[[Activity_help]:[Activity_help]],"C30")</f>
        <v>0</v>
      </c>
      <c r="I8" s="8">
        <f>SUMIFS(Datadetails[[Hours]:[Hours]],Datadetails[[Group]:[Group]],I$5,Datadetails[[Taskcode]:[Taskcode]],$A8,Datadetails[[Activity_help]:[Activity_help]],"C30")</f>
        <v>0</v>
      </c>
      <c r="J8" s="8">
        <f>SUMIFS(Datadetails[[Hours]:[Hours]],Datadetails[[Group]:[Group]],J$5,Datadetails[[Taskcode]:[Taskcode]],$A8,Datadetails[[Activity_help]:[Activity_help]],"C30")</f>
        <v>1.76</v>
      </c>
      <c r="K8" s="8">
        <f>SUMIFS(Datadetails[[Hours]:[Hours]],Datadetails[[Group]:[Group]],K$5,Datadetails[[Taskcode]:[Taskcode]],$A8,Datadetails[[Activity_help]:[Activity_help]],"C30")</f>
        <v>0</v>
      </c>
      <c r="L8" s="13">
        <f t="shared" si="0"/>
        <v>1.76</v>
      </c>
      <c r="M8" s="39">
        <f>SUMIFS(Datadetails[[Hours]:[Hours]],Datadetails[[Group]:[Group]],M$5,Datadetails[[Taskcode]:[Taskcode]],$A8,Datadetails[[Activity_help]:[Activity_help]],"C40")</f>
        <v>0</v>
      </c>
      <c r="N8" s="39">
        <f>SUMIFS(Datadetails[[Hours]:[Hours]],Datadetails[[Group]:[Group]],N$5,Datadetails[[Taskcode]:[Taskcode]],$A8,Datadetails[[Activity_help]:[Activity_help]],"C40")</f>
        <v>0</v>
      </c>
      <c r="O8" s="39">
        <f>SUMIFS(Datadetails[[Hours]:[Hours]],Datadetails[[Group]:[Group]],O$5,Datadetails[[Taskcode]:[Taskcode]],$A8,Datadetails[[Activity_help]:[Activity_help]],"C40")</f>
        <v>0</v>
      </c>
      <c r="P8" s="39">
        <f>SUMIFS(Datadetails[[Hours]:[Hours]],Datadetails[[Group]:[Group]],P$5,Datadetails[[Taskcode]:[Taskcode]],$A8,Datadetails[[Activity_help]:[Activity_help]],"C40")</f>
        <v>0</v>
      </c>
      <c r="Q8" s="40">
        <f t="shared" si="1"/>
        <v>0</v>
      </c>
      <c r="R8" s="63">
        <f>SUMIFS(Datadetails[[Hours]:[Hours]],Datadetails[[Group]:[Group]],"Other",Datadetails[[Taskcode]:[Taskcode]],$A8,Datadetails[[Activity_help]:[Activity_help]],"Other")</f>
        <v>0</v>
      </c>
      <c r="S8" s="21">
        <f t="shared" si="3"/>
        <v>1.76</v>
      </c>
    </row>
    <row r="9" spans="1:19" x14ac:dyDescent="0.25">
      <c r="A9" s="35" t="s">
        <v>18</v>
      </c>
      <c r="B9" s="66" t="s">
        <v>171</v>
      </c>
      <c r="C9" s="7">
        <f>SUMIFS(Datadetails[[Hours]:[Hours]],Datadetails[[Group]:[Group]],C$5,Datadetails[[Taskcode]:[Taskcode]],$A9,Datadetails[[Activity_help]:[Activity_help]],"C20")</f>
        <v>0</v>
      </c>
      <c r="D9" s="7">
        <f>SUMIFS(Datadetails[[Hours]:[Hours]],Datadetails[[Group]:[Group]],D$5,Datadetails[[Taskcode]:[Taskcode]],$A9,Datadetails[[Activity_help]:[Activity_help]],"C20")</f>
        <v>0</v>
      </c>
      <c r="E9" s="7">
        <f>SUMIFS(Datadetails[[Hours]:[Hours]],Datadetails[[Group]:[Group]],E$5,Datadetails[[Taskcode]:[Taskcode]],$A9,Datadetails[[Activity_help]:[Activity_help]],"C20")</f>
        <v>0</v>
      </c>
      <c r="F9" s="7">
        <f>SUMIFS(Datadetails[[Hours]:[Hours]],Datadetails[[Group]:[Group]],F$5,Datadetails[[Taskcode]:[Taskcode]],$A9,Datadetails[[Activity_help]:[Activity_help]],"C20")</f>
        <v>0</v>
      </c>
      <c r="G9" s="12">
        <f t="shared" si="2"/>
        <v>0</v>
      </c>
      <c r="H9" s="8">
        <f>SUMIFS(Datadetails[[Hours]:[Hours]],Datadetails[[Group]:[Group]],H$5,Datadetails[[Taskcode]:[Taskcode]],$A9,Datadetails[[Activity_help]:[Activity_help]],"C30")</f>
        <v>0</v>
      </c>
      <c r="I9" s="8">
        <f>SUMIFS(Datadetails[[Hours]:[Hours]],Datadetails[[Group]:[Group]],I$5,Datadetails[[Taskcode]:[Taskcode]],$A9,Datadetails[[Activity_help]:[Activity_help]],"C30")</f>
        <v>0</v>
      </c>
      <c r="J9" s="8">
        <f>SUMIFS(Datadetails[[Hours]:[Hours]],Datadetails[[Group]:[Group]],J$5,Datadetails[[Taskcode]:[Taskcode]],$A9,Datadetails[[Activity_help]:[Activity_help]],"C30")</f>
        <v>1</v>
      </c>
      <c r="K9" s="8">
        <f>SUMIFS(Datadetails[[Hours]:[Hours]],Datadetails[[Group]:[Group]],K$5,Datadetails[[Taskcode]:[Taskcode]],$A9,Datadetails[[Activity_help]:[Activity_help]],"C30")</f>
        <v>0</v>
      </c>
      <c r="L9" s="13">
        <f t="shared" si="0"/>
        <v>1</v>
      </c>
      <c r="M9" s="39">
        <f>SUMIFS(Datadetails[[Hours]:[Hours]],Datadetails[[Group]:[Group]],M$5,Datadetails[[Taskcode]:[Taskcode]],$A9,Datadetails[[Activity_help]:[Activity_help]],"C40")</f>
        <v>0</v>
      </c>
      <c r="N9" s="39">
        <f>SUMIFS(Datadetails[[Hours]:[Hours]],Datadetails[[Group]:[Group]],N$5,Datadetails[[Taskcode]:[Taskcode]],$A9,Datadetails[[Activity_help]:[Activity_help]],"C40")</f>
        <v>0</v>
      </c>
      <c r="O9" s="39">
        <f>SUMIFS(Datadetails[[Hours]:[Hours]],Datadetails[[Group]:[Group]],O$5,Datadetails[[Taskcode]:[Taskcode]],$A9,Datadetails[[Activity_help]:[Activity_help]],"C40")</f>
        <v>6</v>
      </c>
      <c r="P9" s="39">
        <f>SUMIFS(Datadetails[[Hours]:[Hours]],Datadetails[[Group]:[Group]],P$5,Datadetails[[Taskcode]:[Taskcode]],$A9,Datadetails[[Activity_help]:[Activity_help]],"C40")</f>
        <v>0</v>
      </c>
      <c r="Q9" s="40">
        <f t="shared" si="1"/>
        <v>6</v>
      </c>
      <c r="R9" s="63">
        <f>SUMIFS(Datadetails[[Hours]:[Hours]],Datadetails[[Group]:[Group]],"Other",Datadetails[[Taskcode]:[Taskcode]],$A9,Datadetails[[Activity_help]:[Activity_help]],"Other")</f>
        <v>0</v>
      </c>
      <c r="S9" s="21">
        <f t="shared" si="3"/>
        <v>7</v>
      </c>
    </row>
    <row r="10" spans="1:19" x14ac:dyDescent="0.25">
      <c r="A10" s="35" t="s">
        <v>53</v>
      </c>
      <c r="B10" s="66" t="s">
        <v>172</v>
      </c>
      <c r="C10" s="7">
        <f>SUMIFS(Datadetails[[Hours]:[Hours]],Datadetails[[Group]:[Group]],C$5,Datadetails[[Taskcode]:[Taskcode]],$A10,Datadetails[[Activity_help]:[Activity_help]],"C20")</f>
        <v>0</v>
      </c>
      <c r="D10" s="7">
        <f>SUMIFS(Datadetails[[Hours]:[Hours]],Datadetails[[Group]:[Group]],D$5,Datadetails[[Taskcode]:[Taskcode]],$A10,Datadetails[[Activity_help]:[Activity_help]],"C20")</f>
        <v>0</v>
      </c>
      <c r="E10" s="7">
        <f>SUMIFS(Datadetails[[Hours]:[Hours]],Datadetails[[Group]:[Group]],E$5,Datadetails[[Taskcode]:[Taskcode]],$A10,Datadetails[[Activity_help]:[Activity_help]],"C20")</f>
        <v>0</v>
      </c>
      <c r="F10" s="7">
        <f>SUMIFS(Datadetails[[Hours]:[Hours]],Datadetails[[Group]:[Group]],F$5,Datadetails[[Taskcode]:[Taskcode]],$A10,Datadetails[[Activity_help]:[Activity_help]],"C20")</f>
        <v>2.33</v>
      </c>
      <c r="G10" s="12">
        <f t="shared" si="2"/>
        <v>2.33</v>
      </c>
      <c r="H10" s="8">
        <f>SUMIFS(Datadetails[[Hours]:[Hours]],Datadetails[[Group]:[Group]],H$5,Datadetails[[Taskcode]:[Taskcode]],$A10,Datadetails[[Activity_help]:[Activity_help]],"C30")</f>
        <v>0</v>
      </c>
      <c r="I10" s="8">
        <f>SUMIFS(Datadetails[[Hours]:[Hours]],Datadetails[[Group]:[Group]],I$5,Datadetails[[Taskcode]:[Taskcode]],$A10,Datadetails[[Activity_help]:[Activity_help]],"C30")</f>
        <v>0</v>
      </c>
      <c r="J10" s="8">
        <f>SUMIFS(Datadetails[[Hours]:[Hours]],Datadetails[[Group]:[Group]],J$5,Datadetails[[Taskcode]:[Taskcode]],$A10,Datadetails[[Activity_help]:[Activity_help]],"C30")</f>
        <v>0</v>
      </c>
      <c r="K10" s="8">
        <f>SUMIFS(Datadetails[[Hours]:[Hours]],Datadetails[[Group]:[Group]],K$5,Datadetails[[Taskcode]:[Taskcode]],$A10,Datadetails[[Activity_help]:[Activity_help]],"C30")</f>
        <v>0</v>
      </c>
      <c r="L10" s="13">
        <f t="shared" si="0"/>
        <v>0</v>
      </c>
      <c r="M10" s="39">
        <f>SUMIFS(Datadetails[[Hours]:[Hours]],Datadetails[[Group]:[Group]],M$5,Datadetails[[Taskcode]:[Taskcode]],$A10,Datadetails[[Activity_help]:[Activity_help]],"C40")</f>
        <v>0</v>
      </c>
      <c r="N10" s="39">
        <f>SUMIFS(Datadetails[[Hours]:[Hours]],Datadetails[[Group]:[Group]],N$5,Datadetails[[Taskcode]:[Taskcode]],$A10,Datadetails[[Activity_help]:[Activity_help]],"C40")</f>
        <v>0</v>
      </c>
      <c r="O10" s="39">
        <f>SUMIFS(Datadetails[[Hours]:[Hours]],Datadetails[[Group]:[Group]],O$5,Datadetails[[Taskcode]:[Taskcode]],$A10,Datadetails[[Activity_help]:[Activity_help]],"C40")</f>
        <v>0</v>
      </c>
      <c r="P10" s="39">
        <f>SUMIFS(Datadetails[[Hours]:[Hours]],Datadetails[[Group]:[Group]],P$5,Datadetails[[Taskcode]:[Taskcode]],$A10,Datadetails[[Activity_help]:[Activity_help]],"C40")</f>
        <v>1.33</v>
      </c>
      <c r="Q10" s="40">
        <f t="shared" si="1"/>
        <v>1.33</v>
      </c>
      <c r="R10" s="63">
        <f>SUMIFS(Datadetails[[Hours]:[Hours]],Datadetails[[Group]:[Group]],"Other",Datadetails[[Taskcode]:[Taskcode]],$A10,Datadetails[[Activity_help]:[Activity_help]],"Other")</f>
        <v>0</v>
      </c>
      <c r="S10" s="21">
        <f t="shared" si="3"/>
        <v>3.66</v>
      </c>
    </row>
    <row r="11" spans="1:19" x14ac:dyDescent="0.25">
      <c r="A11" s="35" t="s">
        <v>54</v>
      </c>
      <c r="B11" s="66" t="s">
        <v>173</v>
      </c>
      <c r="C11" s="7">
        <f>SUMIFS(Datadetails[[Hours]:[Hours]],Datadetails[[Group]:[Group]],C$5,Datadetails[[Taskcode]:[Taskcode]],$A11,Datadetails[[Activity_help]:[Activity_help]],"C20")</f>
        <v>0</v>
      </c>
      <c r="D11" s="7">
        <f>SUMIFS(Datadetails[[Hours]:[Hours]],Datadetails[[Group]:[Group]],D$5,Datadetails[[Taskcode]:[Taskcode]],$A11,Datadetails[[Activity_help]:[Activity_help]],"C20")</f>
        <v>0</v>
      </c>
      <c r="E11" s="7">
        <f>SUMIFS(Datadetails[[Hours]:[Hours]],Datadetails[[Group]:[Group]],E$5,Datadetails[[Taskcode]:[Taskcode]],$A11,Datadetails[[Activity_help]:[Activity_help]],"C20")</f>
        <v>0</v>
      </c>
      <c r="F11" s="7">
        <f>SUMIFS(Datadetails[[Hours]:[Hours]],Datadetails[[Group]:[Group]],F$5,Datadetails[[Taskcode]:[Taskcode]],$A11,Datadetails[[Activity_help]:[Activity_help]],"C20")</f>
        <v>0</v>
      </c>
      <c r="G11" s="12">
        <f t="shared" si="2"/>
        <v>0</v>
      </c>
      <c r="H11" s="8">
        <f>SUMIFS(Datadetails[[Hours]:[Hours]],Datadetails[[Group]:[Group]],H$5,Datadetails[[Taskcode]:[Taskcode]],$A11,Datadetails[[Activity_help]:[Activity_help]],"C30")</f>
        <v>0</v>
      </c>
      <c r="I11" s="8">
        <f>SUMIFS(Datadetails[[Hours]:[Hours]],Datadetails[[Group]:[Group]],I$5,Datadetails[[Taskcode]:[Taskcode]],$A11,Datadetails[[Activity_help]:[Activity_help]],"C30")</f>
        <v>0</v>
      </c>
      <c r="J11" s="8">
        <f>SUMIFS(Datadetails[[Hours]:[Hours]],Datadetails[[Group]:[Group]],J$5,Datadetails[[Taskcode]:[Taskcode]],$A11,Datadetails[[Activity_help]:[Activity_help]],"C30")</f>
        <v>0</v>
      </c>
      <c r="K11" s="8">
        <f>SUMIFS(Datadetails[[Hours]:[Hours]],Datadetails[[Group]:[Group]],K$5,Datadetails[[Taskcode]:[Taskcode]],$A11,Datadetails[[Activity_help]:[Activity_help]],"C30")</f>
        <v>0</v>
      </c>
      <c r="L11" s="13">
        <f t="shared" si="0"/>
        <v>0</v>
      </c>
      <c r="M11" s="39">
        <f>SUMIFS(Datadetails[[Hours]:[Hours]],Datadetails[[Group]:[Group]],M$5,Datadetails[[Taskcode]:[Taskcode]],$A11,Datadetails[[Activity_help]:[Activity_help]],"C40")</f>
        <v>0</v>
      </c>
      <c r="N11" s="39">
        <f>SUMIFS(Datadetails[[Hours]:[Hours]],Datadetails[[Group]:[Group]],N$5,Datadetails[[Taskcode]:[Taskcode]],$A11,Datadetails[[Activity_help]:[Activity_help]],"C40")</f>
        <v>0</v>
      </c>
      <c r="O11" s="39">
        <f>SUMIFS(Datadetails[[Hours]:[Hours]],Datadetails[[Group]:[Group]],O$5,Datadetails[[Taskcode]:[Taskcode]],$A11,Datadetails[[Activity_help]:[Activity_help]],"C40")</f>
        <v>0</v>
      </c>
      <c r="P11" s="39">
        <f>SUMIFS(Datadetails[[Hours]:[Hours]],Datadetails[[Group]:[Group]],P$5,Datadetails[[Taskcode]:[Taskcode]],$A11,Datadetails[[Activity_help]:[Activity_help]],"C40")</f>
        <v>0</v>
      </c>
      <c r="Q11" s="40">
        <f t="shared" si="1"/>
        <v>0</v>
      </c>
      <c r="R11" s="63">
        <f>SUMIFS(Datadetails[[Hours]:[Hours]],Datadetails[[Group]:[Group]],"Other",Datadetails[[Taskcode]:[Taskcode]],$A11,Datadetails[[Activity_help]:[Activity_help]],"Other")</f>
        <v>0</v>
      </c>
      <c r="S11" s="21">
        <f t="shared" si="3"/>
        <v>0</v>
      </c>
    </row>
    <row r="12" spans="1:19" x14ac:dyDescent="0.25">
      <c r="A12" s="35" t="s">
        <v>19</v>
      </c>
      <c r="B12" s="66" t="s">
        <v>174</v>
      </c>
      <c r="C12" s="7">
        <f>SUMIFS(Datadetails[[Hours]:[Hours]],Datadetails[[Group]:[Group]],C$5,Datadetails[[Taskcode]:[Taskcode]],$A12,Datadetails[[Activity_help]:[Activity_help]],"C20")</f>
        <v>0</v>
      </c>
      <c r="D12" s="7">
        <f>SUMIFS(Datadetails[[Hours]:[Hours]],Datadetails[[Group]:[Group]],D$5,Datadetails[[Taskcode]:[Taskcode]],$A12,Datadetails[[Activity_help]:[Activity_help]],"C20")</f>
        <v>0</v>
      </c>
      <c r="E12" s="7">
        <f>SUMIFS(Datadetails[[Hours]:[Hours]],Datadetails[[Group]:[Group]],E$5,Datadetails[[Taskcode]:[Taskcode]],$A12,Datadetails[[Activity_help]:[Activity_help]],"C20")</f>
        <v>0</v>
      </c>
      <c r="F12" s="7">
        <f>SUMIFS(Datadetails[[Hours]:[Hours]],Datadetails[[Group]:[Group]],F$5,Datadetails[[Taskcode]:[Taskcode]],$A12,Datadetails[[Activity_help]:[Activity_help]],"C20")</f>
        <v>0</v>
      </c>
      <c r="G12" s="12">
        <f t="shared" si="2"/>
        <v>0</v>
      </c>
      <c r="H12" s="8">
        <f>SUMIFS(Datadetails[[Hours]:[Hours]],Datadetails[[Group]:[Group]],H$5,Datadetails[[Taskcode]:[Taskcode]],$A12,Datadetails[[Activity_help]:[Activity_help]],"C30")</f>
        <v>0</v>
      </c>
      <c r="I12" s="8">
        <f>SUMIFS(Datadetails[[Hours]:[Hours]],Datadetails[[Group]:[Group]],I$5,Datadetails[[Taskcode]:[Taskcode]],$A12,Datadetails[[Activity_help]:[Activity_help]],"C30")</f>
        <v>0</v>
      </c>
      <c r="J12" s="8">
        <f>SUMIFS(Datadetails[[Hours]:[Hours]],Datadetails[[Group]:[Group]],J$5,Datadetails[[Taskcode]:[Taskcode]],$A12,Datadetails[[Activity_help]:[Activity_help]],"C30")</f>
        <v>0</v>
      </c>
      <c r="K12" s="8">
        <f>SUMIFS(Datadetails[[Hours]:[Hours]],Datadetails[[Group]:[Group]],K$5,Datadetails[[Taskcode]:[Taskcode]],$A12,Datadetails[[Activity_help]:[Activity_help]],"C30")</f>
        <v>0</v>
      </c>
      <c r="L12" s="13">
        <f t="shared" si="0"/>
        <v>0</v>
      </c>
      <c r="M12" s="39">
        <f>SUMIFS(Datadetails[[Hours]:[Hours]],Datadetails[[Group]:[Group]],M$5,Datadetails[[Taskcode]:[Taskcode]],$A12,Datadetails[[Activity_help]:[Activity_help]],"C40")</f>
        <v>0</v>
      </c>
      <c r="N12" s="39">
        <f>SUMIFS(Datadetails[[Hours]:[Hours]],Datadetails[[Group]:[Group]],N$5,Datadetails[[Taskcode]:[Taskcode]],$A12,Datadetails[[Activity_help]:[Activity_help]],"C40")</f>
        <v>0</v>
      </c>
      <c r="O12" s="39">
        <f>SUMIFS(Datadetails[[Hours]:[Hours]],Datadetails[[Group]:[Group]],O$5,Datadetails[[Taskcode]:[Taskcode]],$A12,Datadetails[[Activity_help]:[Activity_help]],"C40")</f>
        <v>0</v>
      </c>
      <c r="P12" s="39">
        <f>SUMIFS(Datadetails[[Hours]:[Hours]],Datadetails[[Group]:[Group]],P$5,Datadetails[[Taskcode]:[Taskcode]],$A12,Datadetails[[Activity_help]:[Activity_help]],"C40")</f>
        <v>0</v>
      </c>
      <c r="Q12" s="40">
        <f t="shared" si="1"/>
        <v>0</v>
      </c>
      <c r="R12" s="63">
        <f>SUMIFS(Datadetails[[Hours]:[Hours]],Datadetails[[Group]:[Group]],"Other",Datadetails[[Taskcode]:[Taskcode]],$A12,Datadetails[[Activity_help]:[Activity_help]],"Other")</f>
        <v>0</v>
      </c>
      <c r="S12" s="21">
        <f t="shared" si="3"/>
        <v>0</v>
      </c>
    </row>
    <row r="13" spans="1:19" x14ac:dyDescent="0.25">
      <c r="A13" s="35" t="s">
        <v>55</v>
      </c>
      <c r="B13" s="66" t="s">
        <v>175</v>
      </c>
      <c r="C13" s="7">
        <f>SUMIFS(Datadetails[[Hours]:[Hours]],Datadetails[[Group]:[Group]],C$5,Datadetails[[Taskcode]:[Taskcode]],$A13,Datadetails[[Activity_help]:[Activity_help]],"C20")</f>
        <v>0</v>
      </c>
      <c r="D13" s="7">
        <f>SUMIFS(Datadetails[[Hours]:[Hours]],Datadetails[[Group]:[Group]],D$5,Datadetails[[Taskcode]:[Taskcode]],$A13,Datadetails[[Activity_help]:[Activity_help]],"C20")</f>
        <v>8.92</v>
      </c>
      <c r="E13" s="7">
        <f>SUMIFS(Datadetails[[Hours]:[Hours]],Datadetails[[Group]:[Group]],E$5,Datadetails[[Taskcode]:[Taskcode]],$A13,Datadetails[[Activity_help]:[Activity_help]],"C20")</f>
        <v>0</v>
      </c>
      <c r="F13" s="7">
        <f>SUMIFS(Datadetails[[Hours]:[Hours]],Datadetails[[Group]:[Group]],F$5,Datadetails[[Taskcode]:[Taskcode]],$A13,Datadetails[[Activity_help]:[Activity_help]],"C20")</f>
        <v>0</v>
      </c>
      <c r="G13" s="12">
        <f t="shared" si="2"/>
        <v>8.92</v>
      </c>
      <c r="H13" s="8">
        <f>SUMIFS(Datadetails[[Hours]:[Hours]],Datadetails[[Group]:[Group]],H$5,Datadetails[[Taskcode]:[Taskcode]],$A13,Datadetails[[Activity_help]:[Activity_help]],"C30")</f>
        <v>0</v>
      </c>
      <c r="I13" s="8">
        <f>SUMIFS(Datadetails[[Hours]:[Hours]],Datadetails[[Group]:[Group]],I$5,Datadetails[[Taskcode]:[Taskcode]],$A13,Datadetails[[Activity_help]:[Activity_help]],"C30")</f>
        <v>9.09</v>
      </c>
      <c r="J13" s="8">
        <f>SUMIFS(Datadetails[[Hours]:[Hours]],Datadetails[[Group]:[Group]],J$5,Datadetails[[Taskcode]:[Taskcode]],$A13,Datadetails[[Activity_help]:[Activity_help]],"C30")</f>
        <v>0</v>
      </c>
      <c r="K13" s="8">
        <f>SUMIFS(Datadetails[[Hours]:[Hours]],Datadetails[[Group]:[Group]],K$5,Datadetails[[Taskcode]:[Taskcode]],$A13,Datadetails[[Activity_help]:[Activity_help]],"C30")</f>
        <v>0</v>
      </c>
      <c r="L13" s="13">
        <f t="shared" si="0"/>
        <v>9.09</v>
      </c>
      <c r="M13" s="39">
        <f>SUMIFS(Datadetails[[Hours]:[Hours]],Datadetails[[Group]:[Group]],M$5,Datadetails[[Taskcode]:[Taskcode]],$A13,Datadetails[[Activity_help]:[Activity_help]],"C40")</f>
        <v>0</v>
      </c>
      <c r="N13" s="39">
        <f>SUMIFS(Datadetails[[Hours]:[Hours]],Datadetails[[Group]:[Group]],N$5,Datadetails[[Taskcode]:[Taskcode]],$A13,Datadetails[[Activity_help]:[Activity_help]],"C40")</f>
        <v>2.25</v>
      </c>
      <c r="O13" s="39">
        <f>SUMIFS(Datadetails[[Hours]:[Hours]],Datadetails[[Group]:[Group]],O$5,Datadetails[[Taskcode]:[Taskcode]],$A13,Datadetails[[Activity_help]:[Activity_help]],"C40")</f>
        <v>0</v>
      </c>
      <c r="P13" s="39">
        <f>SUMIFS(Datadetails[[Hours]:[Hours]],Datadetails[[Group]:[Group]],P$5,Datadetails[[Taskcode]:[Taskcode]],$A13,Datadetails[[Activity_help]:[Activity_help]],"C40")</f>
        <v>0</v>
      </c>
      <c r="Q13" s="40">
        <f t="shared" si="1"/>
        <v>2.25</v>
      </c>
      <c r="R13" s="63">
        <f>SUMIFS(Datadetails[[Hours]:[Hours]],Datadetails[[Group]:[Group]],"Other",Datadetails[[Taskcode]:[Taskcode]],$A13,Datadetails[[Activity_help]:[Activity_help]],"Other")</f>
        <v>0</v>
      </c>
      <c r="S13" s="21">
        <f t="shared" si="3"/>
        <v>20.259999999999998</v>
      </c>
    </row>
    <row r="14" spans="1:19" x14ac:dyDescent="0.25">
      <c r="A14" s="35" t="s">
        <v>56</v>
      </c>
      <c r="B14" s="66" t="s">
        <v>176</v>
      </c>
      <c r="C14" s="7">
        <f>SUMIFS(Datadetails[[Hours]:[Hours]],Datadetails[[Group]:[Group]],C$5,Datadetails[[Taskcode]:[Taskcode]],$A14,Datadetails[[Activity_help]:[Activity_help]],"C20")</f>
        <v>0</v>
      </c>
      <c r="D14" s="7">
        <f>SUMIFS(Datadetails[[Hours]:[Hours]],Datadetails[[Group]:[Group]],D$5,Datadetails[[Taskcode]:[Taskcode]],$A14,Datadetails[[Activity_help]:[Activity_help]],"C20")</f>
        <v>0</v>
      </c>
      <c r="E14" s="7">
        <f>SUMIFS(Datadetails[[Hours]:[Hours]],Datadetails[[Group]:[Group]],E$5,Datadetails[[Taskcode]:[Taskcode]],$A14,Datadetails[[Activity_help]:[Activity_help]],"C20")</f>
        <v>0</v>
      </c>
      <c r="F14" s="7">
        <f>SUMIFS(Datadetails[[Hours]:[Hours]],Datadetails[[Group]:[Group]],F$5,Datadetails[[Taskcode]:[Taskcode]],$A14,Datadetails[[Activity_help]:[Activity_help]],"C20")</f>
        <v>0</v>
      </c>
      <c r="G14" s="12">
        <f t="shared" si="2"/>
        <v>0</v>
      </c>
      <c r="H14" s="8">
        <f>SUMIFS(Datadetails[[Hours]:[Hours]],Datadetails[[Group]:[Group]],H$5,Datadetails[[Taskcode]:[Taskcode]],$A14,Datadetails[[Activity_help]:[Activity_help]],"C30")</f>
        <v>0</v>
      </c>
      <c r="I14" s="8">
        <f>SUMIFS(Datadetails[[Hours]:[Hours]],Datadetails[[Group]:[Group]],I$5,Datadetails[[Taskcode]:[Taskcode]],$A14,Datadetails[[Activity_help]:[Activity_help]],"C30")</f>
        <v>0</v>
      </c>
      <c r="J14" s="8">
        <f>SUMIFS(Datadetails[[Hours]:[Hours]],Datadetails[[Group]:[Group]],J$5,Datadetails[[Taskcode]:[Taskcode]],$A14,Datadetails[[Activity_help]:[Activity_help]],"C30")</f>
        <v>5.26</v>
      </c>
      <c r="K14" s="8">
        <f>SUMIFS(Datadetails[[Hours]:[Hours]],Datadetails[[Group]:[Group]],K$5,Datadetails[[Taskcode]:[Taskcode]],$A14,Datadetails[[Activity_help]:[Activity_help]],"C30")</f>
        <v>0</v>
      </c>
      <c r="L14" s="13">
        <f t="shared" si="0"/>
        <v>5.26</v>
      </c>
      <c r="M14" s="39">
        <f>SUMIFS(Datadetails[[Hours]:[Hours]],Datadetails[[Group]:[Group]],M$5,Datadetails[[Taskcode]:[Taskcode]],$A14,Datadetails[[Activity_help]:[Activity_help]],"C40")</f>
        <v>0</v>
      </c>
      <c r="N14" s="39">
        <f>SUMIFS(Datadetails[[Hours]:[Hours]],Datadetails[[Group]:[Group]],N$5,Datadetails[[Taskcode]:[Taskcode]],$A14,Datadetails[[Activity_help]:[Activity_help]],"C40")</f>
        <v>0</v>
      </c>
      <c r="O14" s="39">
        <f>SUMIFS(Datadetails[[Hours]:[Hours]],Datadetails[[Group]:[Group]],O$5,Datadetails[[Taskcode]:[Taskcode]],$A14,Datadetails[[Activity_help]:[Activity_help]],"C40")</f>
        <v>1</v>
      </c>
      <c r="P14" s="39">
        <f>SUMIFS(Datadetails[[Hours]:[Hours]],Datadetails[[Group]:[Group]],P$5,Datadetails[[Taskcode]:[Taskcode]],$A14,Datadetails[[Activity_help]:[Activity_help]],"C40")</f>
        <v>0</v>
      </c>
      <c r="Q14" s="40">
        <f t="shared" si="1"/>
        <v>1</v>
      </c>
      <c r="R14" s="63">
        <f>SUMIFS(Datadetails[[Hours]:[Hours]],Datadetails[[Group]:[Group]],"Other",Datadetails[[Taskcode]:[Taskcode]],$A14,Datadetails[[Activity_help]:[Activity_help]],"Other")</f>
        <v>0</v>
      </c>
      <c r="S14" s="21">
        <f t="shared" si="3"/>
        <v>6.26</v>
      </c>
    </row>
    <row r="15" spans="1:19" x14ac:dyDescent="0.25">
      <c r="A15" s="35" t="s">
        <v>20</v>
      </c>
      <c r="B15" s="66" t="s">
        <v>177</v>
      </c>
      <c r="C15" s="7">
        <f>SUMIFS(Datadetails[[Hours]:[Hours]],Datadetails[[Group]:[Group]],C$5,Datadetails[[Taskcode]:[Taskcode]],$A15,Datadetails[[Activity_help]:[Activity_help]],"C20")</f>
        <v>0</v>
      </c>
      <c r="D15" s="7">
        <f>SUMIFS(Datadetails[[Hours]:[Hours]],Datadetails[[Group]:[Group]],D$5,Datadetails[[Taskcode]:[Taskcode]],$A15,Datadetails[[Activity_help]:[Activity_help]],"C20")</f>
        <v>0</v>
      </c>
      <c r="E15" s="7">
        <f>SUMIFS(Datadetails[[Hours]:[Hours]],Datadetails[[Group]:[Group]],E$5,Datadetails[[Taskcode]:[Taskcode]],$A15,Datadetails[[Activity_help]:[Activity_help]],"C20")</f>
        <v>0</v>
      </c>
      <c r="F15" s="7">
        <f>SUMIFS(Datadetails[[Hours]:[Hours]],Datadetails[[Group]:[Group]],F$5,Datadetails[[Taskcode]:[Taskcode]],$A15,Datadetails[[Activity_help]:[Activity_help]],"C20")</f>
        <v>0</v>
      </c>
      <c r="G15" s="12">
        <f t="shared" si="2"/>
        <v>0</v>
      </c>
      <c r="H15" s="8">
        <f>SUMIFS(Datadetails[[Hours]:[Hours]],Datadetails[[Group]:[Group]],H$5,Datadetails[[Taskcode]:[Taskcode]],$A15,Datadetails[[Activity_help]:[Activity_help]],"C30")</f>
        <v>0</v>
      </c>
      <c r="I15" s="8">
        <f>SUMIFS(Datadetails[[Hours]:[Hours]],Datadetails[[Group]:[Group]],I$5,Datadetails[[Taskcode]:[Taskcode]],$A15,Datadetails[[Activity_help]:[Activity_help]],"C30")</f>
        <v>0</v>
      </c>
      <c r="J15" s="8">
        <f>SUMIFS(Datadetails[[Hours]:[Hours]],Datadetails[[Group]:[Group]],J$5,Datadetails[[Taskcode]:[Taskcode]],$A15,Datadetails[[Activity_help]:[Activity_help]],"C30")</f>
        <v>0.67</v>
      </c>
      <c r="K15" s="8">
        <f>SUMIFS(Datadetails[[Hours]:[Hours]],Datadetails[[Group]:[Group]],K$5,Datadetails[[Taskcode]:[Taskcode]],$A15,Datadetails[[Activity_help]:[Activity_help]],"C30")</f>
        <v>0</v>
      </c>
      <c r="L15" s="13">
        <f t="shared" si="0"/>
        <v>0.67</v>
      </c>
      <c r="M15" s="39">
        <f>SUMIFS(Datadetails[[Hours]:[Hours]],Datadetails[[Group]:[Group]],M$5,Datadetails[[Taskcode]:[Taskcode]],$A15,Datadetails[[Activity_help]:[Activity_help]],"C40")</f>
        <v>0</v>
      </c>
      <c r="N15" s="39">
        <f>SUMIFS(Datadetails[[Hours]:[Hours]],Datadetails[[Group]:[Group]],N$5,Datadetails[[Taskcode]:[Taskcode]],$A15,Datadetails[[Activity_help]:[Activity_help]],"C40")</f>
        <v>0</v>
      </c>
      <c r="O15" s="39">
        <f>SUMIFS(Datadetails[[Hours]:[Hours]],Datadetails[[Group]:[Group]],O$5,Datadetails[[Taskcode]:[Taskcode]],$A15,Datadetails[[Activity_help]:[Activity_help]],"C40")</f>
        <v>0.5</v>
      </c>
      <c r="P15" s="39">
        <f>SUMIFS(Datadetails[[Hours]:[Hours]],Datadetails[[Group]:[Group]],P$5,Datadetails[[Taskcode]:[Taskcode]],$A15,Datadetails[[Activity_help]:[Activity_help]],"C40")</f>
        <v>0</v>
      </c>
      <c r="Q15" s="40">
        <f t="shared" si="1"/>
        <v>0.5</v>
      </c>
      <c r="R15" s="63">
        <f>SUMIFS(Datadetails[[Hours]:[Hours]],Datadetails[[Group]:[Group]],"Other",Datadetails[[Taskcode]:[Taskcode]],$A15,Datadetails[[Activity_help]:[Activity_help]],"Other")</f>
        <v>0</v>
      </c>
      <c r="S15" s="21">
        <f t="shared" si="3"/>
        <v>1.17</v>
      </c>
    </row>
    <row r="16" spans="1:19" x14ac:dyDescent="0.25">
      <c r="A16" s="35" t="s">
        <v>41</v>
      </c>
      <c r="B16" s="66" t="s">
        <v>178</v>
      </c>
      <c r="C16" s="7">
        <f>SUMIFS(Datadetails[[Hours]:[Hours]],Datadetails[[Group]:[Group]],C$5,Datadetails[[Taskcode]:[Taskcode]],$A16,Datadetails[[Activity_help]:[Activity_help]],"C20")</f>
        <v>0</v>
      </c>
      <c r="D16" s="7">
        <f>SUMIFS(Datadetails[[Hours]:[Hours]],Datadetails[[Group]:[Group]],D$5,Datadetails[[Taskcode]:[Taskcode]],$A16,Datadetails[[Activity_help]:[Activity_help]],"C20")</f>
        <v>0</v>
      </c>
      <c r="E16" s="7">
        <f>SUMIFS(Datadetails[[Hours]:[Hours]],Datadetails[[Group]:[Group]],E$5,Datadetails[[Taskcode]:[Taskcode]],$A16,Datadetails[[Activity_help]:[Activity_help]],"C20")</f>
        <v>0</v>
      </c>
      <c r="F16" s="7">
        <f>SUMIFS(Datadetails[[Hours]:[Hours]],Datadetails[[Group]:[Group]],F$5,Datadetails[[Taskcode]:[Taskcode]],$A16,Datadetails[[Activity_help]:[Activity_help]],"C20")</f>
        <v>0</v>
      </c>
      <c r="G16" s="12">
        <f t="shared" si="2"/>
        <v>0</v>
      </c>
      <c r="H16" s="8">
        <f>SUMIFS(Datadetails[[Hours]:[Hours]],Datadetails[[Group]:[Group]],H$5,Datadetails[[Taskcode]:[Taskcode]],$A16,Datadetails[[Activity_help]:[Activity_help]],"C30")</f>
        <v>0</v>
      </c>
      <c r="I16" s="8">
        <f>SUMIFS(Datadetails[[Hours]:[Hours]],Datadetails[[Group]:[Group]],I$5,Datadetails[[Taskcode]:[Taskcode]],$A16,Datadetails[[Activity_help]:[Activity_help]],"C30")</f>
        <v>0</v>
      </c>
      <c r="J16" s="8">
        <f>SUMIFS(Datadetails[[Hours]:[Hours]],Datadetails[[Group]:[Group]],J$5,Datadetails[[Taskcode]:[Taskcode]],$A16,Datadetails[[Activity_help]:[Activity_help]],"C30")</f>
        <v>5.17</v>
      </c>
      <c r="K16" s="8">
        <f>SUMIFS(Datadetails[[Hours]:[Hours]],Datadetails[[Group]:[Group]],K$5,Datadetails[[Taskcode]:[Taskcode]],$A16,Datadetails[[Activity_help]:[Activity_help]],"C30")</f>
        <v>0</v>
      </c>
      <c r="L16" s="13">
        <f t="shared" si="0"/>
        <v>5.17</v>
      </c>
      <c r="M16" s="39">
        <f>SUMIFS(Datadetails[[Hours]:[Hours]],Datadetails[[Group]:[Group]],M$5,Datadetails[[Taskcode]:[Taskcode]],$A16,Datadetails[[Activity_help]:[Activity_help]],"C40")</f>
        <v>0</v>
      </c>
      <c r="N16" s="39">
        <f>SUMIFS(Datadetails[[Hours]:[Hours]],Datadetails[[Group]:[Group]],N$5,Datadetails[[Taskcode]:[Taskcode]],$A16,Datadetails[[Activity_help]:[Activity_help]],"C40")</f>
        <v>0</v>
      </c>
      <c r="O16" s="39">
        <f>SUMIFS(Datadetails[[Hours]:[Hours]],Datadetails[[Group]:[Group]],O$5,Datadetails[[Taskcode]:[Taskcode]],$A16,Datadetails[[Activity_help]:[Activity_help]],"C40")</f>
        <v>5.25</v>
      </c>
      <c r="P16" s="39">
        <f>SUMIFS(Datadetails[[Hours]:[Hours]],Datadetails[[Group]:[Group]],P$5,Datadetails[[Taskcode]:[Taskcode]],$A16,Datadetails[[Activity_help]:[Activity_help]],"C40")</f>
        <v>0</v>
      </c>
      <c r="Q16" s="40">
        <f t="shared" si="1"/>
        <v>5.25</v>
      </c>
      <c r="R16" s="63">
        <f>SUMIFS(Datadetails[[Hours]:[Hours]],Datadetails[[Group]:[Group]],"Other",Datadetails[[Taskcode]:[Taskcode]],$A16,Datadetails[[Activity_help]:[Activity_help]],"Other")</f>
        <v>0</v>
      </c>
      <c r="S16" s="21">
        <f t="shared" si="3"/>
        <v>10.42</v>
      </c>
    </row>
    <row r="17" spans="1:19" x14ac:dyDescent="0.25">
      <c r="A17" s="35" t="s">
        <v>51</v>
      </c>
      <c r="B17" s="66" t="s">
        <v>179</v>
      </c>
      <c r="C17" s="7">
        <f>SUMIFS(Datadetails[[Hours]:[Hours]],Datadetails[[Group]:[Group]],C$5,Datadetails[[Taskcode]:[Taskcode]],$A17,Datadetails[[Activity_help]:[Activity_help]],"C20")</f>
        <v>0</v>
      </c>
      <c r="D17" s="7">
        <f>SUMIFS(Datadetails[[Hours]:[Hours]],Datadetails[[Group]:[Group]],D$5,Datadetails[[Taskcode]:[Taskcode]],$A17,Datadetails[[Activity_help]:[Activity_help]],"C20")</f>
        <v>0</v>
      </c>
      <c r="E17" s="7">
        <f>SUMIFS(Datadetails[[Hours]:[Hours]],Datadetails[[Group]:[Group]],E$5,Datadetails[[Taskcode]:[Taskcode]],$A17,Datadetails[[Activity_help]:[Activity_help]],"C20")</f>
        <v>0.58000000000000007</v>
      </c>
      <c r="F17" s="7">
        <f>SUMIFS(Datadetails[[Hours]:[Hours]],Datadetails[[Group]:[Group]],F$5,Datadetails[[Taskcode]:[Taskcode]],$A17,Datadetails[[Activity_help]:[Activity_help]],"C20")</f>
        <v>0</v>
      </c>
      <c r="G17" s="12">
        <f t="shared" si="2"/>
        <v>0.58000000000000007</v>
      </c>
      <c r="H17" s="8">
        <f>SUMIFS(Datadetails[[Hours]:[Hours]],Datadetails[[Group]:[Group]],H$5,Datadetails[[Taskcode]:[Taskcode]],$A17,Datadetails[[Activity_help]:[Activity_help]],"C30")</f>
        <v>0</v>
      </c>
      <c r="I17" s="8">
        <f>SUMIFS(Datadetails[[Hours]:[Hours]],Datadetails[[Group]:[Group]],I$5,Datadetails[[Taskcode]:[Taskcode]],$A17,Datadetails[[Activity_help]:[Activity_help]],"C30")</f>
        <v>0</v>
      </c>
      <c r="J17" s="8">
        <f>SUMIFS(Datadetails[[Hours]:[Hours]],Datadetails[[Group]:[Group]],J$5,Datadetails[[Taskcode]:[Taskcode]],$A17,Datadetails[[Activity_help]:[Activity_help]],"C30")</f>
        <v>8.36</v>
      </c>
      <c r="K17" s="8">
        <f>SUMIFS(Datadetails[[Hours]:[Hours]],Datadetails[[Group]:[Group]],K$5,Datadetails[[Taskcode]:[Taskcode]],$A17,Datadetails[[Activity_help]:[Activity_help]],"C30")</f>
        <v>0</v>
      </c>
      <c r="L17" s="13">
        <f t="shared" si="0"/>
        <v>8.36</v>
      </c>
      <c r="M17" s="39">
        <f>SUMIFS(Datadetails[[Hours]:[Hours]],Datadetails[[Group]:[Group]],M$5,Datadetails[[Taskcode]:[Taskcode]],$A17,Datadetails[[Activity_help]:[Activity_help]],"C40")</f>
        <v>0</v>
      </c>
      <c r="N17" s="39">
        <f>SUMIFS(Datadetails[[Hours]:[Hours]],Datadetails[[Group]:[Group]],N$5,Datadetails[[Taskcode]:[Taskcode]],$A17,Datadetails[[Activity_help]:[Activity_help]],"C40")</f>
        <v>0</v>
      </c>
      <c r="O17" s="39">
        <f>SUMIFS(Datadetails[[Hours]:[Hours]],Datadetails[[Group]:[Group]],O$5,Datadetails[[Taskcode]:[Taskcode]],$A17,Datadetails[[Activity_help]:[Activity_help]],"C40")</f>
        <v>3.09</v>
      </c>
      <c r="P17" s="39">
        <f>SUMIFS(Datadetails[[Hours]:[Hours]],Datadetails[[Group]:[Group]],P$5,Datadetails[[Taskcode]:[Taskcode]],$A17,Datadetails[[Activity_help]:[Activity_help]],"C40")</f>
        <v>0</v>
      </c>
      <c r="Q17" s="40">
        <f t="shared" si="1"/>
        <v>3.09</v>
      </c>
      <c r="R17" s="63">
        <f>SUMIFS(Datadetails[[Hours]:[Hours]],Datadetails[[Group]:[Group]],"Other",Datadetails[[Taskcode]:[Taskcode]],$A17,Datadetails[[Activity_help]:[Activity_help]],"Other")</f>
        <v>0</v>
      </c>
      <c r="S17" s="21">
        <f t="shared" si="3"/>
        <v>12.03</v>
      </c>
    </row>
    <row r="18" spans="1:19" x14ac:dyDescent="0.25">
      <c r="A18" s="35" t="s">
        <v>57</v>
      </c>
      <c r="B18" s="66" t="s">
        <v>180</v>
      </c>
      <c r="C18" s="7">
        <f>SUMIFS(Datadetails[[Hours]:[Hours]],Datadetails[[Group]:[Group]],C$5,Datadetails[[Taskcode]:[Taskcode]],$A18,Datadetails[[Activity_help]:[Activity_help]],"C20")</f>
        <v>0</v>
      </c>
      <c r="D18" s="7">
        <f>SUMIFS(Datadetails[[Hours]:[Hours]],Datadetails[[Group]:[Group]],D$5,Datadetails[[Taskcode]:[Taskcode]],$A18,Datadetails[[Activity_help]:[Activity_help]],"C20")</f>
        <v>0</v>
      </c>
      <c r="E18" s="7">
        <f>SUMIFS(Datadetails[[Hours]:[Hours]],Datadetails[[Group]:[Group]],E$5,Datadetails[[Taskcode]:[Taskcode]],$A18,Datadetails[[Activity_help]:[Activity_help]],"C20")</f>
        <v>0.25</v>
      </c>
      <c r="F18" s="7">
        <f>SUMIFS(Datadetails[[Hours]:[Hours]],Datadetails[[Group]:[Group]],F$5,Datadetails[[Taskcode]:[Taskcode]],$A18,Datadetails[[Activity_help]:[Activity_help]],"C20")</f>
        <v>0</v>
      </c>
      <c r="G18" s="12">
        <f t="shared" si="2"/>
        <v>0.25</v>
      </c>
      <c r="H18" s="8">
        <f>SUMIFS(Datadetails[[Hours]:[Hours]],Datadetails[[Group]:[Group]],H$5,Datadetails[[Taskcode]:[Taskcode]],$A18,Datadetails[[Activity_help]:[Activity_help]],"C30")</f>
        <v>0</v>
      </c>
      <c r="I18" s="8">
        <f>SUMIFS(Datadetails[[Hours]:[Hours]],Datadetails[[Group]:[Group]],I$5,Datadetails[[Taskcode]:[Taskcode]],$A18,Datadetails[[Activity_help]:[Activity_help]],"C30")</f>
        <v>0</v>
      </c>
      <c r="J18" s="8">
        <f>SUMIFS(Datadetails[[Hours]:[Hours]],Datadetails[[Group]:[Group]],J$5,Datadetails[[Taskcode]:[Taskcode]],$A18,Datadetails[[Activity_help]:[Activity_help]],"C30")</f>
        <v>2.25</v>
      </c>
      <c r="K18" s="8">
        <f>SUMIFS(Datadetails[[Hours]:[Hours]],Datadetails[[Group]:[Group]],K$5,Datadetails[[Taskcode]:[Taskcode]],$A18,Datadetails[[Activity_help]:[Activity_help]],"C30")</f>
        <v>0</v>
      </c>
      <c r="L18" s="13">
        <f t="shared" si="0"/>
        <v>2.25</v>
      </c>
      <c r="M18" s="39">
        <f>SUMIFS(Datadetails[[Hours]:[Hours]],Datadetails[[Group]:[Group]],M$5,Datadetails[[Taskcode]:[Taskcode]],$A18,Datadetails[[Activity_help]:[Activity_help]],"C40")</f>
        <v>0</v>
      </c>
      <c r="N18" s="39">
        <f>SUMIFS(Datadetails[[Hours]:[Hours]],Datadetails[[Group]:[Group]],N$5,Datadetails[[Taskcode]:[Taskcode]],$A18,Datadetails[[Activity_help]:[Activity_help]],"C40")</f>
        <v>0</v>
      </c>
      <c r="O18" s="39">
        <f>SUMIFS(Datadetails[[Hours]:[Hours]],Datadetails[[Group]:[Group]],O$5,Datadetails[[Taskcode]:[Taskcode]],$A18,Datadetails[[Activity_help]:[Activity_help]],"C40")</f>
        <v>0</v>
      </c>
      <c r="P18" s="39">
        <f>SUMIFS(Datadetails[[Hours]:[Hours]],Datadetails[[Group]:[Group]],P$5,Datadetails[[Taskcode]:[Taskcode]],$A18,Datadetails[[Activity_help]:[Activity_help]],"C40")</f>
        <v>0</v>
      </c>
      <c r="Q18" s="40">
        <f t="shared" si="1"/>
        <v>0</v>
      </c>
      <c r="R18" s="63">
        <f>SUMIFS(Datadetails[[Hours]:[Hours]],Datadetails[[Group]:[Group]],"Other",Datadetails[[Taskcode]:[Taskcode]],$A18,Datadetails[[Activity_help]:[Activity_help]],"Other")</f>
        <v>0</v>
      </c>
      <c r="S18" s="21">
        <f t="shared" si="3"/>
        <v>2.5</v>
      </c>
    </row>
    <row r="19" spans="1:19" x14ac:dyDescent="0.25">
      <c r="A19" s="35" t="s">
        <v>58</v>
      </c>
      <c r="B19" s="66" t="s">
        <v>181</v>
      </c>
      <c r="C19" s="7">
        <f>SUMIFS(Datadetails[[Hours]:[Hours]],Datadetails[[Group]:[Group]],C$5,Datadetails[[Taskcode]:[Taskcode]],$A19,Datadetails[[Activity_help]:[Activity_help]],"C20")</f>
        <v>0</v>
      </c>
      <c r="D19" s="7">
        <f>SUMIFS(Datadetails[[Hours]:[Hours]],Datadetails[[Group]:[Group]],D$5,Datadetails[[Taskcode]:[Taskcode]],$A19,Datadetails[[Activity_help]:[Activity_help]],"C20")</f>
        <v>0</v>
      </c>
      <c r="E19" s="7">
        <f>SUMIFS(Datadetails[[Hours]:[Hours]],Datadetails[[Group]:[Group]],E$5,Datadetails[[Taskcode]:[Taskcode]],$A19,Datadetails[[Activity_help]:[Activity_help]],"C20")</f>
        <v>0</v>
      </c>
      <c r="F19" s="7">
        <f>SUMIFS(Datadetails[[Hours]:[Hours]],Datadetails[[Group]:[Group]],F$5,Datadetails[[Taskcode]:[Taskcode]],$A19,Datadetails[[Activity_help]:[Activity_help]],"C20")</f>
        <v>0</v>
      </c>
      <c r="G19" s="12">
        <f t="shared" si="2"/>
        <v>0</v>
      </c>
      <c r="H19" s="8">
        <f>SUMIFS(Datadetails[[Hours]:[Hours]],Datadetails[[Group]:[Group]],H$5,Datadetails[[Taskcode]:[Taskcode]],$A19,Datadetails[[Activity_help]:[Activity_help]],"C30")</f>
        <v>0</v>
      </c>
      <c r="I19" s="8">
        <f>SUMIFS(Datadetails[[Hours]:[Hours]],Datadetails[[Group]:[Group]],I$5,Datadetails[[Taskcode]:[Taskcode]],$A19,Datadetails[[Activity_help]:[Activity_help]],"C30")</f>
        <v>0</v>
      </c>
      <c r="J19" s="8">
        <f>SUMIFS(Datadetails[[Hours]:[Hours]],Datadetails[[Group]:[Group]],J$5,Datadetails[[Taskcode]:[Taskcode]],$A19,Datadetails[[Activity_help]:[Activity_help]],"C30")</f>
        <v>1.34</v>
      </c>
      <c r="K19" s="8">
        <f>SUMIFS(Datadetails[[Hours]:[Hours]],Datadetails[[Group]:[Group]],K$5,Datadetails[[Taskcode]:[Taskcode]],$A19,Datadetails[[Activity_help]:[Activity_help]],"C30")</f>
        <v>0</v>
      </c>
      <c r="L19" s="13">
        <f t="shared" si="0"/>
        <v>1.34</v>
      </c>
      <c r="M19" s="39">
        <f>SUMIFS(Datadetails[[Hours]:[Hours]],Datadetails[[Group]:[Group]],M$5,Datadetails[[Taskcode]:[Taskcode]],$A19,Datadetails[[Activity_help]:[Activity_help]],"C40")</f>
        <v>0</v>
      </c>
      <c r="N19" s="39">
        <f>SUMIFS(Datadetails[[Hours]:[Hours]],Datadetails[[Group]:[Group]],N$5,Datadetails[[Taskcode]:[Taskcode]],$A19,Datadetails[[Activity_help]:[Activity_help]],"C40")</f>
        <v>0</v>
      </c>
      <c r="O19" s="39">
        <f>SUMIFS(Datadetails[[Hours]:[Hours]],Datadetails[[Group]:[Group]],O$5,Datadetails[[Taskcode]:[Taskcode]],$A19,Datadetails[[Activity_help]:[Activity_help]],"C40")</f>
        <v>0</v>
      </c>
      <c r="P19" s="39">
        <f>SUMIFS(Datadetails[[Hours]:[Hours]],Datadetails[[Group]:[Group]],P$5,Datadetails[[Taskcode]:[Taskcode]],$A19,Datadetails[[Activity_help]:[Activity_help]],"C40")</f>
        <v>0</v>
      </c>
      <c r="Q19" s="40">
        <f t="shared" si="1"/>
        <v>0</v>
      </c>
      <c r="R19" s="63">
        <f>SUMIFS(Datadetails[[Hours]:[Hours]],Datadetails[[Group]:[Group]],"Other",Datadetails[[Taskcode]:[Taskcode]],$A19,Datadetails[[Activity_help]:[Activity_help]],"Other")</f>
        <v>0</v>
      </c>
      <c r="S19" s="21">
        <f t="shared" si="3"/>
        <v>1.34</v>
      </c>
    </row>
    <row r="20" spans="1:19" x14ac:dyDescent="0.25">
      <c r="A20" s="35" t="s">
        <v>59</v>
      </c>
      <c r="B20" s="66" t="s">
        <v>182</v>
      </c>
      <c r="C20" s="7">
        <f>SUMIFS(Datadetails[[Hours]:[Hours]],Datadetails[[Group]:[Group]],C$5,Datadetails[[Taskcode]:[Taskcode]],$A20,Datadetails[[Activity_help]:[Activity_help]],"C20")</f>
        <v>0</v>
      </c>
      <c r="D20" s="7">
        <f>SUMIFS(Datadetails[[Hours]:[Hours]],Datadetails[[Group]:[Group]],D$5,Datadetails[[Taskcode]:[Taskcode]],$A20,Datadetails[[Activity_help]:[Activity_help]],"C20")</f>
        <v>0</v>
      </c>
      <c r="E20" s="7">
        <f>SUMIFS(Datadetails[[Hours]:[Hours]],Datadetails[[Group]:[Group]],E$5,Datadetails[[Taskcode]:[Taskcode]],$A20,Datadetails[[Activity_help]:[Activity_help]],"C20")</f>
        <v>0</v>
      </c>
      <c r="F20" s="7">
        <f>SUMIFS(Datadetails[[Hours]:[Hours]],Datadetails[[Group]:[Group]],F$5,Datadetails[[Taskcode]:[Taskcode]],$A20,Datadetails[[Activity_help]:[Activity_help]],"C20")</f>
        <v>0</v>
      </c>
      <c r="G20" s="12">
        <f t="shared" si="2"/>
        <v>0</v>
      </c>
      <c r="H20" s="8">
        <f>SUMIFS(Datadetails[[Hours]:[Hours]],Datadetails[[Group]:[Group]],H$5,Datadetails[[Taskcode]:[Taskcode]],$A20,Datadetails[[Activity_help]:[Activity_help]],"C30")</f>
        <v>0</v>
      </c>
      <c r="I20" s="8">
        <f>SUMIFS(Datadetails[[Hours]:[Hours]],Datadetails[[Group]:[Group]],I$5,Datadetails[[Taskcode]:[Taskcode]],$A20,Datadetails[[Activity_help]:[Activity_help]],"C30")</f>
        <v>0</v>
      </c>
      <c r="J20" s="8">
        <f>SUMIFS(Datadetails[[Hours]:[Hours]],Datadetails[[Group]:[Group]],J$5,Datadetails[[Taskcode]:[Taskcode]],$A20,Datadetails[[Activity_help]:[Activity_help]],"C30")</f>
        <v>1.34</v>
      </c>
      <c r="K20" s="8">
        <f>SUMIFS(Datadetails[[Hours]:[Hours]],Datadetails[[Group]:[Group]],K$5,Datadetails[[Taskcode]:[Taskcode]],$A20,Datadetails[[Activity_help]:[Activity_help]],"C30")</f>
        <v>0</v>
      </c>
      <c r="L20" s="13">
        <f t="shared" si="0"/>
        <v>1.34</v>
      </c>
      <c r="M20" s="39">
        <f>SUMIFS(Datadetails[[Hours]:[Hours]],Datadetails[[Group]:[Group]],M$5,Datadetails[[Taskcode]:[Taskcode]],$A20,Datadetails[[Activity_help]:[Activity_help]],"C40")</f>
        <v>0</v>
      </c>
      <c r="N20" s="39">
        <f>SUMIFS(Datadetails[[Hours]:[Hours]],Datadetails[[Group]:[Group]],N$5,Datadetails[[Taskcode]:[Taskcode]],$A20,Datadetails[[Activity_help]:[Activity_help]],"C40")</f>
        <v>0</v>
      </c>
      <c r="O20" s="39">
        <f>SUMIFS(Datadetails[[Hours]:[Hours]],Datadetails[[Group]:[Group]],O$5,Datadetails[[Taskcode]:[Taskcode]],$A20,Datadetails[[Activity_help]:[Activity_help]],"C40")</f>
        <v>0</v>
      </c>
      <c r="P20" s="39">
        <f>SUMIFS(Datadetails[[Hours]:[Hours]],Datadetails[[Group]:[Group]],P$5,Datadetails[[Taskcode]:[Taskcode]],$A20,Datadetails[[Activity_help]:[Activity_help]],"C40")</f>
        <v>0</v>
      </c>
      <c r="Q20" s="40">
        <f t="shared" si="1"/>
        <v>0</v>
      </c>
      <c r="R20" s="63">
        <f>SUMIFS(Datadetails[[Hours]:[Hours]],Datadetails[[Group]:[Group]],"Other",Datadetails[[Taskcode]:[Taskcode]],$A20,Datadetails[[Activity_help]:[Activity_help]],"Other")</f>
        <v>0</v>
      </c>
      <c r="S20" s="21">
        <f t="shared" si="3"/>
        <v>1.34</v>
      </c>
    </row>
    <row r="21" spans="1:19" x14ac:dyDescent="0.25">
      <c r="A21" s="35" t="s">
        <v>60</v>
      </c>
      <c r="B21" s="66" t="s">
        <v>183</v>
      </c>
      <c r="C21" s="7">
        <f>SUMIFS(Datadetails[[Hours]:[Hours]],Datadetails[[Group]:[Group]],C$5,Datadetails[[Taskcode]:[Taskcode]],$A21,Datadetails[[Activity_help]:[Activity_help]],"C20")</f>
        <v>0</v>
      </c>
      <c r="D21" s="7">
        <f>SUMIFS(Datadetails[[Hours]:[Hours]],Datadetails[[Group]:[Group]],D$5,Datadetails[[Taskcode]:[Taskcode]],$A21,Datadetails[[Activity_help]:[Activity_help]],"C20")</f>
        <v>0</v>
      </c>
      <c r="E21" s="7">
        <f>SUMIFS(Datadetails[[Hours]:[Hours]],Datadetails[[Group]:[Group]],E$5,Datadetails[[Taskcode]:[Taskcode]],$A21,Datadetails[[Activity_help]:[Activity_help]],"C20")</f>
        <v>0</v>
      </c>
      <c r="F21" s="7">
        <f>SUMIFS(Datadetails[[Hours]:[Hours]],Datadetails[[Group]:[Group]],F$5,Datadetails[[Taskcode]:[Taskcode]],$A21,Datadetails[[Activity_help]:[Activity_help]],"C20")</f>
        <v>0</v>
      </c>
      <c r="G21" s="12">
        <f t="shared" si="2"/>
        <v>0</v>
      </c>
      <c r="H21" s="8">
        <f>SUMIFS(Datadetails[[Hours]:[Hours]],Datadetails[[Group]:[Group]],H$5,Datadetails[[Taskcode]:[Taskcode]],$A21,Datadetails[[Activity_help]:[Activity_help]],"C30")</f>
        <v>0</v>
      </c>
      <c r="I21" s="8">
        <f>SUMIFS(Datadetails[[Hours]:[Hours]],Datadetails[[Group]:[Group]],I$5,Datadetails[[Taskcode]:[Taskcode]],$A21,Datadetails[[Activity_help]:[Activity_help]],"C30")</f>
        <v>0</v>
      </c>
      <c r="J21" s="8">
        <f>SUMIFS(Datadetails[[Hours]:[Hours]],Datadetails[[Group]:[Group]],J$5,Datadetails[[Taskcode]:[Taskcode]],$A21,Datadetails[[Activity_help]:[Activity_help]],"C30")</f>
        <v>3.92</v>
      </c>
      <c r="K21" s="8">
        <f>SUMIFS(Datadetails[[Hours]:[Hours]],Datadetails[[Group]:[Group]],K$5,Datadetails[[Taskcode]:[Taskcode]],$A21,Datadetails[[Activity_help]:[Activity_help]],"C30")</f>
        <v>0</v>
      </c>
      <c r="L21" s="13">
        <f t="shared" si="0"/>
        <v>3.92</v>
      </c>
      <c r="M21" s="39">
        <f>SUMIFS(Datadetails[[Hours]:[Hours]],Datadetails[[Group]:[Group]],M$5,Datadetails[[Taskcode]:[Taskcode]],$A21,Datadetails[[Activity_help]:[Activity_help]],"C40")</f>
        <v>0</v>
      </c>
      <c r="N21" s="39">
        <f>SUMIFS(Datadetails[[Hours]:[Hours]],Datadetails[[Group]:[Group]],N$5,Datadetails[[Taskcode]:[Taskcode]],$A21,Datadetails[[Activity_help]:[Activity_help]],"C40")</f>
        <v>0</v>
      </c>
      <c r="O21" s="39">
        <f>SUMIFS(Datadetails[[Hours]:[Hours]],Datadetails[[Group]:[Group]],O$5,Datadetails[[Taskcode]:[Taskcode]],$A21,Datadetails[[Activity_help]:[Activity_help]],"C40")</f>
        <v>2.75</v>
      </c>
      <c r="P21" s="39">
        <f>SUMIFS(Datadetails[[Hours]:[Hours]],Datadetails[[Group]:[Group]],P$5,Datadetails[[Taskcode]:[Taskcode]],$A21,Datadetails[[Activity_help]:[Activity_help]],"C40")</f>
        <v>0</v>
      </c>
      <c r="Q21" s="40">
        <f t="shared" si="1"/>
        <v>2.75</v>
      </c>
      <c r="R21" s="63">
        <f>SUMIFS(Datadetails[[Hours]:[Hours]],Datadetails[[Group]:[Group]],"Other",Datadetails[[Taskcode]:[Taskcode]],$A21,Datadetails[[Activity_help]:[Activity_help]],"Other")</f>
        <v>0</v>
      </c>
      <c r="S21" s="21">
        <f t="shared" si="3"/>
        <v>6.67</v>
      </c>
    </row>
    <row r="22" spans="1:19" x14ac:dyDescent="0.25">
      <c r="A22" s="35" t="s">
        <v>61</v>
      </c>
      <c r="B22" s="66" t="s">
        <v>184</v>
      </c>
      <c r="C22" s="7">
        <f>SUMIFS(Datadetails[[Hours]:[Hours]],Datadetails[[Group]:[Group]],C$5,Datadetails[[Taskcode]:[Taskcode]],$A22,Datadetails[[Activity_help]:[Activity_help]],"C20")</f>
        <v>0</v>
      </c>
      <c r="D22" s="7">
        <f>SUMIFS(Datadetails[[Hours]:[Hours]],Datadetails[[Group]:[Group]],D$5,Datadetails[[Taskcode]:[Taskcode]],$A22,Datadetails[[Activity_help]:[Activity_help]],"C20")</f>
        <v>0</v>
      </c>
      <c r="E22" s="7">
        <f>SUMIFS(Datadetails[[Hours]:[Hours]],Datadetails[[Group]:[Group]],E$5,Datadetails[[Taskcode]:[Taskcode]],$A22,Datadetails[[Activity_help]:[Activity_help]],"C20")</f>
        <v>0</v>
      </c>
      <c r="F22" s="7">
        <f>SUMIFS(Datadetails[[Hours]:[Hours]],Datadetails[[Group]:[Group]],F$5,Datadetails[[Taskcode]:[Taskcode]],$A22,Datadetails[[Activity_help]:[Activity_help]],"C20")</f>
        <v>0</v>
      </c>
      <c r="G22" s="12">
        <f t="shared" si="2"/>
        <v>0</v>
      </c>
      <c r="H22" s="8">
        <f>SUMIFS(Datadetails[[Hours]:[Hours]],Datadetails[[Group]:[Group]],H$5,Datadetails[[Taskcode]:[Taskcode]],$A22,Datadetails[[Activity_help]:[Activity_help]],"C30")</f>
        <v>0</v>
      </c>
      <c r="I22" s="8">
        <f>SUMIFS(Datadetails[[Hours]:[Hours]],Datadetails[[Group]:[Group]],I$5,Datadetails[[Taskcode]:[Taskcode]],$A22,Datadetails[[Activity_help]:[Activity_help]],"C30")</f>
        <v>0</v>
      </c>
      <c r="J22" s="8">
        <f>SUMIFS(Datadetails[[Hours]:[Hours]],Datadetails[[Group]:[Group]],J$5,Datadetails[[Taskcode]:[Taskcode]],$A22,Datadetails[[Activity_help]:[Activity_help]],"C30")</f>
        <v>1.84</v>
      </c>
      <c r="K22" s="8">
        <f>SUMIFS(Datadetails[[Hours]:[Hours]],Datadetails[[Group]:[Group]],K$5,Datadetails[[Taskcode]:[Taskcode]],$A22,Datadetails[[Activity_help]:[Activity_help]],"C30")</f>
        <v>0</v>
      </c>
      <c r="L22" s="13">
        <f t="shared" si="0"/>
        <v>1.84</v>
      </c>
      <c r="M22" s="39">
        <f>SUMIFS(Datadetails[[Hours]:[Hours]],Datadetails[[Group]:[Group]],M$5,Datadetails[[Taskcode]:[Taskcode]],$A22,Datadetails[[Activity_help]:[Activity_help]],"C40")</f>
        <v>0</v>
      </c>
      <c r="N22" s="39">
        <f>SUMIFS(Datadetails[[Hours]:[Hours]],Datadetails[[Group]:[Group]],N$5,Datadetails[[Taskcode]:[Taskcode]],$A22,Datadetails[[Activity_help]:[Activity_help]],"C40")</f>
        <v>0</v>
      </c>
      <c r="O22" s="39">
        <f>SUMIFS(Datadetails[[Hours]:[Hours]],Datadetails[[Group]:[Group]],O$5,Datadetails[[Taskcode]:[Taskcode]],$A22,Datadetails[[Activity_help]:[Activity_help]],"C40")</f>
        <v>1.5</v>
      </c>
      <c r="P22" s="39">
        <f>SUMIFS(Datadetails[[Hours]:[Hours]],Datadetails[[Group]:[Group]],P$5,Datadetails[[Taskcode]:[Taskcode]],$A22,Datadetails[[Activity_help]:[Activity_help]],"C40")</f>
        <v>0</v>
      </c>
      <c r="Q22" s="40">
        <f t="shared" si="1"/>
        <v>1.5</v>
      </c>
      <c r="R22" s="63">
        <f>SUMIFS(Datadetails[[Hours]:[Hours]],Datadetails[[Group]:[Group]],"Other",Datadetails[[Taskcode]:[Taskcode]],$A22,Datadetails[[Activity_help]:[Activity_help]],"Other")</f>
        <v>0</v>
      </c>
      <c r="S22" s="21">
        <f t="shared" si="3"/>
        <v>3.34</v>
      </c>
    </row>
    <row r="23" spans="1:19" x14ac:dyDescent="0.25">
      <c r="A23" s="35" t="s">
        <v>62</v>
      </c>
      <c r="B23" s="66" t="s">
        <v>185</v>
      </c>
      <c r="C23" s="7">
        <f>SUMIFS(Datadetails[[Hours]:[Hours]],Datadetails[[Group]:[Group]],C$5,Datadetails[[Taskcode]:[Taskcode]],$A23,Datadetails[[Activity_help]:[Activity_help]],"C20")</f>
        <v>0</v>
      </c>
      <c r="D23" s="7">
        <f>SUMIFS(Datadetails[[Hours]:[Hours]],Datadetails[[Group]:[Group]],D$5,Datadetails[[Taskcode]:[Taskcode]],$A23,Datadetails[[Activity_help]:[Activity_help]],"C20")</f>
        <v>0</v>
      </c>
      <c r="E23" s="7">
        <f>SUMIFS(Datadetails[[Hours]:[Hours]],Datadetails[[Group]:[Group]],E$5,Datadetails[[Taskcode]:[Taskcode]],$A23,Datadetails[[Activity_help]:[Activity_help]],"C20")</f>
        <v>0</v>
      </c>
      <c r="F23" s="7">
        <f>SUMIFS(Datadetails[[Hours]:[Hours]],Datadetails[[Group]:[Group]],F$5,Datadetails[[Taskcode]:[Taskcode]],$A23,Datadetails[[Activity_help]:[Activity_help]],"C20")</f>
        <v>0</v>
      </c>
      <c r="G23" s="12">
        <f t="shared" si="2"/>
        <v>0</v>
      </c>
      <c r="H23" s="8">
        <f>SUMIFS(Datadetails[[Hours]:[Hours]],Datadetails[[Group]:[Group]],H$5,Datadetails[[Taskcode]:[Taskcode]],$A23,Datadetails[[Activity_help]:[Activity_help]],"C30")</f>
        <v>0</v>
      </c>
      <c r="I23" s="8">
        <f>SUMIFS(Datadetails[[Hours]:[Hours]],Datadetails[[Group]:[Group]],I$5,Datadetails[[Taskcode]:[Taskcode]],$A23,Datadetails[[Activity_help]:[Activity_help]],"C30")</f>
        <v>0</v>
      </c>
      <c r="J23" s="8">
        <f>SUMIFS(Datadetails[[Hours]:[Hours]],Datadetails[[Group]:[Group]],J$5,Datadetails[[Taskcode]:[Taskcode]],$A23,Datadetails[[Activity_help]:[Activity_help]],"C30")</f>
        <v>0</v>
      </c>
      <c r="K23" s="8">
        <f>SUMIFS(Datadetails[[Hours]:[Hours]],Datadetails[[Group]:[Group]],K$5,Datadetails[[Taskcode]:[Taskcode]],$A23,Datadetails[[Activity_help]:[Activity_help]],"C30")</f>
        <v>0</v>
      </c>
      <c r="L23" s="13">
        <f t="shared" si="0"/>
        <v>0</v>
      </c>
      <c r="M23" s="39">
        <f>SUMIFS(Datadetails[[Hours]:[Hours]],Datadetails[[Group]:[Group]],M$5,Datadetails[[Taskcode]:[Taskcode]],$A23,Datadetails[[Activity_help]:[Activity_help]],"C40")</f>
        <v>0</v>
      </c>
      <c r="N23" s="39">
        <f>SUMIFS(Datadetails[[Hours]:[Hours]],Datadetails[[Group]:[Group]],N$5,Datadetails[[Taskcode]:[Taskcode]],$A23,Datadetails[[Activity_help]:[Activity_help]],"C40")</f>
        <v>0</v>
      </c>
      <c r="O23" s="39">
        <f>SUMIFS(Datadetails[[Hours]:[Hours]],Datadetails[[Group]:[Group]],O$5,Datadetails[[Taskcode]:[Taskcode]],$A23,Datadetails[[Activity_help]:[Activity_help]],"C40")</f>
        <v>0</v>
      </c>
      <c r="P23" s="39">
        <f>SUMIFS(Datadetails[[Hours]:[Hours]],Datadetails[[Group]:[Group]],P$5,Datadetails[[Taskcode]:[Taskcode]],$A23,Datadetails[[Activity_help]:[Activity_help]],"C40")</f>
        <v>0</v>
      </c>
      <c r="Q23" s="40">
        <f t="shared" si="1"/>
        <v>0</v>
      </c>
      <c r="R23" s="63">
        <f>SUMIFS(Datadetails[[Hours]:[Hours]],Datadetails[[Group]:[Group]],"Other",Datadetails[[Taskcode]:[Taskcode]],$A23,Datadetails[[Activity_help]:[Activity_help]],"Other")</f>
        <v>0</v>
      </c>
      <c r="S23" s="21">
        <f t="shared" si="3"/>
        <v>0</v>
      </c>
    </row>
    <row r="24" spans="1:19" x14ac:dyDescent="0.25">
      <c r="A24" s="35" t="s">
        <v>63</v>
      </c>
      <c r="B24" s="66" t="s">
        <v>186</v>
      </c>
      <c r="C24" s="7">
        <f>SUMIFS(Datadetails[[Hours]:[Hours]],Datadetails[[Group]:[Group]],C$5,Datadetails[[Taskcode]:[Taskcode]],$A24,Datadetails[[Activity_help]:[Activity_help]],"C20")</f>
        <v>0</v>
      </c>
      <c r="D24" s="7">
        <f>SUMIFS(Datadetails[[Hours]:[Hours]],Datadetails[[Group]:[Group]],D$5,Datadetails[[Taskcode]:[Taskcode]],$A24,Datadetails[[Activity_help]:[Activity_help]],"C20")</f>
        <v>0</v>
      </c>
      <c r="E24" s="7">
        <f>SUMIFS(Datadetails[[Hours]:[Hours]],Datadetails[[Group]:[Group]],E$5,Datadetails[[Taskcode]:[Taskcode]],$A24,Datadetails[[Activity_help]:[Activity_help]],"C20")</f>
        <v>0</v>
      </c>
      <c r="F24" s="7">
        <f>SUMIFS(Datadetails[[Hours]:[Hours]],Datadetails[[Group]:[Group]],F$5,Datadetails[[Taskcode]:[Taskcode]],$A24,Datadetails[[Activity_help]:[Activity_help]],"C20")</f>
        <v>0</v>
      </c>
      <c r="G24" s="12">
        <f t="shared" si="2"/>
        <v>0</v>
      </c>
      <c r="H24" s="8">
        <f>SUMIFS(Datadetails[[Hours]:[Hours]],Datadetails[[Group]:[Group]],H$5,Datadetails[[Taskcode]:[Taskcode]],$A24,Datadetails[[Activity_help]:[Activity_help]],"C30")</f>
        <v>0</v>
      </c>
      <c r="I24" s="8">
        <f>SUMIFS(Datadetails[[Hours]:[Hours]],Datadetails[[Group]:[Group]],I$5,Datadetails[[Taskcode]:[Taskcode]],$A24,Datadetails[[Activity_help]:[Activity_help]],"C30")</f>
        <v>0</v>
      </c>
      <c r="J24" s="8">
        <f>SUMIFS(Datadetails[[Hours]:[Hours]],Datadetails[[Group]:[Group]],J$5,Datadetails[[Taskcode]:[Taskcode]],$A24,Datadetails[[Activity_help]:[Activity_help]],"C30")</f>
        <v>10.07</v>
      </c>
      <c r="K24" s="8">
        <f>SUMIFS(Datadetails[[Hours]:[Hours]],Datadetails[[Group]:[Group]],K$5,Datadetails[[Taskcode]:[Taskcode]],$A24,Datadetails[[Activity_help]:[Activity_help]],"C30")</f>
        <v>0</v>
      </c>
      <c r="L24" s="13">
        <f t="shared" si="0"/>
        <v>10.07</v>
      </c>
      <c r="M24" s="39">
        <f>SUMIFS(Datadetails[[Hours]:[Hours]],Datadetails[[Group]:[Group]],M$5,Datadetails[[Taskcode]:[Taskcode]],$A24,Datadetails[[Activity_help]:[Activity_help]],"C40")</f>
        <v>0</v>
      </c>
      <c r="N24" s="39">
        <f>SUMIFS(Datadetails[[Hours]:[Hours]],Datadetails[[Group]:[Group]],N$5,Datadetails[[Taskcode]:[Taskcode]],$A24,Datadetails[[Activity_help]:[Activity_help]],"C40")</f>
        <v>0</v>
      </c>
      <c r="O24" s="39">
        <f>SUMIFS(Datadetails[[Hours]:[Hours]],Datadetails[[Group]:[Group]],O$5,Datadetails[[Taskcode]:[Taskcode]],$A24,Datadetails[[Activity_help]:[Activity_help]],"C40")</f>
        <v>6.75</v>
      </c>
      <c r="P24" s="39">
        <f>SUMIFS(Datadetails[[Hours]:[Hours]],Datadetails[[Group]:[Group]],P$5,Datadetails[[Taskcode]:[Taskcode]],$A24,Datadetails[[Activity_help]:[Activity_help]],"C40")</f>
        <v>0</v>
      </c>
      <c r="Q24" s="40">
        <f t="shared" si="1"/>
        <v>6.75</v>
      </c>
      <c r="R24" s="63">
        <f>SUMIFS(Datadetails[[Hours]:[Hours]],Datadetails[[Group]:[Group]],"Other",Datadetails[[Taskcode]:[Taskcode]],$A24,Datadetails[[Activity_help]:[Activity_help]],"Other")</f>
        <v>0</v>
      </c>
      <c r="S24" s="21">
        <f t="shared" si="3"/>
        <v>16.82</v>
      </c>
    </row>
    <row r="25" spans="1:19" x14ac:dyDescent="0.25">
      <c r="A25" s="35" t="s">
        <v>64</v>
      </c>
      <c r="B25" s="66" t="s">
        <v>187</v>
      </c>
      <c r="C25" s="7">
        <f>SUMIFS(Datadetails[[Hours]:[Hours]],Datadetails[[Group]:[Group]],C$5,Datadetails[[Taskcode]:[Taskcode]],$A25,Datadetails[[Activity_help]:[Activity_help]],"C20")</f>
        <v>0</v>
      </c>
      <c r="D25" s="7">
        <f>SUMIFS(Datadetails[[Hours]:[Hours]],Datadetails[[Group]:[Group]],D$5,Datadetails[[Taskcode]:[Taskcode]],$A25,Datadetails[[Activity_help]:[Activity_help]],"C20")</f>
        <v>0</v>
      </c>
      <c r="E25" s="7">
        <f>SUMIFS(Datadetails[[Hours]:[Hours]],Datadetails[[Group]:[Group]],E$5,Datadetails[[Taskcode]:[Taskcode]],$A25,Datadetails[[Activity_help]:[Activity_help]],"C20")</f>
        <v>0</v>
      </c>
      <c r="F25" s="7">
        <f>SUMIFS(Datadetails[[Hours]:[Hours]],Datadetails[[Group]:[Group]],F$5,Datadetails[[Taskcode]:[Taskcode]],$A25,Datadetails[[Activity_help]:[Activity_help]],"C20")</f>
        <v>0</v>
      </c>
      <c r="G25" s="12">
        <f t="shared" si="2"/>
        <v>0</v>
      </c>
      <c r="H25" s="8">
        <f>SUMIFS(Datadetails[[Hours]:[Hours]],Datadetails[[Group]:[Group]],H$5,Datadetails[[Taskcode]:[Taskcode]],$A25,Datadetails[[Activity_help]:[Activity_help]],"C30")</f>
        <v>0</v>
      </c>
      <c r="I25" s="8">
        <f>SUMIFS(Datadetails[[Hours]:[Hours]],Datadetails[[Group]:[Group]],I$5,Datadetails[[Taskcode]:[Taskcode]],$A25,Datadetails[[Activity_help]:[Activity_help]],"C30")</f>
        <v>0</v>
      </c>
      <c r="J25" s="8">
        <f>SUMIFS(Datadetails[[Hours]:[Hours]],Datadetails[[Group]:[Group]],J$5,Datadetails[[Taskcode]:[Taskcode]],$A25,Datadetails[[Activity_help]:[Activity_help]],"C30")</f>
        <v>0</v>
      </c>
      <c r="K25" s="8">
        <f>SUMIFS(Datadetails[[Hours]:[Hours]],Datadetails[[Group]:[Group]],K$5,Datadetails[[Taskcode]:[Taskcode]],$A25,Datadetails[[Activity_help]:[Activity_help]],"C30")</f>
        <v>0</v>
      </c>
      <c r="L25" s="13">
        <f t="shared" si="0"/>
        <v>0</v>
      </c>
      <c r="M25" s="39">
        <f>SUMIFS(Datadetails[[Hours]:[Hours]],Datadetails[[Group]:[Group]],M$5,Datadetails[[Taskcode]:[Taskcode]],$A25,Datadetails[[Activity_help]:[Activity_help]],"C40")</f>
        <v>0</v>
      </c>
      <c r="N25" s="39">
        <f>SUMIFS(Datadetails[[Hours]:[Hours]],Datadetails[[Group]:[Group]],N$5,Datadetails[[Taskcode]:[Taskcode]],$A25,Datadetails[[Activity_help]:[Activity_help]],"C40")</f>
        <v>0</v>
      </c>
      <c r="O25" s="39">
        <f>SUMIFS(Datadetails[[Hours]:[Hours]],Datadetails[[Group]:[Group]],O$5,Datadetails[[Taskcode]:[Taskcode]],$A25,Datadetails[[Activity_help]:[Activity_help]],"C40")</f>
        <v>0</v>
      </c>
      <c r="P25" s="39">
        <f>SUMIFS(Datadetails[[Hours]:[Hours]],Datadetails[[Group]:[Group]],P$5,Datadetails[[Taskcode]:[Taskcode]],$A25,Datadetails[[Activity_help]:[Activity_help]],"C40")</f>
        <v>0</v>
      </c>
      <c r="Q25" s="40">
        <f t="shared" si="1"/>
        <v>0</v>
      </c>
      <c r="R25" s="63">
        <f>SUMIFS(Datadetails[[Hours]:[Hours]],Datadetails[[Group]:[Group]],"Other",Datadetails[[Taskcode]:[Taskcode]],$A25,Datadetails[[Activity_help]:[Activity_help]],"Other")</f>
        <v>0</v>
      </c>
      <c r="S25" s="21">
        <f t="shared" si="3"/>
        <v>0</v>
      </c>
    </row>
    <row r="26" spans="1:19" x14ac:dyDescent="0.25">
      <c r="A26" s="35" t="s">
        <v>65</v>
      </c>
      <c r="B26" s="66" t="s">
        <v>188</v>
      </c>
      <c r="C26" s="7">
        <f>SUMIFS(Datadetails[[Hours]:[Hours]],Datadetails[[Group]:[Group]],C$5,Datadetails[[Taskcode]:[Taskcode]],$A26,Datadetails[[Activity_help]:[Activity_help]],"C20")</f>
        <v>0</v>
      </c>
      <c r="D26" s="7">
        <f>SUMIFS(Datadetails[[Hours]:[Hours]],Datadetails[[Group]:[Group]],D$5,Datadetails[[Taskcode]:[Taskcode]],$A26,Datadetails[[Activity_help]:[Activity_help]],"C20")</f>
        <v>13.16</v>
      </c>
      <c r="E26" s="7">
        <f>SUMIFS(Datadetails[[Hours]:[Hours]],Datadetails[[Group]:[Group]],E$5,Datadetails[[Taskcode]:[Taskcode]],$A26,Datadetails[[Activity_help]:[Activity_help]],"C20")</f>
        <v>0</v>
      </c>
      <c r="F26" s="7">
        <f>SUMIFS(Datadetails[[Hours]:[Hours]],Datadetails[[Group]:[Group]],F$5,Datadetails[[Taskcode]:[Taskcode]],$A26,Datadetails[[Activity_help]:[Activity_help]],"C20")</f>
        <v>0</v>
      </c>
      <c r="G26" s="12">
        <f t="shared" si="2"/>
        <v>13.16</v>
      </c>
      <c r="H26" s="8">
        <f>SUMIFS(Datadetails[[Hours]:[Hours]],Datadetails[[Group]:[Group]],H$5,Datadetails[[Taskcode]:[Taskcode]],$A26,Datadetails[[Activity_help]:[Activity_help]],"C30")</f>
        <v>0</v>
      </c>
      <c r="I26" s="8">
        <f>SUMIFS(Datadetails[[Hours]:[Hours]],Datadetails[[Group]:[Group]],I$5,Datadetails[[Taskcode]:[Taskcode]],$A26,Datadetails[[Activity_help]:[Activity_help]],"C30")</f>
        <v>15.42</v>
      </c>
      <c r="J26" s="8">
        <f>SUMIFS(Datadetails[[Hours]:[Hours]],Datadetails[[Group]:[Group]],J$5,Datadetails[[Taskcode]:[Taskcode]],$A26,Datadetails[[Activity_help]:[Activity_help]],"C30")</f>
        <v>0</v>
      </c>
      <c r="K26" s="8">
        <f>SUMIFS(Datadetails[[Hours]:[Hours]],Datadetails[[Group]:[Group]],K$5,Datadetails[[Taskcode]:[Taskcode]],$A26,Datadetails[[Activity_help]:[Activity_help]],"C30")</f>
        <v>0</v>
      </c>
      <c r="L26" s="13">
        <f t="shared" si="0"/>
        <v>15.42</v>
      </c>
      <c r="M26" s="39">
        <f>SUMIFS(Datadetails[[Hours]:[Hours]],Datadetails[[Group]:[Group]],M$5,Datadetails[[Taskcode]:[Taskcode]],$A26,Datadetails[[Activity_help]:[Activity_help]],"C40")</f>
        <v>0</v>
      </c>
      <c r="N26" s="39">
        <f>SUMIFS(Datadetails[[Hours]:[Hours]],Datadetails[[Group]:[Group]],N$5,Datadetails[[Taskcode]:[Taskcode]],$A26,Datadetails[[Activity_help]:[Activity_help]],"C40")</f>
        <v>2.75</v>
      </c>
      <c r="O26" s="39">
        <f>SUMIFS(Datadetails[[Hours]:[Hours]],Datadetails[[Group]:[Group]],O$5,Datadetails[[Taskcode]:[Taskcode]],$A26,Datadetails[[Activity_help]:[Activity_help]],"C40")</f>
        <v>0</v>
      </c>
      <c r="P26" s="39">
        <f>SUMIFS(Datadetails[[Hours]:[Hours]],Datadetails[[Group]:[Group]],P$5,Datadetails[[Taskcode]:[Taskcode]],$A26,Datadetails[[Activity_help]:[Activity_help]],"C40")</f>
        <v>0</v>
      </c>
      <c r="Q26" s="40">
        <f t="shared" si="1"/>
        <v>2.75</v>
      </c>
      <c r="R26" s="63">
        <f>SUMIFS(Datadetails[[Hours]:[Hours]],Datadetails[[Group]:[Group]],"Other",Datadetails[[Taskcode]:[Taskcode]],$A26,Datadetails[[Activity_help]:[Activity_help]],"Other")</f>
        <v>0</v>
      </c>
      <c r="S26" s="21">
        <f t="shared" si="3"/>
        <v>31.33</v>
      </c>
    </row>
    <row r="27" spans="1:19" x14ac:dyDescent="0.25">
      <c r="A27" s="35" t="s">
        <v>66</v>
      </c>
      <c r="B27" s="66" t="s">
        <v>189</v>
      </c>
      <c r="C27" s="7">
        <f>SUMIFS(Datadetails[[Hours]:[Hours]],Datadetails[[Group]:[Group]],C$5,Datadetails[[Taskcode]:[Taskcode]],$A27,Datadetails[[Activity_help]:[Activity_help]],"C20")</f>
        <v>0</v>
      </c>
      <c r="D27" s="7">
        <f>SUMIFS(Datadetails[[Hours]:[Hours]],Datadetails[[Group]:[Group]],D$5,Datadetails[[Taskcode]:[Taskcode]],$A27,Datadetails[[Activity_help]:[Activity_help]],"C20")</f>
        <v>0</v>
      </c>
      <c r="E27" s="7">
        <f>SUMIFS(Datadetails[[Hours]:[Hours]],Datadetails[[Group]:[Group]],E$5,Datadetails[[Taskcode]:[Taskcode]],$A27,Datadetails[[Activity_help]:[Activity_help]],"C20")</f>
        <v>0</v>
      </c>
      <c r="F27" s="7">
        <f>SUMIFS(Datadetails[[Hours]:[Hours]],Datadetails[[Group]:[Group]],F$5,Datadetails[[Taskcode]:[Taskcode]],$A27,Datadetails[[Activity_help]:[Activity_help]],"C20")</f>
        <v>0</v>
      </c>
      <c r="G27" s="12">
        <f t="shared" si="2"/>
        <v>0</v>
      </c>
      <c r="H27" s="8">
        <f>SUMIFS(Datadetails[[Hours]:[Hours]],Datadetails[[Group]:[Group]],H$5,Datadetails[[Taskcode]:[Taskcode]],$A27,Datadetails[[Activity_help]:[Activity_help]],"C30")</f>
        <v>0</v>
      </c>
      <c r="I27" s="8">
        <f>SUMIFS(Datadetails[[Hours]:[Hours]],Datadetails[[Group]:[Group]],I$5,Datadetails[[Taskcode]:[Taskcode]],$A27,Datadetails[[Activity_help]:[Activity_help]],"C30")</f>
        <v>0</v>
      </c>
      <c r="J27" s="8">
        <f>SUMIFS(Datadetails[[Hours]:[Hours]],Datadetails[[Group]:[Group]],J$5,Datadetails[[Taskcode]:[Taskcode]],$A27,Datadetails[[Activity_help]:[Activity_help]],"C30")</f>
        <v>0.25</v>
      </c>
      <c r="K27" s="8">
        <f>SUMIFS(Datadetails[[Hours]:[Hours]],Datadetails[[Group]:[Group]],K$5,Datadetails[[Taskcode]:[Taskcode]],$A27,Datadetails[[Activity_help]:[Activity_help]],"C30")</f>
        <v>0</v>
      </c>
      <c r="L27" s="13">
        <f t="shared" si="0"/>
        <v>0.25</v>
      </c>
      <c r="M27" s="39">
        <f>SUMIFS(Datadetails[[Hours]:[Hours]],Datadetails[[Group]:[Group]],M$5,Datadetails[[Taskcode]:[Taskcode]],$A27,Datadetails[[Activity_help]:[Activity_help]],"C40")</f>
        <v>0</v>
      </c>
      <c r="N27" s="39">
        <f>SUMIFS(Datadetails[[Hours]:[Hours]],Datadetails[[Group]:[Group]],N$5,Datadetails[[Taskcode]:[Taskcode]],$A27,Datadetails[[Activity_help]:[Activity_help]],"C40")</f>
        <v>0</v>
      </c>
      <c r="O27" s="39">
        <f>SUMIFS(Datadetails[[Hours]:[Hours]],Datadetails[[Group]:[Group]],O$5,Datadetails[[Taskcode]:[Taskcode]],$A27,Datadetails[[Activity_help]:[Activity_help]],"C40")</f>
        <v>1</v>
      </c>
      <c r="P27" s="39">
        <f>SUMIFS(Datadetails[[Hours]:[Hours]],Datadetails[[Group]:[Group]],P$5,Datadetails[[Taskcode]:[Taskcode]],$A27,Datadetails[[Activity_help]:[Activity_help]],"C40")</f>
        <v>0</v>
      </c>
      <c r="Q27" s="40">
        <f t="shared" si="1"/>
        <v>1</v>
      </c>
      <c r="R27" s="63">
        <f>SUMIFS(Datadetails[[Hours]:[Hours]],Datadetails[[Group]:[Group]],"Other",Datadetails[[Taskcode]:[Taskcode]],$A27,Datadetails[[Activity_help]:[Activity_help]],"Other")</f>
        <v>0</v>
      </c>
      <c r="S27" s="21">
        <f t="shared" si="3"/>
        <v>1.25</v>
      </c>
    </row>
    <row r="28" spans="1:19" x14ac:dyDescent="0.25">
      <c r="A28" s="35" t="s">
        <v>67</v>
      </c>
      <c r="B28" s="66" t="s">
        <v>190</v>
      </c>
      <c r="C28" s="7">
        <f>SUMIFS(Datadetails[[Hours]:[Hours]],Datadetails[[Group]:[Group]],C$5,Datadetails[[Taskcode]:[Taskcode]],$A28,Datadetails[[Activity_help]:[Activity_help]],"C20")</f>
        <v>0</v>
      </c>
      <c r="D28" s="7">
        <f>SUMIFS(Datadetails[[Hours]:[Hours]],Datadetails[[Group]:[Group]],D$5,Datadetails[[Taskcode]:[Taskcode]],$A28,Datadetails[[Activity_help]:[Activity_help]],"C20")</f>
        <v>0</v>
      </c>
      <c r="E28" s="7">
        <f>SUMIFS(Datadetails[[Hours]:[Hours]],Datadetails[[Group]:[Group]],E$5,Datadetails[[Taskcode]:[Taskcode]],$A28,Datadetails[[Activity_help]:[Activity_help]],"C20")</f>
        <v>0</v>
      </c>
      <c r="F28" s="7">
        <f>SUMIFS(Datadetails[[Hours]:[Hours]],Datadetails[[Group]:[Group]],F$5,Datadetails[[Taskcode]:[Taskcode]],$A28,Datadetails[[Activity_help]:[Activity_help]],"C20")</f>
        <v>0</v>
      </c>
      <c r="G28" s="12">
        <f t="shared" si="2"/>
        <v>0</v>
      </c>
      <c r="H28" s="8">
        <f>SUMIFS(Datadetails[[Hours]:[Hours]],Datadetails[[Group]:[Group]],H$5,Datadetails[[Taskcode]:[Taskcode]],$A28,Datadetails[[Activity_help]:[Activity_help]],"C30")</f>
        <v>0</v>
      </c>
      <c r="I28" s="8">
        <f>SUMIFS(Datadetails[[Hours]:[Hours]],Datadetails[[Group]:[Group]],I$5,Datadetails[[Taskcode]:[Taskcode]],$A28,Datadetails[[Activity_help]:[Activity_help]],"C30")</f>
        <v>0</v>
      </c>
      <c r="J28" s="8">
        <f>SUMIFS(Datadetails[[Hours]:[Hours]],Datadetails[[Group]:[Group]],J$5,Datadetails[[Taskcode]:[Taskcode]],$A28,Datadetails[[Activity_help]:[Activity_help]],"C30")</f>
        <v>1.25</v>
      </c>
      <c r="K28" s="8">
        <f>SUMIFS(Datadetails[[Hours]:[Hours]],Datadetails[[Group]:[Group]],K$5,Datadetails[[Taskcode]:[Taskcode]],$A28,Datadetails[[Activity_help]:[Activity_help]],"C30")</f>
        <v>0</v>
      </c>
      <c r="L28" s="13">
        <f t="shared" si="0"/>
        <v>1.25</v>
      </c>
      <c r="M28" s="39">
        <f>SUMIFS(Datadetails[[Hours]:[Hours]],Datadetails[[Group]:[Group]],M$5,Datadetails[[Taskcode]:[Taskcode]],$A28,Datadetails[[Activity_help]:[Activity_help]],"C40")</f>
        <v>0</v>
      </c>
      <c r="N28" s="39">
        <f>SUMIFS(Datadetails[[Hours]:[Hours]],Datadetails[[Group]:[Group]],N$5,Datadetails[[Taskcode]:[Taskcode]],$A28,Datadetails[[Activity_help]:[Activity_help]],"C40")</f>
        <v>0</v>
      </c>
      <c r="O28" s="39">
        <f>SUMIFS(Datadetails[[Hours]:[Hours]],Datadetails[[Group]:[Group]],O$5,Datadetails[[Taskcode]:[Taskcode]],$A28,Datadetails[[Activity_help]:[Activity_help]],"C40")</f>
        <v>2</v>
      </c>
      <c r="P28" s="39">
        <f>SUMIFS(Datadetails[[Hours]:[Hours]],Datadetails[[Group]:[Group]],P$5,Datadetails[[Taskcode]:[Taskcode]],$A28,Datadetails[[Activity_help]:[Activity_help]],"C40")</f>
        <v>0</v>
      </c>
      <c r="Q28" s="40">
        <f t="shared" si="1"/>
        <v>2</v>
      </c>
      <c r="R28" s="63">
        <f>SUMIFS(Datadetails[[Hours]:[Hours]],Datadetails[[Group]:[Group]],"Other",Datadetails[[Taskcode]:[Taskcode]],$A28,Datadetails[[Activity_help]:[Activity_help]],"Other")</f>
        <v>0</v>
      </c>
      <c r="S28" s="21">
        <f t="shared" si="3"/>
        <v>3.25</v>
      </c>
    </row>
    <row r="29" spans="1:19" x14ac:dyDescent="0.25">
      <c r="A29" s="35" t="s">
        <v>68</v>
      </c>
      <c r="B29" s="66" t="s">
        <v>191</v>
      </c>
      <c r="C29" s="7">
        <f>SUMIFS(Datadetails[[Hours]:[Hours]],Datadetails[[Group]:[Group]],C$5,Datadetails[[Taskcode]:[Taskcode]],$A29,Datadetails[[Activity_help]:[Activity_help]],"C20")</f>
        <v>0</v>
      </c>
      <c r="D29" s="7">
        <f>SUMIFS(Datadetails[[Hours]:[Hours]],Datadetails[[Group]:[Group]],D$5,Datadetails[[Taskcode]:[Taskcode]],$A29,Datadetails[[Activity_help]:[Activity_help]],"C20")</f>
        <v>0</v>
      </c>
      <c r="E29" s="7">
        <f>SUMIFS(Datadetails[[Hours]:[Hours]],Datadetails[[Group]:[Group]],E$5,Datadetails[[Taskcode]:[Taskcode]],$A29,Datadetails[[Activity_help]:[Activity_help]],"C20")</f>
        <v>0</v>
      </c>
      <c r="F29" s="7">
        <f>SUMIFS(Datadetails[[Hours]:[Hours]],Datadetails[[Group]:[Group]],F$5,Datadetails[[Taskcode]:[Taskcode]],$A29,Datadetails[[Activity_help]:[Activity_help]],"C20")</f>
        <v>0</v>
      </c>
      <c r="G29" s="12">
        <f t="shared" si="2"/>
        <v>0</v>
      </c>
      <c r="H29" s="8">
        <f>SUMIFS(Datadetails[[Hours]:[Hours]],Datadetails[[Group]:[Group]],H$5,Datadetails[[Taskcode]:[Taskcode]],$A29,Datadetails[[Activity_help]:[Activity_help]],"C30")</f>
        <v>0</v>
      </c>
      <c r="I29" s="8">
        <f>SUMIFS(Datadetails[[Hours]:[Hours]],Datadetails[[Group]:[Group]],I$5,Datadetails[[Taskcode]:[Taskcode]],$A29,Datadetails[[Activity_help]:[Activity_help]],"C30")</f>
        <v>0</v>
      </c>
      <c r="J29" s="8">
        <f>SUMIFS(Datadetails[[Hours]:[Hours]],Datadetails[[Group]:[Group]],J$5,Datadetails[[Taskcode]:[Taskcode]],$A29,Datadetails[[Activity_help]:[Activity_help]],"C30")</f>
        <v>0.5</v>
      </c>
      <c r="K29" s="8">
        <f>SUMIFS(Datadetails[[Hours]:[Hours]],Datadetails[[Group]:[Group]],K$5,Datadetails[[Taskcode]:[Taskcode]],$A29,Datadetails[[Activity_help]:[Activity_help]],"C30")</f>
        <v>0</v>
      </c>
      <c r="L29" s="13">
        <f t="shared" si="0"/>
        <v>0.5</v>
      </c>
      <c r="M29" s="39">
        <f>SUMIFS(Datadetails[[Hours]:[Hours]],Datadetails[[Group]:[Group]],M$5,Datadetails[[Taskcode]:[Taskcode]],$A29,Datadetails[[Activity_help]:[Activity_help]],"C40")</f>
        <v>0</v>
      </c>
      <c r="N29" s="39">
        <f>SUMIFS(Datadetails[[Hours]:[Hours]],Datadetails[[Group]:[Group]],N$5,Datadetails[[Taskcode]:[Taskcode]],$A29,Datadetails[[Activity_help]:[Activity_help]],"C40")</f>
        <v>0</v>
      </c>
      <c r="O29" s="39">
        <f>SUMIFS(Datadetails[[Hours]:[Hours]],Datadetails[[Group]:[Group]],O$5,Datadetails[[Taskcode]:[Taskcode]],$A29,Datadetails[[Activity_help]:[Activity_help]],"C40")</f>
        <v>0</v>
      </c>
      <c r="P29" s="39">
        <f>SUMIFS(Datadetails[[Hours]:[Hours]],Datadetails[[Group]:[Group]],P$5,Datadetails[[Taskcode]:[Taskcode]],$A29,Datadetails[[Activity_help]:[Activity_help]],"C40")</f>
        <v>0</v>
      </c>
      <c r="Q29" s="40">
        <f t="shared" si="1"/>
        <v>0</v>
      </c>
      <c r="R29" s="63">
        <f>SUMIFS(Datadetails[[Hours]:[Hours]],Datadetails[[Group]:[Group]],"Other",Datadetails[[Taskcode]:[Taskcode]],$A29,Datadetails[[Activity_help]:[Activity_help]],"Other")</f>
        <v>0</v>
      </c>
      <c r="S29" s="21">
        <f t="shared" si="3"/>
        <v>0.5</v>
      </c>
    </row>
    <row r="30" spans="1:19" x14ac:dyDescent="0.25">
      <c r="A30" s="35" t="s">
        <v>69</v>
      </c>
      <c r="B30" s="66" t="s">
        <v>192</v>
      </c>
      <c r="C30" s="7">
        <f>SUMIFS(Datadetails[[Hours]:[Hours]],Datadetails[[Group]:[Group]],C$5,Datadetails[[Taskcode]:[Taskcode]],$A30,Datadetails[[Activity_help]:[Activity_help]],"C20")</f>
        <v>0</v>
      </c>
      <c r="D30" s="7">
        <f>SUMIFS(Datadetails[[Hours]:[Hours]],Datadetails[[Group]:[Group]],D$5,Datadetails[[Taskcode]:[Taskcode]],$A30,Datadetails[[Activity_help]:[Activity_help]],"C20")</f>
        <v>0</v>
      </c>
      <c r="E30" s="7">
        <f>SUMIFS(Datadetails[[Hours]:[Hours]],Datadetails[[Group]:[Group]],E$5,Datadetails[[Taskcode]:[Taskcode]],$A30,Datadetails[[Activity_help]:[Activity_help]],"C20")</f>
        <v>0</v>
      </c>
      <c r="F30" s="7">
        <f>SUMIFS(Datadetails[[Hours]:[Hours]],Datadetails[[Group]:[Group]],F$5,Datadetails[[Taskcode]:[Taskcode]],$A30,Datadetails[[Activity_help]:[Activity_help]],"C20")</f>
        <v>0</v>
      </c>
      <c r="G30" s="12">
        <f t="shared" si="2"/>
        <v>0</v>
      </c>
      <c r="H30" s="8">
        <f>SUMIFS(Datadetails[[Hours]:[Hours]],Datadetails[[Group]:[Group]],H$5,Datadetails[[Taskcode]:[Taskcode]],$A30,Datadetails[[Activity_help]:[Activity_help]],"C30")</f>
        <v>0</v>
      </c>
      <c r="I30" s="8">
        <f>SUMIFS(Datadetails[[Hours]:[Hours]],Datadetails[[Group]:[Group]],I$5,Datadetails[[Taskcode]:[Taskcode]],$A30,Datadetails[[Activity_help]:[Activity_help]],"C30")</f>
        <v>0</v>
      </c>
      <c r="J30" s="8">
        <f>SUMIFS(Datadetails[[Hours]:[Hours]],Datadetails[[Group]:[Group]],J$5,Datadetails[[Taskcode]:[Taskcode]],$A30,Datadetails[[Activity_help]:[Activity_help]],"C30")</f>
        <v>0</v>
      </c>
      <c r="K30" s="8">
        <f>SUMIFS(Datadetails[[Hours]:[Hours]],Datadetails[[Group]:[Group]],K$5,Datadetails[[Taskcode]:[Taskcode]],$A30,Datadetails[[Activity_help]:[Activity_help]],"C30")</f>
        <v>0</v>
      </c>
      <c r="L30" s="13">
        <f t="shared" si="0"/>
        <v>0</v>
      </c>
      <c r="M30" s="39">
        <f>SUMIFS(Datadetails[[Hours]:[Hours]],Datadetails[[Group]:[Group]],M$5,Datadetails[[Taskcode]:[Taskcode]],$A30,Datadetails[[Activity_help]:[Activity_help]],"C40")</f>
        <v>0</v>
      </c>
      <c r="N30" s="39">
        <f>SUMIFS(Datadetails[[Hours]:[Hours]],Datadetails[[Group]:[Group]],N$5,Datadetails[[Taskcode]:[Taskcode]],$A30,Datadetails[[Activity_help]:[Activity_help]],"C40")</f>
        <v>0</v>
      </c>
      <c r="O30" s="39">
        <f>SUMIFS(Datadetails[[Hours]:[Hours]],Datadetails[[Group]:[Group]],O$5,Datadetails[[Taskcode]:[Taskcode]],$A30,Datadetails[[Activity_help]:[Activity_help]],"C40")</f>
        <v>0</v>
      </c>
      <c r="P30" s="39">
        <f>SUMIFS(Datadetails[[Hours]:[Hours]],Datadetails[[Group]:[Group]],P$5,Datadetails[[Taskcode]:[Taskcode]],$A30,Datadetails[[Activity_help]:[Activity_help]],"C40")</f>
        <v>0</v>
      </c>
      <c r="Q30" s="40">
        <f t="shared" si="1"/>
        <v>0</v>
      </c>
      <c r="R30" s="63">
        <f>SUMIFS(Datadetails[[Hours]:[Hours]],Datadetails[[Group]:[Group]],"Other",Datadetails[[Taskcode]:[Taskcode]],$A30,Datadetails[[Activity_help]:[Activity_help]],"Other")</f>
        <v>0</v>
      </c>
      <c r="S30" s="21">
        <f t="shared" si="3"/>
        <v>0</v>
      </c>
    </row>
    <row r="31" spans="1:19" x14ac:dyDescent="0.25">
      <c r="A31" s="35" t="s">
        <v>70</v>
      </c>
      <c r="B31" s="66" t="s">
        <v>193</v>
      </c>
      <c r="C31" s="7">
        <f>SUMIFS(Datadetails[[Hours]:[Hours]],Datadetails[[Group]:[Group]],C$5,Datadetails[[Taskcode]:[Taskcode]],$A31,Datadetails[[Activity_help]:[Activity_help]],"C20")</f>
        <v>0</v>
      </c>
      <c r="D31" s="7">
        <f>SUMIFS(Datadetails[[Hours]:[Hours]],Datadetails[[Group]:[Group]],D$5,Datadetails[[Taskcode]:[Taskcode]],$A31,Datadetails[[Activity_help]:[Activity_help]],"C20")</f>
        <v>0</v>
      </c>
      <c r="E31" s="7">
        <f>SUMIFS(Datadetails[[Hours]:[Hours]],Datadetails[[Group]:[Group]],E$5,Datadetails[[Taskcode]:[Taskcode]],$A31,Datadetails[[Activity_help]:[Activity_help]],"C20")</f>
        <v>0</v>
      </c>
      <c r="F31" s="7">
        <f>SUMIFS(Datadetails[[Hours]:[Hours]],Datadetails[[Group]:[Group]],F$5,Datadetails[[Taskcode]:[Taskcode]],$A31,Datadetails[[Activity_help]:[Activity_help]],"C20")</f>
        <v>0</v>
      </c>
      <c r="G31" s="12">
        <f t="shared" si="2"/>
        <v>0</v>
      </c>
      <c r="H31" s="8">
        <f>SUMIFS(Datadetails[[Hours]:[Hours]],Datadetails[[Group]:[Group]],H$5,Datadetails[[Taskcode]:[Taskcode]],$A31,Datadetails[[Activity_help]:[Activity_help]],"C30")</f>
        <v>0</v>
      </c>
      <c r="I31" s="8">
        <f>SUMIFS(Datadetails[[Hours]:[Hours]],Datadetails[[Group]:[Group]],I$5,Datadetails[[Taskcode]:[Taskcode]],$A31,Datadetails[[Activity_help]:[Activity_help]],"C30")</f>
        <v>0</v>
      </c>
      <c r="J31" s="8">
        <f>SUMIFS(Datadetails[[Hours]:[Hours]],Datadetails[[Group]:[Group]],J$5,Datadetails[[Taskcode]:[Taskcode]],$A31,Datadetails[[Activity_help]:[Activity_help]],"C30")</f>
        <v>0</v>
      </c>
      <c r="K31" s="8">
        <f>SUMIFS(Datadetails[[Hours]:[Hours]],Datadetails[[Group]:[Group]],K$5,Datadetails[[Taskcode]:[Taskcode]],$A31,Datadetails[[Activity_help]:[Activity_help]],"C30")</f>
        <v>0</v>
      </c>
      <c r="L31" s="13">
        <f t="shared" si="0"/>
        <v>0</v>
      </c>
      <c r="M31" s="39">
        <f>SUMIFS(Datadetails[[Hours]:[Hours]],Datadetails[[Group]:[Group]],M$5,Datadetails[[Taskcode]:[Taskcode]],$A31,Datadetails[[Activity_help]:[Activity_help]],"C40")</f>
        <v>0</v>
      </c>
      <c r="N31" s="39">
        <f>SUMIFS(Datadetails[[Hours]:[Hours]],Datadetails[[Group]:[Group]],N$5,Datadetails[[Taskcode]:[Taskcode]],$A31,Datadetails[[Activity_help]:[Activity_help]],"C40")</f>
        <v>0</v>
      </c>
      <c r="O31" s="39">
        <f>SUMIFS(Datadetails[[Hours]:[Hours]],Datadetails[[Group]:[Group]],O$5,Datadetails[[Taskcode]:[Taskcode]],$A31,Datadetails[[Activity_help]:[Activity_help]],"C40")</f>
        <v>0</v>
      </c>
      <c r="P31" s="39">
        <f>SUMIFS(Datadetails[[Hours]:[Hours]],Datadetails[[Group]:[Group]],P$5,Datadetails[[Taskcode]:[Taskcode]],$A31,Datadetails[[Activity_help]:[Activity_help]],"C40")</f>
        <v>0</v>
      </c>
      <c r="Q31" s="40">
        <f t="shared" si="1"/>
        <v>0</v>
      </c>
      <c r="R31" s="63">
        <f>SUMIFS(Datadetails[[Hours]:[Hours]],Datadetails[[Group]:[Group]],"Other",Datadetails[[Taskcode]:[Taskcode]],$A31,Datadetails[[Activity_help]:[Activity_help]],"Other")</f>
        <v>0</v>
      </c>
      <c r="S31" s="21">
        <f t="shared" si="3"/>
        <v>0</v>
      </c>
    </row>
    <row r="32" spans="1:19" x14ac:dyDescent="0.25">
      <c r="A32" s="35" t="s">
        <v>71</v>
      </c>
      <c r="B32" s="66" t="s">
        <v>194</v>
      </c>
      <c r="C32" s="7">
        <f>SUMIFS(Datadetails[[Hours]:[Hours]],Datadetails[[Group]:[Group]],C$5,Datadetails[[Taskcode]:[Taskcode]],$A32,Datadetails[[Activity_help]:[Activity_help]],"C20")</f>
        <v>0</v>
      </c>
      <c r="D32" s="7">
        <f>SUMIFS(Datadetails[[Hours]:[Hours]],Datadetails[[Group]:[Group]],D$5,Datadetails[[Taskcode]:[Taskcode]],$A32,Datadetails[[Activity_help]:[Activity_help]],"C20")</f>
        <v>0</v>
      </c>
      <c r="E32" s="7">
        <f>SUMIFS(Datadetails[[Hours]:[Hours]],Datadetails[[Group]:[Group]],E$5,Datadetails[[Taskcode]:[Taskcode]],$A32,Datadetails[[Activity_help]:[Activity_help]],"C20")</f>
        <v>0</v>
      </c>
      <c r="F32" s="7">
        <f>SUMIFS(Datadetails[[Hours]:[Hours]],Datadetails[[Group]:[Group]],F$5,Datadetails[[Taskcode]:[Taskcode]],$A32,Datadetails[[Activity_help]:[Activity_help]],"C20")</f>
        <v>0</v>
      </c>
      <c r="G32" s="12">
        <f t="shared" si="2"/>
        <v>0</v>
      </c>
      <c r="H32" s="8">
        <f>SUMIFS(Datadetails[[Hours]:[Hours]],Datadetails[[Group]:[Group]],H$5,Datadetails[[Taskcode]:[Taskcode]],$A32,Datadetails[[Activity_help]:[Activity_help]],"C30")</f>
        <v>0</v>
      </c>
      <c r="I32" s="8">
        <f>SUMIFS(Datadetails[[Hours]:[Hours]],Datadetails[[Group]:[Group]],I$5,Datadetails[[Taskcode]:[Taskcode]],$A32,Datadetails[[Activity_help]:[Activity_help]],"C30")</f>
        <v>0</v>
      </c>
      <c r="J32" s="8">
        <f>SUMIFS(Datadetails[[Hours]:[Hours]],Datadetails[[Group]:[Group]],J$5,Datadetails[[Taskcode]:[Taskcode]],$A32,Datadetails[[Activity_help]:[Activity_help]],"C30")</f>
        <v>0</v>
      </c>
      <c r="K32" s="8">
        <f>SUMIFS(Datadetails[[Hours]:[Hours]],Datadetails[[Group]:[Group]],K$5,Datadetails[[Taskcode]:[Taskcode]],$A32,Datadetails[[Activity_help]:[Activity_help]],"C30")</f>
        <v>0</v>
      </c>
      <c r="L32" s="13">
        <f t="shared" si="0"/>
        <v>0</v>
      </c>
      <c r="M32" s="39">
        <f>SUMIFS(Datadetails[[Hours]:[Hours]],Datadetails[[Group]:[Group]],M$5,Datadetails[[Taskcode]:[Taskcode]],$A32,Datadetails[[Activity_help]:[Activity_help]],"C40")</f>
        <v>0</v>
      </c>
      <c r="N32" s="39">
        <f>SUMIFS(Datadetails[[Hours]:[Hours]],Datadetails[[Group]:[Group]],N$5,Datadetails[[Taskcode]:[Taskcode]],$A32,Datadetails[[Activity_help]:[Activity_help]],"C40")</f>
        <v>0</v>
      </c>
      <c r="O32" s="39">
        <f>SUMIFS(Datadetails[[Hours]:[Hours]],Datadetails[[Group]:[Group]],O$5,Datadetails[[Taskcode]:[Taskcode]],$A32,Datadetails[[Activity_help]:[Activity_help]],"C40")</f>
        <v>0</v>
      </c>
      <c r="P32" s="39">
        <f>SUMIFS(Datadetails[[Hours]:[Hours]],Datadetails[[Group]:[Group]],P$5,Datadetails[[Taskcode]:[Taskcode]],$A32,Datadetails[[Activity_help]:[Activity_help]],"C40")</f>
        <v>0</v>
      </c>
      <c r="Q32" s="40">
        <f t="shared" si="1"/>
        <v>0</v>
      </c>
      <c r="R32" s="63">
        <f>SUMIFS(Datadetails[[Hours]:[Hours]],Datadetails[[Group]:[Group]],"Other",Datadetails[[Taskcode]:[Taskcode]],$A32,Datadetails[[Activity_help]:[Activity_help]],"Other")</f>
        <v>0</v>
      </c>
      <c r="S32" s="21">
        <f t="shared" si="3"/>
        <v>0</v>
      </c>
    </row>
    <row r="33" spans="1:19" x14ac:dyDescent="0.25">
      <c r="A33" s="35" t="s">
        <v>72</v>
      </c>
      <c r="B33" s="66" t="s">
        <v>195</v>
      </c>
      <c r="C33" s="7">
        <f>SUMIFS(Datadetails[[Hours]:[Hours]],Datadetails[[Group]:[Group]],C$5,Datadetails[[Taskcode]:[Taskcode]],$A33,Datadetails[[Activity_help]:[Activity_help]],"C20")</f>
        <v>0</v>
      </c>
      <c r="D33" s="7">
        <f>SUMIFS(Datadetails[[Hours]:[Hours]],Datadetails[[Group]:[Group]],D$5,Datadetails[[Taskcode]:[Taskcode]],$A33,Datadetails[[Activity_help]:[Activity_help]],"C20")</f>
        <v>0</v>
      </c>
      <c r="E33" s="7">
        <f>SUMIFS(Datadetails[[Hours]:[Hours]],Datadetails[[Group]:[Group]],E$5,Datadetails[[Taskcode]:[Taskcode]],$A33,Datadetails[[Activity_help]:[Activity_help]],"C20")</f>
        <v>0</v>
      </c>
      <c r="F33" s="7">
        <f>SUMIFS(Datadetails[[Hours]:[Hours]],Datadetails[[Group]:[Group]],F$5,Datadetails[[Taskcode]:[Taskcode]],$A33,Datadetails[[Activity_help]:[Activity_help]],"C20")</f>
        <v>0</v>
      </c>
      <c r="G33" s="12">
        <f t="shared" si="2"/>
        <v>0</v>
      </c>
      <c r="H33" s="8">
        <f>SUMIFS(Datadetails[[Hours]:[Hours]],Datadetails[[Group]:[Group]],H$5,Datadetails[[Taskcode]:[Taskcode]],$A33,Datadetails[[Activity_help]:[Activity_help]],"C30")</f>
        <v>0</v>
      </c>
      <c r="I33" s="8">
        <f>SUMIFS(Datadetails[[Hours]:[Hours]],Datadetails[[Group]:[Group]],I$5,Datadetails[[Taskcode]:[Taskcode]],$A33,Datadetails[[Activity_help]:[Activity_help]],"C30")</f>
        <v>0</v>
      </c>
      <c r="J33" s="8">
        <f>SUMIFS(Datadetails[[Hours]:[Hours]],Datadetails[[Group]:[Group]],J$5,Datadetails[[Taskcode]:[Taskcode]],$A33,Datadetails[[Activity_help]:[Activity_help]],"C30")</f>
        <v>2.4900000000000002</v>
      </c>
      <c r="K33" s="8">
        <f>SUMIFS(Datadetails[[Hours]:[Hours]],Datadetails[[Group]:[Group]],K$5,Datadetails[[Taskcode]:[Taskcode]],$A33,Datadetails[[Activity_help]:[Activity_help]],"C30")</f>
        <v>0</v>
      </c>
      <c r="L33" s="13">
        <f t="shared" si="0"/>
        <v>2.4900000000000002</v>
      </c>
      <c r="M33" s="39">
        <f>SUMIFS(Datadetails[[Hours]:[Hours]],Datadetails[[Group]:[Group]],M$5,Datadetails[[Taskcode]:[Taskcode]],$A33,Datadetails[[Activity_help]:[Activity_help]],"C40")</f>
        <v>0</v>
      </c>
      <c r="N33" s="39">
        <f>SUMIFS(Datadetails[[Hours]:[Hours]],Datadetails[[Group]:[Group]],N$5,Datadetails[[Taskcode]:[Taskcode]],$A33,Datadetails[[Activity_help]:[Activity_help]],"C40")</f>
        <v>0</v>
      </c>
      <c r="O33" s="39">
        <f>SUMIFS(Datadetails[[Hours]:[Hours]],Datadetails[[Group]:[Group]],O$5,Datadetails[[Taskcode]:[Taskcode]],$A33,Datadetails[[Activity_help]:[Activity_help]],"C40")</f>
        <v>1.5</v>
      </c>
      <c r="P33" s="39">
        <f>SUMIFS(Datadetails[[Hours]:[Hours]],Datadetails[[Group]:[Group]],P$5,Datadetails[[Taskcode]:[Taskcode]],$A33,Datadetails[[Activity_help]:[Activity_help]],"C40")</f>
        <v>0</v>
      </c>
      <c r="Q33" s="40">
        <f t="shared" si="1"/>
        <v>1.5</v>
      </c>
      <c r="R33" s="63">
        <f>SUMIFS(Datadetails[[Hours]:[Hours]],Datadetails[[Group]:[Group]],"Other",Datadetails[[Taskcode]:[Taskcode]],$A33,Datadetails[[Activity_help]:[Activity_help]],"Other")</f>
        <v>0</v>
      </c>
      <c r="S33" s="21">
        <f t="shared" si="3"/>
        <v>3.99</v>
      </c>
    </row>
    <row r="34" spans="1:19" x14ac:dyDescent="0.25">
      <c r="A34" s="35" t="s">
        <v>73</v>
      </c>
      <c r="B34" s="66" t="s">
        <v>196</v>
      </c>
      <c r="C34" s="7">
        <f>SUMIFS(Datadetails[[Hours]:[Hours]],Datadetails[[Group]:[Group]],C$5,Datadetails[[Taskcode]:[Taskcode]],$A34,Datadetails[[Activity_help]:[Activity_help]],"C20")</f>
        <v>0</v>
      </c>
      <c r="D34" s="7">
        <f>SUMIFS(Datadetails[[Hours]:[Hours]],Datadetails[[Group]:[Group]],D$5,Datadetails[[Taskcode]:[Taskcode]],$A34,Datadetails[[Activity_help]:[Activity_help]],"C20")</f>
        <v>0</v>
      </c>
      <c r="E34" s="7">
        <f>SUMIFS(Datadetails[[Hours]:[Hours]],Datadetails[[Group]:[Group]],E$5,Datadetails[[Taskcode]:[Taskcode]],$A34,Datadetails[[Activity_help]:[Activity_help]],"C20")</f>
        <v>0</v>
      </c>
      <c r="F34" s="7">
        <f>SUMIFS(Datadetails[[Hours]:[Hours]],Datadetails[[Group]:[Group]],F$5,Datadetails[[Taskcode]:[Taskcode]],$A34,Datadetails[[Activity_help]:[Activity_help]],"C20")</f>
        <v>0</v>
      </c>
      <c r="G34" s="12">
        <f t="shared" si="2"/>
        <v>0</v>
      </c>
      <c r="H34" s="8">
        <f>SUMIFS(Datadetails[[Hours]:[Hours]],Datadetails[[Group]:[Group]],H$5,Datadetails[[Taskcode]:[Taskcode]],$A34,Datadetails[[Activity_help]:[Activity_help]],"C30")</f>
        <v>0</v>
      </c>
      <c r="I34" s="8">
        <f>SUMIFS(Datadetails[[Hours]:[Hours]],Datadetails[[Group]:[Group]],I$5,Datadetails[[Taskcode]:[Taskcode]],$A34,Datadetails[[Activity_help]:[Activity_help]],"C30")</f>
        <v>0</v>
      </c>
      <c r="J34" s="8">
        <f>SUMIFS(Datadetails[[Hours]:[Hours]],Datadetails[[Group]:[Group]],J$5,Datadetails[[Taskcode]:[Taskcode]],$A34,Datadetails[[Activity_help]:[Activity_help]],"C30")</f>
        <v>2.75</v>
      </c>
      <c r="K34" s="8">
        <f>SUMIFS(Datadetails[[Hours]:[Hours]],Datadetails[[Group]:[Group]],K$5,Datadetails[[Taskcode]:[Taskcode]],$A34,Datadetails[[Activity_help]:[Activity_help]],"C30")</f>
        <v>0</v>
      </c>
      <c r="L34" s="13">
        <f t="shared" si="0"/>
        <v>2.75</v>
      </c>
      <c r="M34" s="39">
        <f>SUMIFS(Datadetails[[Hours]:[Hours]],Datadetails[[Group]:[Group]],M$5,Datadetails[[Taskcode]:[Taskcode]],$A34,Datadetails[[Activity_help]:[Activity_help]],"C40")</f>
        <v>0</v>
      </c>
      <c r="N34" s="39">
        <f>SUMIFS(Datadetails[[Hours]:[Hours]],Datadetails[[Group]:[Group]],N$5,Datadetails[[Taskcode]:[Taskcode]],$A34,Datadetails[[Activity_help]:[Activity_help]],"C40")</f>
        <v>0</v>
      </c>
      <c r="O34" s="39">
        <f>SUMIFS(Datadetails[[Hours]:[Hours]],Datadetails[[Group]:[Group]],O$5,Datadetails[[Taskcode]:[Taskcode]],$A34,Datadetails[[Activity_help]:[Activity_help]],"C40")</f>
        <v>2.67</v>
      </c>
      <c r="P34" s="39">
        <f>SUMIFS(Datadetails[[Hours]:[Hours]],Datadetails[[Group]:[Group]],P$5,Datadetails[[Taskcode]:[Taskcode]],$A34,Datadetails[[Activity_help]:[Activity_help]],"C40")</f>
        <v>0</v>
      </c>
      <c r="Q34" s="40">
        <f t="shared" si="1"/>
        <v>2.67</v>
      </c>
      <c r="R34" s="63">
        <f>SUMIFS(Datadetails[[Hours]:[Hours]],Datadetails[[Group]:[Group]],"Other",Datadetails[[Taskcode]:[Taskcode]],$A34,Datadetails[[Activity_help]:[Activity_help]],"Other")</f>
        <v>0</v>
      </c>
      <c r="S34" s="21">
        <f t="shared" si="3"/>
        <v>5.42</v>
      </c>
    </row>
    <row r="35" spans="1:19" x14ac:dyDescent="0.25">
      <c r="A35" s="35" t="s">
        <v>74</v>
      </c>
      <c r="B35" s="66" t="s">
        <v>197</v>
      </c>
      <c r="C35" s="7">
        <f>SUMIFS(Datadetails[[Hours]:[Hours]],Datadetails[[Group]:[Group]],C$5,Datadetails[[Taskcode]:[Taskcode]],$A35,Datadetails[[Activity_help]:[Activity_help]],"C20")</f>
        <v>0</v>
      </c>
      <c r="D35" s="7">
        <f>SUMIFS(Datadetails[[Hours]:[Hours]],Datadetails[[Group]:[Group]],D$5,Datadetails[[Taskcode]:[Taskcode]],$A35,Datadetails[[Activity_help]:[Activity_help]],"C20")</f>
        <v>0</v>
      </c>
      <c r="E35" s="7">
        <f>SUMIFS(Datadetails[[Hours]:[Hours]],Datadetails[[Group]:[Group]],E$5,Datadetails[[Taskcode]:[Taskcode]],$A35,Datadetails[[Activity_help]:[Activity_help]],"C20")</f>
        <v>0</v>
      </c>
      <c r="F35" s="7">
        <f>SUMIFS(Datadetails[[Hours]:[Hours]],Datadetails[[Group]:[Group]],F$5,Datadetails[[Taskcode]:[Taskcode]],$A35,Datadetails[[Activity_help]:[Activity_help]],"C20")</f>
        <v>0</v>
      </c>
      <c r="G35" s="12">
        <f t="shared" si="2"/>
        <v>0</v>
      </c>
      <c r="H35" s="8">
        <f>SUMIFS(Datadetails[[Hours]:[Hours]],Datadetails[[Group]:[Group]],H$5,Datadetails[[Taskcode]:[Taskcode]],$A35,Datadetails[[Activity_help]:[Activity_help]],"C30")</f>
        <v>0</v>
      </c>
      <c r="I35" s="8">
        <f>SUMIFS(Datadetails[[Hours]:[Hours]],Datadetails[[Group]:[Group]],I$5,Datadetails[[Taskcode]:[Taskcode]],$A35,Datadetails[[Activity_help]:[Activity_help]],"C30")</f>
        <v>0</v>
      </c>
      <c r="J35" s="8">
        <f>SUMIFS(Datadetails[[Hours]:[Hours]],Datadetails[[Group]:[Group]],J$5,Datadetails[[Taskcode]:[Taskcode]],$A35,Datadetails[[Activity_help]:[Activity_help]],"C30")</f>
        <v>12.98</v>
      </c>
      <c r="K35" s="8">
        <f>SUMIFS(Datadetails[[Hours]:[Hours]],Datadetails[[Group]:[Group]],K$5,Datadetails[[Taskcode]:[Taskcode]],$A35,Datadetails[[Activity_help]:[Activity_help]],"C30")</f>
        <v>0</v>
      </c>
      <c r="L35" s="13">
        <f t="shared" si="0"/>
        <v>12.98</v>
      </c>
      <c r="M35" s="39">
        <f>SUMIFS(Datadetails[[Hours]:[Hours]],Datadetails[[Group]:[Group]],M$5,Datadetails[[Taskcode]:[Taskcode]],$A35,Datadetails[[Activity_help]:[Activity_help]],"C40")</f>
        <v>0</v>
      </c>
      <c r="N35" s="39">
        <f>SUMIFS(Datadetails[[Hours]:[Hours]],Datadetails[[Group]:[Group]],N$5,Datadetails[[Taskcode]:[Taskcode]],$A35,Datadetails[[Activity_help]:[Activity_help]],"C40")</f>
        <v>0</v>
      </c>
      <c r="O35" s="39">
        <f>SUMIFS(Datadetails[[Hours]:[Hours]],Datadetails[[Group]:[Group]],O$5,Datadetails[[Taskcode]:[Taskcode]],$A35,Datadetails[[Activity_help]:[Activity_help]],"C40")</f>
        <v>0.5</v>
      </c>
      <c r="P35" s="39">
        <f>SUMIFS(Datadetails[[Hours]:[Hours]],Datadetails[[Group]:[Group]],P$5,Datadetails[[Taskcode]:[Taskcode]],$A35,Datadetails[[Activity_help]:[Activity_help]],"C40")</f>
        <v>0</v>
      </c>
      <c r="Q35" s="40">
        <f t="shared" si="1"/>
        <v>0.5</v>
      </c>
      <c r="R35" s="63">
        <f>SUMIFS(Datadetails[[Hours]:[Hours]],Datadetails[[Group]:[Group]],"Other",Datadetails[[Taskcode]:[Taskcode]],$A35,Datadetails[[Activity_help]:[Activity_help]],"Other")</f>
        <v>0</v>
      </c>
      <c r="S35" s="21">
        <f t="shared" si="3"/>
        <v>13.48</v>
      </c>
    </row>
    <row r="36" spans="1:19" x14ac:dyDescent="0.25">
      <c r="A36" s="35" t="s">
        <v>42</v>
      </c>
      <c r="B36" s="66" t="s">
        <v>198</v>
      </c>
      <c r="C36" s="7">
        <f>SUMIFS(Datadetails[[Hours]:[Hours]],Datadetails[[Group]:[Group]],C$5,Datadetails[[Taskcode]:[Taskcode]],$A36,Datadetails[[Activity_help]:[Activity_help]],"C20")</f>
        <v>0</v>
      </c>
      <c r="D36" s="7">
        <f>SUMIFS(Datadetails[[Hours]:[Hours]],Datadetails[[Group]:[Group]],D$5,Datadetails[[Taskcode]:[Taskcode]],$A36,Datadetails[[Activity_help]:[Activity_help]],"C20")</f>
        <v>0</v>
      </c>
      <c r="E36" s="7">
        <f>SUMIFS(Datadetails[[Hours]:[Hours]],Datadetails[[Group]:[Group]],E$5,Datadetails[[Taskcode]:[Taskcode]],$A36,Datadetails[[Activity_help]:[Activity_help]],"C20")</f>
        <v>8.32</v>
      </c>
      <c r="F36" s="7">
        <f>SUMIFS(Datadetails[[Hours]:[Hours]],Datadetails[[Group]:[Group]],F$5,Datadetails[[Taskcode]:[Taskcode]],$A36,Datadetails[[Activity_help]:[Activity_help]],"C20")</f>
        <v>0</v>
      </c>
      <c r="G36" s="12">
        <f t="shared" si="2"/>
        <v>8.32</v>
      </c>
      <c r="H36" s="8">
        <f>SUMIFS(Datadetails[[Hours]:[Hours]],Datadetails[[Group]:[Group]],H$5,Datadetails[[Taskcode]:[Taskcode]],$A36,Datadetails[[Activity_help]:[Activity_help]],"C30")</f>
        <v>0</v>
      </c>
      <c r="I36" s="8">
        <f>SUMIFS(Datadetails[[Hours]:[Hours]],Datadetails[[Group]:[Group]],I$5,Datadetails[[Taskcode]:[Taskcode]],$A36,Datadetails[[Activity_help]:[Activity_help]],"C30")</f>
        <v>0</v>
      </c>
      <c r="J36" s="8">
        <f>SUMIFS(Datadetails[[Hours]:[Hours]],Datadetails[[Group]:[Group]],J$5,Datadetails[[Taskcode]:[Taskcode]],$A36,Datadetails[[Activity_help]:[Activity_help]],"C30")</f>
        <v>2.77</v>
      </c>
      <c r="K36" s="8">
        <f>SUMIFS(Datadetails[[Hours]:[Hours]],Datadetails[[Group]:[Group]],K$5,Datadetails[[Taskcode]:[Taskcode]],$A36,Datadetails[[Activity_help]:[Activity_help]],"C30")</f>
        <v>0</v>
      </c>
      <c r="L36" s="13">
        <f t="shared" si="0"/>
        <v>2.77</v>
      </c>
      <c r="M36" s="39">
        <f>SUMIFS(Datadetails[[Hours]:[Hours]],Datadetails[[Group]:[Group]],M$5,Datadetails[[Taskcode]:[Taskcode]],$A36,Datadetails[[Activity_help]:[Activity_help]],"C40")</f>
        <v>0</v>
      </c>
      <c r="N36" s="39">
        <f>SUMIFS(Datadetails[[Hours]:[Hours]],Datadetails[[Group]:[Group]],N$5,Datadetails[[Taskcode]:[Taskcode]],$A36,Datadetails[[Activity_help]:[Activity_help]],"C40")</f>
        <v>0</v>
      </c>
      <c r="O36" s="39">
        <f>SUMIFS(Datadetails[[Hours]:[Hours]],Datadetails[[Group]:[Group]],O$5,Datadetails[[Taskcode]:[Taskcode]],$A36,Datadetails[[Activity_help]:[Activity_help]],"C40")</f>
        <v>6</v>
      </c>
      <c r="P36" s="39">
        <f>SUMIFS(Datadetails[[Hours]:[Hours]],Datadetails[[Group]:[Group]],P$5,Datadetails[[Taskcode]:[Taskcode]],$A36,Datadetails[[Activity_help]:[Activity_help]],"C40")</f>
        <v>0</v>
      </c>
      <c r="Q36" s="40">
        <f t="shared" si="1"/>
        <v>6</v>
      </c>
      <c r="R36" s="63">
        <f>SUMIFS(Datadetails[[Hours]:[Hours]],Datadetails[[Group]:[Group]],"Other",Datadetails[[Taskcode]:[Taskcode]],$A36,Datadetails[[Activity_help]:[Activity_help]],"Other")</f>
        <v>0</v>
      </c>
      <c r="S36" s="21">
        <f t="shared" si="3"/>
        <v>17.09</v>
      </c>
    </row>
    <row r="37" spans="1:19" x14ac:dyDescent="0.25">
      <c r="A37" s="35" t="s">
        <v>75</v>
      </c>
      <c r="B37" s="66" t="s">
        <v>199</v>
      </c>
      <c r="C37" s="7">
        <f>SUMIFS(Datadetails[[Hours]:[Hours]],Datadetails[[Group]:[Group]],C$5,Datadetails[[Taskcode]:[Taskcode]],$A37,Datadetails[[Activity_help]:[Activity_help]],"C20")</f>
        <v>0</v>
      </c>
      <c r="D37" s="7">
        <f>SUMIFS(Datadetails[[Hours]:[Hours]],Datadetails[[Group]:[Group]],D$5,Datadetails[[Taskcode]:[Taskcode]],$A37,Datadetails[[Activity_help]:[Activity_help]],"C20")</f>
        <v>0</v>
      </c>
      <c r="E37" s="7">
        <f>SUMIFS(Datadetails[[Hours]:[Hours]],Datadetails[[Group]:[Group]],E$5,Datadetails[[Taskcode]:[Taskcode]],$A37,Datadetails[[Activity_help]:[Activity_help]],"C20")</f>
        <v>0</v>
      </c>
      <c r="F37" s="7">
        <f>SUMIFS(Datadetails[[Hours]:[Hours]],Datadetails[[Group]:[Group]],F$5,Datadetails[[Taskcode]:[Taskcode]],$A37,Datadetails[[Activity_help]:[Activity_help]],"C20")</f>
        <v>0</v>
      </c>
      <c r="G37" s="12">
        <f t="shared" si="2"/>
        <v>0</v>
      </c>
      <c r="H37" s="8">
        <f>SUMIFS(Datadetails[[Hours]:[Hours]],Datadetails[[Group]:[Group]],H$5,Datadetails[[Taskcode]:[Taskcode]],$A37,Datadetails[[Activity_help]:[Activity_help]],"C30")</f>
        <v>0</v>
      </c>
      <c r="I37" s="8">
        <f>SUMIFS(Datadetails[[Hours]:[Hours]],Datadetails[[Group]:[Group]],I$5,Datadetails[[Taskcode]:[Taskcode]],$A37,Datadetails[[Activity_help]:[Activity_help]],"C30")</f>
        <v>0</v>
      </c>
      <c r="J37" s="8">
        <f>SUMIFS(Datadetails[[Hours]:[Hours]],Datadetails[[Group]:[Group]],J$5,Datadetails[[Taskcode]:[Taskcode]],$A37,Datadetails[[Activity_help]:[Activity_help]],"C30")</f>
        <v>6.58</v>
      </c>
      <c r="K37" s="8">
        <f>SUMIFS(Datadetails[[Hours]:[Hours]],Datadetails[[Group]:[Group]],K$5,Datadetails[[Taskcode]:[Taskcode]],$A37,Datadetails[[Activity_help]:[Activity_help]],"C30")</f>
        <v>0</v>
      </c>
      <c r="L37" s="13">
        <f t="shared" si="0"/>
        <v>6.58</v>
      </c>
      <c r="M37" s="39">
        <f>SUMIFS(Datadetails[[Hours]:[Hours]],Datadetails[[Group]:[Group]],M$5,Datadetails[[Taskcode]:[Taskcode]],$A37,Datadetails[[Activity_help]:[Activity_help]],"C40")</f>
        <v>0</v>
      </c>
      <c r="N37" s="39">
        <f>SUMIFS(Datadetails[[Hours]:[Hours]],Datadetails[[Group]:[Group]],N$5,Datadetails[[Taskcode]:[Taskcode]],$A37,Datadetails[[Activity_help]:[Activity_help]],"C40")</f>
        <v>0</v>
      </c>
      <c r="O37" s="39">
        <f>SUMIFS(Datadetails[[Hours]:[Hours]],Datadetails[[Group]:[Group]],O$5,Datadetails[[Taskcode]:[Taskcode]],$A37,Datadetails[[Activity_help]:[Activity_help]],"C40")</f>
        <v>0.5</v>
      </c>
      <c r="P37" s="39">
        <f>SUMIFS(Datadetails[[Hours]:[Hours]],Datadetails[[Group]:[Group]],P$5,Datadetails[[Taskcode]:[Taskcode]],$A37,Datadetails[[Activity_help]:[Activity_help]],"C40")</f>
        <v>0</v>
      </c>
      <c r="Q37" s="40">
        <f t="shared" si="1"/>
        <v>0.5</v>
      </c>
      <c r="R37" s="63">
        <f>SUMIFS(Datadetails[[Hours]:[Hours]],Datadetails[[Group]:[Group]],"Other",Datadetails[[Taskcode]:[Taskcode]],$A37,Datadetails[[Activity_help]:[Activity_help]],"Other")</f>
        <v>0</v>
      </c>
      <c r="S37" s="21">
        <f t="shared" si="3"/>
        <v>7.08</v>
      </c>
    </row>
    <row r="38" spans="1:19" x14ac:dyDescent="0.25">
      <c r="A38" s="35" t="s">
        <v>76</v>
      </c>
      <c r="B38" s="66" t="s">
        <v>200</v>
      </c>
      <c r="C38" s="7">
        <f>SUMIFS(Datadetails[[Hours]:[Hours]],Datadetails[[Group]:[Group]],C$5,Datadetails[[Taskcode]:[Taskcode]],$A38,Datadetails[[Activity_help]:[Activity_help]],"C20")</f>
        <v>0</v>
      </c>
      <c r="D38" s="7">
        <f>SUMIFS(Datadetails[[Hours]:[Hours]],Datadetails[[Group]:[Group]],D$5,Datadetails[[Taskcode]:[Taskcode]],$A38,Datadetails[[Activity_help]:[Activity_help]],"C20")</f>
        <v>0</v>
      </c>
      <c r="E38" s="7">
        <f>SUMIFS(Datadetails[[Hours]:[Hours]],Datadetails[[Group]:[Group]],E$5,Datadetails[[Taskcode]:[Taskcode]],$A38,Datadetails[[Activity_help]:[Activity_help]],"C20")</f>
        <v>0</v>
      </c>
      <c r="F38" s="7">
        <f>SUMIFS(Datadetails[[Hours]:[Hours]],Datadetails[[Group]:[Group]],F$5,Datadetails[[Taskcode]:[Taskcode]],$A38,Datadetails[[Activity_help]:[Activity_help]],"C20")</f>
        <v>2.58</v>
      </c>
      <c r="G38" s="12">
        <f t="shared" si="2"/>
        <v>2.58</v>
      </c>
      <c r="H38" s="8">
        <f>SUMIFS(Datadetails[[Hours]:[Hours]],Datadetails[[Group]:[Group]],H$5,Datadetails[[Taskcode]:[Taskcode]],$A38,Datadetails[[Activity_help]:[Activity_help]],"C30")</f>
        <v>0</v>
      </c>
      <c r="I38" s="8">
        <f>SUMIFS(Datadetails[[Hours]:[Hours]],Datadetails[[Group]:[Group]],I$5,Datadetails[[Taskcode]:[Taskcode]],$A38,Datadetails[[Activity_help]:[Activity_help]],"C30")</f>
        <v>0</v>
      </c>
      <c r="J38" s="8">
        <f>SUMIFS(Datadetails[[Hours]:[Hours]],Datadetails[[Group]:[Group]],J$5,Datadetails[[Taskcode]:[Taskcode]],$A38,Datadetails[[Activity_help]:[Activity_help]],"C30")</f>
        <v>0</v>
      </c>
      <c r="K38" s="8">
        <f>SUMIFS(Datadetails[[Hours]:[Hours]],Datadetails[[Group]:[Group]],K$5,Datadetails[[Taskcode]:[Taskcode]],$A38,Datadetails[[Activity_help]:[Activity_help]],"C30")</f>
        <v>1.82</v>
      </c>
      <c r="L38" s="13">
        <f t="shared" ref="L38:L69" si="4">SUM(H38:K38)</f>
        <v>1.82</v>
      </c>
      <c r="M38" s="39">
        <f>SUMIFS(Datadetails[[Hours]:[Hours]],Datadetails[[Group]:[Group]],M$5,Datadetails[[Taskcode]:[Taskcode]],$A38,Datadetails[[Activity_help]:[Activity_help]],"C40")</f>
        <v>0</v>
      </c>
      <c r="N38" s="39">
        <f>SUMIFS(Datadetails[[Hours]:[Hours]],Datadetails[[Group]:[Group]],N$5,Datadetails[[Taskcode]:[Taskcode]],$A38,Datadetails[[Activity_help]:[Activity_help]],"C40")</f>
        <v>0</v>
      </c>
      <c r="O38" s="39">
        <f>SUMIFS(Datadetails[[Hours]:[Hours]],Datadetails[[Group]:[Group]],O$5,Datadetails[[Taskcode]:[Taskcode]],$A38,Datadetails[[Activity_help]:[Activity_help]],"C40")</f>
        <v>0</v>
      </c>
      <c r="P38" s="39">
        <f>SUMIFS(Datadetails[[Hours]:[Hours]],Datadetails[[Group]:[Group]],P$5,Datadetails[[Taskcode]:[Taskcode]],$A38,Datadetails[[Activity_help]:[Activity_help]],"C40")</f>
        <v>2.5</v>
      </c>
      <c r="Q38" s="40">
        <f t="shared" ref="Q38:Q69" si="5">SUM(M38:P38)</f>
        <v>2.5</v>
      </c>
      <c r="R38" s="63">
        <f>SUMIFS(Datadetails[[Hours]:[Hours]],Datadetails[[Group]:[Group]],"Other",Datadetails[[Taskcode]:[Taskcode]],$A38,Datadetails[[Activity_help]:[Activity_help]],"Other")</f>
        <v>0</v>
      </c>
      <c r="S38" s="21">
        <f t="shared" si="3"/>
        <v>6.9</v>
      </c>
    </row>
    <row r="39" spans="1:19" x14ac:dyDescent="0.25">
      <c r="A39" s="35" t="s">
        <v>77</v>
      </c>
      <c r="B39" s="66" t="s">
        <v>201</v>
      </c>
      <c r="C39" s="7">
        <f>SUMIFS(Datadetails[[Hours]:[Hours]],Datadetails[[Group]:[Group]],C$5,Datadetails[[Taskcode]:[Taskcode]],$A39,Datadetails[[Activity_help]:[Activity_help]],"C20")</f>
        <v>0</v>
      </c>
      <c r="D39" s="7">
        <f>SUMIFS(Datadetails[[Hours]:[Hours]],Datadetails[[Group]:[Group]],D$5,Datadetails[[Taskcode]:[Taskcode]],$A39,Datadetails[[Activity_help]:[Activity_help]],"C20")</f>
        <v>0</v>
      </c>
      <c r="E39" s="7">
        <f>SUMIFS(Datadetails[[Hours]:[Hours]],Datadetails[[Group]:[Group]],E$5,Datadetails[[Taskcode]:[Taskcode]],$A39,Datadetails[[Activity_help]:[Activity_help]],"C20")</f>
        <v>0</v>
      </c>
      <c r="F39" s="7">
        <f>SUMIFS(Datadetails[[Hours]:[Hours]],Datadetails[[Group]:[Group]],F$5,Datadetails[[Taskcode]:[Taskcode]],$A39,Datadetails[[Activity_help]:[Activity_help]],"C20")</f>
        <v>4.5</v>
      </c>
      <c r="G39" s="12">
        <f t="shared" si="2"/>
        <v>4.5</v>
      </c>
      <c r="H39" s="8">
        <f>SUMIFS(Datadetails[[Hours]:[Hours]],Datadetails[[Group]:[Group]],H$5,Datadetails[[Taskcode]:[Taskcode]],$A39,Datadetails[[Activity_help]:[Activity_help]],"C30")</f>
        <v>0</v>
      </c>
      <c r="I39" s="8">
        <f>SUMIFS(Datadetails[[Hours]:[Hours]],Datadetails[[Group]:[Group]],I$5,Datadetails[[Taskcode]:[Taskcode]],$A39,Datadetails[[Activity_help]:[Activity_help]],"C30")</f>
        <v>0</v>
      </c>
      <c r="J39" s="8">
        <f>SUMIFS(Datadetails[[Hours]:[Hours]],Datadetails[[Group]:[Group]],J$5,Datadetails[[Taskcode]:[Taskcode]],$A39,Datadetails[[Activity_help]:[Activity_help]],"C30")</f>
        <v>0</v>
      </c>
      <c r="K39" s="8">
        <f>SUMIFS(Datadetails[[Hours]:[Hours]],Datadetails[[Group]:[Group]],K$5,Datadetails[[Taskcode]:[Taskcode]],$A39,Datadetails[[Activity_help]:[Activity_help]],"C30")</f>
        <v>0</v>
      </c>
      <c r="L39" s="13">
        <f t="shared" si="4"/>
        <v>0</v>
      </c>
      <c r="M39" s="39">
        <f>SUMIFS(Datadetails[[Hours]:[Hours]],Datadetails[[Group]:[Group]],M$5,Datadetails[[Taskcode]:[Taskcode]],$A39,Datadetails[[Activity_help]:[Activity_help]],"C40")</f>
        <v>0</v>
      </c>
      <c r="N39" s="39">
        <f>SUMIFS(Datadetails[[Hours]:[Hours]],Datadetails[[Group]:[Group]],N$5,Datadetails[[Taskcode]:[Taskcode]],$A39,Datadetails[[Activity_help]:[Activity_help]],"C40")</f>
        <v>0</v>
      </c>
      <c r="O39" s="39">
        <f>SUMIFS(Datadetails[[Hours]:[Hours]],Datadetails[[Group]:[Group]],O$5,Datadetails[[Taskcode]:[Taskcode]],$A39,Datadetails[[Activity_help]:[Activity_help]],"C40")</f>
        <v>0</v>
      </c>
      <c r="P39" s="39">
        <f>SUMIFS(Datadetails[[Hours]:[Hours]],Datadetails[[Group]:[Group]],P$5,Datadetails[[Taskcode]:[Taskcode]],$A39,Datadetails[[Activity_help]:[Activity_help]],"C40")</f>
        <v>4</v>
      </c>
      <c r="Q39" s="40">
        <f t="shared" si="5"/>
        <v>4</v>
      </c>
      <c r="R39" s="63">
        <f>SUMIFS(Datadetails[[Hours]:[Hours]],Datadetails[[Group]:[Group]],"Other",Datadetails[[Taskcode]:[Taskcode]],$A39,Datadetails[[Activity_help]:[Activity_help]],"Other")</f>
        <v>0</v>
      </c>
      <c r="S39" s="21">
        <f t="shared" si="3"/>
        <v>8.5</v>
      </c>
    </row>
    <row r="40" spans="1:19" x14ac:dyDescent="0.25">
      <c r="A40" s="35" t="s">
        <v>78</v>
      </c>
      <c r="B40" s="66" t="s">
        <v>202</v>
      </c>
      <c r="C40" s="7">
        <f>SUMIFS(Datadetails[[Hours]:[Hours]],Datadetails[[Group]:[Group]],C$5,Datadetails[[Taskcode]:[Taskcode]],$A40,Datadetails[[Activity_help]:[Activity_help]],"C20")</f>
        <v>0</v>
      </c>
      <c r="D40" s="7">
        <f>SUMIFS(Datadetails[[Hours]:[Hours]],Datadetails[[Group]:[Group]],D$5,Datadetails[[Taskcode]:[Taskcode]],$A40,Datadetails[[Activity_help]:[Activity_help]],"C20")</f>
        <v>0</v>
      </c>
      <c r="E40" s="7">
        <f>SUMIFS(Datadetails[[Hours]:[Hours]],Datadetails[[Group]:[Group]],E$5,Datadetails[[Taskcode]:[Taskcode]],$A40,Datadetails[[Activity_help]:[Activity_help]],"C20")</f>
        <v>0</v>
      </c>
      <c r="F40" s="7">
        <f>SUMIFS(Datadetails[[Hours]:[Hours]],Datadetails[[Group]:[Group]],F$5,Datadetails[[Taskcode]:[Taskcode]],$A40,Datadetails[[Activity_help]:[Activity_help]],"C20")</f>
        <v>8.75</v>
      </c>
      <c r="G40" s="12">
        <f t="shared" si="2"/>
        <v>8.75</v>
      </c>
      <c r="H40" s="8">
        <f>SUMIFS(Datadetails[[Hours]:[Hours]],Datadetails[[Group]:[Group]],H$5,Datadetails[[Taskcode]:[Taskcode]],$A40,Datadetails[[Activity_help]:[Activity_help]],"C30")</f>
        <v>0</v>
      </c>
      <c r="I40" s="8">
        <f>SUMIFS(Datadetails[[Hours]:[Hours]],Datadetails[[Group]:[Group]],I$5,Datadetails[[Taskcode]:[Taskcode]],$A40,Datadetails[[Activity_help]:[Activity_help]],"C30")</f>
        <v>0</v>
      </c>
      <c r="J40" s="8">
        <f>SUMIFS(Datadetails[[Hours]:[Hours]],Datadetails[[Group]:[Group]],J$5,Datadetails[[Taskcode]:[Taskcode]],$A40,Datadetails[[Activity_help]:[Activity_help]],"C30")</f>
        <v>0</v>
      </c>
      <c r="K40" s="8">
        <f>SUMIFS(Datadetails[[Hours]:[Hours]],Datadetails[[Group]:[Group]],K$5,Datadetails[[Taskcode]:[Taskcode]],$A40,Datadetails[[Activity_help]:[Activity_help]],"C30")</f>
        <v>1.75</v>
      </c>
      <c r="L40" s="13">
        <f t="shared" si="4"/>
        <v>1.75</v>
      </c>
      <c r="M40" s="39">
        <f>SUMIFS(Datadetails[[Hours]:[Hours]],Datadetails[[Group]:[Group]],M$5,Datadetails[[Taskcode]:[Taskcode]],$A40,Datadetails[[Activity_help]:[Activity_help]],"C40")</f>
        <v>0</v>
      </c>
      <c r="N40" s="39">
        <f>SUMIFS(Datadetails[[Hours]:[Hours]],Datadetails[[Group]:[Group]],N$5,Datadetails[[Taskcode]:[Taskcode]],$A40,Datadetails[[Activity_help]:[Activity_help]],"C40")</f>
        <v>0</v>
      </c>
      <c r="O40" s="39">
        <f>SUMIFS(Datadetails[[Hours]:[Hours]],Datadetails[[Group]:[Group]],O$5,Datadetails[[Taskcode]:[Taskcode]],$A40,Datadetails[[Activity_help]:[Activity_help]],"C40")</f>
        <v>0</v>
      </c>
      <c r="P40" s="39">
        <f>SUMIFS(Datadetails[[Hours]:[Hours]],Datadetails[[Group]:[Group]],P$5,Datadetails[[Taskcode]:[Taskcode]],$A40,Datadetails[[Activity_help]:[Activity_help]],"C40")</f>
        <v>1.33</v>
      </c>
      <c r="Q40" s="40">
        <f t="shared" si="5"/>
        <v>1.33</v>
      </c>
      <c r="R40" s="63">
        <f>SUMIFS(Datadetails[[Hours]:[Hours]],Datadetails[[Group]:[Group]],"Other",Datadetails[[Taskcode]:[Taskcode]],$A40,Datadetails[[Activity_help]:[Activity_help]],"Other")</f>
        <v>0</v>
      </c>
      <c r="S40" s="21">
        <f t="shared" si="3"/>
        <v>11.83</v>
      </c>
    </row>
    <row r="41" spans="1:19" x14ac:dyDescent="0.25">
      <c r="A41" s="35" t="s">
        <v>21</v>
      </c>
      <c r="B41" s="66" t="s">
        <v>203</v>
      </c>
      <c r="C41" s="7">
        <f>SUMIFS(Datadetails[[Hours]:[Hours]],Datadetails[[Group]:[Group]],C$5,Datadetails[[Taskcode]:[Taskcode]],$A41,Datadetails[[Activity_help]:[Activity_help]],"C20")</f>
        <v>0</v>
      </c>
      <c r="D41" s="7">
        <f>SUMIFS(Datadetails[[Hours]:[Hours]],Datadetails[[Group]:[Group]],D$5,Datadetails[[Taskcode]:[Taskcode]],$A41,Datadetails[[Activity_help]:[Activity_help]],"C20")</f>
        <v>0</v>
      </c>
      <c r="E41" s="7">
        <f>SUMIFS(Datadetails[[Hours]:[Hours]],Datadetails[[Group]:[Group]],E$5,Datadetails[[Taskcode]:[Taskcode]],$A41,Datadetails[[Activity_help]:[Activity_help]],"C20")</f>
        <v>0</v>
      </c>
      <c r="F41" s="7">
        <f>SUMIFS(Datadetails[[Hours]:[Hours]],Datadetails[[Group]:[Group]],F$5,Datadetails[[Taskcode]:[Taskcode]],$A41,Datadetails[[Activity_help]:[Activity_help]],"C20")</f>
        <v>0</v>
      </c>
      <c r="G41" s="12">
        <f t="shared" si="2"/>
        <v>0</v>
      </c>
      <c r="H41" s="8">
        <f>SUMIFS(Datadetails[[Hours]:[Hours]],Datadetails[[Group]:[Group]],H$5,Datadetails[[Taskcode]:[Taskcode]],$A41,Datadetails[[Activity_help]:[Activity_help]],"C30")</f>
        <v>0</v>
      </c>
      <c r="I41" s="8">
        <f>SUMIFS(Datadetails[[Hours]:[Hours]],Datadetails[[Group]:[Group]],I$5,Datadetails[[Taskcode]:[Taskcode]],$A41,Datadetails[[Activity_help]:[Activity_help]],"C30")</f>
        <v>0</v>
      </c>
      <c r="J41" s="8">
        <f>SUMIFS(Datadetails[[Hours]:[Hours]],Datadetails[[Group]:[Group]],J$5,Datadetails[[Taskcode]:[Taskcode]],$A41,Datadetails[[Activity_help]:[Activity_help]],"C30")</f>
        <v>0</v>
      </c>
      <c r="K41" s="8">
        <f>SUMIFS(Datadetails[[Hours]:[Hours]],Datadetails[[Group]:[Group]],K$5,Datadetails[[Taskcode]:[Taskcode]],$A41,Datadetails[[Activity_help]:[Activity_help]],"C30")</f>
        <v>0</v>
      </c>
      <c r="L41" s="13">
        <f t="shared" si="4"/>
        <v>0</v>
      </c>
      <c r="M41" s="39">
        <f>SUMIFS(Datadetails[[Hours]:[Hours]],Datadetails[[Group]:[Group]],M$5,Datadetails[[Taskcode]:[Taskcode]],$A41,Datadetails[[Activity_help]:[Activity_help]],"C40")</f>
        <v>0</v>
      </c>
      <c r="N41" s="39">
        <f>SUMIFS(Datadetails[[Hours]:[Hours]],Datadetails[[Group]:[Group]],N$5,Datadetails[[Taskcode]:[Taskcode]],$A41,Datadetails[[Activity_help]:[Activity_help]],"C40")</f>
        <v>0</v>
      </c>
      <c r="O41" s="39">
        <f>SUMIFS(Datadetails[[Hours]:[Hours]],Datadetails[[Group]:[Group]],O$5,Datadetails[[Taskcode]:[Taskcode]],$A41,Datadetails[[Activity_help]:[Activity_help]],"C40")</f>
        <v>0</v>
      </c>
      <c r="P41" s="39">
        <f>SUMIFS(Datadetails[[Hours]:[Hours]],Datadetails[[Group]:[Group]],P$5,Datadetails[[Taskcode]:[Taskcode]],$A41,Datadetails[[Activity_help]:[Activity_help]],"C40")</f>
        <v>0</v>
      </c>
      <c r="Q41" s="40">
        <f t="shared" si="5"/>
        <v>0</v>
      </c>
      <c r="R41" s="63">
        <f>SUMIFS(Datadetails[[Hours]:[Hours]],Datadetails[[Group]:[Group]],"Other",Datadetails[[Taskcode]:[Taskcode]],$A41,Datadetails[[Activity_help]:[Activity_help]],"Other")</f>
        <v>0</v>
      </c>
      <c r="S41" s="21">
        <f t="shared" si="3"/>
        <v>0</v>
      </c>
    </row>
    <row r="42" spans="1:19" x14ac:dyDescent="0.25">
      <c r="A42" s="35" t="s">
        <v>79</v>
      </c>
      <c r="B42" s="66" t="s">
        <v>204</v>
      </c>
      <c r="C42" s="7">
        <f>SUMIFS(Datadetails[[Hours]:[Hours]],Datadetails[[Group]:[Group]],C$5,Datadetails[[Taskcode]:[Taskcode]],$A42,Datadetails[[Activity_help]:[Activity_help]],"C20")</f>
        <v>0</v>
      </c>
      <c r="D42" s="7">
        <f>SUMIFS(Datadetails[[Hours]:[Hours]],Datadetails[[Group]:[Group]],D$5,Datadetails[[Taskcode]:[Taskcode]],$A42,Datadetails[[Activity_help]:[Activity_help]],"C20")</f>
        <v>0</v>
      </c>
      <c r="E42" s="7">
        <f>SUMIFS(Datadetails[[Hours]:[Hours]],Datadetails[[Group]:[Group]],E$5,Datadetails[[Taskcode]:[Taskcode]],$A42,Datadetails[[Activity_help]:[Activity_help]],"C20")</f>
        <v>0</v>
      </c>
      <c r="F42" s="7">
        <f>SUMIFS(Datadetails[[Hours]:[Hours]],Datadetails[[Group]:[Group]],F$5,Datadetails[[Taskcode]:[Taskcode]],$A42,Datadetails[[Activity_help]:[Activity_help]],"C20")</f>
        <v>0</v>
      </c>
      <c r="G42" s="12">
        <f t="shared" si="2"/>
        <v>0</v>
      </c>
      <c r="H42" s="8">
        <f>SUMIFS(Datadetails[[Hours]:[Hours]],Datadetails[[Group]:[Group]],H$5,Datadetails[[Taskcode]:[Taskcode]],$A42,Datadetails[[Activity_help]:[Activity_help]],"C30")</f>
        <v>0</v>
      </c>
      <c r="I42" s="8">
        <f>SUMIFS(Datadetails[[Hours]:[Hours]],Datadetails[[Group]:[Group]],I$5,Datadetails[[Taskcode]:[Taskcode]],$A42,Datadetails[[Activity_help]:[Activity_help]],"C30")</f>
        <v>0</v>
      </c>
      <c r="J42" s="8">
        <f>SUMIFS(Datadetails[[Hours]:[Hours]],Datadetails[[Group]:[Group]],J$5,Datadetails[[Taskcode]:[Taskcode]],$A42,Datadetails[[Activity_help]:[Activity_help]],"C30")</f>
        <v>0</v>
      </c>
      <c r="K42" s="8">
        <f>SUMIFS(Datadetails[[Hours]:[Hours]],Datadetails[[Group]:[Group]],K$5,Datadetails[[Taskcode]:[Taskcode]],$A42,Datadetails[[Activity_help]:[Activity_help]],"C30")</f>
        <v>0</v>
      </c>
      <c r="L42" s="13">
        <f t="shared" si="4"/>
        <v>0</v>
      </c>
      <c r="M42" s="39">
        <f>SUMIFS(Datadetails[[Hours]:[Hours]],Datadetails[[Group]:[Group]],M$5,Datadetails[[Taskcode]:[Taskcode]],$A42,Datadetails[[Activity_help]:[Activity_help]],"C40")</f>
        <v>0</v>
      </c>
      <c r="N42" s="39">
        <f>SUMIFS(Datadetails[[Hours]:[Hours]],Datadetails[[Group]:[Group]],N$5,Datadetails[[Taskcode]:[Taskcode]],$A42,Datadetails[[Activity_help]:[Activity_help]],"C40")</f>
        <v>0</v>
      </c>
      <c r="O42" s="39">
        <f>SUMIFS(Datadetails[[Hours]:[Hours]],Datadetails[[Group]:[Group]],O$5,Datadetails[[Taskcode]:[Taskcode]],$A42,Datadetails[[Activity_help]:[Activity_help]],"C40")</f>
        <v>0</v>
      </c>
      <c r="P42" s="39">
        <f>SUMIFS(Datadetails[[Hours]:[Hours]],Datadetails[[Group]:[Group]],P$5,Datadetails[[Taskcode]:[Taskcode]],$A42,Datadetails[[Activity_help]:[Activity_help]],"C40")</f>
        <v>0</v>
      </c>
      <c r="Q42" s="40">
        <f t="shared" si="5"/>
        <v>0</v>
      </c>
      <c r="R42" s="63">
        <f>SUMIFS(Datadetails[[Hours]:[Hours]],Datadetails[[Group]:[Group]],"Other",Datadetails[[Taskcode]:[Taskcode]],$A42,Datadetails[[Activity_help]:[Activity_help]],"Other")</f>
        <v>0</v>
      </c>
      <c r="S42" s="21">
        <f t="shared" si="3"/>
        <v>0</v>
      </c>
    </row>
    <row r="43" spans="1:19" x14ac:dyDescent="0.25">
      <c r="A43" s="35" t="s">
        <v>80</v>
      </c>
      <c r="B43" s="66" t="s">
        <v>205</v>
      </c>
      <c r="C43" s="7">
        <f>SUMIFS(Datadetails[[Hours]:[Hours]],Datadetails[[Group]:[Group]],C$5,Datadetails[[Taskcode]:[Taskcode]],$A43,Datadetails[[Activity_help]:[Activity_help]],"C20")</f>
        <v>0</v>
      </c>
      <c r="D43" s="7">
        <f>SUMIFS(Datadetails[[Hours]:[Hours]],Datadetails[[Group]:[Group]],D$5,Datadetails[[Taskcode]:[Taskcode]],$A43,Datadetails[[Activity_help]:[Activity_help]],"C20")</f>
        <v>0</v>
      </c>
      <c r="E43" s="7">
        <f>SUMIFS(Datadetails[[Hours]:[Hours]],Datadetails[[Group]:[Group]],E$5,Datadetails[[Taskcode]:[Taskcode]],$A43,Datadetails[[Activity_help]:[Activity_help]],"C20")</f>
        <v>0</v>
      </c>
      <c r="F43" s="7">
        <f>SUMIFS(Datadetails[[Hours]:[Hours]],Datadetails[[Group]:[Group]],F$5,Datadetails[[Taskcode]:[Taskcode]],$A43,Datadetails[[Activity_help]:[Activity_help]],"C20")</f>
        <v>0</v>
      </c>
      <c r="G43" s="12">
        <f t="shared" si="2"/>
        <v>0</v>
      </c>
      <c r="H43" s="8">
        <f>SUMIFS(Datadetails[[Hours]:[Hours]],Datadetails[[Group]:[Group]],H$5,Datadetails[[Taskcode]:[Taskcode]],$A43,Datadetails[[Activity_help]:[Activity_help]],"C30")</f>
        <v>0</v>
      </c>
      <c r="I43" s="8">
        <f>SUMIFS(Datadetails[[Hours]:[Hours]],Datadetails[[Group]:[Group]],I$5,Datadetails[[Taskcode]:[Taskcode]],$A43,Datadetails[[Activity_help]:[Activity_help]],"C30")</f>
        <v>0</v>
      </c>
      <c r="J43" s="8">
        <f>SUMIFS(Datadetails[[Hours]:[Hours]],Datadetails[[Group]:[Group]],J$5,Datadetails[[Taskcode]:[Taskcode]],$A43,Datadetails[[Activity_help]:[Activity_help]],"C30")</f>
        <v>0.93</v>
      </c>
      <c r="K43" s="8">
        <f>SUMIFS(Datadetails[[Hours]:[Hours]],Datadetails[[Group]:[Group]],K$5,Datadetails[[Taskcode]:[Taskcode]],$A43,Datadetails[[Activity_help]:[Activity_help]],"C30")</f>
        <v>0</v>
      </c>
      <c r="L43" s="13">
        <f t="shared" si="4"/>
        <v>0.93</v>
      </c>
      <c r="M43" s="39">
        <f>SUMIFS(Datadetails[[Hours]:[Hours]],Datadetails[[Group]:[Group]],M$5,Datadetails[[Taskcode]:[Taskcode]],$A43,Datadetails[[Activity_help]:[Activity_help]],"C40")</f>
        <v>0</v>
      </c>
      <c r="N43" s="39">
        <f>SUMIFS(Datadetails[[Hours]:[Hours]],Datadetails[[Group]:[Group]],N$5,Datadetails[[Taskcode]:[Taskcode]],$A43,Datadetails[[Activity_help]:[Activity_help]],"C40")</f>
        <v>0</v>
      </c>
      <c r="O43" s="39">
        <f>SUMIFS(Datadetails[[Hours]:[Hours]],Datadetails[[Group]:[Group]],O$5,Datadetails[[Taskcode]:[Taskcode]],$A43,Datadetails[[Activity_help]:[Activity_help]],"C40")</f>
        <v>1.92</v>
      </c>
      <c r="P43" s="39">
        <f>SUMIFS(Datadetails[[Hours]:[Hours]],Datadetails[[Group]:[Group]],P$5,Datadetails[[Taskcode]:[Taskcode]],$A43,Datadetails[[Activity_help]:[Activity_help]],"C40")</f>
        <v>0</v>
      </c>
      <c r="Q43" s="40">
        <f t="shared" si="5"/>
        <v>1.92</v>
      </c>
      <c r="R43" s="63">
        <f>SUMIFS(Datadetails[[Hours]:[Hours]],Datadetails[[Group]:[Group]],"Other",Datadetails[[Taskcode]:[Taskcode]],$A43,Datadetails[[Activity_help]:[Activity_help]],"Other")</f>
        <v>0</v>
      </c>
      <c r="S43" s="21">
        <f t="shared" si="3"/>
        <v>2.85</v>
      </c>
    </row>
    <row r="44" spans="1:19" x14ac:dyDescent="0.25">
      <c r="A44" s="35" t="s">
        <v>81</v>
      </c>
      <c r="B44" s="66" t="s">
        <v>206</v>
      </c>
      <c r="C44" s="7">
        <f>SUMIFS(Datadetails[[Hours]:[Hours]],Datadetails[[Group]:[Group]],C$5,Datadetails[[Taskcode]:[Taskcode]],$A44,Datadetails[[Activity_help]:[Activity_help]],"C20")</f>
        <v>0</v>
      </c>
      <c r="D44" s="7">
        <f>SUMIFS(Datadetails[[Hours]:[Hours]],Datadetails[[Group]:[Group]],D$5,Datadetails[[Taskcode]:[Taskcode]],$A44,Datadetails[[Activity_help]:[Activity_help]],"C20")</f>
        <v>0</v>
      </c>
      <c r="E44" s="7">
        <f>SUMIFS(Datadetails[[Hours]:[Hours]],Datadetails[[Group]:[Group]],E$5,Datadetails[[Taskcode]:[Taskcode]],$A44,Datadetails[[Activity_help]:[Activity_help]],"C20")</f>
        <v>0</v>
      </c>
      <c r="F44" s="7">
        <f>SUMIFS(Datadetails[[Hours]:[Hours]],Datadetails[[Group]:[Group]],F$5,Datadetails[[Taskcode]:[Taskcode]],$A44,Datadetails[[Activity_help]:[Activity_help]],"C20")</f>
        <v>0</v>
      </c>
      <c r="G44" s="12">
        <f t="shared" si="2"/>
        <v>0</v>
      </c>
      <c r="H44" s="8">
        <f>SUMIFS(Datadetails[[Hours]:[Hours]],Datadetails[[Group]:[Group]],H$5,Datadetails[[Taskcode]:[Taskcode]],$A44,Datadetails[[Activity_help]:[Activity_help]],"C30")</f>
        <v>0</v>
      </c>
      <c r="I44" s="8">
        <f>SUMIFS(Datadetails[[Hours]:[Hours]],Datadetails[[Group]:[Group]],I$5,Datadetails[[Taskcode]:[Taskcode]],$A44,Datadetails[[Activity_help]:[Activity_help]],"C30")</f>
        <v>0</v>
      </c>
      <c r="J44" s="8">
        <f>SUMIFS(Datadetails[[Hours]:[Hours]],Datadetails[[Group]:[Group]],J$5,Datadetails[[Taskcode]:[Taskcode]],$A44,Datadetails[[Activity_help]:[Activity_help]],"C30")</f>
        <v>6.419999999999999</v>
      </c>
      <c r="K44" s="8">
        <f>SUMIFS(Datadetails[[Hours]:[Hours]],Datadetails[[Group]:[Group]],K$5,Datadetails[[Taskcode]:[Taskcode]],$A44,Datadetails[[Activity_help]:[Activity_help]],"C30")</f>
        <v>0</v>
      </c>
      <c r="L44" s="13">
        <f t="shared" si="4"/>
        <v>6.419999999999999</v>
      </c>
      <c r="M44" s="39">
        <f>SUMIFS(Datadetails[[Hours]:[Hours]],Datadetails[[Group]:[Group]],M$5,Datadetails[[Taskcode]:[Taskcode]],$A44,Datadetails[[Activity_help]:[Activity_help]],"C40")</f>
        <v>0</v>
      </c>
      <c r="N44" s="39">
        <f>SUMIFS(Datadetails[[Hours]:[Hours]],Datadetails[[Group]:[Group]],N$5,Datadetails[[Taskcode]:[Taskcode]],$A44,Datadetails[[Activity_help]:[Activity_help]],"C40")</f>
        <v>0</v>
      </c>
      <c r="O44" s="39">
        <f>SUMIFS(Datadetails[[Hours]:[Hours]],Datadetails[[Group]:[Group]],O$5,Datadetails[[Taskcode]:[Taskcode]],$A44,Datadetails[[Activity_help]:[Activity_help]],"C40")</f>
        <v>3.5</v>
      </c>
      <c r="P44" s="39">
        <f>SUMIFS(Datadetails[[Hours]:[Hours]],Datadetails[[Group]:[Group]],P$5,Datadetails[[Taskcode]:[Taskcode]],$A44,Datadetails[[Activity_help]:[Activity_help]],"C40")</f>
        <v>0</v>
      </c>
      <c r="Q44" s="40">
        <f t="shared" si="5"/>
        <v>3.5</v>
      </c>
      <c r="R44" s="63">
        <f>SUMIFS(Datadetails[[Hours]:[Hours]],Datadetails[[Group]:[Group]],"Other",Datadetails[[Taskcode]:[Taskcode]],$A44,Datadetails[[Activity_help]:[Activity_help]],"Other")</f>
        <v>0</v>
      </c>
      <c r="S44" s="21">
        <f t="shared" si="3"/>
        <v>9.9199999999999982</v>
      </c>
    </row>
    <row r="45" spans="1:19" x14ac:dyDescent="0.25">
      <c r="A45" s="35" t="s">
        <v>82</v>
      </c>
      <c r="B45" s="66" t="s">
        <v>207</v>
      </c>
      <c r="C45" s="7">
        <f>SUMIFS(Datadetails[[Hours]:[Hours]],Datadetails[[Group]:[Group]],C$5,Datadetails[[Taskcode]:[Taskcode]],$A45,Datadetails[[Activity_help]:[Activity_help]],"C20")</f>
        <v>0</v>
      </c>
      <c r="D45" s="7">
        <f>SUMIFS(Datadetails[[Hours]:[Hours]],Datadetails[[Group]:[Group]],D$5,Datadetails[[Taskcode]:[Taskcode]],$A45,Datadetails[[Activity_help]:[Activity_help]],"C20")</f>
        <v>8.67</v>
      </c>
      <c r="E45" s="7">
        <f>SUMIFS(Datadetails[[Hours]:[Hours]],Datadetails[[Group]:[Group]],E$5,Datadetails[[Taskcode]:[Taskcode]],$A45,Datadetails[[Activity_help]:[Activity_help]],"C20")</f>
        <v>0</v>
      </c>
      <c r="F45" s="7">
        <f>SUMIFS(Datadetails[[Hours]:[Hours]],Datadetails[[Group]:[Group]],F$5,Datadetails[[Taskcode]:[Taskcode]],$A45,Datadetails[[Activity_help]:[Activity_help]],"C20")</f>
        <v>0</v>
      </c>
      <c r="G45" s="12">
        <f t="shared" si="2"/>
        <v>8.67</v>
      </c>
      <c r="H45" s="8">
        <f>SUMIFS(Datadetails[[Hours]:[Hours]],Datadetails[[Group]:[Group]],H$5,Datadetails[[Taskcode]:[Taskcode]],$A45,Datadetails[[Activity_help]:[Activity_help]],"C30")</f>
        <v>0</v>
      </c>
      <c r="I45" s="8">
        <f>SUMIFS(Datadetails[[Hours]:[Hours]],Datadetails[[Group]:[Group]],I$5,Datadetails[[Taskcode]:[Taskcode]],$A45,Datadetails[[Activity_help]:[Activity_help]],"C30")</f>
        <v>8.92</v>
      </c>
      <c r="J45" s="8">
        <f>SUMIFS(Datadetails[[Hours]:[Hours]],Datadetails[[Group]:[Group]],J$5,Datadetails[[Taskcode]:[Taskcode]],$A45,Datadetails[[Activity_help]:[Activity_help]],"C30")</f>
        <v>0</v>
      </c>
      <c r="K45" s="8">
        <f>SUMIFS(Datadetails[[Hours]:[Hours]],Datadetails[[Group]:[Group]],K$5,Datadetails[[Taskcode]:[Taskcode]],$A45,Datadetails[[Activity_help]:[Activity_help]],"C30")</f>
        <v>0</v>
      </c>
      <c r="L45" s="13">
        <f t="shared" si="4"/>
        <v>8.92</v>
      </c>
      <c r="M45" s="39">
        <f>SUMIFS(Datadetails[[Hours]:[Hours]],Datadetails[[Group]:[Group]],M$5,Datadetails[[Taskcode]:[Taskcode]],$A45,Datadetails[[Activity_help]:[Activity_help]],"C40")</f>
        <v>0</v>
      </c>
      <c r="N45" s="39">
        <f>SUMIFS(Datadetails[[Hours]:[Hours]],Datadetails[[Group]:[Group]],N$5,Datadetails[[Taskcode]:[Taskcode]],$A45,Datadetails[[Activity_help]:[Activity_help]],"C40")</f>
        <v>3.92</v>
      </c>
      <c r="O45" s="39">
        <f>SUMIFS(Datadetails[[Hours]:[Hours]],Datadetails[[Group]:[Group]],O$5,Datadetails[[Taskcode]:[Taskcode]],$A45,Datadetails[[Activity_help]:[Activity_help]],"C40")</f>
        <v>0</v>
      </c>
      <c r="P45" s="39">
        <f>SUMIFS(Datadetails[[Hours]:[Hours]],Datadetails[[Group]:[Group]],P$5,Datadetails[[Taskcode]:[Taskcode]],$A45,Datadetails[[Activity_help]:[Activity_help]],"C40")</f>
        <v>0</v>
      </c>
      <c r="Q45" s="40">
        <f t="shared" si="5"/>
        <v>3.92</v>
      </c>
      <c r="R45" s="63">
        <f>SUMIFS(Datadetails[[Hours]:[Hours]],Datadetails[[Group]:[Group]],"Other",Datadetails[[Taskcode]:[Taskcode]],$A45,Datadetails[[Activity_help]:[Activity_help]],"Other")</f>
        <v>0</v>
      </c>
      <c r="S45" s="21">
        <f t="shared" si="3"/>
        <v>21.509999999999998</v>
      </c>
    </row>
    <row r="46" spans="1:19" x14ac:dyDescent="0.25">
      <c r="A46" s="35" t="s">
        <v>43</v>
      </c>
      <c r="B46" s="66" t="s">
        <v>208</v>
      </c>
      <c r="C46" s="7">
        <f>SUMIFS(Datadetails[[Hours]:[Hours]],Datadetails[[Group]:[Group]],C$5,Datadetails[[Taskcode]:[Taskcode]],$A46,Datadetails[[Activity_help]:[Activity_help]],"C20")</f>
        <v>0</v>
      </c>
      <c r="D46" s="7">
        <f>SUMIFS(Datadetails[[Hours]:[Hours]],Datadetails[[Group]:[Group]],D$5,Datadetails[[Taskcode]:[Taskcode]],$A46,Datadetails[[Activity_help]:[Activity_help]],"C20")</f>
        <v>0</v>
      </c>
      <c r="E46" s="7">
        <f>SUMIFS(Datadetails[[Hours]:[Hours]],Datadetails[[Group]:[Group]],E$5,Datadetails[[Taskcode]:[Taskcode]],$A46,Datadetails[[Activity_help]:[Activity_help]],"C20")</f>
        <v>0</v>
      </c>
      <c r="F46" s="7">
        <f>SUMIFS(Datadetails[[Hours]:[Hours]],Datadetails[[Group]:[Group]],F$5,Datadetails[[Taskcode]:[Taskcode]],$A46,Datadetails[[Activity_help]:[Activity_help]],"C20")</f>
        <v>3.1500000000000004</v>
      </c>
      <c r="G46" s="12">
        <f t="shared" si="2"/>
        <v>3.1500000000000004</v>
      </c>
      <c r="H46" s="8">
        <f>SUMIFS(Datadetails[[Hours]:[Hours]],Datadetails[[Group]:[Group]],H$5,Datadetails[[Taskcode]:[Taskcode]],$A46,Datadetails[[Activity_help]:[Activity_help]],"C30")</f>
        <v>0</v>
      </c>
      <c r="I46" s="8">
        <f>SUMIFS(Datadetails[[Hours]:[Hours]],Datadetails[[Group]:[Group]],I$5,Datadetails[[Taskcode]:[Taskcode]],$A46,Datadetails[[Activity_help]:[Activity_help]],"C30")</f>
        <v>0</v>
      </c>
      <c r="J46" s="8">
        <f>SUMIFS(Datadetails[[Hours]:[Hours]],Datadetails[[Group]:[Group]],J$5,Datadetails[[Taskcode]:[Taskcode]],$A46,Datadetails[[Activity_help]:[Activity_help]],"C30")</f>
        <v>0</v>
      </c>
      <c r="K46" s="8">
        <f>SUMIFS(Datadetails[[Hours]:[Hours]],Datadetails[[Group]:[Group]],K$5,Datadetails[[Taskcode]:[Taskcode]],$A46,Datadetails[[Activity_help]:[Activity_help]],"C30")</f>
        <v>0.25</v>
      </c>
      <c r="L46" s="13">
        <f t="shared" si="4"/>
        <v>0.25</v>
      </c>
      <c r="M46" s="39">
        <f>SUMIFS(Datadetails[[Hours]:[Hours]],Datadetails[[Group]:[Group]],M$5,Datadetails[[Taskcode]:[Taskcode]],$A46,Datadetails[[Activity_help]:[Activity_help]],"C40")</f>
        <v>0</v>
      </c>
      <c r="N46" s="39">
        <f>SUMIFS(Datadetails[[Hours]:[Hours]],Datadetails[[Group]:[Group]],N$5,Datadetails[[Taskcode]:[Taskcode]],$A46,Datadetails[[Activity_help]:[Activity_help]],"C40")</f>
        <v>0</v>
      </c>
      <c r="O46" s="39">
        <f>SUMIFS(Datadetails[[Hours]:[Hours]],Datadetails[[Group]:[Group]],O$5,Datadetails[[Taskcode]:[Taskcode]],$A46,Datadetails[[Activity_help]:[Activity_help]],"C40")</f>
        <v>0</v>
      </c>
      <c r="P46" s="39">
        <f>SUMIFS(Datadetails[[Hours]:[Hours]],Datadetails[[Group]:[Group]],P$5,Datadetails[[Taskcode]:[Taskcode]],$A46,Datadetails[[Activity_help]:[Activity_help]],"C40")</f>
        <v>0</v>
      </c>
      <c r="Q46" s="40">
        <f t="shared" si="5"/>
        <v>0</v>
      </c>
      <c r="R46" s="63">
        <f>SUMIFS(Datadetails[[Hours]:[Hours]],Datadetails[[Group]:[Group]],"Other",Datadetails[[Taskcode]:[Taskcode]],$A46,Datadetails[[Activity_help]:[Activity_help]],"Other")</f>
        <v>0</v>
      </c>
      <c r="S46" s="21">
        <f t="shared" si="3"/>
        <v>3.4000000000000004</v>
      </c>
    </row>
    <row r="47" spans="1:19" x14ac:dyDescent="0.25">
      <c r="A47" s="35" t="s">
        <v>22</v>
      </c>
      <c r="B47" s="66" t="s">
        <v>209</v>
      </c>
      <c r="C47" s="7">
        <f>SUMIFS(Datadetails[[Hours]:[Hours]],Datadetails[[Group]:[Group]],C$5,Datadetails[[Taskcode]:[Taskcode]],$A47,Datadetails[[Activity_help]:[Activity_help]],"C20")</f>
        <v>0</v>
      </c>
      <c r="D47" s="7">
        <f>SUMIFS(Datadetails[[Hours]:[Hours]],Datadetails[[Group]:[Group]],D$5,Datadetails[[Taskcode]:[Taskcode]],$A47,Datadetails[[Activity_help]:[Activity_help]],"C20")</f>
        <v>0</v>
      </c>
      <c r="E47" s="7">
        <f>SUMIFS(Datadetails[[Hours]:[Hours]],Datadetails[[Group]:[Group]],E$5,Datadetails[[Taskcode]:[Taskcode]],$A47,Datadetails[[Activity_help]:[Activity_help]],"C20")</f>
        <v>0</v>
      </c>
      <c r="F47" s="7">
        <f>SUMIFS(Datadetails[[Hours]:[Hours]],Datadetails[[Group]:[Group]],F$5,Datadetails[[Taskcode]:[Taskcode]],$A47,Datadetails[[Activity_help]:[Activity_help]],"C20")</f>
        <v>0</v>
      </c>
      <c r="G47" s="12">
        <f t="shared" si="2"/>
        <v>0</v>
      </c>
      <c r="H47" s="8">
        <f>SUMIFS(Datadetails[[Hours]:[Hours]],Datadetails[[Group]:[Group]],H$5,Datadetails[[Taskcode]:[Taskcode]],$A47,Datadetails[[Activity_help]:[Activity_help]],"C30")</f>
        <v>0</v>
      </c>
      <c r="I47" s="8">
        <f>SUMIFS(Datadetails[[Hours]:[Hours]],Datadetails[[Group]:[Group]],I$5,Datadetails[[Taskcode]:[Taskcode]],$A47,Datadetails[[Activity_help]:[Activity_help]],"C30")</f>
        <v>0</v>
      </c>
      <c r="J47" s="8">
        <f>SUMIFS(Datadetails[[Hours]:[Hours]],Datadetails[[Group]:[Group]],J$5,Datadetails[[Taskcode]:[Taskcode]],$A47,Datadetails[[Activity_help]:[Activity_help]],"C30")</f>
        <v>1</v>
      </c>
      <c r="K47" s="8">
        <f>SUMIFS(Datadetails[[Hours]:[Hours]],Datadetails[[Group]:[Group]],K$5,Datadetails[[Taskcode]:[Taskcode]],$A47,Datadetails[[Activity_help]:[Activity_help]],"C30")</f>
        <v>0</v>
      </c>
      <c r="L47" s="13">
        <f t="shared" si="4"/>
        <v>1</v>
      </c>
      <c r="M47" s="39">
        <f>SUMIFS(Datadetails[[Hours]:[Hours]],Datadetails[[Group]:[Group]],M$5,Datadetails[[Taskcode]:[Taskcode]],$A47,Datadetails[[Activity_help]:[Activity_help]],"C40")</f>
        <v>0</v>
      </c>
      <c r="N47" s="39">
        <f>SUMIFS(Datadetails[[Hours]:[Hours]],Datadetails[[Group]:[Group]],N$5,Datadetails[[Taskcode]:[Taskcode]],$A47,Datadetails[[Activity_help]:[Activity_help]],"C40")</f>
        <v>0</v>
      </c>
      <c r="O47" s="39">
        <f>SUMIFS(Datadetails[[Hours]:[Hours]],Datadetails[[Group]:[Group]],O$5,Datadetails[[Taskcode]:[Taskcode]],$A47,Datadetails[[Activity_help]:[Activity_help]],"C40")</f>
        <v>2</v>
      </c>
      <c r="P47" s="39">
        <f>SUMIFS(Datadetails[[Hours]:[Hours]],Datadetails[[Group]:[Group]],P$5,Datadetails[[Taskcode]:[Taskcode]],$A47,Datadetails[[Activity_help]:[Activity_help]],"C40")</f>
        <v>0</v>
      </c>
      <c r="Q47" s="40">
        <f t="shared" si="5"/>
        <v>2</v>
      </c>
      <c r="R47" s="63">
        <f>SUMIFS(Datadetails[[Hours]:[Hours]],Datadetails[[Group]:[Group]],"Other",Datadetails[[Taskcode]:[Taskcode]],$A47,Datadetails[[Activity_help]:[Activity_help]],"Other")</f>
        <v>0</v>
      </c>
      <c r="S47" s="21">
        <f t="shared" si="3"/>
        <v>3</v>
      </c>
    </row>
    <row r="48" spans="1:19" x14ac:dyDescent="0.25">
      <c r="A48" s="35" t="s">
        <v>83</v>
      </c>
      <c r="B48" s="66" t="s">
        <v>210</v>
      </c>
      <c r="C48" s="7">
        <f>SUMIFS(Datadetails[[Hours]:[Hours]],Datadetails[[Group]:[Group]],C$5,Datadetails[[Taskcode]:[Taskcode]],$A48,Datadetails[[Activity_help]:[Activity_help]],"C20")</f>
        <v>0</v>
      </c>
      <c r="D48" s="7">
        <f>SUMIFS(Datadetails[[Hours]:[Hours]],Datadetails[[Group]:[Group]],D$5,Datadetails[[Taskcode]:[Taskcode]],$A48,Datadetails[[Activity_help]:[Activity_help]],"C20")</f>
        <v>0</v>
      </c>
      <c r="E48" s="7">
        <f>SUMIFS(Datadetails[[Hours]:[Hours]],Datadetails[[Group]:[Group]],E$5,Datadetails[[Taskcode]:[Taskcode]],$A48,Datadetails[[Activity_help]:[Activity_help]],"C20")</f>
        <v>0</v>
      </c>
      <c r="F48" s="7">
        <f>SUMIFS(Datadetails[[Hours]:[Hours]],Datadetails[[Group]:[Group]],F$5,Datadetails[[Taskcode]:[Taskcode]],$A48,Datadetails[[Activity_help]:[Activity_help]],"C20")</f>
        <v>0</v>
      </c>
      <c r="G48" s="12">
        <f t="shared" si="2"/>
        <v>0</v>
      </c>
      <c r="H48" s="8">
        <f>SUMIFS(Datadetails[[Hours]:[Hours]],Datadetails[[Group]:[Group]],H$5,Datadetails[[Taskcode]:[Taskcode]],$A48,Datadetails[[Activity_help]:[Activity_help]],"C30")</f>
        <v>0</v>
      </c>
      <c r="I48" s="8">
        <f>SUMIFS(Datadetails[[Hours]:[Hours]],Datadetails[[Group]:[Group]],I$5,Datadetails[[Taskcode]:[Taskcode]],$A48,Datadetails[[Activity_help]:[Activity_help]],"C30")</f>
        <v>0</v>
      </c>
      <c r="J48" s="8">
        <f>SUMIFS(Datadetails[[Hours]:[Hours]],Datadetails[[Group]:[Group]],J$5,Datadetails[[Taskcode]:[Taskcode]],$A48,Datadetails[[Activity_help]:[Activity_help]],"C30")</f>
        <v>3.03</v>
      </c>
      <c r="K48" s="8">
        <f>SUMIFS(Datadetails[[Hours]:[Hours]],Datadetails[[Group]:[Group]],K$5,Datadetails[[Taskcode]:[Taskcode]],$A48,Datadetails[[Activity_help]:[Activity_help]],"C30")</f>
        <v>0</v>
      </c>
      <c r="L48" s="13">
        <f t="shared" si="4"/>
        <v>3.03</v>
      </c>
      <c r="M48" s="39">
        <f>SUMIFS(Datadetails[[Hours]:[Hours]],Datadetails[[Group]:[Group]],M$5,Datadetails[[Taskcode]:[Taskcode]],$A48,Datadetails[[Activity_help]:[Activity_help]],"C40")</f>
        <v>0</v>
      </c>
      <c r="N48" s="39">
        <f>SUMIFS(Datadetails[[Hours]:[Hours]],Datadetails[[Group]:[Group]],N$5,Datadetails[[Taskcode]:[Taskcode]],$A48,Datadetails[[Activity_help]:[Activity_help]],"C40")</f>
        <v>0</v>
      </c>
      <c r="O48" s="39">
        <f>SUMIFS(Datadetails[[Hours]:[Hours]],Datadetails[[Group]:[Group]],O$5,Datadetails[[Taskcode]:[Taskcode]],$A48,Datadetails[[Activity_help]:[Activity_help]],"C40")</f>
        <v>0</v>
      </c>
      <c r="P48" s="39">
        <f>SUMIFS(Datadetails[[Hours]:[Hours]],Datadetails[[Group]:[Group]],P$5,Datadetails[[Taskcode]:[Taskcode]],$A48,Datadetails[[Activity_help]:[Activity_help]],"C40")</f>
        <v>0</v>
      </c>
      <c r="Q48" s="40">
        <f t="shared" si="5"/>
        <v>0</v>
      </c>
      <c r="R48" s="63">
        <f>SUMIFS(Datadetails[[Hours]:[Hours]],Datadetails[[Group]:[Group]],"Other",Datadetails[[Taskcode]:[Taskcode]],$A48,Datadetails[[Activity_help]:[Activity_help]],"Other")</f>
        <v>0</v>
      </c>
      <c r="S48" s="21">
        <f t="shared" si="3"/>
        <v>3.03</v>
      </c>
    </row>
    <row r="49" spans="1:19" x14ac:dyDescent="0.25">
      <c r="A49" s="35" t="s">
        <v>84</v>
      </c>
      <c r="B49" s="66" t="s">
        <v>211</v>
      </c>
      <c r="C49" s="7">
        <f>SUMIFS(Datadetails[[Hours]:[Hours]],Datadetails[[Group]:[Group]],C$5,Datadetails[[Taskcode]:[Taskcode]],$A49,Datadetails[[Activity_help]:[Activity_help]],"C20")</f>
        <v>0</v>
      </c>
      <c r="D49" s="7">
        <f>SUMIFS(Datadetails[[Hours]:[Hours]],Datadetails[[Group]:[Group]],D$5,Datadetails[[Taskcode]:[Taskcode]],$A49,Datadetails[[Activity_help]:[Activity_help]],"C20")</f>
        <v>0</v>
      </c>
      <c r="E49" s="7">
        <f>SUMIFS(Datadetails[[Hours]:[Hours]],Datadetails[[Group]:[Group]],E$5,Datadetails[[Taskcode]:[Taskcode]],$A49,Datadetails[[Activity_help]:[Activity_help]],"C20")</f>
        <v>0</v>
      </c>
      <c r="F49" s="7">
        <f>SUMIFS(Datadetails[[Hours]:[Hours]],Datadetails[[Group]:[Group]],F$5,Datadetails[[Taskcode]:[Taskcode]],$A49,Datadetails[[Activity_help]:[Activity_help]],"C20")</f>
        <v>0</v>
      </c>
      <c r="G49" s="12">
        <f t="shared" si="2"/>
        <v>0</v>
      </c>
      <c r="H49" s="8">
        <f>SUMIFS(Datadetails[[Hours]:[Hours]],Datadetails[[Group]:[Group]],H$5,Datadetails[[Taskcode]:[Taskcode]],$A49,Datadetails[[Activity_help]:[Activity_help]],"C30")</f>
        <v>0</v>
      </c>
      <c r="I49" s="8">
        <f>SUMIFS(Datadetails[[Hours]:[Hours]],Datadetails[[Group]:[Group]],I$5,Datadetails[[Taskcode]:[Taskcode]],$A49,Datadetails[[Activity_help]:[Activity_help]],"C30")</f>
        <v>0</v>
      </c>
      <c r="J49" s="8">
        <f>SUMIFS(Datadetails[[Hours]:[Hours]],Datadetails[[Group]:[Group]],J$5,Datadetails[[Taskcode]:[Taskcode]],$A49,Datadetails[[Activity_help]:[Activity_help]],"C30")</f>
        <v>1.25</v>
      </c>
      <c r="K49" s="8">
        <f>SUMIFS(Datadetails[[Hours]:[Hours]],Datadetails[[Group]:[Group]],K$5,Datadetails[[Taskcode]:[Taskcode]],$A49,Datadetails[[Activity_help]:[Activity_help]],"C30")</f>
        <v>0</v>
      </c>
      <c r="L49" s="13">
        <f t="shared" si="4"/>
        <v>1.25</v>
      </c>
      <c r="M49" s="39">
        <f>SUMIFS(Datadetails[[Hours]:[Hours]],Datadetails[[Group]:[Group]],M$5,Datadetails[[Taskcode]:[Taskcode]],$A49,Datadetails[[Activity_help]:[Activity_help]],"C40")</f>
        <v>0</v>
      </c>
      <c r="N49" s="39">
        <f>SUMIFS(Datadetails[[Hours]:[Hours]],Datadetails[[Group]:[Group]],N$5,Datadetails[[Taskcode]:[Taskcode]],$A49,Datadetails[[Activity_help]:[Activity_help]],"C40")</f>
        <v>0</v>
      </c>
      <c r="O49" s="39">
        <f>SUMIFS(Datadetails[[Hours]:[Hours]],Datadetails[[Group]:[Group]],O$5,Datadetails[[Taskcode]:[Taskcode]],$A49,Datadetails[[Activity_help]:[Activity_help]],"C40")</f>
        <v>1.25</v>
      </c>
      <c r="P49" s="39">
        <f>SUMIFS(Datadetails[[Hours]:[Hours]],Datadetails[[Group]:[Group]],P$5,Datadetails[[Taskcode]:[Taskcode]],$A49,Datadetails[[Activity_help]:[Activity_help]],"C40")</f>
        <v>0</v>
      </c>
      <c r="Q49" s="40">
        <f t="shared" si="5"/>
        <v>1.25</v>
      </c>
      <c r="R49" s="63">
        <f>SUMIFS(Datadetails[[Hours]:[Hours]],Datadetails[[Group]:[Group]],"Other",Datadetails[[Taskcode]:[Taskcode]],$A49,Datadetails[[Activity_help]:[Activity_help]],"Other")</f>
        <v>0</v>
      </c>
      <c r="S49" s="21">
        <f t="shared" si="3"/>
        <v>2.5</v>
      </c>
    </row>
    <row r="50" spans="1:19" x14ac:dyDescent="0.25">
      <c r="A50" s="35" t="s">
        <v>85</v>
      </c>
      <c r="B50" s="66" t="s">
        <v>212</v>
      </c>
      <c r="C50" s="7">
        <f>SUMIFS(Datadetails[[Hours]:[Hours]],Datadetails[[Group]:[Group]],C$5,Datadetails[[Taskcode]:[Taskcode]],$A50,Datadetails[[Activity_help]:[Activity_help]],"C20")</f>
        <v>0</v>
      </c>
      <c r="D50" s="7">
        <f>SUMIFS(Datadetails[[Hours]:[Hours]],Datadetails[[Group]:[Group]],D$5,Datadetails[[Taskcode]:[Taskcode]],$A50,Datadetails[[Activity_help]:[Activity_help]],"C20")</f>
        <v>0</v>
      </c>
      <c r="E50" s="7">
        <f>SUMIFS(Datadetails[[Hours]:[Hours]],Datadetails[[Group]:[Group]],E$5,Datadetails[[Taskcode]:[Taskcode]],$A50,Datadetails[[Activity_help]:[Activity_help]],"C20")</f>
        <v>0</v>
      </c>
      <c r="F50" s="7">
        <f>SUMIFS(Datadetails[[Hours]:[Hours]],Datadetails[[Group]:[Group]],F$5,Datadetails[[Taskcode]:[Taskcode]],$A50,Datadetails[[Activity_help]:[Activity_help]],"C20")</f>
        <v>4.08</v>
      </c>
      <c r="G50" s="12">
        <f t="shared" si="2"/>
        <v>4.08</v>
      </c>
      <c r="H50" s="8">
        <f>SUMIFS(Datadetails[[Hours]:[Hours]],Datadetails[[Group]:[Group]],H$5,Datadetails[[Taskcode]:[Taskcode]],$A50,Datadetails[[Activity_help]:[Activity_help]],"C30")</f>
        <v>0</v>
      </c>
      <c r="I50" s="8">
        <f>SUMIFS(Datadetails[[Hours]:[Hours]],Datadetails[[Group]:[Group]],I$5,Datadetails[[Taskcode]:[Taskcode]],$A50,Datadetails[[Activity_help]:[Activity_help]],"C30")</f>
        <v>0</v>
      </c>
      <c r="J50" s="8">
        <f>SUMIFS(Datadetails[[Hours]:[Hours]],Datadetails[[Group]:[Group]],J$5,Datadetails[[Taskcode]:[Taskcode]],$A50,Datadetails[[Activity_help]:[Activity_help]],"C30")</f>
        <v>0</v>
      </c>
      <c r="K50" s="8">
        <f>SUMIFS(Datadetails[[Hours]:[Hours]],Datadetails[[Group]:[Group]],K$5,Datadetails[[Taskcode]:[Taskcode]],$A50,Datadetails[[Activity_help]:[Activity_help]],"C30")</f>
        <v>0</v>
      </c>
      <c r="L50" s="13">
        <f t="shared" si="4"/>
        <v>0</v>
      </c>
      <c r="M50" s="39">
        <f>SUMIFS(Datadetails[[Hours]:[Hours]],Datadetails[[Group]:[Group]],M$5,Datadetails[[Taskcode]:[Taskcode]],$A50,Datadetails[[Activity_help]:[Activity_help]],"C40")</f>
        <v>0</v>
      </c>
      <c r="N50" s="39">
        <f>SUMIFS(Datadetails[[Hours]:[Hours]],Datadetails[[Group]:[Group]],N$5,Datadetails[[Taskcode]:[Taskcode]],$A50,Datadetails[[Activity_help]:[Activity_help]],"C40")</f>
        <v>0</v>
      </c>
      <c r="O50" s="39">
        <f>SUMIFS(Datadetails[[Hours]:[Hours]],Datadetails[[Group]:[Group]],O$5,Datadetails[[Taskcode]:[Taskcode]],$A50,Datadetails[[Activity_help]:[Activity_help]],"C40")</f>
        <v>0</v>
      </c>
      <c r="P50" s="39">
        <f>SUMIFS(Datadetails[[Hours]:[Hours]],Datadetails[[Group]:[Group]],P$5,Datadetails[[Taskcode]:[Taskcode]],$A50,Datadetails[[Activity_help]:[Activity_help]],"C40")</f>
        <v>1.5</v>
      </c>
      <c r="Q50" s="40">
        <f t="shared" si="5"/>
        <v>1.5</v>
      </c>
      <c r="R50" s="63">
        <f>SUMIFS(Datadetails[[Hours]:[Hours]],Datadetails[[Group]:[Group]],"Other",Datadetails[[Taskcode]:[Taskcode]],$A50,Datadetails[[Activity_help]:[Activity_help]],"Other")</f>
        <v>0</v>
      </c>
      <c r="S50" s="21">
        <f t="shared" si="3"/>
        <v>5.58</v>
      </c>
    </row>
    <row r="51" spans="1:19" x14ac:dyDescent="0.25">
      <c r="A51" s="35" t="s">
        <v>86</v>
      </c>
      <c r="B51" s="66" t="s">
        <v>213</v>
      </c>
      <c r="C51" s="7">
        <f>SUMIFS(Datadetails[[Hours]:[Hours]],Datadetails[[Group]:[Group]],C$5,Datadetails[[Taskcode]:[Taskcode]],$A51,Datadetails[[Activity_help]:[Activity_help]],"C20")</f>
        <v>0</v>
      </c>
      <c r="D51" s="7">
        <f>SUMIFS(Datadetails[[Hours]:[Hours]],Datadetails[[Group]:[Group]],D$5,Datadetails[[Taskcode]:[Taskcode]],$A51,Datadetails[[Activity_help]:[Activity_help]],"C20")</f>
        <v>0</v>
      </c>
      <c r="E51" s="7">
        <f>SUMIFS(Datadetails[[Hours]:[Hours]],Datadetails[[Group]:[Group]],E$5,Datadetails[[Taskcode]:[Taskcode]],$A51,Datadetails[[Activity_help]:[Activity_help]],"C20")</f>
        <v>0</v>
      </c>
      <c r="F51" s="7">
        <f>SUMIFS(Datadetails[[Hours]:[Hours]],Datadetails[[Group]:[Group]],F$5,Datadetails[[Taskcode]:[Taskcode]],$A51,Datadetails[[Activity_help]:[Activity_help]],"C20")</f>
        <v>0</v>
      </c>
      <c r="G51" s="12">
        <f t="shared" si="2"/>
        <v>0</v>
      </c>
      <c r="H51" s="8">
        <f>SUMIFS(Datadetails[[Hours]:[Hours]],Datadetails[[Group]:[Group]],H$5,Datadetails[[Taskcode]:[Taskcode]],$A51,Datadetails[[Activity_help]:[Activity_help]],"C30")</f>
        <v>0</v>
      </c>
      <c r="I51" s="8">
        <f>SUMIFS(Datadetails[[Hours]:[Hours]],Datadetails[[Group]:[Group]],I$5,Datadetails[[Taskcode]:[Taskcode]],$A51,Datadetails[[Activity_help]:[Activity_help]],"C30")</f>
        <v>0</v>
      </c>
      <c r="J51" s="8">
        <f>SUMIFS(Datadetails[[Hours]:[Hours]],Datadetails[[Group]:[Group]],J$5,Datadetails[[Taskcode]:[Taskcode]],$A51,Datadetails[[Activity_help]:[Activity_help]],"C30")</f>
        <v>0</v>
      </c>
      <c r="K51" s="8">
        <f>SUMIFS(Datadetails[[Hours]:[Hours]],Datadetails[[Group]:[Group]],K$5,Datadetails[[Taskcode]:[Taskcode]],$A51,Datadetails[[Activity_help]:[Activity_help]],"C30")</f>
        <v>0</v>
      </c>
      <c r="L51" s="13">
        <f t="shared" si="4"/>
        <v>0</v>
      </c>
      <c r="M51" s="39">
        <f>SUMIFS(Datadetails[[Hours]:[Hours]],Datadetails[[Group]:[Group]],M$5,Datadetails[[Taskcode]:[Taskcode]],$A51,Datadetails[[Activity_help]:[Activity_help]],"C40")</f>
        <v>0</v>
      </c>
      <c r="N51" s="39">
        <f>SUMIFS(Datadetails[[Hours]:[Hours]],Datadetails[[Group]:[Group]],N$5,Datadetails[[Taskcode]:[Taskcode]],$A51,Datadetails[[Activity_help]:[Activity_help]],"C40")</f>
        <v>0</v>
      </c>
      <c r="O51" s="39">
        <f>SUMIFS(Datadetails[[Hours]:[Hours]],Datadetails[[Group]:[Group]],O$5,Datadetails[[Taskcode]:[Taskcode]],$A51,Datadetails[[Activity_help]:[Activity_help]],"C40")</f>
        <v>0</v>
      </c>
      <c r="P51" s="39">
        <f>SUMIFS(Datadetails[[Hours]:[Hours]],Datadetails[[Group]:[Group]],P$5,Datadetails[[Taskcode]:[Taskcode]],$A51,Datadetails[[Activity_help]:[Activity_help]],"C40")</f>
        <v>0</v>
      </c>
      <c r="Q51" s="40">
        <f t="shared" si="5"/>
        <v>0</v>
      </c>
      <c r="R51" s="63">
        <f>SUMIFS(Datadetails[[Hours]:[Hours]],Datadetails[[Group]:[Group]],"Other",Datadetails[[Taskcode]:[Taskcode]],$A51,Datadetails[[Activity_help]:[Activity_help]],"Other")</f>
        <v>0</v>
      </c>
      <c r="S51" s="21">
        <f t="shared" si="3"/>
        <v>0</v>
      </c>
    </row>
    <row r="52" spans="1:19" x14ac:dyDescent="0.25">
      <c r="A52" s="35" t="s">
        <v>87</v>
      </c>
      <c r="B52" s="66" t="s">
        <v>214</v>
      </c>
      <c r="C52" s="7">
        <f>SUMIFS(Datadetails[[Hours]:[Hours]],Datadetails[[Group]:[Group]],C$5,Datadetails[[Taskcode]:[Taskcode]],$A52,Datadetails[[Activity_help]:[Activity_help]],"C20")</f>
        <v>0</v>
      </c>
      <c r="D52" s="7">
        <f>SUMIFS(Datadetails[[Hours]:[Hours]],Datadetails[[Group]:[Group]],D$5,Datadetails[[Taskcode]:[Taskcode]],$A52,Datadetails[[Activity_help]:[Activity_help]],"C20")</f>
        <v>0</v>
      </c>
      <c r="E52" s="7">
        <f>SUMIFS(Datadetails[[Hours]:[Hours]],Datadetails[[Group]:[Group]],E$5,Datadetails[[Taskcode]:[Taskcode]],$A52,Datadetails[[Activity_help]:[Activity_help]],"C20")</f>
        <v>0</v>
      </c>
      <c r="F52" s="7">
        <f>SUMIFS(Datadetails[[Hours]:[Hours]],Datadetails[[Group]:[Group]],F$5,Datadetails[[Taskcode]:[Taskcode]],$A52,Datadetails[[Activity_help]:[Activity_help]],"C20")</f>
        <v>0</v>
      </c>
      <c r="G52" s="12">
        <f t="shared" si="2"/>
        <v>0</v>
      </c>
      <c r="H52" s="8">
        <f>SUMIFS(Datadetails[[Hours]:[Hours]],Datadetails[[Group]:[Group]],H$5,Datadetails[[Taskcode]:[Taskcode]],$A52,Datadetails[[Activity_help]:[Activity_help]],"C30")</f>
        <v>0</v>
      </c>
      <c r="I52" s="8">
        <f>SUMIFS(Datadetails[[Hours]:[Hours]],Datadetails[[Group]:[Group]],I$5,Datadetails[[Taskcode]:[Taskcode]],$A52,Datadetails[[Activity_help]:[Activity_help]],"C30")</f>
        <v>0</v>
      </c>
      <c r="J52" s="8">
        <f>SUMIFS(Datadetails[[Hours]:[Hours]],Datadetails[[Group]:[Group]],J$5,Datadetails[[Taskcode]:[Taskcode]],$A52,Datadetails[[Activity_help]:[Activity_help]],"C30")</f>
        <v>0</v>
      </c>
      <c r="K52" s="8">
        <f>SUMIFS(Datadetails[[Hours]:[Hours]],Datadetails[[Group]:[Group]],K$5,Datadetails[[Taskcode]:[Taskcode]],$A52,Datadetails[[Activity_help]:[Activity_help]],"C30")</f>
        <v>0</v>
      </c>
      <c r="L52" s="13">
        <f t="shared" si="4"/>
        <v>0</v>
      </c>
      <c r="M52" s="39">
        <f>SUMIFS(Datadetails[[Hours]:[Hours]],Datadetails[[Group]:[Group]],M$5,Datadetails[[Taskcode]:[Taskcode]],$A52,Datadetails[[Activity_help]:[Activity_help]],"C40")</f>
        <v>0</v>
      </c>
      <c r="N52" s="39">
        <f>SUMIFS(Datadetails[[Hours]:[Hours]],Datadetails[[Group]:[Group]],N$5,Datadetails[[Taskcode]:[Taskcode]],$A52,Datadetails[[Activity_help]:[Activity_help]],"C40")</f>
        <v>0</v>
      </c>
      <c r="O52" s="39">
        <f>SUMIFS(Datadetails[[Hours]:[Hours]],Datadetails[[Group]:[Group]],O$5,Datadetails[[Taskcode]:[Taskcode]],$A52,Datadetails[[Activity_help]:[Activity_help]],"C40")</f>
        <v>0</v>
      </c>
      <c r="P52" s="39">
        <f>SUMIFS(Datadetails[[Hours]:[Hours]],Datadetails[[Group]:[Group]],P$5,Datadetails[[Taskcode]:[Taskcode]],$A52,Datadetails[[Activity_help]:[Activity_help]],"C40")</f>
        <v>0</v>
      </c>
      <c r="Q52" s="40">
        <f t="shared" si="5"/>
        <v>0</v>
      </c>
      <c r="R52" s="63">
        <f>SUMIFS(Datadetails[[Hours]:[Hours]],Datadetails[[Group]:[Group]],"Other",Datadetails[[Taskcode]:[Taskcode]],$A52,Datadetails[[Activity_help]:[Activity_help]],"Other")</f>
        <v>0</v>
      </c>
      <c r="S52" s="21">
        <f t="shared" si="3"/>
        <v>0</v>
      </c>
    </row>
    <row r="53" spans="1:19" x14ac:dyDescent="0.25">
      <c r="A53" s="35" t="s">
        <v>88</v>
      </c>
      <c r="B53" s="66" t="s">
        <v>215</v>
      </c>
      <c r="C53" s="7">
        <f>SUMIFS(Datadetails[[Hours]:[Hours]],Datadetails[[Group]:[Group]],C$5,Datadetails[[Taskcode]:[Taskcode]],$A53,Datadetails[[Activity_help]:[Activity_help]],"C20")</f>
        <v>0</v>
      </c>
      <c r="D53" s="7">
        <f>SUMIFS(Datadetails[[Hours]:[Hours]],Datadetails[[Group]:[Group]],D$5,Datadetails[[Taskcode]:[Taskcode]],$A53,Datadetails[[Activity_help]:[Activity_help]],"C20")</f>
        <v>0</v>
      </c>
      <c r="E53" s="7">
        <f>SUMIFS(Datadetails[[Hours]:[Hours]],Datadetails[[Group]:[Group]],E$5,Datadetails[[Taskcode]:[Taskcode]],$A53,Datadetails[[Activity_help]:[Activity_help]],"C20")</f>
        <v>0</v>
      </c>
      <c r="F53" s="7">
        <f>SUMIFS(Datadetails[[Hours]:[Hours]],Datadetails[[Group]:[Group]],F$5,Datadetails[[Taskcode]:[Taskcode]],$A53,Datadetails[[Activity_help]:[Activity_help]],"C20")</f>
        <v>0</v>
      </c>
      <c r="G53" s="12">
        <f t="shared" si="2"/>
        <v>0</v>
      </c>
      <c r="H53" s="8">
        <f>SUMIFS(Datadetails[[Hours]:[Hours]],Datadetails[[Group]:[Group]],H$5,Datadetails[[Taskcode]:[Taskcode]],$A53,Datadetails[[Activity_help]:[Activity_help]],"C30")</f>
        <v>0</v>
      </c>
      <c r="I53" s="8">
        <f>SUMIFS(Datadetails[[Hours]:[Hours]],Datadetails[[Group]:[Group]],I$5,Datadetails[[Taskcode]:[Taskcode]],$A53,Datadetails[[Activity_help]:[Activity_help]],"C30")</f>
        <v>0</v>
      </c>
      <c r="J53" s="8">
        <f>SUMIFS(Datadetails[[Hours]:[Hours]],Datadetails[[Group]:[Group]],J$5,Datadetails[[Taskcode]:[Taskcode]],$A53,Datadetails[[Activity_help]:[Activity_help]],"C30")</f>
        <v>4.83</v>
      </c>
      <c r="K53" s="8">
        <f>SUMIFS(Datadetails[[Hours]:[Hours]],Datadetails[[Group]:[Group]],K$5,Datadetails[[Taskcode]:[Taskcode]],$A53,Datadetails[[Activity_help]:[Activity_help]],"C30")</f>
        <v>0</v>
      </c>
      <c r="L53" s="13">
        <f t="shared" si="4"/>
        <v>4.83</v>
      </c>
      <c r="M53" s="39">
        <f>SUMIFS(Datadetails[[Hours]:[Hours]],Datadetails[[Group]:[Group]],M$5,Datadetails[[Taskcode]:[Taskcode]],$A53,Datadetails[[Activity_help]:[Activity_help]],"C40")</f>
        <v>0</v>
      </c>
      <c r="N53" s="39">
        <f>SUMIFS(Datadetails[[Hours]:[Hours]],Datadetails[[Group]:[Group]],N$5,Datadetails[[Taskcode]:[Taskcode]],$A53,Datadetails[[Activity_help]:[Activity_help]],"C40")</f>
        <v>0</v>
      </c>
      <c r="O53" s="39">
        <f>SUMIFS(Datadetails[[Hours]:[Hours]],Datadetails[[Group]:[Group]],O$5,Datadetails[[Taskcode]:[Taskcode]],$A53,Datadetails[[Activity_help]:[Activity_help]],"C40")</f>
        <v>6</v>
      </c>
      <c r="P53" s="39">
        <f>SUMIFS(Datadetails[[Hours]:[Hours]],Datadetails[[Group]:[Group]],P$5,Datadetails[[Taskcode]:[Taskcode]],$A53,Datadetails[[Activity_help]:[Activity_help]],"C40")</f>
        <v>0</v>
      </c>
      <c r="Q53" s="40">
        <f t="shared" si="5"/>
        <v>6</v>
      </c>
      <c r="R53" s="63">
        <f>SUMIFS(Datadetails[[Hours]:[Hours]],Datadetails[[Group]:[Group]],"Other",Datadetails[[Taskcode]:[Taskcode]],$A53,Datadetails[[Activity_help]:[Activity_help]],"Other")</f>
        <v>0</v>
      </c>
      <c r="S53" s="21">
        <f t="shared" si="3"/>
        <v>10.83</v>
      </c>
    </row>
    <row r="54" spans="1:19" x14ac:dyDescent="0.25">
      <c r="A54" s="35" t="s">
        <v>89</v>
      </c>
      <c r="B54" s="66" t="s">
        <v>216</v>
      </c>
      <c r="C54" s="7">
        <f>SUMIFS(Datadetails[[Hours]:[Hours]],Datadetails[[Group]:[Group]],C$5,Datadetails[[Taskcode]:[Taskcode]],$A54,Datadetails[[Activity_help]:[Activity_help]],"C20")</f>
        <v>0</v>
      </c>
      <c r="D54" s="7">
        <f>SUMIFS(Datadetails[[Hours]:[Hours]],Datadetails[[Group]:[Group]],D$5,Datadetails[[Taskcode]:[Taskcode]],$A54,Datadetails[[Activity_help]:[Activity_help]],"C20")</f>
        <v>0</v>
      </c>
      <c r="E54" s="7">
        <f>SUMIFS(Datadetails[[Hours]:[Hours]],Datadetails[[Group]:[Group]],E$5,Datadetails[[Taskcode]:[Taskcode]],$A54,Datadetails[[Activity_help]:[Activity_help]],"C20")</f>
        <v>0</v>
      </c>
      <c r="F54" s="7">
        <f>SUMIFS(Datadetails[[Hours]:[Hours]],Datadetails[[Group]:[Group]],F$5,Datadetails[[Taskcode]:[Taskcode]],$A54,Datadetails[[Activity_help]:[Activity_help]],"C20")</f>
        <v>0.75</v>
      </c>
      <c r="G54" s="12">
        <f t="shared" si="2"/>
        <v>0.75</v>
      </c>
      <c r="H54" s="8">
        <f>SUMIFS(Datadetails[[Hours]:[Hours]],Datadetails[[Group]:[Group]],H$5,Datadetails[[Taskcode]:[Taskcode]],$A54,Datadetails[[Activity_help]:[Activity_help]],"C30")</f>
        <v>0</v>
      </c>
      <c r="I54" s="8">
        <f>SUMIFS(Datadetails[[Hours]:[Hours]],Datadetails[[Group]:[Group]],I$5,Datadetails[[Taskcode]:[Taskcode]],$A54,Datadetails[[Activity_help]:[Activity_help]],"C30")</f>
        <v>0</v>
      </c>
      <c r="J54" s="8">
        <f>SUMIFS(Datadetails[[Hours]:[Hours]],Datadetails[[Group]:[Group]],J$5,Datadetails[[Taskcode]:[Taskcode]],$A54,Datadetails[[Activity_help]:[Activity_help]],"C30")</f>
        <v>0</v>
      </c>
      <c r="K54" s="8">
        <f>SUMIFS(Datadetails[[Hours]:[Hours]],Datadetails[[Group]:[Group]],K$5,Datadetails[[Taskcode]:[Taskcode]],$A54,Datadetails[[Activity_help]:[Activity_help]],"C30")</f>
        <v>0</v>
      </c>
      <c r="L54" s="13">
        <f t="shared" si="4"/>
        <v>0</v>
      </c>
      <c r="M54" s="39">
        <f>SUMIFS(Datadetails[[Hours]:[Hours]],Datadetails[[Group]:[Group]],M$5,Datadetails[[Taskcode]:[Taskcode]],$A54,Datadetails[[Activity_help]:[Activity_help]],"C40")</f>
        <v>0</v>
      </c>
      <c r="N54" s="39">
        <f>SUMIFS(Datadetails[[Hours]:[Hours]],Datadetails[[Group]:[Group]],N$5,Datadetails[[Taskcode]:[Taskcode]],$A54,Datadetails[[Activity_help]:[Activity_help]],"C40")</f>
        <v>0</v>
      </c>
      <c r="O54" s="39">
        <f>SUMIFS(Datadetails[[Hours]:[Hours]],Datadetails[[Group]:[Group]],O$5,Datadetails[[Taskcode]:[Taskcode]],$A54,Datadetails[[Activity_help]:[Activity_help]],"C40")</f>
        <v>0</v>
      </c>
      <c r="P54" s="39">
        <f>SUMIFS(Datadetails[[Hours]:[Hours]],Datadetails[[Group]:[Group]],P$5,Datadetails[[Taskcode]:[Taskcode]],$A54,Datadetails[[Activity_help]:[Activity_help]],"C40")</f>
        <v>0</v>
      </c>
      <c r="Q54" s="40">
        <f t="shared" si="5"/>
        <v>0</v>
      </c>
      <c r="R54" s="63">
        <f>SUMIFS(Datadetails[[Hours]:[Hours]],Datadetails[[Group]:[Group]],"Other",Datadetails[[Taskcode]:[Taskcode]],$A54,Datadetails[[Activity_help]:[Activity_help]],"Other")</f>
        <v>0</v>
      </c>
      <c r="S54" s="21">
        <f t="shared" si="3"/>
        <v>0.75</v>
      </c>
    </row>
    <row r="55" spans="1:19" x14ac:dyDescent="0.25">
      <c r="A55" s="35" t="s">
        <v>90</v>
      </c>
      <c r="B55" s="66" t="s">
        <v>217</v>
      </c>
      <c r="C55" s="7">
        <f>SUMIFS(Datadetails[[Hours]:[Hours]],Datadetails[[Group]:[Group]],C$5,Datadetails[[Taskcode]:[Taskcode]],$A55,Datadetails[[Activity_help]:[Activity_help]],"C20")</f>
        <v>0</v>
      </c>
      <c r="D55" s="7">
        <f>SUMIFS(Datadetails[[Hours]:[Hours]],Datadetails[[Group]:[Group]],D$5,Datadetails[[Taskcode]:[Taskcode]],$A55,Datadetails[[Activity_help]:[Activity_help]],"C20")</f>
        <v>0</v>
      </c>
      <c r="E55" s="7">
        <f>SUMIFS(Datadetails[[Hours]:[Hours]],Datadetails[[Group]:[Group]],E$5,Datadetails[[Taskcode]:[Taskcode]],$A55,Datadetails[[Activity_help]:[Activity_help]],"C20")</f>
        <v>0</v>
      </c>
      <c r="F55" s="7">
        <f>SUMIFS(Datadetails[[Hours]:[Hours]],Datadetails[[Group]:[Group]],F$5,Datadetails[[Taskcode]:[Taskcode]],$A55,Datadetails[[Activity_help]:[Activity_help]],"C20")</f>
        <v>0</v>
      </c>
      <c r="G55" s="12">
        <f t="shared" si="2"/>
        <v>0</v>
      </c>
      <c r="H55" s="8">
        <f>SUMIFS(Datadetails[[Hours]:[Hours]],Datadetails[[Group]:[Group]],H$5,Datadetails[[Taskcode]:[Taskcode]],$A55,Datadetails[[Activity_help]:[Activity_help]],"C30")</f>
        <v>0</v>
      </c>
      <c r="I55" s="8">
        <f>SUMIFS(Datadetails[[Hours]:[Hours]],Datadetails[[Group]:[Group]],I$5,Datadetails[[Taskcode]:[Taskcode]],$A55,Datadetails[[Activity_help]:[Activity_help]],"C30")</f>
        <v>0</v>
      </c>
      <c r="J55" s="8">
        <f>SUMIFS(Datadetails[[Hours]:[Hours]],Datadetails[[Group]:[Group]],J$5,Datadetails[[Taskcode]:[Taskcode]],$A55,Datadetails[[Activity_help]:[Activity_help]],"C30")</f>
        <v>0</v>
      </c>
      <c r="K55" s="8">
        <f>SUMIFS(Datadetails[[Hours]:[Hours]],Datadetails[[Group]:[Group]],K$5,Datadetails[[Taskcode]:[Taskcode]],$A55,Datadetails[[Activity_help]:[Activity_help]],"C30")</f>
        <v>0</v>
      </c>
      <c r="L55" s="13">
        <f t="shared" si="4"/>
        <v>0</v>
      </c>
      <c r="M55" s="39">
        <f>SUMIFS(Datadetails[[Hours]:[Hours]],Datadetails[[Group]:[Group]],M$5,Datadetails[[Taskcode]:[Taskcode]],$A55,Datadetails[[Activity_help]:[Activity_help]],"C40")</f>
        <v>0</v>
      </c>
      <c r="N55" s="39">
        <f>SUMIFS(Datadetails[[Hours]:[Hours]],Datadetails[[Group]:[Group]],N$5,Datadetails[[Taskcode]:[Taskcode]],$A55,Datadetails[[Activity_help]:[Activity_help]],"C40")</f>
        <v>0</v>
      </c>
      <c r="O55" s="39">
        <f>SUMIFS(Datadetails[[Hours]:[Hours]],Datadetails[[Group]:[Group]],O$5,Datadetails[[Taskcode]:[Taskcode]],$A55,Datadetails[[Activity_help]:[Activity_help]],"C40")</f>
        <v>0</v>
      </c>
      <c r="P55" s="39">
        <f>SUMIFS(Datadetails[[Hours]:[Hours]],Datadetails[[Group]:[Group]],P$5,Datadetails[[Taskcode]:[Taskcode]],$A55,Datadetails[[Activity_help]:[Activity_help]],"C40")</f>
        <v>0</v>
      </c>
      <c r="Q55" s="40">
        <f t="shared" si="5"/>
        <v>0</v>
      </c>
      <c r="R55" s="63">
        <f>SUMIFS(Datadetails[[Hours]:[Hours]],Datadetails[[Group]:[Group]],"Other",Datadetails[[Taskcode]:[Taskcode]],$A55,Datadetails[[Activity_help]:[Activity_help]],"Other")</f>
        <v>0</v>
      </c>
      <c r="S55" s="21">
        <f t="shared" si="3"/>
        <v>0</v>
      </c>
    </row>
    <row r="56" spans="1:19" x14ac:dyDescent="0.25">
      <c r="A56" s="35" t="s">
        <v>23</v>
      </c>
      <c r="B56" s="66" t="s">
        <v>218</v>
      </c>
      <c r="C56" s="7">
        <f>SUMIFS(Datadetails[[Hours]:[Hours]],Datadetails[[Group]:[Group]],C$5,Datadetails[[Taskcode]:[Taskcode]],$A56,Datadetails[[Activity_help]:[Activity_help]],"C20")</f>
        <v>0</v>
      </c>
      <c r="D56" s="7">
        <f>SUMIFS(Datadetails[[Hours]:[Hours]],Datadetails[[Group]:[Group]],D$5,Datadetails[[Taskcode]:[Taskcode]],$A56,Datadetails[[Activity_help]:[Activity_help]],"C20")</f>
        <v>0</v>
      </c>
      <c r="E56" s="7">
        <f>SUMIFS(Datadetails[[Hours]:[Hours]],Datadetails[[Group]:[Group]],E$5,Datadetails[[Taskcode]:[Taskcode]],$A56,Datadetails[[Activity_help]:[Activity_help]],"C20")</f>
        <v>0</v>
      </c>
      <c r="F56" s="7">
        <f>SUMIFS(Datadetails[[Hours]:[Hours]],Datadetails[[Group]:[Group]],F$5,Datadetails[[Taskcode]:[Taskcode]],$A56,Datadetails[[Activity_help]:[Activity_help]],"C20")</f>
        <v>0</v>
      </c>
      <c r="G56" s="12">
        <f t="shared" si="2"/>
        <v>0</v>
      </c>
      <c r="H56" s="8">
        <f>SUMIFS(Datadetails[[Hours]:[Hours]],Datadetails[[Group]:[Group]],H$5,Datadetails[[Taskcode]:[Taskcode]],$A56,Datadetails[[Activity_help]:[Activity_help]],"C30")</f>
        <v>0</v>
      </c>
      <c r="I56" s="8">
        <f>SUMIFS(Datadetails[[Hours]:[Hours]],Datadetails[[Group]:[Group]],I$5,Datadetails[[Taskcode]:[Taskcode]],$A56,Datadetails[[Activity_help]:[Activity_help]],"C30")</f>
        <v>0</v>
      </c>
      <c r="J56" s="8">
        <f>SUMIFS(Datadetails[[Hours]:[Hours]],Datadetails[[Group]:[Group]],J$5,Datadetails[[Taskcode]:[Taskcode]],$A56,Datadetails[[Activity_help]:[Activity_help]],"C30")</f>
        <v>0</v>
      </c>
      <c r="K56" s="8">
        <f>SUMIFS(Datadetails[[Hours]:[Hours]],Datadetails[[Group]:[Group]],K$5,Datadetails[[Taskcode]:[Taskcode]],$A56,Datadetails[[Activity_help]:[Activity_help]],"C30")</f>
        <v>0</v>
      </c>
      <c r="L56" s="13">
        <f t="shared" si="4"/>
        <v>0</v>
      </c>
      <c r="M56" s="39">
        <f>SUMIFS(Datadetails[[Hours]:[Hours]],Datadetails[[Group]:[Group]],M$5,Datadetails[[Taskcode]:[Taskcode]],$A56,Datadetails[[Activity_help]:[Activity_help]],"C40")</f>
        <v>0</v>
      </c>
      <c r="N56" s="39">
        <f>SUMIFS(Datadetails[[Hours]:[Hours]],Datadetails[[Group]:[Group]],N$5,Datadetails[[Taskcode]:[Taskcode]],$A56,Datadetails[[Activity_help]:[Activity_help]],"C40")</f>
        <v>0</v>
      </c>
      <c r="O56" s="39">
        <f>SUMIFS(Datadetails[[Hours]:[Hours]],Datadetails[[Group]:[Group]],O$5,Datadetails[[Taskcode]:[Taskcode]],$A56,Datadetails[[Activity_help]:[Activity_help]],"C40")</f>
        <v>0</v>
      </c>
      <c r="P56" s="39">
        <f>SUMIFS(Datadetails[[Hours]:[Hours]],Datadetails[[Group]:[Group]],P$5,Datadetails[[Taskcode]:[Taskcode]],$A56,Datadetails[[Activity_help]:[Activity_help]],"C40")</f>
        <v>0</v>
      </c>
      <c r="Q56" s="40">
        <f t="shared" si="5"/>
        <v>0</v>
      </c>
      <c r="R56" s="63">
        <f>SUMIFS(Datadetails[[Hours]:[Hours]],Datadetails[[Group]:[Group]],"Other",Datadetails[[Taskcode]:[Taskcode]],$A56,Datadetails[[Activity_help]:[Activity_help]],"Other")</f>
        <v>0</v>
      </c>
      <c r="S56" s="21">
        <f t="shared" si="3"/>
        <v>0</v>
      </c>
    </row>
    <row r="57" spans="1:19" x14ac:dyDescent="0.25">
      <c r="A57" s="35" t="s">
        <v>91</v>
      </c>
      <c r="B57" s="66" t="s">
        <v>219</v>
      </c>
      <c r="C57" s="7">
        <f>SUMIFS(Datadetails[[Hours]:[Hours]],Datadetails[[Group]:[Group]],C$5,Datadetails[[Taskcode]:[Taskcode]],$A57,Datadetails[[Activity_help]:[Activity_help]],"C20")</f>
        <v>0</v>
      </c>
      <c r="D57" s="7">
        <f>SUMIFS(Datadetails[[Hours]:[Hours]],Datadetails[[Group]:[Group]],D$5,Datadetails[[Taskcode]:[Taskcode]],$A57,Datadetails[[Activity_help]:[Activity_help]],"C20")</f>
        <v>0</v>
      </c>
      <c r="E57" s="7">
        <f>SUMIFS(Datadetails[[Hours]:[Hours]],Datadetails[[Group]:[Group]],E$5,Datadetails[[Taskcode]:[Taskcode]],$A57,Datadetails[[Activity_help]:[Activity_help]],"C20")</f>
        <v>0</v>
      </c>
      <c r="F57" s="7">
        <f>SUMIFS(Datadetails[[Hours]:[Hours]],Datadetails[[Group]:[Group]],F$5,Datadetails[[Taskcode]:[Taskcode]],$A57,Datadetails[[Activity_help]:[Activity_help]],"C20")</f>
        <v>2.58</v>
      </c>
      <c r="G57" s="12">
        <f t="shared" si="2"/>
        <v>2.58</v>
      </c>
      <c r="H57" s="8">
        <f>SUMIFS(Datadetails[[Hours]:[Hours]],Datadetails[[Group]:[Group]],H$5,Datadetails[[Taskcode]:[Taskcode]],$A57,Datadetails[[Activity_help]:[Activity_help]],"C30")</f>
        <v>0</v>
      </c>
      <c r="I57" s="8">
        <f>SUMIFS(Datadetails[[Hours]:[Hours]],Datadetails[[Group]:[Group]],I$5,Datadetails[[Taskcode]:[Taskcode]],$A57,Datadetails[[Activity_help]:[Activity_help]],"C30")</f>
        <v>0</v>
      </c>
      <c r="J57" s="8">
        <f>SUMIFS(Datadetails[[Hours]:[Hours]],Datadetails[[Group]:[Group]],J$5,Datadetails[[Taskcode]:[Taskcode]],$A57,Datadetails[[Activity_help]:[Activity_help]],"C30")</f>
        <v>0</v>
      </c>
      <c r="K57" s="8">
        <f>SUMIFS(Datadetails[[Hours]:[Hours]],Datadetails[[Group]:[Group]],K$5,Datadetails[[Taskcode]:[Taskcode]],$A57,Datadetails[[Activity_help]:[Activity_help]],"C30")</f>
        <v>0</v>
      </c>
      <c r="L57" s="13">
        <f t="shared" si="4"/>
        <v>0</v>
      </c>
      <c r="M57" s="39">
        <f>SUMIFS(Datadetails[[Hours]:[Hours]],Datadetails[[Group]:[Group]],M$5,Datadetails[[Taskcode]:[Taskcode]],$A57,Datadetails[[Activity_help]:[Activity_help]],"C40")</f>
        <v>0</v>
      </c>
      <c r="N57" s="39">
        <f>SUMIFS(Datadetails[[Hours]:[Hours]],Datadetails[[Group]:[Group]],N$5,Datadetails[[Taskcode]:[Taskcode]],$A57,Datadetails[[Activity_help]:[Activity_help]],"C40")</f>
        <v>0</v>
      </c>
      <c r="O57" s="39">
        <f>SUMIFS(Datadetails[[Hours]:[Hours]],Datadetails[[Group]:[Group]],O$5,Datadetails[[Taskcode]:[Taskcode]],$A57,Datadetails[[Activity_help]:[Activity_help]],"C40")</f>
        <v>0</v>
      </c>
      <c r="P57" s="39">
        <f>SUMIFS(Datadetails[[Hours]:[Hours]],Datadetails[[Group]:[Group]],P$5,Datadetails[[Taskcode]:[Taskcode]],$A57,Datadetails[[Activity_help]:[Activity_help]],"C40")</f>
        <v>2</v>
      </c>
      <c r="Q57" s="40">
        <f t="shared" si="5"/>
        <v>2</v>
      </c>
      <c r="R57" s="63">
        <f>SUMIFS(Datadetails[[Hours]:[Hours]],Datadetails[[Group]:[Group]],"Other",Datadetails[[Taskcode]:[Taskcode]],$A57,Datadetails[[Activity_help]:[Activity_help]],"Other")</f>
        <v>0</v>
      </c>
      <c r="S57" s="21">
        <f t="shared" si="3"/>
        <v>4.58</v>
      </c>
    </row>
    <row r="58" spans="1:19" x14ac:dyDescent="0.25">
      <c r="A58" s="35" t="s">
        <v>92</v>
      </c>
      <c r="B58" s="66" t="s">
        <v>220</v>
      </c>
      <c r="C58" s="7">
        <f>SUMIFS(Datadetails[[Hours]:[Hours]],Datadetails[[Group]:[Group]],C$5,Datadetails[[Taskcode]:[Taskcode]],$A58,Datadetails[[Activity_help]:[Activity_help]],"C20")</f>
        <v>0</v>
      </c>
      <c r="D58" s="7">
        <f>SUMIFS(Datadetails[[Hours]:[Hours]],Datadetails[[Group]:[Group]],D$5,Datadetails[[Taskcode]:[Taskcode]],$A58,Datadetails[[Activity_help]:[Activity_help]],"C20")</f>
        <v>0</v>
      </c>
      <c r="E58" s="7">
        <f>SUMIFS(Datadetails[[Hours]:[Hours]],Datadetails[[Group]:[Group]],E$5,Datadetails[[Taskcode]:[Taskcode]],$A58,Datadetails[[Activity_help]:[Activity_help]],"C20")</f>
        <v>0</v>
      </c>
      <c r="F58" s="7">
        <f>SUMIFS(Datadetails[[Hours]:[Hours]],Datadetails[[Group]:[Group]],F$5,Datadetails[[Taskcode]:[Taskcode]],$A58,Datadetails[[Activity_help]:[Activity_help]],"C20")</f>
        <v>0</v>
      </c>
      <c r="G58" s="12">
        <f t="shared" si="2"/>
        <v>0</v>
      </c>
      <c r="H58" s="8">
        <f>SUMIFS(Datadetails[[Hours]:[Hours]],Datadetails[[Group]:[Group]],H$5,Datadetails[[Taskcode]:[Taskcode]],$A58,Datadetails[[Activity_help]:[Activity_help]],"C30")</f>
        <v>0</v>
      </c>
      <c r="I58" s="8">
        <f>SUMIFS(Datadetails[[Hours]:[Hours]],Datadetails[[Group]:[Group]],I$5,Datadetails[[Taskcode]:[Taskcode]],$A58,Datadetails[[Activity_help]:[Activity_help]],"C30")</f>
        <v>0</v>
      </c>
      <c r="J58" s="8">
        <f>SUMIFS(Datadetails[[Hours]:[Hours]],Datadetails[[Group]:[Group]],J$5,Datadetails[[Taskcode]:[Taskcode]],$A58,Datadetails[[Activity_help]:[Activity_help]],"C30")</f>
        <v>0</v>
      </c>
      <c r="K58" s="8">
        <f>SUMIFS(Datadetails[[Hours]:[Hours]],Datadetails[[Group]:[Group]],K$5,Datadetails[[Taskcode]:[Taskcode]],$A58,Datadetails[[Activity_help]:[Activity_help]],"C30")</f>
        <v>0</v>
      </c>
      <c r="L58" s="13">
        <f t="shared" si="4"/>
        <v>0</v>
      </c>
      <c r="M58" s="39">
        <f>SUMIFS(Datadetails[[Hours]:[Hours]],Datadetails[[Group]:[Group]],M$5,Datadetails[[Taskcode]:[Taskcode]],$A58,Datadetails[[Activity_help]:[Activity_help]],"C40")</f>
        <v>0</v>
      </c>
      <c r="N58" s="39">
        <f>SUMIFS(Datadetails[[Hours]:[Hours]],Datadetails[[Group]:[Group]],N$5,Datadetails[[Taskcode]:[Taskcode]],$A58,Datadetails[[Activity_help]:[Activity_help]],"C40")</f>
        <v>0</v>
      </c>
      <c r="O58" s="39">
        <f>SUMIFS(Datadetails[[Hours]:[Hours]],Datadetails[[Group]:[Group]],O$5,Datadetails[[Taskcode]:[Taskcode]],$A58,Datadetails[[Activity_help]:[Activity_help]],"C40")</f>
        <v>0</v>
      </c>
      <c r="P58" s="39">
        <f>SUMIFS(Datadetails[[Hours]:[Hours]],Datadetails[[Group]:[Group]],P$5,Datadetails[[Taskcode]:[Taskcode]],$A58,Datadetails[[Activity_help]:[Activity_help]],"C40")</f>
        <v>0</v>
      </c>
      <c r="Q58" s="40">
        <f t="shared" si="5"/>
        <v>0</v>
      </c>
      <c r="R58" s="63">
        <f>SUMIFS(Datadetails[[Hours]:[Hours]],Datadetails[[Group]:[Group]],"Other",Datadetails[[Taskcode]:[Taskcode]],$A58,Datadetails[[Activity_help]:[Activity_help]],"Other")</f>
        <v>0</v>
      </c>
      <c r="S58" s="21">
        <f t="shared" si="3"/>
        <v>0</v>
      </c>
    </row>
    <row r="59" spans="1:19" x14ac:dyDescent="0.25">
      <c r="A59" s="35" t="s">
        <v>24</v>
      </c>
      <c r="B59" s="66" t="s">
        <v>221</v>
      </c>
      <c r="C59" s="7">
        <f>SUMIFS(Datadetails[[Hours]:[Hours]],Datadetails[[Group]:[Group]],C$5,Datadetails[[Taskcode]:[Taskcode]],$A59,Datadetails[[Activity_help]:[Activity_help]],"C20")</f>
        <v>0</v>
      </c>
      <c r="D59" s="7">
        <f>SUMIFS(Datadetails[[Hours]:[Hours]],Datadetails[[Group]:[Group]],D$5,Datadetails[[Taskcode]:[Taskcode]],$A59,Datadetails[[Activity_help]:[Activity_help]],"C20")</f>
        <v>0</v>
      </c>
      <c r="E59" s="7">
        <f>SUMIFS(Datadetails[[Hours]:[Hours]],Datadetails[[Group]:[Group]],E$5,Datadetails[[Taskcode]:[Taskcode]],$A59,Datadetails[[Activity_help]:[Activity_help]],"C20")</f>
        <v>0</v>
      </c>
      <c r="F59" s="7">
        <f>SUMIFS(Datadetails[[Hours]:[Hours]],Datadetails[[Group]:[Group]],F$5,Datadetails[[Taskcode]:[Taskcode]],$A59,Datadetails[[Activity_help]:[Activity_help]],"C20")</f>
        <v>0</v>
      </c>
      <c r="G59" s="12">
        <f t="shared" si="2"/>
        <v>0</v>
      </c>
      <c r="H59" s="8">
        <f>SUMIFS(Datadetails[[Hours]:[Hours]],Datadetails[[Group]:[Group]],H$5,Datadetails[[Taskcode]:[Taskcode]],$A59,Datadetails[[Activity_help]:[Activity_help]],"C30")</f>
        <v>0</v>
      </c>
      <c r="I59" s="8">
        <f>SUMIFS(Datadetails[[Hours]:[Hours]],Datadetails[[Group]:[Group]],I$5,Datadetails[[Taskcode]:[Taskcode]],$A59,Datadetails[[Activity_help]:[Activity_help]],"C30")</f>
        <v>0</v>
      </c>
      <c r="J59" s="8">
        <f>SUMIFS(Datadetails[[Hours]:[Hours]],Datadetails[[Group]:[Group]],J$5,Datadetails[[Taskcode]:[Taskcode]],$A59,Datadetails[[Activity_help]:[Activity_help]],"C30")</f>
        <v>9.1999999999999993</v>
      </c>
      <c r="K59" s="8">
        <f>SUMIFS(Datadetails[[Hours]:[Hours]],Datadetails[[Group]:[Group]],K$5,Datadetails[[Taskcode]:[Taskcode]],$A59,Datadetails[[Activity_help]:[Activity_help]],"C30")</f>
        <v>0</v>
      </c>
      <c r="L59" s="13">
        <f t="shared" si="4"/>
        <v>9.1999999999999993</v>
      </c>
      <c r="M59" s="39">
        <f>SUMIFS(Datadetails[[Hours]:[Hours]],Datadetails[[Group]:[Group]],M$5,Datadetails[[Taskcode]:[Taskcode]],$A59,Datadetails[[Activity_help]:[Activity_help]],"C40")</f>
        <v>0</v>
      </c>
      <c r="N59" s="39">
        <f>SUMIFS(Datadetails[[Hours]:[Hours]],Datadetails[[Group]:[Group]],N$5,Datadetails[[Taskcode]:[Taskcode]],$A59,Datadetails[[Activity_help]:[Activity_help]],"C40")</f>
        <v>0</v>
      </c>
      <c r="O59" s="39">
        <f>SUMIFS(Datadetails[[Hours]:[Hours]],Datadetails[[Group]:[Group]],O$5,Datadetails[[Taskcode]:[Taskcode]],$A59,Datadetails[[Activity_help]:[Activity_help]],"C40")</f>
        <v>3.25</v>
      </c>
      <c r="P59" s="39">
        <f>SUMIFS(Datadetails[[Hours]:[Hours]],Datadetails[[Group]:[Group]],P$5,Datadetails[[Taskcode]:[Taskcode]],$A59,Datadetails[[Activity_help]:[Activity_help]],"C40")</f>
        <v>0</v>
      </c>
      <c r="Q59" s="40">
        <f t="shared" si="5"/>
        <v>3.25</v>
      </c>
      <c r="R59" s="63">
        <f>SUMIFS(Datadetails[[Hours]:[Hours]],Datadetails[[Group]:[Group]],"Other",Datadetails[[Taskcode]:[Taskcode]],$A59,Datadetails[[Activity_help]:[Activity_help]],"Other")</f>
        <v>0</v>
      </c>
      <c r="S59" s="21">
        <f t="shared" si="3"/>
        <v>12.45</v>
      </c>
    </row>
    <row r="60" spans="1:19" x14ac:dyDescent="0.25">
      <c r="A60" s="35" t="s">
        <v>93</v>
      </c>
      <c r="B60" s="66" t="s">
        <v>222</v>
      </c>
      <c r="C60" s="7">
        <f>SUMIFS(Datadetails[[Hours]:[Hours]],Datadetails[[Group]:[Group]],C$5,Datadetails[[Taskcode]:[Taskcode]],$A60,Datadetails[[Activity_help]:[Activity_help]],"C20")</f>
        <v>0</v>
      </c>
      <c r="D60" s="7">
        <f>SUMIFS(Datadetails[[Hours]:[Hours]],Datadetails[[Group]:[Group]],D$5,Datadetails[[Taskcode]:[Taskcode]],$A60,Datadetails[[Activity_help]:[Activity_help]],"C20")</f>
        <v>0</v>
      </c>
      <c r="E60" s="7">
        <f>SUMIFS(Datadetails[[Hours]:[Hours]],Datadetails[[Group]:[Group]],E$5,Datadetails[[Taskcode]:[Taskcode]],$A60,Datadetails[[Activity_help]:[Activity_help]],"C20")</f>
        <v>0</v>
      </c>
      <c r="F60" s="7">
        <f>SUMIFS(Datadetails[[Hours]:[Hours]],Datadetails[[Group]:[Group]],F$5,Datadetails[[Taskcode]:[Taskcode]],$A60,Datadetails[[Activity_help]:[Activity_help]],"C20")</f>
        <v>0</v>
      </c>
      <c r="G60" s="12">
        <f t="shared" si="2"/>
        <v>0</v>
      </c>
      <c r="H60" s="8">
        <f>SUMIFS(Datadetails[[Hours]:[Hours]],Datadetails[[Group]:[Group]],H$5,Datadetails[[Taskcode]:[Taskcode]],$A60,Datadetails[[Activity_help]:[Activity_help]],"C30")</f>
        <v>0</v>
      </c>
      <c r="I60" s="8">
        <f>SUMIFS(Datadetails[[Hours]:[Hours]],Datadetails[[Group]:[Group]],I$5,Datadetails[[Taskcode]:[Taskcode]],$A60,Datadetails[[Activity_help]:[Activity_help]],"C30")</f>
        <v>0</v>
      </c>
      <c r="J60" s="8">
        <f>SUMIFS(Datadetails[[Hours]:[Hours]],Datadetails[[Group]:[Group]],J$5,Datadetails[[Taskcode]:[Taskcode]],$A60,Datadetails[[Activity_help]:[Activity_help]],"C30")</f>
        <v>3.09</v>
      </c>
      <c r="K60" s="8">
        <f>SUMIFS(Datadetails[[Hours]:[Hours]],Datadetails[[Group]:[Group]],K$5,Datadetails[[Taskcode]:[Taskcode]],$A60,Datadetails[[Activity_help]:[Activity_help]],"C30")</f>
        <v>0</v>
      </c>
      <c r="L60" s="13">
        <f t="shared" si="4"/>
        <v>3.09</v>
      </c>
      <c r="M60" s="39">
        <f>SUMIFS(Datadetails[[Hours]:[Hours]],Datadetails[[Group]:[Group]],M$5,Datadetails[[Taskcode]:[Taskcode]],$A60,Datadetails[[Activity_help]:[Activity_help]],"C40")</f>
        <v>0</v>
      </c>
      <c r="N60" s="39">
        <f>SUMIFS(Datadetails[[Hours]:[Hours]],Datadetails[[Group]:[Group]],N$5,Datadetails[[Taskcode]:[Taskcode]],$A60,Datadetails[[Activity_help]:[Activity_help]],"C40")</f>
        <v>0</v>
      </c>
      <c r="O60" s="39">
        <f>SUMIFS(Datadetails[[Hours]:[Hours]],Datadetails[[Group]:[Group]],O$5,Datadetails[[Taskcode]:[Taskcode]],$A60,Datadetails[[Activity_help]:[Activity_help]],"C40")</f>
        <v>3.67</v>
      </c>
      <c r="P60" s="39">
        <f>SUMIFS(Datadetails[[Hours]:[Hours]],Datadetails[[Group]:[Group]],P$5,Datadetails[[Taskcode]:[Taskcode]],$A60,Datadetails[[Activity_help]:[Activity_help]],"C40")</f>
        <v>0</v>
      </c>
      <c r="Q60" s="40">
        <f t="shared" si="5"/>
        <v>3.67</v>
      </c>
      <c r="R60" s="63">
        <f>SUMIFS(Datadetails[[Hours]:[Hours]],Datadetails[[Group]:[Group]],"Other",Datadetails[[Taskcode]:[Taskcode]],$A60,Datadetails[[Activity_help]:[Activity_help]],"Other")</f>
        <v>0</v>
      </c>
      <c r="S60" s="21">
        <f t="shared" si="3"/>
        <v>6.76</v>
      </c>
    </row>
    <row r="61" spans="1:19" x14ac:dyDescent="0.25">
      <c r="A61" s="35" t="s">
        <v>94</v>
      </c>
      <c r="B61" s="66" t="s">
        <v>223</v>
      </c>
      <c r="C61" s="7">
        <f>SUMIFS(Datadetails[[Hours]:[Hours]],Datadetails[[Group]:[Group]],C$5,Datadetails[[Taskcode]:[Taskcode]],$A61,Datadetails[[Activity_help]:[Activity_help]],"C20")</f>
        <v>0</v>
      </c>
      <c r="D61" s="7">
        <f>SUMIFS(Datadetails[[Hours]:[Hours]],Datadetails[[Group]:[Group]],D$5,Datadetails[[Taskcode]:[Taskcode]],$A61,Datadetails[[Activity_help]:[Activity_help]],"C20")</f>
        <v>0</v>
      </c>
      <c r="E61" s="7">
        <f>SUMIFS(Datadetails[[Hours]:[Hours]],Datadetails[[Group]:[Group]],E$5,Datadetails[[Taskcode]:[Taskcode]],$A61,Datadetails[[Activity_help]:[Activity_help]],"C20")</f>
        <v>0</v>
      </c>
      <c r="F61" s="7">
        <f>SUMIFS(Datadetails[[Hours]:[Hours]],Datadetails[[Group]:[Group]],F$5,Datadetails[[Taskcode]:[Taskcode]],$A61,Datadetails[[Activity_help]:[Activity_help]],"C20")</f>
        <v>0</v>
      </c>
      <c r="G61" s="12">
        <f t="shared" si="2"/>
        <v>0</v>
      </c>
      <c r="H61" s="8">
        <f>SUMIFS(Datadetails[[Hours]:[Hours]],Datadetails[[Group]:[Group]],H$5,Datadetails[[Taskcode]:[Taskcode]],$A61,Datadetails[[Activity_help]:[Activity_help]],"C30")</f>
        <v>0</v>
      </c>
      <c r="I61" s="8">
        <f>SUMIFS(Datadetails[[Hours]:[Hours]],Datadetails[[Group]:[Group]],I$5,Datadetails[[Taskcode]:[Taskcode]],$A61,Datadetails[[Activity_help]:[Activity_help]],"C30")</f>
        <v>0</v>
      </c>
      <c r="J61" s="8">
        <f>SUMIFS(Datadetails[[Hours]:[Hours]],Datadetails[[Group]:[Group]],J$5,Datadetails[[Taskcode]:[Taskcode]],$A61,Datadetails[[Activity_help]:[Activity_help]],"C30")</f>
        <v>0</v>
      </c>
      <c r="K61" s="8">
        <f>SUMIFS(Datadetails[[Hours]:[Hours]],Datadetails[[Group]:[Group]],K$5,Datadetails[[Taskcode]:[Taskcode]],$A61,Datadetails[[Activity_help]:[Activity_help]],"C30")</f>
        <v>0</v>
      </c>
      <c r="L61" s="13">
        <f t="shared" si="4"/>
        <v>0</v>
      </c>
      <c r="M61" s="39">
        <f>SUMIFS(Datadetails[[Hours]:[Hours]],Datadetails[[Group]:[Group]],M$5,Datadetails[[Taskcode]:[Taskcode]],$A61,Datadetails[[Activity_help]:[Activity_help]],"C40")</f>
        <v>0</v>
      </c>
      <c r="N61" s="39">
        <f>SUMIFS(Datadetails[[Hours]:[Hours]],Datadetails[[Group]:[Group]],N$5,Datadetails[[Taskcode]:[Taskcode]],$A61,Datadetails[[Activity_help]:[Activity_help]],"C40")</f>
        <v>0</v>
      </c>
      <c r="O61" s="39">
        <f>SUMIFS(Datadetails[[Hours]:[Hours]],Datadetails[[Group]:[Group]],O$5,Datadetails[[Taskcode]:[Taskcode]],$A61,Datadetails[[Activity_help]:[Activity_help]],"C40")</f>
        <v>0</v>
      </c>
      <c r="P61" s="39">
        <f>SUMIFS(Datadetails[[Hours]:[Hours]],Datadetails[[Group]:[Group]],P$5,Datadetails[[Taskcode]:[Taskcode]],$A61,Datadetails[[Activity_help]:[Activity_help]],"C40")</f>
        <v>0</v>
      </c>
      <c r="Q61" s="40">
        <f t="shared" si="5"/>
        <v>0</v>
      </c>
      <c r="R61" s="63">
        <f>SUMIFS(Datadetails[[Hours]:[Hours]],Datadetails[[Group]:[Group]],"Other",Datadetails[[Taskcode]:[Taskcode]],$A61,Datadetails[[Activity_help]:[Activity_help]],"Other")</f>
        <v>0</v>
      </c>
      <c r="S61" s="21">
        <f t="shared" si="3"/>
        <v>0</v>
      </c>
    </row>
    <row r="62" spans="1:19" x14ac:dyDescent="0.25">
      <c r="A62" s="35" t="s">
        <v>95</v>
      </c>
      <c r="B62" s="66" t="s">
        <v>224</v>
      </c>
      <c r="C62" s="7">
        <f>SUMIFS(Datadetails[[Hours]:[Hours]],Datadetails[[Group]:[Group]],C$5,Datadetails[[Taskcode]:[Taskcode]],$A62,Datadetails[[Activity_help]:[Activity_help]],"C20")</f>
        <v>0</v>
      </c>
      <c r="D62" s="7">
        <f>SUMIFS(Datadetails[[Hours]:[Hours]],Datadetails[[Group]:[Group]],D$5,Datadetails[[Taskcode]:[Taskcode]],$A62,Datadetails[[Activity_help]:[Activity_help]],"C20")</f>
        <v>0</v>
      </c>
      <c r="E62" s="7">
        <f>SUMIFS(Datadetails[[Hours]:[Hours]],Datadetails[[Group]:[Group]],E$5,Datadetails[[Taskcode]:[Taskcode]],$A62,Datadetails[[Activity_help]:[Activity_help]],"C20")</f>
        <v>0.67</v>
      </c>
      <c r="F62" s="7">
        <f>SUMIFS(Datadetails[[Hours]:[Hours]],Datadetails[[Group]:[Group]],F$5,Datadetails[[Taskcode]:[Taskcode]],$A62,Datadetails[[Activity_help]:[Activity_help]],"C20")</f>
        <v>0</v>
      </c>
      <c r="G62" s="12">
        <f t="shared" si="2"/>
        <v>0.67</v>
      </c>
      <c r="H62" s="8">
        <f>SUMIFS(Datadetails[[Hours]:[Hours]],Datadetails[[Group]:[Group]],H$5,Datadetails[[Taskcode]:[Taskcode]],$A62,Datadetails[[Activity_help]:[Activity_help]],"C30")</f>
        <v>0</v>
      </c>
      <c r="I62" s="8">
        <f>SUMIFS(Datadetails[[Hours]:[Hours]],Datadetails[[Group]:[Group]],I$5,Datadetails[[Taskcode]:[Taskcode]],$A62,Datadetails[[Activity_help]:[Activity_help]],"C30")</f>
        <v>0</v>
      </c>
      <c r="J62" s="8">
        <f>SUMIFS(Datadetails[[Hours]:[Hours]],Datadetails[[Group]:[Group]],J$5,Datadetails[[Taskcode]:[Taskcode]],$A62,Datadetails[[Activity_help]:[Activity_help]],"C30")</f>
        <v>2.44</v>
      </c>
      <c r="K62" s="8">
        <f>SUMIFS(Datadetails[[Hours]:[Hours]],Datadetails[[Group]:[Group]],K$5,Datadetails[[Taskcode]:[Taskcode]],$A62,Datadetails[[Activity_help]:[Activity_help]],"C30")</f>
        <v>0</v>
      </c>
      <c r="L62" s="13">
        <f t="shared" si="4"/>
        <v>2.44</v>
      </c>
      <c r="M62" s="39">
        <f>SUMIFS(Datadetails[[Hours]:[Hours]],Datadetails[[Group]:[Group]],M$5,Datadetails[[Taskcode]:[Taskcode]],$A62,Datadetails[[Activity_help]:[Activity_help]],"C40")</f>
        <v>0</v>
      </c>
      <c r="N62" s="39">
        <f>SUMIFS(Datadetails[[Hours]:[Hours]],Datadetails[[Group]:[Group]],N$5,Datadetails[[Taskcode]:[Taskcode]],$A62,Datadetails[[Activity_help]:[Activity_help]],"C40")</f>
        <v>0</v>
      </c>
      <c r="O62" s="39">
        <f>SUMIFS(Datadetails[[Hours]:[Hours]],Datadetails[[Group]:[Group]],O$5,Datadetails[[Taskcode]:[Taskcode]],$A62,Datadetails[[Activity_help]:[Activity_help]],"C40")</f>
        <v>3.33</v>
      </c>
      <c r="P62" s="39">
        <f>SUMIFS(Datadetails[[Hours]:[Hours]],Datadetails[[Group]:[Group]],P$5,Datadetails[[Taskcode]:[Taskcode]],$A62,Datadetails[[Activity_help]:[Activity_help]],"C40")</f>
        <v>0</v>
      </c>
      <c r="Q62" s="40">
        <f t="shared" si="5"/>
        <v>3.33</v>
      </c>
      <c r="R62" s="63">
        <f>SUMIFS(Datadetails[[Hours]:[Hours]],Datadetails[[Group]:[Group]],"Other",Datadetails[[Taskcode]:[Taskcode]],$A62,Datadetails[[Activity_help]:[Activity_help]],"Other")</f>
        <v>0</v>
      </c>
      <c r="S62" s="21">
        <f t="shared" si="3"/>
        <v>6.4399999999999995</v>
      </c>
    </row>
    <row r="63" spans="1:19" x14ac:dyDescent="0.25">
      <c r="A63" s="35" t="s">
        <v>96</v>
      </c>
      <c r="B63" s="66" t="s">
        <v>225</v>
      </c>
      <c r="C63" s="7">
        <f>SUMIFS(Datadetails[[Hours]:[Hours]],Datadetails[[Group]:[Group]],C$5,Datadetails[[Taskcode]:[Taskcode]],$A63,Datadetails[[Activity_help]:[Activity_help]],"C20")</f>
        <v>0</v>
      </c>
      <c r="D63" s="7">
        <f>SUMIFS(Datadetails[[Hours]:[Hours]],Datadetails[[Group]:[Group]],D$5,Datadetails[[Taskcode]:[Taskcode]],$A63,Datadetails[[Activity_help]:[Activity_help]],"C20")</f>
        <v>0</v>
      </c>
      <c r="E63" s="7">
        <f>SUMIFS(Datadetails[[Hours]:[Hours]],Datadetails[[Group]:[Group]],E$5,Datadetails[[Taskcode]:[Taskcode]],$A63,Datadetails[[Activity_help]:[Activity_help]],"C20")</f>
        <v>2.67</v>
      </c>
      <c r="F63" s="7">
        <f>SUMIFS(Datadetails[[Hours]:[Hours]],Datadetails[[Group]:[Group]],F$5,Datadetails[[Taskcode]:[Taskcode]],$A63,Datadetails[[Activity_help]:[Activity_help]],"C20")</f>
        <v>0</v>
      </c>
      <c r="G63" s="12">
        <f t="shared" si="2"/>
        <v>2.67</v>
      </c>
      <c r="H63" s="8">
        <f>SUMIFS(Datadetails[[Hours]:[Hours]],Datadetails[[Group]:[Group]],H$5,Datadetails[[Taskcode]:[Taskcode]],$A63,Datadetails[[Activity_help]:[Activity_help]],"C30")</f>
        <v>0</v>
      </c>
      <c r="I63" s="8">
        <f>SUMIFS(Datadetails[[Hours]:[Hours]],Datadetails[[Group]:[Group]],I$5,Datadetails[[Taskcode]:[Taskcode]],$A63,Datadetails[[Activity_help]:[Activity_help]],"C30")</f>
        <v>0</v>
      </c>
      <c r="J63" s="8">
        <f>SUMIFS(Datadetails[[Hours]:[Hours]],Datadetails[[Group]:[Group]],J$5,Datadetails[[Taskcode]:[Taskcode]],$A63,Datadetails[[Activity_help]:[Activity_help]],"C30")</f>
        <v>3.74</v>
      </c>
      <c r="K63" s="8">
        <f>SUMIFS(Datadetails[[Hours]:[Hours]],Datadetails[[Group]:[Group]],K$5,Datadetails[[Taskcode]:[Taskcode]],$A63,Datadetails[[Activity_help]:[Activity_help]],"C30")</f>
        <v>0</v>
      </c>
      <c r="L63" s="13">
        <f t="shared" si="4"/>
        <v>3.74</v>
      </c>
      <c r="M63" s="39">
        <f>SUMIFS(Datadetails[[Hours]:[Hours]],Datadetails[[Group]:[Group]],M$5,Datadetails[[Taskcode]:[Taskcode]],$A63,Datadetails[[Activity_help]:[Activity_help]],"C40")</f>
        <v>0</v>
      </c>
      <c r="N63" s="39">
        <f>SUMIFS(Datadetails[[Hours]:[Hours]],Datadetails[[Group]:[Group]],N$5,Datadetails[[Taskcode]:[Taskcode]],$A63,Datadetails[[Activity_help]:[Activity_help]],"C40")</f>
        <v>0</v>
      </c>
      <c r="O63" s="39">
        <f>SUMIFS(Datadetails[[Hours]:[Hours]],Datadetails[[Group]:[Group]],O$5,Datadetails[[Taskcode]:[Taskcode]],$A63,Datadetails[[Activity_help]:[Activity_help]],"C40")</f>
        <v>5.75</v>
      </c>
      <c r="P63" s="39">
        <f>SUMIFS(Datadetails[[Hours]:[Hours]],Datadetails[[Group]:[Group]],P$5,Datadetails[[Taskcode]:[Taskcode]],$A63,Datadetails[[Activity_help]:[Activity_help]],"C40")</f>
        <v>0</v>
      </c>
      <c r="Q63" s="40">
        <f t="shared" si="5"/>
        <v>5.75</v>
      </c>
      <c r="R63" s="63">
        <f>SUMIFS(Datadetails[[Hours]:[Hours]],Datadetails[[Group]:[Group]],"Other",Datadetails[[Taskcode]:[Taskcode]],$A63,Datadetails[[Activity_help]:[Activity_help]],"Other")</f>
        <v>0</v>
      </c>
      <c r="S63" s="21">
        <f t="shared" si="3"/>
        <v>12.16</v>
      </c>
    </row>
    <row r="64" spans="1:19" x14ac:dyDescent="0.25">
      <c r="A64" s="35" t="s">
        <v>97</v>
      </c>
      <c r="B64" s="66" t="s">
        <v>226</v>
      </c>
      <c r="C64" s="7">
        <f>SUMIFS(Datadetails[[Hours]:[Hours]],Datadetails[[Group]:[Group]],C$5,Datadetails[[Taskcode]:[Taskcode]],$A64,Datadetails[[Activity_help]:[Activity_help]],"C20")</f>
        <v>0</v>
      </c>
      <c r="D64" s="7">
        <f>SUMIFS(Datadetails[[Hours]:[Hours]],Datadetails[[Group]:[Group]],D$5,Datadetails[[Taskcode]:[Taskcode]],$A64,Datadetails[[Activity_help]:[Activity_help]],"C20")</f>
        <v>0</v>
      </c>
      <c r="E64" s="7">
        <f>SUMIFS(Datadetails[[Hours]:[Hours]],Datadetails[[Group]:[Group]],E$5,Datadetails[[Taskcode]:[Taskcode]],$A64,Datadetails[[Activity_help]:[Activity_help]],"C20")</f>
        <v>0</v>
      </c>
      <c r="F64" s="7">
        <f>SUMIFS(Datadetails[[Hours]:[Hours]],Datadetails[[Group]:[Group]],F$5,Datadetails[[Taskcode]:[Taskcode]],$A64,Datadetails[[Activity_help]:[Activity_help]],"C20")</f>
        <v>0</v>
      </c>
      <c r="G64" s="12">
        <f t="shared" si="2"/>
        <v>0</v>
      </c>
      <c r="H64" s="8">
        <f>SUMIFS(Datadetails[[Hours]:[Hours]],Datadetails[[Group]:[Group]],H$5,Datadetails[[Taskcode]:[Taskcode]],$A64,Datadetails[[Activity_help]:[Activity_help]],"C30")</f>
        <v>0</v>
      </c>
      <c r="I64" s="8">
        <f>SUMIFS(Datadetails[[Hours]:[Hours]],Datadetails[[Group]:[Group]],I$5,Datadetails[[Taskcode]:[Taskcode]],$A64,Datadetails[[Activity_help]:[Activity_help]],"C30")</f>
        <v>0</v>
      </c>
      <c r="J64" s="8">
        <f>SUMIFS(Datadetails[[Hours]:[Hours]],Datadetails[[Group]:[Group]],J$5,Datadetails[[Taskcode]:[Taskcode]],$A64,Datadetails[[Activity_help]:[Activity_help]],"C30")</f>
        <v>3.5199999999999996</v>
      </c>
      <c r="K64" s="8">
        <f>SUMIFS(Datadetails[[Hours]:[Hours]],Datadetails[[Group]:[Group]],K$5,Datadetails[[Taskcode]:[Taskcode]],$A64,Datadetails[[Activity_help]:[Activity_help]],"C30")</f>
        <v>0</v>
      </c>
      <c r="L64" s="13">
        <f t="shared" si="4"/>
        <v>3.5199999999999996</v>
      </c>
      <c r="M64" s="39">
        <f>SUMIFS(Datadetails[[Hours]:[Hours]],Datadetails[[Group]:[Group]],M$5,Datadetails[[Taskcode]:[Taskcode]],$A64,Datadetails[[Activity_help]:[Activity_help]],"C40")</f>
        <v>0</v>
      </c>
      <c r="N64" s="39">
        <f>SUMIFS(Datadetails[[Hours]:[Hours]],Datadetails[[Group]:[Group]],N$5,Datadetails[[Taskcode]:[Taskcode]],$A64,Datadetails[[Activity_help]:[Activity_help]],"C40")</f>
        <v>0</v>
      </c>
      <c r="O64" s="39">
        <f>SUMIFS(Datadetails[[Hours]:[Hours]],Datadetails[[Group]:[Group]],O$5,Datadetails[[Taskcode]:[Taskcode]],$A64,Datadetails[[Activity_help]:[Activity_help]],"C40")</f>
        <v>0</v>
      </c>
      <c r="P64" s="39">
        <f>SUMIFS(Datadetails[[Hours]:[Hours]],Datadetails[[Group]:[Group]],P$5,Datadetails[[Taskcode]:[Taskcode]],$A64,Datadetails[[Activity_help]:[Activity_help]],"C40")</f>
        <v>0</v>
      </c>
      <c r="Q64" s="40">
        <f t="shared" si="5"/>
        <v>0</v>
      </c>
      <c r="R64" s="63">
        <f>SUMIFS(Datadetails[[Hours]:[Hours]],Datadetails[[Group]:[Group]],"Other",Datadetails[[Taskcode]:[Taskcode]],$A64,Datadetails[[Activity_help]:[Activity_help]],"Other")</f>
        <v>0</v>
      </c>
      <c r="S64" s="21">
        <f t="shared" si="3"/>
        <v>3.5199999999999996</v>
      </c>
    </row>
    <row r="65" spans="1:19" x14ac:dyDescent="0.25">
      <c r="A65" s="35" t="s">
        <v>98</v>
      </c>
      <c r="B65" s="66" t="s">
        <v>227</v>
      </c>
      <c r="C65" s="7">
        <f>SUMIFS(Datadetails[[Hours]:[Hours]],Datadetails[[Group]:[Group]],C$5,Datadetails[[Taskcode]:[Taskcode]],$A65,Datadetails[[Activity_help]:[Activity_help]],"C20")</f>
        <v>0</v>
      </c>
      <c r="D65" s="7">
        <f>SUMIFS(Datadetails[[Hours]:[Hours]],Datadetails[[Group]:[Group]],D$5,Datadetails[[Taskcode]:[Taskcode]],$A65,Datadetails[[Activity_help]:[Activity_help]],"C20")</f>
        <v>12.24</v>
      </c>
      <c r="E65" s="7">
        <f>SUMIFS(Datadetails[[Hours]:[Hours]],Datadetails[[Group]:[Group]],E$5,Datadetails[[Taskcode]:[Taskcode]],$A65,Datadetails[[Activity_help]:[Activity_help]],"C20")</f>
        <v>0</v>
      </c>
      <c r="F65" s="7">
        <f>SUMIFS(Datadetails[[Hours]:[Hours]],Datadetails[[Group]:[Group]],F$5,Datadetails[[Taskcode]:[Taskcode]],$A65,Datadetails[[Activity_help]:[Activity_help]],"C20")</f>
        <v>0</v>
      </c>
      <c r="G65" s="12">
        <f t="shared" si="2"/>
        <v>12.24</v>
      </c>
      <c r="H65" s="8">
        <f>SUMIFS(Datadetails[[Hours]:[Hours]],Datadetails[[Group]:[Group]],H$5,Datadetails[[Taskcode]:[Taskcode]],$A65,Datadetails[[Activity_help]:[Activity_help]],"C30")</f>
        <v>0</v>
      </c>
      <c r="I65" s="8">
        <f>SUMIFS(Datadetails[[Hours]:[Hours]],Datadetails[[Group]:[Group]],I$5,Datadetails[[Taskcode]:[Taskcode]],$A65,Datadetails[[Activity_help]:[Activity_help]],"C30")</f>
        <v>12.58</v>
      </c>
      <c r="J65" s="8">
        <f>SUMIFS(Datadetails[[Hours]:[Hours]],Datadetails[[Group]:[Group]],J$5,Datadetails[[Taskcode]:[Taskcode]],$A65,Datadetails[[Activity_help]:[Activity_help]],"C30")</f>
        <v>0</v>
      </c>
      <c r="K65" s="8">
        <f>SUMIFS(Datadetails[[Hours]:[Hours]],Datadetails[[Group]:[Group]],K$5,Datadetails[[Taskcode]:[Taskcode]],$A65,Datadetails[[Activity_help]:[Activity_help]],"C30")</f>
        <v>0</v>
      </c>
      <c r="L65" s="13">
        <f t="shared" si="4"/>
        <v>12.58</v>
      </c>
      <c r="M65" s="39">
        <f>SUMIFS(Datadetails[[Hours]:[Hours]],Datadetails[[Group]:[Group]],M$5,Datadetails[[Taskcode]:[Taskcode]],$A65,Datadetails[[Activity_help]:[Activity_help]],"C40")</f>
        <v>0</v>
      </c>
      <c r="N65" s="39">
        <f>SUMIFS(Datadetails[[Hours]:[Hours]],Datadetails[[Group]:[Group]],N$5,Datadetails[[Taskcode]:[Taskcode]],$A65,Datadetails[[Activity_help]:[Activity_help]],"C40")</f>
        <v>0</v>
      </c>
      <c r="O65" s="39">
        <f>SUMIFS(Datadetails[[Hours]:[Hours]],Datadetails[[Group]:[Group]],O$5,Datadetails[[Taskcode]:[Taskcode]],$A65,Datadetails[[Activity_help]:[Activity_help]],"C40")</f>
        <v>0</v>
      </c>
      <c r="P65" s="39">
        <f>SUMIFS(Datadetails[[Hours]:[Hours]],Datadetails[[Group]:[Group]],P$5,Datadetails[[Taskcode]:[Taskcode]],$A65,Datadetails[[Activity_help]:[Activity_help]],"C40")</f>
        <v>0</v>
      </c>
      <c r="Q65" s="40">
        <f t="shared" si="5"/>
        <v>0</v>
      </c>
      <c r="R65" s="63">
        <f>SUMIFS(Datadetails[[Hours]:[Hours]],Datadetails[[Group]:[Group]],"Other",Datadetails[[Taskcode]:[Taskcode]],$A65,Datadetails[[Activity_help]:[Activity_help]],"Other")</f>
        <v>0</v>
      </c>
      <c r="S65" s="21">
        <f t="shared" si="3"/>
        <v>24.82</v>
      </c>
    </row>
    <row r="66" spans="1:19" x14ac:dyDescent="0.25">
      <c r="A66" s="35" t="s">
        <v>44</v>
      </c>
      <c r="B66" s="66" t="s">
        <v>228</v>
      </c>
      <c r="C66" s="7">
        <f>SUMIFS(Datadetails[[Hours]:[Hours]],Datadetails[[Group]:[Group]],C$5,Datadetails[[Taskcode]:[Taskcode]],$A66,Datadetails[[Activity_help]:[Activity_help]],"C20")</f>
        <v>0</v>
      </c>
      <c r="D66" s="7">
        <f>SUMIFS(Datadetails[[Hours]:[Hours]],Datadetails[[Group]:[Group]],D$5,Datadetails[[Taskcode]:[Taskcode]],$A66,Datadetails[[Activity_help]:[Activity_help]],"C20")</f>
        <v>0</v>
      </c>
      <c r="E66" s="7">
        <f>SUMIFS(Datadetails[[Hours]:[Hours]],Datadetails[[Group]:[Group]],E$5,Datadetails[[Taskcode]:[Taskcode]],$A66,Datadetails[[Activity_help]:[Activity_help]],"C20")</f>
        <v>0</v>
      </c>
      <c r="F66" s="7">
        <f>SUMIFS(Datadetails[[Hours]:[Hours]],Datadetails[[Group]:[Group]],F$5,Datadetails[[Taskcode]:[Taskcode]],$A66,Datadetails[[Activity_help]:[Activity_help]],"C20")</f>
        <v>0</v>
      </c>
      <c r="G66" s="12">
        <f t="shared" si="2"/>
        <v>0</v>
      </c>
      <c r="H66" s="8">
        <f>SUMIFS(Datadetails[[Hours]:[Hours]],Datadetails[[Group]:[Group]],H$5,Datadetails[[Taskcode]:[Taskcode]],$A66,Datadetails[[Activity_help]:[Activity_help]],"C30")</f>
        <v>0</v>
      </c>
      <c r="I66" s="8">
        <f>SUMIFS(Datadetails[[Hours]:[Hours]],Datadetails[[Group]:[Group]],I$5,Datadetails[[Taskcode]:[Taskcode]],$A66,Datadetails[[Activity_help]:[Activity_help]],"C30")</f>
        <v>0</v>
      </c>
      <c r="J66" s="8">
        <f>SUMIFS(Datadetails[[Hours]:[Hours]],Datadetails[[Group]:[Group]],J$5,Datadetails[[Taskcode]:[Taskcode]],$A66,Datadetails[[Activity_help]:[Activity_help]],"C30")</f>
        <v>0</v>
      </c>
      <c r="K66" s="8">
        <f>SUMIFS(Datadetails[[Hours]:[Hours]],Datadetails[[Group]:[Group]],K$5,Datadetails[[Taskcode]:[Taskcode]],$A66,Datadetails[[Activity_help]:[Activity_help]],"C30")</f>
        <v>0</v>
      </c>
      <c r="L66" s="13">
        <f t="shared" si="4"/>
        <v>0</v>
      </c>
      <c r="M66" s="39">
        <f>SUMIFS(Datadetails[[Hours]:[Hours]],Datadetails[[Group]:[Group]],M$5,Datadetails[[Taskcode]:[Taskcode]],$A66,Datadetails[[Activity_help]:[Activity_help]],"C40")</f>
        <v>0</v>
      </c>
      <c r="N66" s="39">
        <f>SUMIFS(Datadetails[[Hours]:[Hours]],Datadetails[[Group]:[Group]],N$5,Datadetails[[Taskcode]:[Taskcode]],$A66,Datadetails[[Activity_help]:[Activity_help]],"C40")</f>
        <v>0</v>
      </c>
      <c r="O66" s="39">
        <f>SUMIFS(Datadetails[[Hours]:[Hours]],Datadetails[[Group]:[Group]],O$5,Datadetails[[Taskcode]:[Taskcode]],$A66,Datadetails[[Activity_help]:[Activity_help]],"C40")</f>
        <v>0</v>
      </c>
      <c r="P66" s="39">
        <f>SUMIFS(Datadetails[[Hours]:[Hours]],Datadetails[[Group]:[Group]],P$5,Datadetails[[Taskcode]:[Taskcode]],$A66,Datadetails[[Activity_help]:[Activity_help]],"C40")</f>
        <v>0</v>
      </c>
      <c r="Q66" s="40">
        <f t="shared" si="5"/>
        <v>0</v>
      </c>
      <c r="R66" s="63">
        <f>SUMIFS(Datadetails[[Hours]:[Hours]],Datadetails[[Group]:[Group]],"Other",Datadetails[[Taskcode]:[Taskcode]],$A66,Datadetails[[Activity_help]:[Activity_help]],"Other")</f>
        <v>0</v>
      </c>
      <c r="S66" s="21">
        <f t="shared" si="3"/>
        <v>0</v>
      </c>
    </row>
    <row r="67" spans="1:19" x14ac:dyDescent="0.25">
      <c r="A67" s="35" t="s">
        <v>99</v>
      </c>
      <c r="B67" s="66" t="s">
        <v>229</v>
      </c>
      <c r="C67" s="7">
        <f>SUMIFS(Datadetails[[Hours]:[Hours]],Datadetails[[Group]:[Group]],C$5,Datadetails[[Taskcode]:[Taskcode]],$A67,Datadetails[[Activity_help]:[Activity_help]],"C20")</f>
        <v>0</v>
      </c>
      <c r="D67" s="7">
        <f>SUMIFS(Datadetails[[Hours]:[Hours]],Datadetails[[Group]:[Group]],D$5,Datadetails[[Taskcode]:[Taskcode]],$A67,Datadetails[[Activity_help]:[Activity_help]],"C20")</f>
        <v>0</v>
      </c>
      <c r="E67" s="7">
        <f>SUMIFS(Datadetails[[Hours]:[Hours]],Datadetails[[Group]:[Group]],E$5,Datadetails[[Taskcode]:[Taskcode]],$A67,Datadetails[[Activity_help]:[Activity_help]],"C20")</f>
        <v>0</v>
      </c>
      <c r="F67" s="7">
        <f>SUMIFS(Datadetails[[Hours]:[Hours]],Datadetails[[Group]:[Group]],F$5,Datadetails[[Taskcode]:[Taskcode]],$A67,Datadetails[[Activity_help]:[Activity_help]],"C20")</f>
        <v>0</v>
      </c>
      <c r="G67" s="12">
        <f t="shared" si="2"/>
        <v>0</v>
      </c>
      <c r="H67" s="8">
        <f>SUMIFS(Datadetails[[Hours]:[Hours]],Datadetails[[Group]:[Group]],H$5,Datadetails[[Taskcode]:[Taskcode]],$A67,Datadetails[[Activity_help]:[Activity_help]],"C30")</f>
        <v>0</v>
      </c>
      <c r="I67" s="8">
        <f>SUMIFS(Datadetails[[Hours]:[Hours]],Datadetails[[Group]:[Group]],I$5,Datadetails[[Taskcode]:[Taskcode]],$A67,Datadetails[[Activity_help]:[Activity_help]],"C30")</f>
        <v>0</v>
      </c>
      <c r="J67" s="8">
        <f>SUMIFS(Datadetails[[Hours]:[Hours]],Datadetails[[Group]:[Group]],J$5,Datadetails[[Taskcode]:[Taskcode]],$A67,Datadetails[[Activity_help]:[Activity_help]],"C30")</f>
        <v>11.93</v>
      </c>
      <c r="K67" s="8">
        <f>SUMIFS(Datadetails[[Hours]:[Hours]],Datadetails[[Group]:[Group]],K$5,Datadetails[[Taskcode]:[Taskcode]],$A67,Datadetails[[Activity_help]:[Activity_help]],"C30")</f>
        <v>0</v>
      </c>
      <c r="L67" s="13">
        <f t="shared" si="4"/>
        <v>11.93</v>
      </c>
      <c r="M67" s="39">
        <f>SUMIFS(Datadetails[[Hours]:[Hours]],Datadetails[[Group]:[Group]],M$5,Datadetails[[Taskcode]:[Taskcode]],$A67,Datadetails[[Activity_help]:[Activity_help]],"C40")</f>
        <v>0</v>
      </c>
      <c r="N67" s="39">
        <f>SUMIFS(Datadetails[[Hours]:[Hours]],Datadetails[[Group]:[Group]],N$5,Datadetails[[Taskcode]:[Taskcode]],$A67,Datadetails[[Activity_help]:[Activity_help]],"C40")</f>
        <v>0</v>
      </c>
      <c r="O67" s="39">
        <f>SUMIFS(Datadetails[[Hours]:[Hours]],Datadetails[[Group]:[Group]],O$5,Datadetails[[Taskcode]:[Taskcode]],$A67,Datadetails[[Activity_help]:[Activity_help]],"C40")</f>
        <v>2</v>
      </c>
      <c r="P67" s="39">
        <f>SUMIFS(Datadetails[[Hours]:[Hours]],Datadetails[[Group]:[Group]],P$5,Datadetails[[Taskcode]:[Taskcode]],$A67,Datadetails[[Activity_help]:[Activity_help]],"C40")</f>
        <v>0</v>
      </c>
      <c r="Q67" s="40">
        <f t="shared" si="5"/>
        <v>2</v>
      </c>
      <c r="R67" s="63">
        <f>SUMIFS(Datadetails[[Hours]:[Hours]],Datadetails[[Group]:[Group]],"Other",Datadetails[[Taskcode]:[Taskcode]],$A67,Datadetails[[Activity_help]:[Activity_help]],"Other")</f>
        <v>0</v>
      </c>
      <c r="S67" s="21">
        <f t="shared" si="3"/>
        <v>13.93</v>
      </c>
    </row>
    <row r="68" spans="1:19" x14ac:dyDescent="0.25">
      <c r="A68" s="35" t="s">
        <v>25</v>
      </c>
      <c r="B68" s="66" t="s">
        <v>230</v>
      </c>
      <c r="C68" s="7">
        <f>SUMIFS(Datadetails[[Hours]:[Hours]],Datadetails[[Group]:[Group]],C$5,Datadetails[[Taskcode]:[Taskcode]],$A68,Datadetails[[Activity_help]:[Activity_help]],"C20")</f>
        <v>0</v>
      </c>
      <c r="D68" s="7">
        <f>SUMIFS(Datadetails[[Hours]:[Hours]],Datadetails[[Group]:[Group]],D$5,Datadetails[[Taskcode]:[Taskcode]],$A68,Datadetails[[Activity_help]:[Activity_help]],"C20")</f>
        <v>0</v>
      </c>
      <c r="E68" s="7">
        <f>SUMIFS(Datadetails[[Hours]:[Hours]],Datadetails[[Group]:[Group]],E$5,Datadetails[[Taskcode]:[Taskcode]],$A68,Datadetails[[Activity_help]:[Activity_help]],"C20")</f>
        <v>0</v>
      </c>
      <c r="F68" s="7">
        <f>SUMIFS(Datadetails[[Hours]:[Hours]],Datadetails[[Group]:[Group]],F$5,Datadetails[[Taskcode]:[Taskcode]],$A68,Datadetails[[Activity_help]:[Activity_help]],"C20")</f>
        <v>0</v>
      </c>
      <c r="G68" s="12">
        <f t="shared" si="2"/>
        <v>0</v>
      </c>
      <c r="H68" s="8">
        <f>SUMIFS(Datadetails[[Hours]:[Hours]],Datadetails[[Group]:[Group]],H$5,Datadetails[[Taskcode]:[Taskcode]],$A68,Datadetails[[Activity_help]:[Activity_help]],"C30")</f>
        <v>0</v>
      </c>
      <c r="I68" s="8">
        <f>SUMIFS(Datadetails[[Hours]:[Hours]],Datadetails[[Group]:[Group]],I$5,Datadetails[[Taskcode]:[Taskcode]],$A68,Datadetails[[Activity_help]:[Activity_help]],"C30")</f>
        <v>0</v>
      </c>
      <c r="J68" s="8">
        <f>SUMIFS(Datadetails[[Hours]:[Hours]],Datadetails[[Group]:[Group]],J$5,Datadetails[[Taskcode]:[Taskcode]],$A68,Datadetails[[Activity_help]:[Activity_help]],"C30")</f>
        <v>8.15</v>
      </c>
      <c r="K68" s="8">
        <f>SUMIFS(Datadetails[[Hours]:[Hours]],Datadetails[[Group]:[Group]],K$5,Datadetails[[Taskcode]:[Taskcode]],$A68,Datadetails[[Activity_help]:[Activity_help]],"C30")</f>
        <v>0</v>
      </c>
      <c r="L68" s="13">
        <f t="shared" si="4"/>
        <v>8.15</v>
      </c>
      <c r="M68" s="39">
        <f>SUMIFS(Datadetails[[Hours]:[Hours]],Datadetails[[Group]:[Group]],M$5,Datadetails[[Taskcode]:[Taskcode]],$A68,Datadetails[[Activity_help]:[Activity_help]],"C40")</f>
        <v>0</v>
      </c>
      <c r="N68" s="39">
        <f>SUMIFS(Datadetails[[Hours]:[Hours]],Datadetails[[Group]:[Group]],N$5,Datadetails[[Taskcode]:[Taskcode]],$A68,Datadetails[[Activity_help]:[Activity_help]],"C40")</f>
        <v>0</v>
      </c>
      <c r="O68" s="39">
        <f>SUMIFS(Datadetails[[Hours]:[Hours]],Datadetails[[Group]:[Group]],O$5,Datadetails[[Taskcode]:[Taskcode]],$A68,Datadetails[[Activity_help]:[Activity_help]],"C40")</f>
        <v>2</v>
      </c>
      <c r="P68" s="39">
        <f>SUMIFS(Datadetails[[Hours]:[Hours]],Datadetails[[Group]:[Group]],P$5,Datadetails[[Taskcode]:[Taskcode]],$A68,Datadetails[[Activity_help]:[Activity_help]],"C40")</f>
        <v>0</v>
      </c>
      <c r="Q68" s="40">
        <f t="shared" si="5"/>
        <v>2</v>
      </c>
      <c r="R68" s="63">
        <f>SUMIFS(Datadetails[[Hours]:[Hours]],Datadetails[[Group]:[Group]],"Other",Datadetails[[Taskcode]:[Taskcode]],$A68,Datadetails[[Activity_help]:[Activity_help]],"Other")</f>
        <v>0</v>
      </c>
      <c r="S68" s="21">
        <f t="shared" si="3"/>
        <v>10.15</v>
      </c>
    </row>
    <row r="69" spans="1:19" x14ac:dyDescent="0.25">
      <c r="A69" s="35" t="s">
        <v>100</v>
      </c>
      <c r="B69" s="66" t="s">
        <v>231</v>
      </c>
      <c r="C69" s="7">
        <f>SUMIFS(Datadetails[[Hours]:[Hours]],Datadetails[[Group]:[Group]],C$5,Datadetails[[Taskcode]:[Taskcode]],$A69,Datadetails[[Activity_help]:[Activity_help]],"C20")</f>
        <v>0</v>
      </c>
      <c r="D69" s="7">
        <f>SUMIFS(Datadetails[[Hours]:[Hours]],Datadetails[[Group]:[Group]],D$5,Datadetails[[Taskcode]:[Taskcode]],$A69,Datadetails[[Activity_help]:[Activity_help]],"C20")</f>
        <v>0</v>
      </c>
      <c r="E69" s="7">
        <f>SUMIFS(Datadetails[[Hours]:[Hours]],Datadetails[[Group]:[Group]],E$5,Datadetails[[Taskcode]:[Taskcode]],$A69,Datadetails[[Activity_help]:[Activity_help]],"C20")</f>
        <v>0</v>
      </c>
      <c r="F69" s="7">
        <f>SUMIFS(Datadetails[[Hours]:[Hours]],Datadetails[[Group]:[Group]],F$5,Datadetails[[Taskcode]:[Taskcode]],$A69,Datadetails[[Activity_help]:[Activity_help]],"C20")</f>
        <v>4.08</v>
      </c>
      <c r="G69" s="12">
        <f t="shared" si="2"/>
        <v>4.08</v>
      </c>
      <c r="H69" s="8">
        <f>SUMIFS(Datadetails[[Hours]:[Hours]],Datadetails[[Group]:[Group]],H$5,Datadetails[[Taskcode]:[Taskcode]],$A69,Datadetails[[Activity_help]:[Activity_help]],"C30")</f>
        <v>0</v>
      </c>
      <c r="I69" s="8">
        <f>SUMIFS(Datadetails[[Hours]:[Hours]],Datadetails[[Group]:[Group]],I$5,Datadetails[[Taskcode]:[Taskcode]],$A69,Datadetails[[Activity_help]:[Activity_help]],"C30")</f>
        <v>0</v>
      </c>
      <c r="J69" s="8">
        <f>SUMIFS(Datadetails[[Hours]:[Hours]],Datadetails[[Group]:[Group]],J$5,Datadetails[[Taskcode]:[Taskcode]],$A69,Datadetails[[Activity_help]:[Activity_help]],"C30")</f>
        <v>0</v>
      </c>
      <c r="K69" s="8">
        <f>SUMIFS(Datadetails[[Hours]:[Hours]],Datadetails[[Group]:[Group]],K$5,Datadetails[[Taskcode]:[Taskcode]],$A69,Datadetails[[Activity_help]:[Activity_help]],"C30")</f>
        <v>4.33</v>
      </c>
      <c r="L69" s="13">
        <f t="shared" si="4"/>
        <v>4.33</v>
      </c>
      <c r="M69" s="39">
        <f>SUMIFS(Datadetails[[Hours]:[Hours]],Datadetails[[Group]:[Group]],M$5,Datadetails[[Taskcode]:[Taskcode]],$A69,Datadetails[[Activity_help]:[Activity_help]],"C40")</f>
        <v>0</v>
      </c>
      <c r="N69" s="39">
        <f>SUMIFS(Datadetails[[Hours]:[Hours]],Datadetails[[Group]:[Group]],N$5,Datadetails[[Taskcode]:[Taskcode]],$A69,Datadetails[[Activity_help]:[Activity_help]],"C40")</f>
        <v>0</v>
      </c>
      <c r="O69" s="39">
        <f>SUMIFS(Datadetails[[Hours]:[Hours]],Datadetails[[Group]:[Group]],O$5,Datadetails[[Taskcode]:[Taskcode]],$A69,Datadetails[[Activity_help]:[Activity_help]],"C40")</f>
        <v>0</v>
      </c>
      <c r="P69" s="39">
        <f>SUMIFS(Datadetails[[Hours]:[Hours]],Datadetails[[Group]:[Group]],P$5,Datadetails[[Taskcode]:[Taskcode]],$A69,Datadetails[[Activity_help]:[Activity_help]],"C40")</f>
        <v>2</v>
      </c>
      <c r="Q69" s="40">
        <f t="shared" si="5"/>
        <v>2</v>
      </c>
      <c r="R69" s="63">
        <f>SUMIFS(Datadetails[[Hours]:[Hours]],Datadetails[[Group]:[Group]],"Other",Datadetails[[Taskcode]:[Taskcode]],$A69,Datadetails[[Activity_help]:[Activity_help]],"Other")</f>
        <v>0</v>
      </c>
      <c r="S69" s="21">
        <f t="shared" si="3"/>
        <v>10.41</v>
      </c>
    </row>
    <row r="70" spans="1:19" x14ac:dyDescent="0.25">
      <c r="A70" s="35" t="s">
        <v>101</v>
      </c>
      <c r="B70" s="66" t="s">
        <v>232</v>
      </c>
      <c r="C70" s="7">
        <f>SUMIFS(Datadetails[[Hours]:[Hours]],Datadetails[[Group]:[Group]],C$5,Datadetails[[Taskcode]:[Taskcode]],$A70,Datadetails[[Activity_help]:[Activity_help]],"C20")</f>
        <v>0</v>
      </c>
      <c r="D70" s="7">
        <f>SUMIFS(Datadetails[[Hours]:[Hours]],Datadetails[[Group]:[Group]],D$5,Datadetails[[Taskcode]:[Taskcode]],$A70,Datadetails[[Activity_help]:[Activity_help]],"C20")</f>
        <v>0</v>
      </c>
      <c r="E70" s="7">
        <f>SUMIFS(Datadetails[[Hours]:[Hours]],Datadetails[[Group]:[Group]],E$5,Datadetails[[Taskcode]:[Taskcode]],$A70,Datadetails[[Activity_help]:[Activity_help]],"C20")</f>
        <v>0</v>
      </c>
      <c r="F70" s="7">
        <f>SUMIFS(Datadetails[[Hours]:[Hours]],Datadetails[[Group]:[Group]],F$5,Datadetails[[Taskcode]:[Taskcode]],$A70,Datadetails[[Activity_help]:[Activity_help]],"C20")</f>
        <v>5.24</v>
      </c>
      <c r="G70" s="12">
        <f t="shared" si="2"/>
        <v>5.24</v>
      </c>
      <c r="H70" s="8">
        <f>SUMIFS(Datadetails[[Hours]:[Hours]],Datadetails[[Group]:[Group]],H$5,Datadetails[[Taskcode]:[Taskcode]],$A70,Datadetails[[Activity_help]:[Activity_help]],"C30")</f>
        <v>0</v>
      </c>
      <c r="I70" s="8">
        <f>SUMIFS(Datadetails[[Hours]:[Hours]],Datadetails[[Group]:[Group]],I$5,Datadetails[[Taskcode]:[Taskcode]],$A70,Datadetails[[Activity_help]:[Activity_help]],"C30")</f>
        <v>0</v>
      </c>
      <c r="J70" s="8">
        <f>SUMIFS(Datadetails[[Hours]:[Hours]],Datadetails[[Group]:[Group]],J$5,Datadetails[[Taskcode]:[Taskcode]],$A70,Datadetails[[Activity_help]:[Activity_help]],"C30")</f>
        <v>0</v>
      </c>
      <c r="K70" s="8">
        <f>SUMIFS(Datadetails[[Hours]:[Hours]],Datadetails[[Group]:[Group]],K$5,Datadetails[[Taskcode]:[Taskcode]],$A70,Datadetails[[Activity_help]:[Activity_help]],"C30")</f>
        <v>0.5</v>
      </c>
      <c r="L70" s="13">
        <f t="shared" ref="L70:L101" si="6">SUM(H70:K70)</f>
        <v>0.5</v>
      </c>
      <c r="M70" s="39">
        <f>SUMIFS(Datadetails[[Hours]:[Hours]],Datadetails[[Group]:[Group]],M$5,Datadetails[[Taskcode]:[Taskcode]],$A70,Datadetails[[Activity_help]:[Activity_help]],"C40")</f>
        <v>0</v>
      </c>
      <c r="N70" s="39">
        <f>SUMIFS(Datadetails[[Hours]:[Hours]],Datadetails[[Group]:[Group]],N$5,Datadetails[[Taskcode]:[Taskcode]],$A70,Datadetails[[Activity_help]:[Activity_help]],"C40")</f>
        <v>0</v>
      </c>
      <c r="O70" s="39">
        <f>SUMIFS(Datadetails[[Hours]:[Hours]],Datadetails[[Group]:[Group]],O$5,Datadetails[[Taskcode]:[Taskcode]],$A70,Datadetails[[Activity_help]:[Activity_help]],"C40")</f>
        <v>0</v>
      </c>
      <c r="P70" s="39">
        <f>SUMIFS(Datadetails[[Hours]:[Hours]],Datadetails[[Group]:[Group]],P$5,Datadetails[[Taskcode]:[Taskcode]],$A70,Datadetails[[Activity_help]:[Activity_help]],"C40")</f>
        <v>1.5</v>
      </c>
      <c r="Q70" s="40">
        <f t="shared" ref="Q70:Q101" si="7">SUM(M70:P70)</f>
        <v>1.5</v>
      </c>
      <c r="R70" s="63">
        <f>SUMIFS(Datadetails[[Hours]:[Hours]],Datadetails[[Group]:[Group]],"Other",Datadetails[[Taskcode]:[Taskcode]],$A70,Datadetails[[Activity_help]:[Activity_help]],"Other")</f>
        <v>0</v>
      </c>
      <c r="S70" s="21">
        <f t="shared" si="3"/>
        <v>7.24</v>
      </c>
    </row>
    <row r="71" spans="1:19" x14ac:dyDescent="0.25">
      <c r="A71" s="35" t="s">
        <v>102</v>
      </c>
      <c r="B71" s="66" t="s">
        <v>233</v>
      </c>
      <c r="C71" s="7">
        <f>SUMIFS(Datadetails[[Hours]:[Hours]],Datadetails[[Group]:[Group]],C$5,Datadetails[[Taskcode]:[Taskcode]],$A71,Datadetails[[Activity_help]:[Activity_help]],"C20")</f>
        <v>0</v>
      </c>
      <c r="D71" s="7">
        <f>SUMIFS(Datadetails[[Hours]:[Hours]],Datadetails[[Group]:[Group]],D$5,Datadetails[[Taskcode]:[Taskcode]],$A71,Datadetails[[Activity_help]:[Activity_help]],"C20")</f>
        <v>6.33</v>
      </c>
      <c r="E71" s="7">
        <f>SUMIFS(Datadetails[[Hours]:[Hours]],Datadetails[[Group]:[Group]],E$5,Datadetails[[Taskcode]:[Taskcode]],$A71,Datadetails[[Activity_help]:[Activity_help]],"C20")</f>
        <v>0</v>
      </c>
      <c r="F71" s="7">
        <f>SUMIFS(Datadetails[[Hours]:[Hours]],Datadetails[[Group]:[Group]],F$5,Datadetails[[Taskcode]:[Taskcode]],$A71,Datadetails[[Activity_help]:[Activity_help]],"C20")</f>
        <v>0</v>
      </c>
      <c r="G71" s="12">
        <f t="shared" ref="G71:G134" si="8">SUM(C71:F71)</f>
        <v>6.33</v>
      </c>
      <c r="H71" s="8">
        <f>SUMIFS(Datadetails[[Hours]:[Hours]],Datadetails[[Group]:[Group]],H$5,Datadetails[[Taskcode]:[Taskcode]],$A71,Datadetails[[Activity_help]:[Activity_help]],"C30")</f>
        <v>0</v>
      </c>
      <c r="I71" s="8">
        <f>SUMIFS(Datadetails[[Hours]:[Hours]],Datadetails[[Group]:[Group]],I$5,Datadetails[[Taskcode]:[Taskcode]],$A71,Datadetails[[Activity_help]:[Activity_help]],"C30")</f>
        <v>6.41</v>
      </c>
      <c r="J71" s="8">
        <f>SUMIFS(Datadetails[[Hours]:[Hours]],Datadetails[[Group]:[Group]],J$5,Datadetails[[Taskcode]:[Taskcode]],$A71,Datadetails[[Activity_help]:[Activity_help]],"C30")</f>
        <v>0</v>
      </c>
      <c r="K71" s="8">
        <f>SUMIFS(Datadetails[[Hours]:[Hours]],Datadetails[[Group]:[Group]],K$5,Datadetails[[Taskcode]:[Taskcode]],$A71,Datadetails[[Activity_help]:[Activity_help]],"C30")</f>
        <v>0</v>
      </c>
      <c r="L71" s="13">
        <f t="shared" si="6"/>
        <v>6.41</v>
      </c>
      <c r="M71" s="39">
        <f>SUMIFS(Datadetails[[Hours]:[Hours]],Datadetails[[Group]:[Group]],M$5,Datadetails[[Taskcode]:[Taskcode]],$A71,Datadetails[[Activity_help]:[Activity_help]],"C40")</f>
        <v>0</v>
      </c>
      <c r="N71" s="39">
        <f>SUMIFS(Datadetails[[Hours]:[Hours]],Datadetails[[Group]:[Group]],N$5,Datadetails[[Taskcode]:[Taskcode]],$A71,Datadetails[[Activity_help]:[Activity_help]],"C40")</f>
        <v>2.75</v>
      </c>
      <c r="O71" s="39">
        <f>SUMIFS(Datadetails[[Hours]:[Hours]],Datadetails[[Group]:[Group]],O$5,Datadetails[[Taskcode]:[Taskcode]],$A71,Datadetails[[Activity_help]:[Activity_help]],"C40")</f>
        <v>0</v>
      </c>
      <c r="P71" s="39">
        <f>SUMIFS(Datadetails[[Hours]:[Hours]],Datadetails[[Group]:[Group]],P$5,Datadetails[[Taskcode]:[Taskcode]],$A71,Datadetails[[Activity_help]:[Activity_help]],"C40")</f>
        <v>0</v>
      </c>
      <c r="Q71" s="40">
        <f t="shared" si="7"/>
        <v>2.75</v>
      </c>
      <c r="R71" s="63">
        <f>SUMIFS(Datadetails[[Hours]:[Hours]],Datadetails[[Group]:[Group]],"Other",Datadetails[[Taskcode]:[Taskcode]],$A71,Datadetails[[Activity_help]:[Activity_help]],"Other")</f>
        <v>0</v>
      </c>
      <c r="S71" s="21">
        <f t="shared" ref="S71:S134" si="9">SUM(G71+L71+Q71+R71)</f>
        <v>15.49</v>
      </c>
    </row>
    <row r="72" spans="1:19" x14ac:dyDescent="0.25">
      <c r="A72" s="35" t="s">
        <v>103</v>
      </c>
      <c r="B72" s="66" t="s">
        <v>234</v>
      </c>
      <c r="C72" s="7">
        <f>SUMIFS(Datadetails[[Hours]:[Hours]],Datadetails[[Group]:[Group]],C$5,Datadetails[[Taskcode]:[Taskcode]],$A72,Datadetails[[Activity_help]:[Activity_help]],"C20")</f>
        <v>0</v>
      </c>
      <c r="D72" s="7">
        <f>SUMIFS(Datadetails[[Hours]:[Hours]],Datadetails[[Group]:[Group]],D$5,Datadetails[[Taskcode]:[Taskcode]],$A72,Datadetails[[Activity_help]:[Activity_help]],"C20")</f>
        <v>1.6600000000000001</v>
      </c>
      <c r="E72" s="7">
        <f>SUMIFS(Datadetails[[Hours]:[Hours]],Datadetails[[Group]:[Group]],E$5,Datadetails[[Taskcode]:[Taskcode]],$A72,Datadetails[[Activity_help]:[Activity_help]],"C20")</f>
        <v>0</v>
      </c>
      <c r="F72" s="7">
        <f>SUMIFS(Datadetails[[Hours]:[Hours]],Datadetails[[Group]:[Group]],F$5,Datadetails[[Taskcode]:[Taskcode]],$A72,Datadetails[[Activity_help]:[Activity_help]],"C20")</f>
        <v>0</v>
      </c>
      <c r="G72" s="12">
        <f t="shared" si="8"/>
        <v>1.6600000000000001</v>
      </c>
      <c r="H72" s="8">
        <f>SUMIFS(Datadetails[[Hours]:[Hours]],Datadetails[[Group]:[Group]],H$5,Datadetails[[Taskcode]:[Taskcode]],$A72,Datadetails[[Activity_help]:[Activity_help]],"C30")</f>
        <v>0</v>
      </c>
      <c r="I72" s="8">
        <f>SUMIFS(Datadetails[[Hours]:[Hours]],Datadetails[[Group]:[Group]],I$5,Datadetails[[Taskcode]:[Taskcode]],$A72,Datadetails[[Activity_help]:[Activity_help]],"C30")</f>
        <v>5.09</v>
      </c>
      <c r="J72" s="8">
        <f>SUMIFS(Datadetails[[Hours]:[Hours]],Datadetails[[Group]:[Group]],J$5,Datadetails[[Taskcode]:[Taskcode]],$A72,Datadetails[[Activity_help]:[Activity_help]],"C30")</f>
        <v>0</v>
      </c>
      <c r="K72" s="8">
        <f>SUMIFS(Datadetails[[Hours]:[Hours]],Datadetails[[Group]:[Group]],K$5,Datadetails[[Taskcode]:[Taskcode]],$A72,Datadetails[[Activity_help]:[Activity_help]],"C30")</f>
        <v>0</v>
      </c>
      <c r="L72" s="13">
        <f t="shared" si="6"/>
        <v>5.09</v>
      </c>
      <c r="M72" s="39">
        <f>SUMIFS(Datadetails[[Hours]:[Hours]],Datadetails[[Group]:[Group]],M$5,Datadetails[[Taskcode]:[Taskcode]],$A72,Datadetails[[Activity_help]:[Activity_help]],"C40")</f>
        <v>0</v>
      </c>
      <c r="N72" s="39">
        <f>SUMIFS(Datadetails[[Hours]:[Hours]],Datadetails[[Group]:[Group]],N$5,Datadetails[[Taskcode]:[Taskcode]],$A72,Datadetails[[Activity_help]:[Activity_help]],"C40")</f>
        <v>0.75</v>
      </c>
      <c r="O72" s="39">
        <f>SUMIFS(Datadetails[[Hours]:[Hours]],Datadetails[[Group]:[Group]],O$5,Datadetails[[Taskcode]:[Taskcode]],$A72,Datadetails[[Activity_help]:[Activity_help]],"C40")</f>
        <v>0</v>
      </c>
      <c r="P72" s="39">
        <f>SUMIFS(Datadetails[[Hours]:[Hours]],Datadetails[[Group]:[Group]],P$5,Datadetails[[Taskcode]:[Taskcode]],$A72,Datadetails[[Activity_help]:[Activity_help]],"C40")</f>
        <v>0</v>
      </c>
      <c r="Q72" s="40">
        <f t="shared" si="7"/>
        <v>0.75</v>
      </c>
      <c r="R72" s="63">
        <f>SUMIFS(Datadetails[[Hours]:[Hours]],Datadetails[[Group]:[Group]],"Other",Datadetails[[Taskcode]:[Taskcode]],$A72,Datadetails[[Activity_help]:[Activity_help]],"Other")</f>
        <v>0</v>
      </c>
      <c r="S72" s="21">
        <f t="shared" si="9"/>
        <v>7.5</v>
      </c>
    </row>
    <row r="73" spans="1:19" x14ac:dyDescent="0.25">
      <c r="A73" s="35" t="s">
        <v>104</v>
      </c>
      <c r="B73" s="66" t="s">
        <v>235</v>
      </c>
      <c r="C73" s="7">
        <f>SUMIFS(Datadetails[[Hours]:[Hours]],Datadetails[[Group]:[Group]],C$5,Datadetails[[Taskcode]:[Taskcode]],$A73,Datadetails[[Activity_help]:[Activity_help]],"C20")</f>
        <v>0</v>
      </c>
      <c r="D73" s="7">
        <f>SUMIFS(Datadetails[[Hours]:[Hours]],Datadetails[[Group]:[Group]],D$5,Datadetails[[Taskcode]:[Taskcode]],$A73,Datadetails[[Activity_help]:[Activity_help]],"C20")</f>
        <v>3.99</v>
      </c>
      <c r="E73" s="7">
        <f>SUMIFS(Datadetails[[Hours]:[Hours]],Datadetails[[Group]:[Group]],E$5,Datadetails[[Taskcode]:[Taskcode]],$A73,Datadetails[[Activity_help]:[Activity_help]],"C20")</f>
        <v>0</v>
      </c>
      <c r="F73" s="7">
        <f>SUMIFS(Datadetails[[Hours]:[Hours]],Datadetails[[Group]:[Group]],F$5,Datadetails[[Taskcode]:[Taskcode]],$A73,Datadetails[[Activity_help]:[Activity_help]],"C20")</f>
        <v>0</v>
      </c>
      <c r="G73" s="12">
        <f t="shared" si="8"/>
        <v>3.99</v>
      </c>
      <c r="H73" s="8">
        <f>SUMIFS(Datadetails[[Hours]:[Hours]],Datadetails[[Group]:[Group]],H$5,Datadetails[[Taskcode]:[Taskcode]],$A73,Datadetails[[Activity_help]:[Activity_help]],"C30")</f>
        <v>0</v>
      </c>
      <c r="I73" s="8">
        <f>SUMIFS(Datadetails[[Hours]:[Hours]],Datadetails[[Group]:[Group]],I$5,Datadetails[[Taskcode]:[Taskcode]],$A73,Datadetails[[Activity_help]:[Activity_help]],"C30")</f>
        <v>6.66</v>
      </c>
      <c r="J73" s="8">
        <f>SUMIFS(Datadetails[[Hours]:[Hours]],Datadetails[[Group]:[Group]],J$5,Datadetails[[Taskcode]:[Taskcode]],$A73,Datadetails[[Activity_help]:[Activity_help]],"C30")</f>
        <v>0</v>
      </c>
      <c r="K73" s="8">
        <f>SUMIFS(Datadetails[[Hours]:[Hours]],Datadetails[[Group]:[Group]],K$5,Datadetails[[Taskcode]:[Taskcode]],$A73,Datadetails[[Activity_help]:[Activity_help]],"C30")</f>
        <v>0</v>
      </c>
      <c r="L73" s="13">
        <f t="shared" si="6"/>
        <v>6.66</v>
      </c>
      <c r="M73" s="39">
        <f>SUMIFS(Datadetails[[Hours]:[Hours]],Datadetails[[Group]:[Group]],M$5,Datadetails[[Taskcode]:[Taskcode]],$A73,Datadetails[[Activity_help]:[Activity_help]],"C40")</f>
        <v>0</v>
      </c>
      <c r="N73" s="39">
        <f>SUMIFS(Datadetails[[Hours]:[Hours]],Datadetails[[Group]:[Group]],N$5,Datadetails[[Taskcode]:[Taskcode]],$A73,Datadetails[[Activity_help]:[Activity_help]],"C40")</f>
        <v>3</v>
      </c>
      <c r="O73" s="39">
        <f>SUMIFS(Datadetails[[Hours]:[Hours]],Datadetails[[Group]:[Group]],O$5,Datadetails[[Taskcode]:[Taskcode]],$A73,Datadetails[[Activity_help]:[Activity_help]],"C40")</f>
        <v>0</v>
      </c>
      <c r="P73" s="39">
        <f>SUMIFS(Datadetails[[Hours]:[Hours]],Datadetails[[Group]:[Group]],P$5,Datadetails[[Taskcode]:[Taskcode]],$A73,Datadetails[[Activity_help]:[Activity_help]],"C40")</f>
        <v>0</v>
      </c>
      <c r="Q73" s="40">
        <f t="shared" si="7"/>
        <v>3</v>
      </c>
      <c r="R73" s="63">
        <f>SUMIFS(Datadetails[[Hours]:[Hours]],Datadetails[[Group]:[Group]],"Other",Datadetails[[Taskcode]:[Taskcode]],$A73,Datadetails[[Activity_help]:[Activity_help]],"Other")</f>
        <v>0</v>
      </c>
      <c r="S73" s="21">
        <f t="shared" si="9"/>
        <v>13.65</v>
      </c>
    </row>
    <row r="74" spans="1:19" x14ac:dyDescent="0.25">
      <c r="A74" s="35" t="s">
        <v>105</v>
      </c>
      <c r="B74" s="66" t="s">
        <v>236</v>
      </c>
      <c r="C74" s="7">
        <f>SUMIFS(Datadetails[[Hours]:[Hours]],Datadetails[[Group]:[Group]],C$5,Datadetails[[Taskcode]:[Taskcode]],$A74,Datadetails[[Activity_help]:[Activity_help]],"C20")</f>
        <v>0</v>
      </c>
      <c r="D74" s="7">
        <f>SUMIFS(Datadetails[[Hours]:[Hours]],Datadetails[[Group]:[Group]],D$5,Datadetails[[Taskcode]:[Taskcode]],$A74,Datadetails[[Activity_help]:[Activity_help]],"C20")</f>
        <v>13.25</v>
      </c>
      <c r="E74" s="7">
        <f>SUMIFS(Datadetails[[Hours]:[Hours]],Datadetails[[Group]:[Group]],E$5,Datadetails[[Taskcode]:[Taskcode]],$A74,Datadetails[[Activity_help]:[Activity_help]],"C20")</f>
        <v>0</v>
      </c>
      <c r="F74" s="7">
        <f>SUMIFS(Datadetails[[Hours]:[Hours]],Datadetails[[Group]:[Group]],F$5,Datadetails[[Taskcode]:[Taskcode]],$A74,Datadetails[[Activity_help]:[Activity_help]],"C20")</f>
        <v>0.33</v>
      </c>
      <c r="G74" s="12">
        <f t="shared" si="8"/>
        <v>13.58</v>
      </c>
      <c r="H74" s="8">
        <f>SUMIFS(Datadetails[[Hours]:[Hours]],Datadetails[[Group]:[Group]],H$5,Datadetails[[Taskcode]:[Taskcode]],$A74,Datadetails[[Activity_help]:[Activity_help]],"C30")</f>
        <v>0</v>
      </c>
      <c r="I74" s="8">
        <f>SUMIFS(Datadetails[[Hours]:[Hours]],Datadetails[[Group]:[Group]],I$5,Datadetails[[Taskcode]:[Taskcode]],$A74,Datadetails[[Activity_help]:[Activity_help]],"C30")</f>
        <v>6</v>
      </c>
      <c r="J74" s="8">
        <f>SUMIFS(Datadetails[[Hours]:[Hours]],Datadetails[[Group]:[Group]],J$5,Datadetails[[Taskcode]:[Taskcode]],$A74,Datadetails[[Activity_help]:[Activity_help]],"C30")</f>
        <v>0</v>
      </c>
      <c r="K74" s="8">
        <f>SUMIFS(Datadetails[[Hours]:[Hours]],Datadetails[[Group]:[Group]],K$5,Datadetails[[Taskcode]:[Taskcode]],$A74,Datadetails[[Activity_help]:[Activity_help]],"C30")</f>
        <v>0</v>
      </c>
      <c r="L74" s="13">
        <f t="shared" si="6"/>
        <v>6</v>
      </c>
      <c r="M74" s="39">
        <f>SUMIFS(Datadetails[[Hours]:[Hours]],Datadetails[[Group]:[Group]],M$5,Datadetails[[Taskcode]:[Taskcode]],$A74,Datadetails[[Activity_help]:[Activity_help]],"C40")</f>
        <v>0</v>
      </c>
      <c r="N74" s="39">
        <f>SUMIFS(Datadetails[[Hours]:[Hours]],Datadetails[[Group]:[Group]],N$5,Datadetails[[Taskcode]:[Taskcode]],$A74,Datadetails[[Activity_help]:[Activity_help]],"C40")</f>
        <v>3</v>
      </c>
      <c r="O74" s="39">
        <f>SUMIFS(Datadetails[[Hours]:[Hours]],Datadetails[[Group]:[Group]],O$5,Datadetails[[Taskcode]:[Taskcode]],$A74,Datadetails[[Activity_help]:[Activity_help]],"C40")</f>
        <v>0</v>
      </c>
      <c r="P74" s="39">
        <f>SUMIFS(Datadetails[[Hours]:[Hours]],Datadetails[[Group]:[Group]],P$5,Datadetails[[Taskcode]:[Taskcode]],$A74,Datadetails[[Activity_help]:[Activity_help]],"C40")</f>
        <v>0</v>
      </c>
      <c r="Q74" s="40">
        <f t="shared" si="7"/>
        <v>3</v>
      </c>
      <c r="R74" s="63">
        <f>SUMIFS(Datadetails[[Hours]:[Hours]],Datadetails[[Group]:[Group]],"Other",Datadetails[[Taskcode]:[Taskcode]],$A74,Datadetails[[Activity_help]:[Activity_help]],"Other")</f>
        <v>0</v>
      </c>
      <c r="S74" s="21">
        <f t="shared" si="9"/>
        <v>22.58</v>
      </c>
    </row>
    <row r="75" spans="1:19" x14ac:dyDescent="0.25">
      <c r="A75" s="35" t="s">
        <v>106</v>
      </c>
      <c r="B75" s="66" t="s">
        <v>237</v>
      </c>
      <c r="C75" s="7">
        <f>SUMIFS(Datadetails[[Hours]:[Hours]],Datadetails[[Group]:[Group]],C$5,Datadetails[[Taskcode]:[Taskcode]],$A75,Datadetails[[Activity_help]:[Activity_help]],"C20")</f>
        <v>0</v>
      </c>
      <c r="D75" s="7">
        <f>SUMIFS(Datadetails[[Hours]:[Hours]],Datadetails[[Group]:[Group]],D$5,Datadetails[[Taskcode]:[Taskcode]],$A75,Datadetails[[Activity_help]:[Activity_help]],"C20")</f>
        <v>2</v>
      </c>
      <c r="E75" s="7">
        <f>SUMIFS(Datadetails[[Hours]:[Hours]],Datadetails[[Group]:[Group]],E$5,Datadetails[[Taskcode]:[Taskcode]],$A75,Datadetails[[Activity_help]:[Activity_help]],"C20")</f>
        <v>0</v>
      </c>
      <c r="F75" s="7">
        <f>SUMIFS(Datadetails[[Hours]:[Hours]],Datadetails[[Group]:[Group]],F$5,Datadetails[[Taskcode]:[Taskcode]],$A75,Datadetails[[Activity_help]:[Activity_help]],"C20")</f>
        <v>0</v>
      </c>
      <c r="G75" s="12">
        <f t="shared" si="8"/>
        <v>2</v>
      </c>
      <c r="H75" s="8">
        <f>SUMIFS(Datadetails[[Hours]:[Hours]],Datadetails[[Group]:[Group]],H$5,Datadetails[[Taskcode]:[Taskcode]],$A75,Datadetails[[Activity_help]:[Activity_help]],"C30")</f>
        <v>0</v>
      </c>
      <c r="I75" s="8">
        <f>SUMIFS(Datadetails[[Hours]:[Hours]],Datadetails[[Group]:[Group]],I$5,Datadetails[[Taskcode]:[Taskcode]],$A75,Datadetails[[Activity_help]:[Activity_help]],"C30")</f>
        <v>3.16</v>
      </c>
      <c r="J75" s="8">
        <f>SUMIFS(Datadetails[[Hours]:[Hours]],Datadetails[[Group]:[Group]],J$5,Datadetails[[Taskcode]:[Taskcode]],$A75,Datadetails[[Activity_help]:[Activity_help]],"C30")</f>
        <v>0</v>
      </c>
      <c r="K75" s="8">
        <f>SUMIFS(Datadetails[[Hours]:[Hours]],Datadetails[[Group]:[Group]],K$5,Datadetails[[Taskcode]:[Taskcode]],$A75,Datadetails[[Activity_help]:[Activity_help]],"C30")</f>
        <v>0</v>
      </c>
      <c r="L75" s="13">
        <f t="shared" si="6"/>
        <v>3.16</v>
      </c>
      <c r="M75" s="39">
        <f>SUMIFS(Datadetails[[Hours]:[Hours]],Datadetails[[Group]:[Group]],M$5,Datadetails[[Taskcode]:[Taskcode]],$A75,Datadetails[[Activity_help]:[Activity_help]],"C40")</f>
        <v>0</v>
      </c>
      <c r="N75" s="39">
        <f>SUMIFS(Datadetails[[Hours]:[Hours]],Datadetails[[Group]:[Group]],N$5,Datadetails[[Taskcode]:[Taskcode]],$A75,Datadetails[[Activity_help]:[Activity_help]],"C40")</f>
        <v>0</v>
      </c>
      <c r="O75" s="39">
        <f>SUMIFS(Datadetails[[Hours]:[Hours]],Datadetails[[Group]:[Group]],O$5,Datadetails[[Taskcode]:[Taskcode]],$A75,Datadetails[[Activity_help]:[Activity_help]],"C40")</f>
        <v>0</v>
      </c>
      <c r="P75" s="39">
        <f>SUMIFS(Datadetails[[Hours]:[Hours]],Datadetails[[Group]:[Group]],P$5,Datadetails[[Taskcode]:[Taskcode]],$A75,Datadetails[[Activity_help]:[Activity_help]],"C40")</f>
        <v>0</v>
      </c>
      <c r="Q75" s="40">
        <f t="shared" si="7"/>
        <v>0</v>
      </c>
      <c r="R75" s="63">
        <f>SUMIFS(Datadetails[[Hours]:[Hours]],Datadetails[[Group]:[Group]],"Other",Datadetails[[Taskcode]:[Taskcode]],$A75,Datadetails[[Activity_help]:[Activity_help]],"Other")</f>
        <v>0</v>
      </c>
      <c r="S75" s="21">
        <f t="shared" si="9"/>
        <v>5.16</v>
      </c>
    </row>
    <row r="76" spans="1:19" x14ac:dyDescent="0.25">
      <c r="A76" s="35" t="s">
        <v>107</v>
      </c>
      <c r="B76" s="66" t="s">
        <v>238</v>
      </c>
      <c r="C76" s="7">
        <f>SUMIFS(Datadetails[[Hours]:[Hours]],Datadetails[[Group]:[Group]],C$5,Datadetails[[Taskcode]:[Taskcode]],$A76,Datadetails[[Activity_help]:[Activity_help]],"C20")</f>
        <v>0</v>
      </c>
      <c r="D76" s="7">
        <f>SUMIFS(Datadetails[[Hours]:[Hours]],Datadetails[[Group]:[Group]],D$5,Datadetails[[Taskcode]:[Taskcode]],$A76,Datadetails[[Activity_help]:[Activity_help]],"C20")</f>
        <v>0</v>
      </c>
      <c r="E76" s="7">
        <f>SUMIFS(Datadetails[[Hours]:[Hours]],Datadetails[[Group]:[Group]],E$5,Datadetails[[Taskcode]:[Taskcode]],$A76,Datadetails[[Activity_help]:[Activity_help]],"C20")</f>
        <v>0</v>
      </c>
      <c r="F76" s="7">
        <f>SUMIFS(Datadetails[[Hours]:[Hours]],Datadetails[[Group]:[Group]],F$5,Datadetails[[Taskcode]:[Taskcode]],$A76,Datadetails[[Activity_help]:[Activity_help]],"C20")</f>
        <v>0</v>
      </c>
      <c r="G76" s="12">
        <f t="shared" si="8"/>
        <v>0</v>
      </c>
      <c r="H76" s="8">
        <f>SUMIFS(Datadetails[[Hours]:[Hours]],Datadetails[[Group]:[Group]],H$5,Datadetails[[Taskcode]:[Taskcode]],$A76,Datadetails[[Activity_help]:[Activity_help]],"C30")</f>
        <v>0</v>
      </c>
      <c r="I76" s="8">
        <f>SUMIFS(Datadetails[[Hours]:[Hours]],Datadetails[[Group]:[Group]],I$5,Datadetails[[Taskcode]:[Taskcode]],$A76,Datadetails[[Activity_help]:[Activity_help]],"C30")</f>
        <v>0</v>
      </c>
      <c r="J76" s="8">
        <f>SUMIFS(Datadetails[[Hours]:[Hours]],Datadetails[[Group]:[Group]],J$5,Datadetails[[Taskcode]:[Taskcode]],$A76,Datadetails[[Activity_help]:[Activity_help]],"C30")</f>
        <v>4.5999999999999996</v>
      </c>
      <c r="K76" s="8">
        <f>SUMIFS(Datadetails[[Hours]:[Hours]],Datadetails[[Group]:[Group]],K$5,Datadetails[[Taskcode]:[Taskcode]],$A76,Datadetails[[Activity_help]:[Activity_help]],"C30")</f>
        <v>0</v>
      </c>
      <c r="L76" s="13">
        <f t="shared" si="6"/>
        <v>4.5999999999999996</v>
      </c>
      <c r="M76" s="39">
        <f>SUMIFS(Datadetails[[Hours]:[Hours]],Datadetails[[Group]:[Group]],M$5,Datadetails[[Taskcode]:[Taskcode]],$A76,Datadetails[[Activity_help]:[Activity_help]],"C40")</f>
        <v>0</v>
      </c>
      <c r="N76" s="39">
        <f>SUMIFS(Datadetails[[Hours]:[Hours]],Datadetails[[Group]:[Group]],N$5,Datadetails[[Taskcode]:[Taskcode]],$A76,Datadetails[[Activity_help]:[Activity_help]],"C40")</f>
        <v>0</v>
      </c>
      <c r="O76" s="39">
        <f>SUMIFS(Datadetails[[Hours]:[Hours]],Datadetails[[Group]:[Group]],O$5,Datadetails[[Taskcode]:[Taskcode]],$A76,Datadetails[[Activity_help]:[Activity_help]],"C40")</f>
        <v>2</v>
      </c>
      <c r="P76" s="39">
        <f>SUMIFS(Datadetails[[Hours]:[Hours]],Datadetails[[Group]:[Group]],P$5,Datadetails[[Taskcode]:[Taskcode]],$A76,Datadetails[[Activity_help]:[Activity_help]],"C40")</f>
        <v>0</v>
      </c>
      <c r="Q76" s="40">
        <f t="shared" si="7"/>
        <v>2</v>
      </c>
      <c r="R76" s="63">
        <f>SUMIFS(Datadetails[[Hours]:[Hours]],Datadetails[[Group]:[Group]],"Other",Datadetails[[Taskcode]:[Taskcode]],$A76,Datadetails[[Activity_help]:[Activity_help]],"Other")</f>
        <v>0</v>
      </c>
      <c r="S76" s="21">
        <f t="shared" si="9"/>
        <v>6.6</v>
      </c>
    </row>
    <row r="77" spans="1:19" x14ac:dyDescent="0.25">
      <c r="A77" s="35" t="s">
        <v>108</v>
      </c>
      <c r="B77" s="66" t="s">
        <v>239</v>
      </c>
      <c r="C77" s="7">
        <f>SUMIFS(Datadetails[[Hours]:[Hours]],Datadetails[[Group]:[Group]],C$5,Datadetails[[Taskcode]:[Taskcode]],$A77,Datadetails[[Activity_help]:[Activity_help]],"C20")</f>
        <v>0</v>
      </c>
      <c r="D77" s="7">
        <f>SUMIFS(Datadetails[[Hours]:[Hours]],Datadetails[[Group]:[Group]],D$5,Datadetails[[Taskcode]:[Taskcode]],$A77,Datadetails[[Activity_help]:[Activity_help]],"C20")</f>
        <v>0</v>
      </c>
      <c r="E77" s="7">
        <f>SUMIFS(Datadetails[[Hours]:[Hours]],Datadetails[[Group]:[Group]],E$5,Datadetails[[Taskcode]:[Taskcode]],$A77,Datadetails[[Activity_help]:[Activity_help]],"C20")</f>
        <v>0</v>
      </c>
      <c r="F77" s="7">
        <f>SUMIFS(Datadetails[[Hours]:[Hours]],Datadetails[[Group]:[Group]],F$5,Datadetails[[Taskcode]:[Taskcode]],$A77,Datadetails[[Activity_help]:[Activity_help]],"C20")</f>
        <v>0</v>
      </c>
      <c r="G77" s="12">
        <f t="shared" si="8"/>
        <v>0</v>
      </c>
      <c r="H77" s="8">
        <f>SUMIFS(Datadetails[[Hours]:[Hours]],Datadetails[[Group]:[Group]],H$5,Datadetails[[Taskcode]:[Taskcode]],$A77,Datadetails[[Activity_help]:[Activity_help]],"C30")</f>
        <v>0</v>
      </c>
      <c r="I77" s="8">
        <f>SUMIFS(Datadetails[[Hours]:[Hours]],Datadetails[[Group]:[Group]],I$5,Datadetails[[Taskcode]:[Taskcode]],$A77,Datadetails[[Activity_help]:[Activity_help]],"C30")</f>
        <v>0</v>
      </c>
      <c r="J77" s="8">
        <f>SUMIFS(Datadetails[[Hours]:[Hours]],Datadetails[[Group]:[Group]],J$5,Datadetails[[Taskcode]:[Taskcode]],$A77,Datadetails[[Activity_help]:[Activity_help]],"C30")</f>
        <v>0</v>
      </c>
      <c r="K77" s="8">
        <f>SUMIFS(Datadetails[[Hours]:[Hours]],Datadetails[[Group]:[Group]],K$5,Datadetails[[Taskcode]:[Taskcode]],$A77,Datadetails[[Activity_help]:[Activity_help]],"C30")</f>
        <v>0</v>
      </c>
      <c r="L77" s="13">
        <f t="shared" si="6"/>
        <v>0</v>
      </c>
      <c r="M77" s="39">
        <f>SUMIFS(Datadetails[[Hours]:[Hours]],Datadetails[[Group]:[Group]],M$5,Datadetails[[Taskcode]:[Taskcode]],$A77,Datadetails[[Activity_help]:[Activity_help]],"C40")</f>
        <v>0</v>
      </c>
      <c r="N77" s="39">
        <f>SUMIFS(Datadetails[[Hours]:[Hours]],Datadetails[[Group]:[Group]],N$5,Datadetails[[Taskcode]:[Taskcode]],$A77,Datadetails[[Activity_help]:[Activity_help]],"C40")</f>
        <v>0</v>
      </c>
      <c r="O77" s="39">
        <f>SUMIFS(Datadetails[[Hours]:[Hours]],Datadetails[[Group]:[Group]],O$5,Datadetails[[Taskcode]:[Taskcode]],$A77,Datadetails[[Activity_help]:[Activity_help]],"C40")</f>
        <v>0</v>
      </c>
      <c r="P77" s="39">
        <f>SUMIFS(Datadetails[[Hours]:[Hours]],Datadetails[[Group]:[Group]],P$5,Datadetails[[Taskcode]:[Taskcode]],$A77,Datadetails[[Activity_help]:[Activity_help]],"C40")</f>
        <v>0</v>
      </c>
      <c r="Q77" s="40">
        <f t="shared" si="7"/>
        <v>0</v>
      </c>
      <c r="R77" s="63">
        <f>SUMIFS(Datadetails[[Hours]:[Hours]],Datadetails[[Group]:[Group]],"Other",Datadetails[[Taskcode]:[Taskcode]],$A77,Datadetails[[Activity_help]:[Activity_help]],"Other")</f>
        <v>0</v>
      </c>
      <c r="S77" s="21">
        <f t="shared" si="9"/>
        <v>0</v>
      </c>
    </row>
    <row r="78" spans="1:19" x14ac:dyDescent="0.25">
      <c r="A78" s="35" t="s">
        <v>109</v>
      </c>
      <c r="B78" s="66" t="s">
        <v>240</v>
      </c>
      <c r="C78" s="7">
        <f>SUMIFS(Datadetails[[Hours]:[Hours]],Datadetails[[Group]:[Group]],C$5,Datadetails[[Taskcode]:[Taskcode]],$A78,Datadetails[[Activity_help]:[Activity_help]],"C20")</f>
        <v>0</v>
      </c>
      <c r="D78" s="7">
        <f>SUMIFS(Datadetails[[Hours]:[Hours]],Datadetails[[Group]:[Group]],D$5,Datadetails[[Taskcode]:[Taskcode]],$A78,Datadetails[[Activity_help]:[Activity_help]],"C20")</f>
        <v>0</v>
      </c>
      <c r="E78" s="7">
        <f>SUMIFS(Datadetails[[Hours]:[Hours]],Datadetails[[Group]:[Group]],E$5,Datadetails[[Taskcode]:[Taskcode]],$A78,Datadetails[[Activity_help]:[Activity_help]],"C20")</f>
        <v>0</v>
      </c>
      <c r="F78" s="7">
        <f>SUMIFS(Datadetails[[Hours]:[Hours]],Datadetails[[Group]:[Group]],F$5,Datadetails[[Taskcode]:[Taskcode]],$A78,Datadetails[[Activity_help]:[Activity_help]],"C20")</f>
        <v>0</v>
      </c>
      <c r="G78" s="12">
        <f t="shared" si="8"/>
        <v>0</v>
      </c>
      <c r="H78" s="8">
        <f>SUMIFS(Datadetails[[Hours]:[Hours]],Datadetails[[Group]:[Group]],H$5,Datadetails[[Taskcode]:[Taskcode]],$A78,Datadetails[[Activity_help]:[Activity_help]],"C30")</f>
        <v>0</v>
      </c>
      <c r="I78" s="8">
        <f>SUMIFS(Datadetails[[Hours]:[Hours]],Datadetails[[Group]:[Group]],I$5,Datadetails[[Taskcode]:[Taskcode]],$A78,Datadetails[[Activity_help]:[Activity_help]],"C30")</f>
        <v>0</v>
      </c>
      <c r="J78" s="8">
        <f>SUMIFS(Datadetails[[Hours]:[Hours]],Datadetails[[Group]:[Group]],J$5,Datadetails[[Taskcode]:[Taskcode]],$A78,Datadetails[[Activity_help]:[Activity_help]],"C30")</f>
        <v>3.1</v>
      </c>
      <c r="K78" s="8">
        <f>SUMIFS(Datadetails[[Hours]:[Hours]],Datadetails[[Group]:[Group]],K$5,Datadetails[[Taskcode]:[Taskcode]],$A78,Datadetails[[Activity_help]:[Activity_help]],"C30")</f>
        <v>0</v>
      </c>
      <c r="L78" s="13">
        <f t="shared" si="6"/>
        <v>3.1</v>
      </c>
      <c r="M78" s="39">
        <f>SUMIFS(Datadetails[[Hours]:[Hours]],Datadetails[[Group]:[Group]],M$5,Datadetails[[Taskcode]:[Taskcode]],$A78,Datadetails[[Activity_help]:[Activity_help]],"C40")</f>
        <v>0</v>
      </c>
      <c r="N78" s="39">
        <f>SUMIFS(Datadetails[[Hours]:[Hours]],Datadetails[[Group]:[Group]],N$5,Datadetails[[Taskcode]:[Taskcode]],$A78,Datadetails[[Activity_help]:[Activity_help]],"C40")</f>
        <v>0</v>
      </c>
      <c r="O78" s="39">
        <f>SUMIFS(Datadetails[[Hours]:[Hours]],Datadetails[[Group]:[Group]],O$5,Datadetails[[Taskcode]:[Taskcode]],$A78,Datadetails[[Activity_help]:[Activity_help]],"C40")</f>
        <v>0</v>
      </c>
      <c r="P78" s="39">
        <f>SUMIFS(Datadetails[[Hours]:[Hours]],Datadetails[[Group]:[Group]],P$5,Datadetails[[Taskcode]:[Taskcode]],$A78,Datadetails[[Activity_help]:[Activity_help]],"C40")</f>
        <v>0</v>
      </c>
      <c r="Q78" s="40">
        <f t="shared" si="7"/>
        <v>0</v>
      </c>
      <c r="R78" s="63">
        <f>SUMIFS(Datadetails[[Hours]:[Hours]],Datadetails[[Group]:[Group]],"Other",Datadetails[[Taskcode]:[Taskcode]],$A78,Datadetails[[Activity_help]:[Activity_help]],"Other")</f>
        <v>0</v>
      </c>
      <c r="S78" s="21">
        <f t="shared" si="9"/>
        <v>3.1</v>
      </c>
    </row>
    <row r="79" spans="1:19" x14ac:dyDescent="0.25">
      <c r="A79" s="35" t="s">
        <v>110</v>
      </c>
      <c r="B79" s="66" t="s">
        <v>241</v>
      </c>
      <c r="C79" s="7">
        <f>SUMIFS(Datadetails[[Hours]:[Hours]],Datadetails[[Group]:[Group]],C$5,Datadetails[[Taskcode]:[Taskcode]],$A79,Datadetails[[Activity_help]:[Activity_help]],"C20")</f>
        <v>0</v>
      </c>
      <c r="D79" s="7">
        <f>SUMIFS(Datadetails[[Hours]:[Hours]],Datadetails[[Group]:[Group]],D$5,Datadetails[[Taskcode]:[Taskcode]],$A79,Datadetails[[Activity_help]:[Activity_help]],"C20")</f>
        <v>0</v>
      </c>
      <c r="E79" s="7">
        <f>SUMIFS(Datadetails[[Hours]:[Hours]],Datadetails[[Group]:[Group]],E$5,Datadetails[[Taskcode]:[Taskcode]],$A79,Datadetails[[Activity_help]:[Activity_help]],"C20")</f>
        <v>0</v>
      </c>
      <c r="F79" s="7">
        <f>SUMIFS(Datadetails[[Hours]:[Hours]],Datadetails[[Group]:[Group]],F$5,Datadetails[[Taskcode]:[Taskcode]],$A79,Datadetails[[Activity_help]:[Activity_help]],"C20")</f>
        <v>0</v>
      </c>
      <c r="G79" s="12">
        <f t="shared" si="8"/>
        <v>0</v>
      </c>
      <c r="H79" s="8">
        <f>SUMIFS(Datadetails[[Hours]:[Hours]],Datadetails[[Group]:[Group]],H$5,Datadetails[[Taskcode]:[Taskcode]],$A79,Datadetails[[Activity_help]:[Activity_help]],"C30")</f>
        <v>0</v>
      </c>
      <c r="I79" s="8">
        <f>SUMIFS(Datadetails[[Hours]:[Hours]],Datadetails[[Group]:[Group]],I$5,Datadetails[[Taskcode]:[Taskcode]],$A79,Datadetails[[Activity_help]:[Activity_help]],"C30")</f>
        <v>0</v>
      </c>
      <c r="J79" s="8">
        <f>SUMIFS(Datadetails[[Hours]:[Hours]],Datadetails[[Group]:[Group]],J$5,Datadetails[[Taskcode]:[Taskcode]],$A79,Datadetails[[Activity_help]:[Activity_help]],"C30")</f>
        <v>10.42</v>
      </c>
      <c r="K79" s="8">
        <f>SUMIFS(Datadetails[[Hours]:[Hours]],Datadetails[[Group]:[Group]],K$5,Datadetails[[Taskcode]:[Taskcode]],$A79,Datadetails[[Activity_help]:[Activity_help]],"C30")</f>
        <v>0</v>
      </c>
      <c r="L79" s="13">
        <f t="shared" si="6"/>
        <v>10.42</v>
      </c>
      <c r="M79" s="39">
        <f>SUMIFS(Datadetails[[Hours]:[Hours]],Datadetails[[Group]:[Group]],M$5,Datadetails[[Taskcode]:[Taskcode]],$A79,Datadetails[[Activity_help]:[Activity_help]],"C40")</f>
        <v>0</v>
      </c>
      <c r="N79" s="39">
        <f>SUMIFS(Datadetails[[Hours]:[Hours]],Datadetails[[Group]:[Group]],N$5,Datadetails[[Taskcode]:[Taskcode]],$A79,Datadetails[[Activity_help]:[Activity_help]],"C40")</f>
        <v>0</v>
      </c>
      <c r="O79" s="39">
        <f>SUMIFS(Datadetails[[Hours]:[Hours]],Datadetails[[Group]:[Group]],O$5,Datadetails[[Taskcode]:[Taskcode]],$A79,Datadetails[[Activity_help]:[Activity_help]],"C40")</f>
        <v>5</v>
      </c>
      <c r="P79" s="39">
        <f>SUMIFS(Datadetails[[Hours]:[Hours]],Datadetails[[Group]:[Group]],P$5,Datadetails[[Taskcode]:[Taskcode]],$A79,Datadetails[[Activity_help]:[Activity_help]],"C40")</f>
        <v>0</v>
      </c>
      <c r="Q79" s="40">
        <f t="shared" si="7"/>
        <v>5</v>
      </c>
      <c r="R79" s="63">
        <f>SUMIFS(Datadetails[[Hours]:[Hours]],Datadetails[[Group]:[Group]],"Other",Datadetails[[Taskcode]:[Taskcode]],$A79,Datadetails[[Activity_help]:[Activity_help]],"Other")</f>
        <v>0</v>
      </c>
      <c r="S79" s="21">
        <f t="shared" si="9"/>
        <v>15.42</v>
      </c>
    </row>
    <row r="80" spans="1:19" x14ac:dyDescent="0.25">
      <c r="A80" s="35" t="s">
        <v>111</v>
      </c>
      <c r="B80" s="66" t="s">
        <v>242</v>
      </c>
      <c r="C80" s="7">
        <f>SUMIFS(Datadetails[[Hours]:[Hours]],Datadetails[[Group]:[Group]],C$5,Datadetails[[Taskcode]:[Taskcode]],$A80,Datadetails[[Activity_help]:[Activity_help]],"C20")</f>
        <v>0</v>
      </c>
      <c r="D80" s="7">
        <f>SUMIFS(Datadetails[[Hours]:[Hours]],Datadetails[[Group]:[Group]],D$5,Datadetails[[Taskcode]:[Taskcode]],$A80,Datadetails[[Activity_help]:[Activity_help]],"C20")</f>
        <v>0</v>
      </c>
      <c r="E80" s="7">
        <f>SUMIFS(Datadetails[[Hours]:[Hours]],Datadetails[[Group]:[Group]],E$5,Datadetails[[Taskcode]:[Taskcode]],$A80,Datadetails[[Activity_help]:[Activity_help]],"C20")</f>
        <v>0</v>
      </c>
      <c r="F80" s="7">
        <f>SUMIFS(Datadetails[[Hours]:[Hours]],Datadetails[[Group]:[Group]],F$5,Datadetails[[Taskcode]:[Taskcode]],$A80,Datadetails[[Activity_help]:[Activity_help]],"C20")</f>
        <v>0</v>
      </c>
      <c r="G80" s="12">
        <f t="shared" si="8"/>
        <v>0</v>
      </c>
      <c r="H80" s="8">
        <f>SUMIFS(Datadetails[[Hours]:[Hours]],Datadetails[[Group]:[Group]],H$5,Datadetails[[Taskcode]:[Taskcode]],$A80,Datadetails[[Activity_help]:[Activity_help]],"C30")</f>
        <v>0</v>
      </c>
      <c r="I80" s="8">
        <f>SUMIFS(Datadetails[[Hours]:[Hours]],Datadetails[[Group]:[Group]],I$5,Datadetails[[Taskcode]:[Taskcode]],$A80,Datadetails[[Activity_help]:[Activity_help]],"C30")</f>
        <v>0</v>
      </c>
      <c r="J80" s="8">
        <f>SUMIFS(Datadetails[[Hours]:[Hours]],Datadetails[[Group]:[Group]],J$5,Datadetails[[Taskcode]:[Taskcode]],$A80,Datadetails[[Activity_help]:[Activity_help]],"C30")</f>
        <v>10.229999999999999</v>
      </c>
      <c r="K80" s="8">
        <f>SUMIFS(Datadetails[[Hours]:[Hours]],Datadetails[[Group]:[Group]],K$5,Datadetails[[Taskcode]:[Taskcode]],$A80,Datadetails[[Activity_help]:[Activity_help]],"C30")</f>
        <v>0</v>
      </c>
      <c r="L80" s="13">
        <f t="shared" si="6"/>
        <v>10.229999999999999</v>
      </c>
      <c r="M80" s="39">
        <f>SUMIFS(Datadetails[[Hours]:[Hours]],Datadetails[[Group]:[Group]],M$5,Datadetails[[Taskcode]:[Taskcode]],$A80,Datadetails[[Activity_help]:[Activity_help]],"C40")</f>
        <v>0</v>
      </c>
      <c r="N80" s="39">
        <f>SUMIFS(Datadetails[[Hours]:[Hours]],Datadetails[[Group]:[Group]],N$5,Datadetails[[Taskcode]:[Taskcode]],$A80,Datadetails[[Activity_help]:[Activity_help]],"C40")</f>
        <v>0</v>
      </c>
      <c r="O80" s="39">
        <f>SUMIFS(Datadetails[[Hours]:[Hours]],Datadetails[[Group]:[Group]],O$5,Datadetails[[Taskcode]:[Taskcode]],$A80,Datadetails[[Activity_help]:[Activity_help]],"C40")</f>
        <v>10.25</v>
      </c>
      <c r="P80" s="39">
        <f>SUMIFS(Datadetails[[Hours]:[Hours]],Datadetails[[Group]:[Group]],P$5,Datadetails[[Taskcode]:[Taskcode]],$A80,Datadetails[[Activity_help]:[Activity_help]],"C40")</f>
        <v>0</v>
      </c>
      <c r="Q80" s="40">
        <f t="shared" si="7"/>
        <v>10.25</v>
      </c>
      <c r="R80" s="63">
        <f>SUMIFS(Datadetails[[Hours]:[Hours]],Datadetails[[Group]:[Group]],"Other",Datadetails[[Taskcode]:[Taskcode]],$A80,Datadetails[[Activity_help]:[Activity_help]],"Other")</f>
        <v>0</v>
      </c>
      <c r="S80" s="21">
        <f t="shared" si="9"/>
        <v>20.479999999999997</v>
      </c>
    </row>
    <row r="81" spans="1:19" x14ac:dyDescent="0.25">
      <c r="A81" s="35" t="s">
        <v>112</v>
      </c>
      <c r="B81" s="66" t="s">
        <v>243</v>
      </c>
      <c r="C81" s="7">
        <f>SUMIFS(Datadetails[[Hours]:[Hours]],Datadetails[[Group]:[Group]],C$5,Datadetails[[Taskcode]:[Taskcode]],$A81,Datadetails[[Activity_help]:[Activity_help]],"C20")</f>
        <v>0</v>
      </c>
      <c r="D81" s="7">
        <f>SUMIFS(Datadetails[[Hours]:[Hours]],Datadetails[[Group]:[Group]],D$5,Datadetails[[Taskcode]:[Taskcode]],$A81,Datadetails[[Activity_help]:[Activity_help]],"C20")</f>
        <v>0</v>
      </c>
      <c r="E81" s="7">
        <f>SUMIFS(Datadetails[[Hours]:[Hours]],Datadetails[[Group]:[Group]],E$5,Datadetails[[Taskcode]:[Taskcode]],$A81,Datadetails[[Activity_help]:[Activity_help]],"C20")</f>
        <v>0</v>
      </c>
      <c r="F81" s="7">
        <f>SUMIFS(Datadetails[[Hours]:[Hours]],Datadetails[[Group]:[Group]],F$5,Datadetails[[Taskcode]:[Taskcode]],$A81,Datadetails[[Activity_help]:[Activity_help]],"C20")</f>
        <v>0</v>
      </c>
      <c r="G81" s="12">
        <f t="shared" si="8"/>
        <v>0</v>
      </c>
      <c r="H81" s="8">
        <f>SUMIFS(Datadetails[[Hours]:[Hours]],Datadetails[[Group]:[Group]],H$5,Datadetails[[Taskcode]:[Taskcode]],$A81,Datadetails[[Activity_help]:[Activity_help]],"C30")</f>
        <v>0</v>
      </c>
      <c r="I81" s="8">
        <f>SUMIFS(Datadetails[[Hours]:[Hours]],Datadetails[[Group]:[Group]],I$5,Datadetails[[Taskcode]:[Taskcode]],$A81,Datadetails[[Activity_help]:[Activity_help]],"C30")</f>
        <v>0</v>
      </c>
      <c r="J81" s="8">
        <f>SUMIFS(Datadetails[[Hours]:[Hours]],Datadetails[[Group]:[Group]],J$5,Datadetails[[Taskcode]:[Taskcode]],$A81,Datadetails[[Activity_help]:[Activity_help]],"C30")</f>
        <v>0</v>
      </c>
      <c r="K81" s="8">
        <f>SUMIFS(Datadetails[[Hours]:[Hours]],Datadetails[[Group]:[Group]],K$5,Datadetails[[Taskcode]:[Taskcode]],$A81,Datadetails[[Activity_help]:[Activity_help]],"C30")</f>
        <v>0</v>
      </c>
      <c r="L81" s="13">
        <f t="shared" si="6"/>
        <v>0</v>
      </c>
      <c r="M81" s="39">
        <f>SUMIFS(Datadetails[[Hours]:[Hours]],Datadetails[[Group]:[Group]],M$5,Datadetails[[Taskcode]:[Taskcode]],$A81,Datadetails[[Activity_help]:[Activity_help]],"C40")</f>
        <v>0</v>
      </c>
      <c r="N81" s="39">
        <f>SUMIFS(Datadetails[[Hours]:[Hours]],Datadetails[[Group]:[Group]],N$5,Datadetails[[Taskcode]:[Taskcode]],$A81,Datadetails[[Activity_help]:[Activity_help]],"C40")</f>
        <v>0</v>
      </c>
      <c r="O81" s="39">
        <f>SUMIFS(Datadetails[[Hours]:[Hours]],Datadetails[[Group]:[Group]],O$5,Datadetails[[Taskcode]:[Taskcode]],$A81,Datadetails[[Activity_help]:[Activity_help]],"C40")</f>
        <v>0</v>
      </c>
      <c r="P81" s="39">
        <f>SUMIFS(Datadetails[[Hours]:[Hours]],Datadetails[[Group]:[Group]],P$5,Datadetails[[Taskcode]:[Taskcode]],$A81,Datadetails[[Activity_help]:[Activity_help]],"C40")</f>
        <v>0</v>
      </c>
      <c r="Q81" s="40">
        <f t="shared" si="7"/>
        <v>0</v>
      </c>
      <c r="R81" s="63">
        <f>SUMIFS(Datadetails[[Hours]:[Hours]],Datadetails[[Group]:[Group]],"Other",Datadetails[[Taskcode]:[Taskcode]],$A81,Datadetails[[Activity_help]:[Activity_help]],"Other")</f>
        <v>0</v>
      </c>
      <c r="S81" s="21">
        <f t="shared" si="9"/>
        <v>0</v>
      </c>
    </row>
    <row r="82" spans="1:19" x14ac:dyDescent="0.25">
      <c r="A82" s="35" t="s">
        <v>113</v>
      </c>
      <c r="B82" s="66" t="s">
        <v>244</v>
      </c>
      <c r="C82" s="7">
        <f>SUMIFS(Datadetails[[Hours]:[Hours]],Datadetails[[Group]:[Group]],C$5,Datadetails[[Taskcode]:[Taskcode]],$A82,Datadetails[[Activity_help]:[Activity_help]],"C20")</f>
        <v>0</v>
      </c>
      <c r="D82" s="7">
        <f>SUMIFS(Datadetails[[Hours]:[Hours]],Datadetails[[Group]:[Group]],D$5,Datadetails[[Taskcode]:[Taskcode]],$A82,Datadetails[[Activity_help]:[Activity_help]],"C20")</f>
        <v>0</v>
      </c>
      <c r="E82" s="7">
        <f>SUMIFS(Datadetails[[Hours]:[Hours]],Datadetails[[Group]:[Group]],E$5,Datadetails[[Taskcode]:[Taskcode]],$A82,Datadetails[[Activity_help]:[Activity_help]],"C20")</f>
        <v>0</v>
      </c>
      <c r="F82" s="7">
        <f>SUMIFS(Datadetails[[Hours]:[Hours]],Datadetails[[Group]:[Group]],F$5,Datadetails[[Taskcode]:[Taskcode]],$A82,Datadetails[[Activity_help]:[Activity_help]],"C20")</f>
        <v>0</v>
      </c>
      <c r="G82" s="12">
        <f t="shared" si="8"/>
        <v>0</v>
      </c>
      <c r="H82" s="8">
        <f>SUMIFS(Datadetails[[Hours]:[Hours]],Datadetails[[Group]:[Group]],H$5,Datadetails[[Taskcode]:[Taskcode]],$A82,Datadetails[[Activity_help]:[Activity_help]],"C30")</f>
        <v>0</v>
      </c>
      <c r="I82" s="8">
        <f>SUMIFS(Datadetails[[Hours]:[Hours]],Datadetails[[Group]:[Group]],I$5,Datadetails[[Taskcode]:[Taskcode]],$A82,Datadetails[[Activity_help]:[Activity_help]],"C30")</f>
        <v>0</v>
      </c>
      <c r="J82" s="8">
        <f>SUMIFS(Datadetails[[Hours]:[Hours]],Datadetails[[Group]:[Group]],J$5,Datadetails[[Taskcode]:[Taskcode]],$A82,Datadetails[[Activity_help]:[Activity_help]],"C30")</f>
        <v>1.25</v>
      </c>
      <c r="K82" s="8">
        <f>SUMIFS(Datadetails[[Hours]:[Hours]],Datadetails[[Group]:[Group]],K$5,Datadetails[[Taskcode]:[Taskcode]],$A82,Datadetails[[Activity_help]:[Activity_help]],"C30")</f>
        <v>0</v>
      </c>
      <c r="L82" s="13">
        <f t="shared" si="6"/>
        <v>1.25</v>
      </c>
      <c r="M82" s="39">
        <f>SUMIFS(Datadetails[[Hours]:[Hours]],Datadetails[[Group]:[Group]],M$5,Datadetails[[Taskcode]:[Taskcode]],$A82,Datadetails[[Activity_help]:[Activity_help]],"C40")</f>
        <v>0</v>
      </c>
      <c r="N82" s="39">
        <f>SUMIFS(Datadetails[[Hours]:[Hours]],Datadetails[[Group]:[Group]],N$5,Datadetails[[Taskcode]:[Taskcode]],$A82,Datadetails[[Activity_help]:[Activity_help]],"C40")</f>
        <v>0</v>
      </c>
      <c r="O82" s="39">
        <f>SUMIFS(Datadetails[[Hours]:[Hours]],Datadetails[[Group]:[Group]],O$5,Datadetails[[Taskcode]:[Taskcode]],$A82,Datadetails[[Activity_help]:[Activity_help]],"C40")</f>
        <v>0</v>
      </c>
      <c r="P82" s="39">
        <f>SUMIFS(Datadetails[[Hours]:[Hours]],Datadetails[[Group]:[Group]],P$5,Datadetails[[Taskcode]:[Taskcode]],$A82,Datadetails[[Activity_help]:[Activity_help]],"C40")</f>
        <v>0</v>
      </c>
      <c r="Q82" s="40">
        <f t="shared" si="7"/>
        <v>0</v>
      </c>
      <c r="R82" s="63">
        <f>SUMIFS(Datadetails[[Hours]:[Hours]],Datadetails[[Group]:[Group]],"Other",Datadetails[[Taskcode]:[Taskcode]],$A82,Datadetails[[Activity_help]:[Activity_help]],"Other")</f>
        <v>0</v>
      </c>
      <c r="S82" s="21">
        <f t="shared" si="9"/>
        <v>1.25</v>
      </c>
    </row>
    <row r="83" spans="1:19" x14ac:dyDescent="0.25">
      <c r="A83" s="35" t="s">
        <v>114</v>
      </c>
      <c r="B83" s="66" t="s">
        <v>245</v>
      </c>
      <c r="C83" s="7">
        <f>SUMIFS(Datadetails[[Hours]:[Hours]],Datadetails[[Group]:[Group]],C$5,Datadetails[[Taskcode]:[Taskcode]],$A83,Datadetails[[Activity_help]:[Activity_help]],"C20")</f>
        <v>0</v>
      </c>
      <c r="D83" s="7">
        <f>SUMIFS(Datadetails[[Hours]:[Hours]],Datadetails[[Group]:[Group]],D$5,Datadetails[[Taskcode]:[Taskcode]],$A83,Datadetails[[Activity_help]:[Activity_help]],"C20")</f>
        <v>0</v>
      </c>
      <c r="E83" s="7">
        <f>SUMIFS(Datadetails[[Hours]:[Hours]],Datadetails[[Group]:[Group]],E$5,Datadetails[[Taskcode]:[Taskcode]],$A83,Datadetails[[Activity_help]:[Activity_help]],"C20")</f>
        <v>0</v>
      </c>
      <c r="F83" s="7">
        <f>SUMIFS(Datadetails[[Hours]:[Hours]],Datadetails[[Group]:[Group]],F$5,Datadetails[[Taskcode]:[Taskcode]],$A83,Datadetails[[Activity_help]:[Activity_help]],"C20")</f>
        <v>4.75</v>
      </c>
      <c r="G83" s="12">
        <f t="shared" si="8"/>
        <v>4.75</v>
      </c>
      <c r="H83" s="8">
        <f>SUMIFS(Datadetails[[Hours]:[Hours]],Datadetails[[Group]:[Group]],H$5,Datadetails[[Taskcode]:[Taskcode]],$A83,Datadetails[[Activity_help]:[Activity_help]],"C30")</f>
        <v>0</v>
      </c>
      <c r="I83" s="8">
        <f>SUMIFS(Datadetails[[Hours]:[Hours]],Datadetails[[Group]:[Group]],I$5,Datadetails[[Taskcode]:[Taskcode]],$A83,Datadetails[[Activity_help]:[Activity_help]],"C30")</f>
        <v>0</v>
      </c>
      <c r="J83" s="8">
        <f>SUMIFS(Datadetails[[Hours]:[Hours]],Datadetails[[Group]:[Group]],J$5,Datadetails[[Taskcode]:[Taskcode]],$A83,Datadetails[[Activity_help]:[Activity_help]],"C30")</f>
        <v>0</v>
      </c>
      <c r="K83" s="8">
        <f>SUMIFS(Datadetails[[Hours]:[Hours]],Datadetails[[Group]:[Group]],K$5,Datadetails[[Taskcode]:[Taskcode]],$A83,Datadetails[[Activity_help]:[Activity_help]],"C30")</f>
        <v>1.9900000000000002</v>
      </c>
      <c r="L83" s="13">
        <f t="shared" si="6"/>
        <v>1.9900000000000002</v>
      </c>
      <c r="M83" s="39">
        <f>SUMIFS(Datadetails[[Hours]:[Hours]],Datadetails[[Group]:[Group]],M$5,Datadetails[[Taskcode]:[Taskcode]],$A83,Datadetails[[Activity_help]:[Activity_help]],"C40")</f>
        <v>0</v>
      </c>
      <c r="N83" s="39">
        <f>SUMIFS(Datadetails[[Hours]:[Hours]],Datadetails[[Group]:[Group]],N$5,Datadetails[[Taskcode]:[Taskcode]],$A83,Datadetails[[Activity_help]:[Activity_help]],"C40")</f>
        <v>0</v>
      </c>
      <c r="O83" s="39">
        <f>SUMIFS(Datadetails[[Hours]:[Hours]],Datadetails[[Group]:[Group]],O$5,Datadetails[[Taskcode]:[Taskcode]],$A83,Datadetails[[Activity_help]:[Activity_help]],"C40")</f>
        <v>0</v>
      </c>
      <c r="P83" s="39">
        <f>SUMIFS(Datadetails[[Hours]:[Hours]],Datadetails[[Group]:[Group]],P$5,Datadetails[[Taskcode]:[Taskcode]],$A83,Datadetails[[Activity_help]:[Activity_help]],"C40")</f>
        <v>1.33</v>
      </c>
      <c r="Q83" s="40">
        <f t="shared" si="7"/>
        <v>1.33</v>
      </c>
      <c r="R83" s="63">
        <f>SUMIFS(Datadetails[[Hours]:[Hours]],Datadetails[[Group]:[Group]],"Other",Datadetails[[Taskcode]:[Taskcode]],$A83,Datadetails[[Activity_help]:[Activity_help]],"Other")</f>
        <v>0</v>
      </c>
      <c r="S83" s="21">
        <f t="shared" si="9"/>
        <v>8.07</v>
      </c>
    </row>
    <row r="84" spans="1:19" x14ac:dyDescent="0.25">
      <c r="A84" s="35" t="s">
        <v>115</v>
      </c>
      <c r="B84" s="66" t="s">
        <v>246</v>
      </c>
      <c r="C84" s="7">
        <f>SUMIFS(Datadetails[[Hours]:[Hours]],Datadetails[[Group]:[Group]],C$5,Datadetails[[Taskcode]:[Taskcode]],$A84,Datadetails[[Activity_help]:[Activity_help]],"C20")</f>
        <v>0</v>
      </c>
      <c r="D84" s="7">
        <f>SUMIFS(Datadetails[[Hours]:[Hours]],Datadetails[[Group]:[Group]],D$5,Datadetails[[Taskcode]:[Taskcode]],$A84,Datadetails[[Activity_help]:[Activity_help]],"C20")</f>
        <v>0</v>
      </c>
      <c r="E84" s="7">
        <f>SUMIFS(Datadetails[[Hours]:[Hours]],Datadetails[[Group]:[Group]],E$5,Datadetails[[Taskcode]:[Taskcode]],$A84,Datadetails[[Activity_help]:[Activity_help]],"C20")</f>
        <v>0</v>
      </c>
      <c r="F84" s="7">
        <f>SUMIFS(Datadetails[[Hours]:[Hours]],Datadetails[[Group]:[Group]],F$5,Datadetails[[Taskcode]:[Taskcode]],$A84,Datadetails[[Activity_help]:[Activity_help]],"C20")</f>
        <v>0</v>
      </c>
      <c r="G84" s="12">
        <f t="shared" si="8"/>
        <v>0</v>
      </c>
      <c r="H84" s="8">
        <f>SUMIFS(Datadetails[[Hours]:[Hours]],Datadetails[[Group]:[Group]],H$5,Datadetails[[Taskcode]:[Taskcode]],$A84,Datadetails[[Activity_help]:[Activity_help]],"C30")</f>
        <v>0</v>
      </c>
      <c r="I84" s="8">
        <f>SUMIFS(Datadetails[[Hours]:[Hours]],Datadetails[[Group]:[Group]],I$5,Datadetails[[Taskcode]:[Taskcode]],$A84,Datadetails[[Activity_help]:[Activity_help]],"C30")</f>
        <v>0</v>
      </c>
      <c r="J84" s="8">
        <f>SUMIFS(Datadetails[[Hours]:[Hours]],Datadetails[[Group]:[Group]],J$5,Datadetails[[Taskcode]:[Taskcode]],$A84,Datadetails[[Activity_help]:[Activity_help]],"C30")</f>
        <v>0</v>
      </c>
      <c r="K84" s="8">
        <f>SUMIFS(Datadetails[[Hours]:[Hours]],Datadetails[[Group]:[Group]],K$5,Datadetails[[Taskcode]:[Taskcode]],$A84,Datadetails[[Activity_help]:[Activity_help]],"C30")</f>
        <v>0</v>
      </c>
      <c r="L84" s="13">
        <f t="shared" si="6"/>
        <v>0</v>
      </c>
      <c r="M84" s="39">
        <f>SUMIFS(Datadetails[[Hours]:[Hours]],Datadetails[[Group]:[Group]],M$5,Datadetails[[Taskcode]:[Taskcode]],$A84,Datadetails[[Activity_help]:[Activity_help]],"C40")</f>
        <v>0</v>
      </c>
      <c r="N84" s="39">
        <f>SUMIFS(Datadetails[[Hours]:[Hours]],Datadetails[[Group]:[Group]],N$5,Datadetails[[Taskcode]:[Taskcode]],$A84,Datadetails[[Activity_help]:[Activity_help]],"C40")</f>
        <v>0</v>
      </c>
      <c r="O84" s="39">
        <f>SUMIFS(Datadetails[[Hours]:[Hours]],Datadetails[[Group]:[Group]],O$5,Datadetails[[Taskcode]:[Taskcode]],$A84,Datadetails[[Activity_help]:[Activity_help]],"C40")</f>
        <v>0</v>
      </c>
      <c r="P84" s="39">
        <f>SUMIFS(Datadetails[[Hours]:[Hours]],Datadetails[[Group]:[Group]],P$5,Datadetails[[Taskcode]:[Taskcode]],$A84,Datadetails[[Activity_help]:[Activity_help]],"C40")</f>
        <v>0</v>
      </c>
      <c r="Q84" s="40">
        <f t="shared" si="7"/>
        <v>0</v>
      </c>
      <c r="R84" s="63">
        <f>SUMIFS(Datadetails[[Hours]:[Hours]],Datadetails[[Group]:[Group]],"Other",Datadetails[[Taskcode]:[Taskcode]],$A84,Datadetails[[Activity_help]:[Activity_help]],"Other")</f>
        <v>0</v>
      </c>
      <c r="S84" s="21">
        <f t="shared" si="9"/>
        <v>0</v>
      </c>
    </row>
    <row r="85" spans="1:19" x14ac:dyDescent="0.25">
      <c r="A85" s="35" t="s">
        <v>116</v>
      </c>
      <c r="B85" s="66" t="s">
        <v>247</v>
      </c>
      <c r="C85" s="7">
        <f>SUMIFS(Datadetails[[Hours]:[Hours]],Datadetails[[Group]:[Group]],C$5,Datadetails[[Taskcode]:[Taskcode]],$A85,Datadetails[[Activity_help]:[Activity_help]],"C20")</f>
        <v>0</v>
      </c>
      <c r="D85" s="7">
        <f>SUMIFS(Datadetails[[Hours]:[Hours]],Datadetails[[Group]:[Group]],D$5,Datadetails[[Taskcode]:[Taskcode]],$A85,Datadetails[[Activity_help]:[Activity_help]],"C20")</f>
        <v>0</v>
      </c>
      <c r="E85" s="7">
        <f>SUMIFS(Datadetails[[Hours]:[Hours]],Datadetails[[Group]:[Group]],E$5,Datadetails[[Taskcode]:[Taskcode]],$A85,Datadetails[[Activity_help]:[Activity_help]],"C20")</f>
        <v>0</v>
      </c>
      <c r="F85" s="7">
        <f>SUMIFS(Datadetails[[Hours]:[Hours]],Datadetails[[Group]:[Group]],F$5,Datadetails[[Taskcode]:[Taskcode]],$A85,Datadetails[[Activity_help]:[Activity_help]],"C20")</f>
        <v>0</v>
      </c>
      <c r="G85" s="12">
        <f t="shared" si="8"/>
        <v>0</v>
      </c>
      <c r="H85" s="8">
        <f>SUMIFS(Datadetails[[Hours]:[Hours]],Datadetails[[Group]:[Group]],H$5,Datadetails[[Taskcode]:[Taskcode]],$A85,Datadetails[[Activity_help]:[Activity_help]],"C30")</f>
        <v>0</v>
      </c>
      <c r="I85" s="8">
        <f>SUMIFS(Datadetails[[Hours]:[Hours]],Datadetails[[Group]:[Group]],I$5,Datadetails[[Taskcode]:[Taskcode]],$A85,Datadetails[[Activity_help]:[Activity_help]],"C30")</f>
        <v>0</v>
      </c>
      <c r="J85" s="8">
        <f>SUMIFS(Datadetails[[Hours]:[Hours]],Datadetails[[Group]:[Group]],J$5,Datadetails[[Taskcode]:[Taskcode]],$A85,Datadetails[[Activity_help]:[Activity_help]],"C30")</f>
        <v>26.440000000000012</v>
      </c>
      <c r="K85" s="8">
        <f>SUMIFS(Datadetails[[Hours]:[Hours]],Datadetails[[Group]:[Group]],K$5,Datadetails[[Taskcode]:[Taskcode]],$A85,Datadetails[[Activity_help]:[Activity_help]],"C30")</f>
        <v>0</v>
      </c>
      <c r="L85" s="13">
        <f t="shared" si="6"/>
        <v>26.440000000000012</v>
      </c>
      <c r="M85" s="39">
        <f>SUMIFS(Datadetails[[Hours]:[Hours]],Datadetails[[Group]:[Group]],M$5,Datadetails[[Taskcode]:[Taskcode]],$A85,Datadetails[[Activity_help]:[Activity_help]],"C40")</f>
        <v>0</v>
      </c>
      <c r="N85" s="39">
        <f>SUMIFS(Datadetails[[Hours]:[Hours]],Datadetails[[Group]:[Group]],N$5,Datadetails[[Taskcode]:[Taskcode]],$A85,Datadetails[[Activity_help]:[Activity_help]],"C40")</f>
        <v>0</v>
      </c>
      <c r="O85" s="39">
        <f>SUMIFS(Datadetails[[Hours]:[Hours]],Datadetails[[Group]:[Group]],O$5,Datadetails[[Taskcode]:[Taskcode]],$A85,Datadetails[[Activity_help]:[Activity_help]],"C40")</f>
        <v>16.5</v>
      </c>
      <c r="P85" s="39">
        <f>SUMIFS(Datadetails[[Hours]:[Hours]],Datadetails[[Group]:[Group]],P$5,Datadetails[[Taskcode]:[Taskcode]],$A85,Datadetails[[Activity_help]:[Activity_help]],"C40")</f>
        <v>0</v>
      </c>
      <c r="Q85" s="40">
        <f t="shared" si="7"/>
        <v>16.5</v>
      </c>
      <c r="R85" s="63">
        <f>SUMIFS(Datadetails[[Hours]:[Hours]],Datadetails[[Group]:[Group]],"Other",Datadetails[[Taskcode]:[Taskcode]],$A85,Datadetails[[Activity_help]:[Activity_help]],"Other")</f>
        <v>0</v>
      </c>
      <c r="S85" s="21">
        <f t="shared" si="9"/>
        <v>42.940000000000012</v>
      </c>
    </row>
    <row r="86" spans="1:19" x14ac:dyDescent="0.25">
      <c r="A86" s="35" t="s">
        <v>45</v>
      </c>
      <c r="B86" s="66" t="s">
        <v>248</v>
      </c>
      <c r="C86" s="7">
        <f>SUMIFS(Datadetails[[Hours]:[Hours]],Datadetails[[Group]:[Group]],C$5,Datadetails[[Taskcode]:[Taskcode]],$A86,Datadetails[[Activity_help]:[Activity_help]],"C20")</f>
        <v>0</v>
      </c>
      <c r="D86" s="7">
        <f>SUMIFS(Datadetails[[Hours]:[Hours]],Datadetails[[Group]:[Group]],D$5,Datadetails[[Taskcode]:[Taskcode]],$A86,Datadetails[[Activity_help]:[Activity_help]],"C20")</f>
        <v>0</v>
      </c>
      <c r="E86" s="7">
        <f>SUMIFS(Datadetails[[Hours]:[Hours]],Datadetails[[Group]:[Group]],E$5,Datadetails[[Taskcode]:[Taskcode]],$A86,Datadetails[[Activity_help]:[Activity_help]],"C20")</f>
        <v>0</v>
      </c>
      <c r="F86" s="7">
        <f>SUMIFS(Datadetails[[Hours]:[Hours]],Datadetails[[Group]:[Group]],F$5,Datadetails[[Taskcode]:[Taskcode]],$A86,Datadetails[[Activity_help]:[Activity_help]],"C20")</f>
        <v>0</v>
      </c>
      <c r="G86" s="12">
        <f t="shared" si="8"/>
        <v>0</v>
      </c>
      <c r="H86" s="8">
        <f>SUMIFS(Datadetails[[Hours]:[Hours]],Datadetails[[Group]:[Group]],H$5,Datadetails[[Taskcode]:[Taskcode]],$A86,Datadetails[[Activity_help]:[Activity_help]],"C30")</f>
        <v>0</v>
      </c>
      <c r="I86" s="8">
        <f>SUMIFS(Datadetails[[Hours]:[Hours]],Datadetails[[Group]:[Group]],I$5,Datadetails[[Taskcode]:[Taskcode]],$A86,Datadetails[[Activity_help]:[Activity_help]],"C30")</f>
        <v>0</v>
      </c>
      <c r="J86" s="8">
        <f>SUMIFS(Datadetails[[Hours]:[Hours]],Datadetails[[Group]:[Group]],J$5,Datadetails[[Taskcode]:[Taskcode]],$A86,Datadetails[[Activity_help]:[Activity_help]],"C30")</f>
        <v>9.59</v>
      </c>
      <c r="K86" s="8">
        <f>SUMIFS(Datadetails[[Hours]:[Hours]],Datadetails[[Group]:[Group]],K$5,Datadetails[[Taskcode]:[Taskcode]],$A86,Datadetails[[Activity_help]:[Activity_help]],"C30")</f>
        <v>0</v>
      </c>
      <c r="L86" s="13">
        <f t="shared" si="6"/>
        <v>9.59</v>
      </c>
      <c r="M86" s="39">
        <f>SUMIFS(Datadetails[[Hours]:[Hours]],Datadetails[[Group]:[Group]],M$5,Datadetails[[Taskcode]:[Taskcode]],$A86,Datadetails[[Activity_help]:[Activity_help]],"C40")</f>
        <v>0</v>
      </c>
      <c r="N86" s="39">
        <f>SUMIFS(Datadetails[[Hours]:[Hours]],Datadetails[[Group]:[Group]],N$5,Datadetails[[Taskcode]:[Taskcode]],$A86,Datadetails[[Activity_help]:[Activity_help]],"C40")</f>
        <v>0</v>
      </c>
      <c r="O86" s="39">
        <f>SUMIFS(Datadetails[[Hours]:[Hours]],Datadetails[[Group]:[Group]],O$5,Datadetails[[Taskcode]:[Taskcode]],$A86,Datadetails[[Activity_help]:[Activity_help]],"C40")</f>
        <v>5.17</v>
      </c>
      <c r="P86" s="39">
        <f>SUMIFS(Datadetails[[Hours]:[Hours]],Datadetails[[Group]:[Group]],P$5,Datadetails[[Taskcode]:[Taskcode]],$A86,Datadetails[[Activity_help]:[Activity_help]],"C40")</f>
        <v>0</v>
      </c>
      <c r="Q86" s="40">
        <f t="shared" si="7"/>
        <v>5.17</v>
      </c>
      <c r="R86" s="63">
        <f>SUMIFS(Datadetails[[Hours]:[Hours]],Datadetails[[Group]:[Group]],"Other",Datadetails[[Taskcode]:[Taskcode]],$A86,Datadetails[[Activity_help]:[Activity_help]],"Other")</f>
        <v>0</v>
      </c>
      <c r="S86" s="21">
        <f t="shared" si="9"/>
        <v>14.76</v>
      </c>
    </row>
    <row r="87" spans="1:19" x14ac:dyDescent="0.25">
      <c r="A87" s="35" t="s">
        <v>52</v>
      </c>
      <c r="B87" s="66" t="s">
        <v>249</v>
      </c>
      <c r="C87" s="7">
        <f>SUMIFS(Datadetails[[Hours]:[Hours]],Datadetails[[Group]:[Group]],C$5,Datadetails[[Taskcode]:[Taskcode]],$A87,Datadetails[[Activity_help]:[Activity_help]],"C20")</f>
        <v>0</v>
      </c>
      <c r="D87" s="7">
        <f>SUMIFS(Datadetails[[Hours]:[Hours]],Datadetails[[Group]:[Group]],D$5,Datadetails[[Taskcode]:[Taskcode]],$A87,Datadetails[[Activity_help]:[Activity_help]],"C20")</f>
        <v>0</v>
      </c>
      <c r="E87" s="7">
        <f>SUMIFS(Datadetails[[Hours]:[Hours]],Datadetails[[Group]:[Group]],E$5,Datadetails[[Taskcode]:[Taskcode]],$A87,Datadetails[[Activity_help]:[Activity_help]],"C20")</f>
        <v>0</v>
      </c>
      <c r="F87" s="7">
        <f>SUMIFS(Datadetails[[Hours]:[Hours]],Datadetails[[Group]:[Group]],F$5,Datadetails[[Taskcode]:[Taskcode]],$A87,Datadetails[[Activity_help]:[Activity_help]],"C20")</f>
        <v>0</v>
      </c>
      <c r="G87" s="12">
        <f t="shared" si="8"/>
        <v>0</v>
      </c>
      <c r="H87" s="8">
        <f>SUMIFS(Datadetails[[Hours]:[Hours]],Datadetails[[Group]:[Group]],H$5,Datadetails[[Taskcode]:[Taskcode]],$A87,Datadetails[[Activity_help]:[Activity_help]],"C30")</f>
        <v>0</v>
      </c>
      <c r="I87" s="8">
        <f>SUMIFS(Datadetails[[Hours]:[Hours]],Datadetails[[Group]:[Group]],I$5,Datadetails[[Taskcode]:[Taskcode]],$A87,Datadetails[[Activity_help]:[Activity_help]],"C30")</f>
        <v>0</v>
      </c>
      <c r="J87" s="8">
        <f>SUMIFS(Datadetails[[Hours]:[Hours]],Datadetails[[Group]:[Group]],J$5,Datadetails[[Taskcode]:[Taskcode]],$A87,Datadetails[[Activity_help]:[Activity_help]],"C30")</f>
        <v>5.46</v>
      </c>
      <c r="K87" s="8">
        <f>SUMIFS(Datadetails[[Hours]:[Hours]],Datadetails[[Group]:[Group]],K$5,Datadetails[[Taskcode]:[Taskcode]],$A87,Datadetails[[Activity_help]:[Activity_help]],"C30")</f>
        <v>0</v>
      </c>
      <c r="L87" s="13">
        <f t="shared" si="6"/>
        <v>5.46</v>
      </c>
      <c r="M87" s="39">
        <f>SUMIFS(Datadetails[[Hours]:[Hours]],Datadetails[[Group]:[Group]],M$5,Datadetails[[Taskcode]:[Taskcode]],$A87,Datadetails[[Activity_help]:[Activity_help]],"C40")</f>
        <v>0</v>
      </c>
      <c r="N87" s="39">
        <f>SUMIFS(Datadetails[[Hours]:[Hours]],Datadetails[[Group]:[Group]],N$5,Datadetails[[Taskcode]:[Taskcode]],$A87,Datadetails[[Activity_help]:[Activity_help]],"C40")</f>
        <v>0</v>
      </c>
      <c r="O87" s="39">
        <f>SUMIFS(Datadetails[[Hours]:[Hours]],Datadetails[[Group]:[Group]],O$5,Datadetails[[Taskcode]:[Taskcode]],$A87,Datadetails[[Activity_help]:[Activity_help]],"C40")</f>
        <v>3.25</v>
      </c>
      <c r="P87" s="39">
        <f>SUMIFS(Datadetails[[Hours]:[Hours]],Datadetails[[Group]:[Group]],P$5,Datadetails[[Taskcode]:[Taskcode]],$A87,Datadetails[[Activity_help]:[Activity_help]],"C40")</f>
        <v>0</v>
      </c>
      <c r="Q87" s="40">
        <f t="shared" si="7"/>
        <v>3.25</v>
      </c>
      <c r="R87" s="63">
        <f>SUMIFS(Datadetails[[Hours]:[Hours]],Datadetails[[Group]:[Group]],"Other",Datadetails[[Taskcode]:[Taskcode]],$A87,Datadetails[[Activity_help]:[Activity_help]],"Other")</f>
        <v>0</v>
      </c>
      <c r="S87" s="21">
        <f t="shared" si="9"/>
        <v>8.7100000000000009</v>
      </c>
    </row>
    <row r="88" spans="1:19" x14ac:dyDescent="0.25">
      <c r="A88" s="35" t="s">
        <v>117</v>
      </c>
      <c r="B88" s="66" t="s">
        <v>250</v>
      </c>
      <c r="C88" s="7">
        <f>SUMIFS(Datadetails[[Hours]:[Hours]],Datadetails[[Group]:[Group]],C$5,Datadetails[[Taskcode]:[Taskcode]],$A88,Datadetails[[Activity_help]:[Activity_help]],"C20")</f>
        <v>0</v>
      </c>
      <c r="D88" s="7">
        <f>SUMIFS(Datadetails[[Hours]:[Hours]],Datadetails[[Group]:[Group]],D$5,Datadetails[[Taskcode]:[Taskcode]],$A88,Datadetails[[Activity_help]:[Activity_help]],"C20")</f>
        <v>0</v>
      </c>
      <c r="E88" s="7">
        <f>SUMIFS(Datadetails[[Hours]:[Hours]],Datadetails[[Group]:[Group]],E$5,Datadetails[[Taskcode]:[Taskcode]],$A88,Datadetails[[Activity_help]:[Activity_help]],"C20")</f>
        <v>0</v>
      </c>
      <c r="F88" s="7">
        <f>SUMIFS(Datadetails[[Hours]:[Hours]],Datadetails[[Group]:[Group]],F$5,Datadetails[[Taskcode]:[Taskcode]],$A88,Datadetails[[Activity_help]:[Activity_help]],"C20")</f>
        <v>0</v>
      </c>
      <c r="G88" s="12">
        <f t="shared" si="8"/>
        <v>0</v>
      </c>
      <c r="H88" s="8">
        <f>SUMIFS(Datadetails[[Hours]:[Hours]],Datadetails[[Group]:[Group]],H$5,Datadetails[[Taskcode]:[Taskcode]],$A88,Datadetails[[Activity_help]:[Activity_help]],"C30")</f>
        <v>0</v>
      </c>
      <c r="I88" s="8">
        <f>SUMIFS(Datadetails[[Hours]:[Hours]],Datadetails[[Group]:[Group]],I$5,Datadetails[[Taskcode]:[Taskcode]],$A88,Datadetails[[Activity_help]:[Activity_help]],"C30")</f>
        <v>0</v>
      </c>
      <c r="J88" s="8">
        <f>SUMIFS(Datadetails[[Hours]:[Hours]],Datadetails[[Group]:[Group]],J$5,Datadetails[[Taskcode]:[Taskcode]],$A88,Datadetails[[Activity_help]:[Activity_help]],"C30")</f>
        <v>0</v>
      </c>
      <c r="K88" s="8">
        <f>SUMIFS(Datadetails[[Hours]:[Hours]],Datadetails[[Group]:[Group]],K$5,Datadetails[[Taskcode]:[Taskcode]],$A88,Datadetails[[Activity_help]:[Activity_help]],"C30")</f>
        <v>0</v>
      </c>
      <c r="L88" s="13">
        <f t="shared" si="6"/>
        <v>0</v>
      </c>
      <c r="M88" s="39">
        <f>SUMIFS(Datadetails[[Hours]:[Hours]],Datadetails[[Group]:[Group]],M$5,Datadetails[[Taskcode]:[Taskcode]],$A88,Datadetails[[Activity_help]:[Activity_help]],"C40")</f>
        <v>0</v>
      </c>
      <c r="N88" s="39">
        <f>SUMIFS(Datadetails[[Hours]:[Hours]],Datadetails[[Group]:[Group]],N$5,Datadetails[[Taskcode]:[Taskcode]],$A88,Datadetails[[Activity_help]:[Activity_help]],"C40")</f>
        <v>0</v>
      </c>
      <c r="O88" s="39">
        <f>SUMIFS(Datadetails[[Hours]:[Hours]],Datadetails[[Group]:[Group]],O$5,Datadetails[[Taskcode]:[Taskcode]],$A88,Datadetails[[Activity_help]:[Activity_help]],"C40")</f>
        <v>0</v>
      </c>
      <c r="P88" s="39">
        <f>SUMIFS(Datadetails[[Hours]:[Hours]],Datadetails[[Group]:[Group]],P$5,Datadetails[[Taskcode]:[Taskcode]],$A88,Datadetails[[Activity_help]:[Activity_help]],"C40")</f>
        <v>0</v>
      </c>
      <c r="Q88" s="40">
        <f t="shared" si="7"/>
        <v>0</v>
      </c>
      <c r="R88" s="63">
        <f>SUMIFS(Datadetails[[Hours]:[Hours]],Datadetails[[Group]:[Group]],"Other",Datadetails[[Taskcode]:[Taskcode]],$A88,Datadetails[[Activity_help]:[Activity_help]],"Other")</f>
        <v>0</v>
      </c>
      <c r="S88" s="21">
        <f t="shared" si="9"/>
        <v>0</v>
      </c>
    </row>
    <row r="89" spans="1:19" x14ac:dyDescent="0.25">
      <c r="A89" s="35" t="s">
        <v>118</v>
      </c>
      <c r="B89" s="66" t="s">
        <v>251</v>
      </c>
      <c r="C89" s="7">
        <f>SUMIFS(Datadetails[[Hours]:[Hours]],Datadetails[[Group]:[Group]],C$5,Datadetails[[Taskcode]:[Taskcode]],$A89,Datadetails[[Activity_help]:[Activity_help]],"C20")</f>
        <v>0</v>
      </c>
      <c r="D89" s="7">
        <f>SUMIFS(Datadetails[[Hours]:[Hours]],Datadetails[[Group]:[Group]],D$5,Datadetails[[Taskcode]:[Taskcode]],$A89,Datadetails[[Activity_help]:[Activity_help]],"C20")</f>
        <v>0</v>
      </c>
      <c r="E89" s="7">
        <f>SUMIFS(Datadetails[[Hours]:[Hours]],Datadetails[[Group]:[Group]],E$5,Datadetails[[Taskcode]:[Taskcode]],$A89,Datadetails[[Activity_help]:[Activity_help]],"C20")</f>
        <v>0</v>
      </c>
      <c r="F89" s="7">
        <f>SUMIFS(Datadetails[[Hours]:[Hours]],Datadetails[[Group]:[Group]],F$5,Datadetails[[Taskcode]:[Taskcode]],$A89,Datadetails[[Activity_help]:[Activity_help]],"C20")</f>
        <v>0</v>
      </c>
      <c r="G89" s="12">
        <f t="shared" si="8"/>
        <v>0</v>
      </c>
      <c r="H89" s="8">
        <f>SUMIFS(Datadetails[[Hours]:[Hours]],Datadetails[[Group]:[Group]],H$5,Datadetails[[Taskcode]:[Taskcode]],$A89,Datadetails[[Activity_help]:[Activity_help]],"C30")</f>
        <v>0</v>
      </c>
      <c r="I89" s="8">
        <f>SUMIFS(Datadetails[[Hours]:[Hours]],Datadetails[[Group]:[Group]],I$5,Datadetails[[Taskcode]:[Taskcode]],$A89,Datadetails[[Activity_help]:[Activity_help]],"C30")</f>
        <v>0</v>
      </c>
      <c r="J89" s="8">
        <f>SUMIFS(Datadetails[[Hours]:[Hours]],Datadetails[[Group]:[Group]],J$5,Datadetails[[Taskcode]:[Taskcode]],$A89,Datadetails[[Activity_help]:[Activity_help]],"C30")</f>
        <v>0</v>
      </c>
      <c r="K89" s="8">
        <f>SUMIFS(Datadetails[[Hours]:[Hours]],Datadetails[[Group]:[Group]],K$5,Datadetails[[Taskcode]:[Taskcode]],$A89,Datadetails[[Activity_help]:[Activity_help]],"C30")</f>
        <v>0</v>
      </c>
      <c r="L89" s="13">
        <f t="shared" si="6"/>
        <v>0</v>
      </c>
      <c r="M89" s="39">
        <f>SUMIFS(Datadetails[[Hours]:[Hours]],Datadetails[[Group]:[Group]],M$5,Datadetails[[Taskcode]:[Taskcode]],$A89,Datadetails[[Activity_help]:[Activity_help]],"C40")</f>
        <v>0</v>
      </c>
      <c r="N89" s="39">
        <f>SUMIFS(Datadetails[[Hours]:[Hours]],Datadetails[[Group]:[Group]],N$5,Datadetails[[Taskcode]:[Taskcode]],$A89,Datadetails[[Activity_help]:[Activity_help]],"C40")</f>
        <v>0</v>
      </c>
      <c r="O89" s="39">
        <f>SUMIFS(Datadetails[[Hours]:[Hours]],Datadetails[[Group]:[Group]],O$5,Datadetails[[Taskcode]:[Taskcode]],$A89,Datadetails[[Activity_help]:[Activity_help]],"C40")</f>
        <v>0</v>
      </c>
      <c r="P89" s="39">
        <f>SUMIFS(Datadetails[[Hours]:[Hours]],Datadetails[[Group]:[Group]],P$5,Datadetails[[Taskcode]:[Taskcode]],$A89,Datadetails[[Activity_help]:[Activity_help]],"C40")</f>
        <v>0</v>
      </c>
      <c r="Q89" s="40">
        <f t="shared" si="7"/>
        <v>0</v>
      </c>
      <c r="R89" s="63">
        <f>SUMIFS(Datadetails[[Hours]:[Hours]],Datadetails[[Group]:[Group]],"Other",Datadetails[[Taskcode]:[Taskcode]],$A89,Datadetails[[Activity_help]:[Activity_help]],"Other")</f>
        <v>0</v>
      </c>
      <c r="S89" s="21">
        <f t="shared" si="9"/>
        <v>0</v>
      </c>
    </row>
    <row r="90" spans="1:19" x14ac:dyDescent="0.25">
      <c r="A90" s="35" t="s">
        <v>26</v>
      </c>
      <c r="B90" s="66" t="s">
        <v>252</v>
      </c>
      <c r="C90" s="7">
        <f>SUMIFS(Datadetails[[Hours]:[Hours]],Datadetails[[Group]:[Group]],C$5,Datadetails[[Taskcode]:[Taskcode]],$A90,Datadetails[[Activity_help]:[Activity_help]],"C20")</f>
        <v>0</v>
      </c>
      <c r="D90" s="7">
        <f>SUMIFS(Datadetails[[Hours]:[Hours]],Datadetails[[Group]:[Group]],D$5,Datadetails[[Taskcode]:[Taskcode]],$A90,Datadetails[[Activity_help]:[Activity_help]],"C20")</f>
        <v>0</v>
      </c>
      <c r="E90" s="7">
        <f>SUMIFS(Datadetails[[Hours]:[Hours]],Datadetails[[Group]:[Group]],E$5,Datadetails[[Taskcode]:[Taskcode]],$A90,Datadetails[[Activity_help]:[Activity_help]],"C20")</f>
        <v>24.25</v>
      </c>
      <c r="F90" s="7">
        <f>SUMIFS(Datadetails[[Hours]:[Hours]],Datadetails[[Group]:[Group]],F$5,Datadetails[[Taskcode]:[Taskcode]],$A90,Datadetails[[Activity_help]:[Activity_help]],"C20")</f>
        <v>0</v>
      </c>
      <c r="G90" s="12">
        <f t="shared" si="8"/>
        <v>24.25</v>
      </c>
      <c r="H90" s="8">
        <f>SUMIFS(Datadetails[[Hours]:[Hours]],Datadetails[[Group]:[Group]],H$5,Datadetails[[Taskcode]:[Taskcode]],$A90,Datadetails[[Activity_help]:[Activity_help]],"C30")</f>
        <v>0</v>
      </c>
      <c r="I90" s="8">
        <f>SUMIFS(Datadetails[[Hours]:[Hours]],Datadetails[[Group]:[Group]],I$5,Datadetails[[Taskcode]:[Taskcode]],$A90,Datadetails[[Activity_help]:[Activity_help]],"C30")</f>
        <v>0</v>
      </c>
      <c r="J90" s="8">
        <f>SUMIFS(Datadetails[[Hours]:[Hours]],Datadetails[[Group]:[Group]],J$5,Datadetails[[Taskcode]:[Taskcode]],$A90,Datadetails[[Activity_help]:[Activity_help]],"C30")</f>
        <v>6.92</v>
      </c>
      <c r="K90" s="8">
        <f>SUMIFS(Datadetails[[Hours]:[Hours]],Datadetails[[Group]:[Group]],K$5,Datadetails[[Taskcode]:[Taskcode]],$A90,Datadetails[[Activity_help]:[Activity_help]],"C30")</f>
        <v>0</v>
      </c>
      <c r="L90" s="13">
        <f t="shared" si="6"/>
        <v>6.92</v>
      </c>
      <c r="M90" s="39">
        <f>SUMIFS(Datadetails[[Hours]:[Hours]],Datadetails[[Group]:[Group]],M$5,Datadetails[[Taskcode]:[Taskcode]],$A90,Datadetails[[Activity_help]:[Activity_help]],"C40")</f>
        <v>0</v>
      </c>
      <c r="N90" s="39">
        <f>SUMIFS(Datadetails[[Hours]:[Hours]],Datadetails[[Group]:[Group]],N$5,Datadetails[[Taskcode]:[Taskcode]],$A90,Datadetails[[Activity_help]:[Activity_help]],"C40")</f>
        <v>0</v>
      </c>
      <c r="O90" s="39">
        <f>SUMIFS(Datadetails[[Hours]:[Hours]],Datadetails[[Group]:[Group]],O$5,Datadetails[[Taskcode]:[Taskcode]],$A90,Datadetails[[Activity_help]:[Activity_help]],"C40")</f>
        <v>7.5</v>
      </c>
      <c r="P90" s="39">
        <f>SUMIFS(Datadetails[[Hours]:[Hours]],Datadetails[[Group]:[Group]],P$5,Datadetails[[Taskcode]:[Taskcode]],$A90,Datadetails[[Activity_help]:[Activity_help]],"C40")</f>
        <v>0</v>
      </c>
      <c r="Q90" s="40">
        <f t="shared" si="7"/>
        <v>7.5</v>
      </c>
      <c r="R90" s="63">
        <f>SUMIFS(Datadetails[[Hours]:[Hours]],Datadetails[[Group]:[Group]],"Other",Datadetails[[Taskcode]:[Taskcode]],$A90,Datadetails[[Activity_help]:[Activity_help]],"Other")</f>
        <v>0</v>
      </c>
      <c r="S90" s="21">
        <f t="shared" si="9"/>
        <v>38.67</v>
      </c>
    </row>
    <row r="91" spans="1:19" x14ac:dyDescent="0.25">
      <c r="A91" s="35" t="s">
        <v>119</v>
      </c>
      <c r="B91" s="66" t="s">
        <v>253</v>
      </c>
      <c r="C91" s="7">
        <f>SUMIFS(Datadetails[[Hours]:[Hours]],Datadetails[[Group]:[Group]],C$5,Datadetails[[Taskcode]:[Taskcode]],$A91,Datadetails[[Activity_help]:[Activity_help]],"C20")</f>
        <v>0</v>
      </c>
      <c r="D91" s="7">
        <f>SUMIFS(Datadetails[[Hours]:[Hours]],Datadetails[[Group]:[Group]],D$5,Datadetails[[Taskcode]:[Taskcode]],$A91,Datadetails[[Activity_help]:[Activity_help]],"C20")</f>
        <v>0</v>
      </c>
      <c r="E91" s="7">
        <f>SUMIFS(Datadetails[[Hours]:[Hours]],Datadetails[[Group]:[Group]],E$5,Datadetails[[Taskcode]:[Taskcode]],$A91,Datadetails[[Activity_help]:[Activity_help]],"C20")</f>
        <v>0</v>
      </c>
      <c r="F91" s="7">
        <f>SUMIFS(Datadetails[[Hours]:[Hours]],Datadetails[[Group]:[Group]],F$5,Datadetails[[Taskcode]:[Taskcode]],$A91,Datadetails[[Activity_help]:[Activity_help]],"C20")</f>
        <v>0</v>
      </c>
      <c r="G91" s="12">
        <f t="shared" si="8"/>
        <v>0</v>
      </c>
      <c r="H91" s="8">
        <f>SUMIFS(Datadetails[[Hours]:[Hours]],Datadetails[[Group]:[Group]],H$5,Datadetails[[Taskcode]:[Taskcode]],$A91,Datadetails[[Activity_help]:[Activity_help]],"C30")</f>
        <v>0</v>
      </c>
      <c r="I91" s="8">
        <f>SUMIFS(Datadetails[[Hours]:[Hours]],Datadetails[[Group]:[Group]],I$5,Datadetails[[Taskcode]:[Taskcode]],$A91,Datadetails[[Activity_help]:[Activity_help]],"C30")</f>
        <v>0</v>
      </c>
      <c r="J91" s="8">
        <f>SUMIFS(Datadetails[[Hours]:[Hours]],Datadetails[[Group]:[Group]],J$5,Datadetails[[Taskcode]:[Taskcode]],$A91,Datadetails[[Activity_help]:[Activity_help]],"C30")</f>
        <v>5.3599999999999994</v>
      </c>
      <c r="K91" s="8">
        <f>SUMIFS(Datadetails[[Hours]:[Hours]],Datadetails[[Group]:[Group]],K$5,Datadetails[[Taskcode]:[Taskcode]],$A91,Datadetails[[Activity_help]:[Activity_help]],"C30")</f>
        <v>0</v>
      </c>
      <c r="L91" s="13">
        <f t="shared" si="6"/>
        <v>5.3599999999999994</v>
      </c>
      <c r="M91" s="39">
        <f>SUMIFS(Datadetails[[Hours]:[Hours]],Datadetails[[Group]:[Group]],M$5,Datadetails[[Taskcode]:[Taskcode]],$A91,Datadetails[[Activity_help]:[Activity_help]],"C40")</f>
        <v>0</v>
      </c>
      <c r="N91" s="39">
        <f>SUMIFS(Datadetails[[Hours]:[Hours]],Datadetails[[Group]:[Group]],N$5,Datadetails[[Taskcode]:[Taskcode]],$A91,Datadetails[[Activity_help]:[Activity_help]],"C40")</f>
        <v>0</v>
      </c>
      <c r="O91" s="39">
        <f>SUMIFS(Datadetails[[Hours]:[Hours]],Datadetails[[Group]:[Group]],O$5,Datadetails[[Taskcode]:[Taskcode]],$A91,Datadetails[[Activity_help]:[Activity_help]],"C40")</f>
        <v>2.66</v>
      </c>
      <c r="P91" s="39">
        <f>SUMIFS(Datadetails[[Hours]:[Hours]],Datadetails[[Group]:[Group]],P$5,Datadetails[[Taskcode]:[Taskcode]],$A91,Datadetails[[Activity_help]:[Activity_help]],"C40")</f>
        <v>0</v>
      </c>
      <c r="Q91" s="40">
        <f t="shared" si="7"/>
        <v>2.66</v>
      </c>
      <c r="R91" s="63">
        <f>SUMIFS(Datadetails[[Hours]:[Hours]],Datadetails[[Group]:[Group]],"Other",Datadetails[[Taskcode]:[Taskcode]],$A91,Datadetails[[Activity_help]:[Activity_help]],"Other")</f>
        <v>0</v>
      </c>
      <c r="S91" s="21">
        <f t="shared" si="9"/>
        <v>8.02</v>
      </c>
    </row>
    <row r="92" spans="1:19" x14ac:dyDescent="0.25">
      <c r="A92" s="35" t="s">
        <v>27</v>
      </c>
      <c r="B92" s="66" t="s">
        <v>254</v>
      </c>
      <c r="C92" s="7">
        <f>SUMIFS(Datadetails[[Hours]:[Hours]],Datadetails[[Group]:[Group]],C$5,Datadetails[[Taskcode]:[Taskcode]],$A92,Datadetails[[Activity_help]:[Activity_help]],"C20")</f>
        <v>0</v>
      </c>
      <c r="D92" s="7">
        <f>SUMIFS(Datadetails[[Hours]:[Hours]],Datadetails[[Group]:[Group]],D$5,Datadetails[[Taskcode]:[Taskcode]],$A92,Datadetails[[Activity_help]:[Activity_help]],"C20")</f>
        <v>0</v>
      </c>
      <c r="E92" s="7">
        <f>SUMIFS(Datadetails[[Hours]:[Hours]],Datadetails[[Group]:[Group]],E$5,Datadetails[[Taskcode]:[Taskcode]],$A92,Datadetails[[Activity_help]:[Activity_help]],"C20")</f>
        <v>0</v>
      </c>
      <c r="F92" s="7">
        <f>SUMIFS(Datadetails[[Hours]:[Hours]],Datadetails[[Group]:[Group]],F$5,Datadetails[[Taskcode]:[Taskcode]],$A92,Datadetails[[Activity_help]:[Activity_help]],"C20")</f>
        <v>0</v>
      </c>
      <c r="G92" s="12">
        <f t="shared" si="8"/>
        <v>0</v>
      </c>
      <c r="H92" s="8">
        <f>SUMIFS(Datadetails[[Hours]:[Hours]],Datadetails[[Group]:[Group]],H$5,Datadetails[[Taskcode]:[Taskcode]],$A92,Datadetails[[Activity_help]:[Activity_help]],"C30")</f>
        <v>0</v>
      </c>
      <c r="I92" s="8">
        <f>SUMIFS(Datadetails[[Hours]:[Hours]],Datadetails[[Group]:[Group]],I$5,Datadetails[[Taskcode]:[Taskcode]],$A92,Datadetails[[Activity_help]:[Activity_help]],"C30")</f>
        <v>0</v>
      </c>
      <c r="J92" s="8">
        <f>SUMIFS(Datadetails[[Hours]:[Hours]],Datadetails[[Group]:[Group]],J$5,Datadetails[[Taskcode]:[Taskcode]],$A92,Datadetails[[Activity_help]:[Activity_help]],"C30")</f>
        <v>2.0999999999999996</v>
      </c>
      <c r="K92" s="8">
        <f>SUMIFS(Datadetails[[Hours]:[Hours]],Datadetails[[Group]:[Group]],K$5,Datadetails[[Taskcode]:[Taskcode]],$A92,Datadetails[[Activity_help]:[Activity_help]],"C30")</f>
        <v>0</v>
      </c>
      <c r="L92" s="13">
        <f t="shared" si="6"/>
        <v>2.0999999999999996</v>
      </c>
      <c r="M92" s="39">
        <f>SUMIFS(Datadetails[[Hours]:[Hours]],Datadetails[[Group]:[Group]],M$5,Datadetails[[Taskcode]:[Taskcode]],$A92,Datadetails[[Activity_help]:[Activity_help]],"C40")</f>
        <v>0</v>
      </c>
      <c r="N92" s="39">
        <f>SUMIFS(Datadetails[[Hours]:[Hours]],Datadetails[[Group]:[Group]],N$5,Datadetails[[Taskcode]:[Taskcode]],$A92,Datadetails[[Activity_help]:[Activity_help]],"C40")</f>
        <v>0</v>
      </c>
      <c r="O92" s="39">
        <f>SUMIFS(Datadetails[[Hours]:[Hours]],Datadetails[[Group]:[Group]],O$5,Datadetails[[Taskcode]:[Taskcode]],$A92,Datadetails[[Activity_help]:[Activity_help]],"C40")</f>
        <v>3.16</v>
      </c>
      <c r="P92" s="39">
        <f>SUMIFS(Datadetails[[Hours]:[Hours]],Datadetails[[Group]:[Group]],P$5,Datadetails[[Taskcode]:[Taskcode]],$A92,Datadetails[[Activity_help]:[Activity_help]],"C40")</f>
        <v>0</v>
      </c>
      <c r="Q92" s="40">
        <f t="shared" si="7"/>
        <v>3.16</v>
      </c>
      <c r="R92" s="63">
        <f>SUMIFS(Datadetails[[Hours]:[Hours]],Datadetails[[Group]:[Group]],"Other",Datadetails[[Taskcode]:[Taskcode]],$A92,Datadetails[[Activity_help]:[Activity_help]],"Other")</f>
        <v>0</v>
      </c>
      <c r="S92" s="21">
        <f t="shared" si="9"/>
        <v>5.26</v>
      </c>
    </row>
    <row r="93" spans="1:19" x14ac:dyDescent="0.25">
      <c r="A93" s="35" t="s">
        <v>120</v>
      </c>
      <c r="B93" s="66" t="s">
        <v>255</v>
      </c>
      <c r="C93" s="7">
        <f>SUMIFS(Datadetails[[Hours]:[Hours]],Datadetails[[Group]:[Group]],C$5,Datadetails[[Taskcode]:[Taskcode]],$A93,Datadetails[[Activity_help]:[Activity_help]],"C20")</f>
        <v>0</v>
      </c>
      <c r="D93" s="7">
        <f>SUMIFS(Datadetails[[Hours]:[Hours]],Datadetails[[Group]:[Group]],D$5,Datadetails[[Taskcode]:[Taskcode]],$A93,Datadetails[[Activity_help]:[Activity_help]],"C20")</f>
        <v>0</v>
      </c>
      <c r="E93" s="7">
        <f>SUMIFS(Datadetails[[Hours]:[Hours]],Datadetails[[Group]:[Group]],E$5,Datadetails[[Taskcode]:[Taskcode]],$A93,Datadetails[[Activity_help]:[Activity_help]],"C20")</f>
        <v>0</v>
      </c>
      <c r="F93" s="7">
        <f>SUMIFS(Datadetails[[Hours]:[Hours]],Datadetails[[Group]:[Group]],F$5,Datadetails[[Taskcode]:[Taskcode]],$A93,Datadetails[[Activity_help]:[Activity_help]],"C20")</f>
        <v>0</v>
      </c>
      <c r="G93" s="12">
        <f t="shared" si="8"/>
        <v>0</v>
      </c>
      <c r="H93" s="8">
        <f>SUMIFS(Datadetails[[Hours]:[Hours]],Datadetails[[Group]:[Group]],H$5,Datadetails[[Taskcode]:[Taskcode]],$A93,Datadetails[[Activity_help]:[Activity_help]],"C30")</f>
        <v>0</v>
      </c>
      <c r="I93" s="8">
        <f>SUMIFS(Datadetails[[Hours]:[Hours]],Datadetails[[Group]:[Group]],I$5,Datadetails[[Taskcode]:[Taskcode]],$A93,Datadetails[[Activity_help]:[Activity_help]],"C30")</f>
        <v>0</v>
      </c>
      <c r="J93" s="8">
        <f>SUMIFS(Datadetails[[Hours]:[Hours]],Datadetails[[Group]:[Group]],J$5,Datadetails[[Taskcode]:[Taskcode]],$A93,Datadetails[[Activity_help]:[Activity_help]],"C30")</f>
        <v>4.26</v>
      </c>
      <c r="K93" s="8">
        <f>SUMIFS(Datadetails[[Hours]:[Hours]],Datadetails[[Group]:[Group]],K$5,Datadetails[[Taskcode]:[Taskcode]],$A93,Datadetails[[Activity_help]:[Activity_help]],"C30")</f>
        <v>0</v>
      </c>
      <c r="L93" s="13">
        <f t="shared" si="6"/>
        <v>4.26</v>
      </c>
      <c r="M93" s="39">
        <f>SUMIFS(Datadetails[[Hours]:[Hours]],Datadetails[[Group]:[Group]],M$5,Datadetails[[Taskcode]:[Taskcode]],$A93,Datadetails[[Activity_help]:[Activity_help]],"C40")</f>
        <v>0</v>
      </c>
      <c r="N93" s="39">
        <f>SUMIFS(Datadetails[[Hours]:[Hours]],Datadetails[[Group]:[Group]],N$5,Datadetails[[Taskcode]:[Taskcode]],$A93,Datadetails[[Activity_help]:[Activity_help]],"C40")</f>
        <v>0</v>
      </c>
      <c r="O93" s="39">
        <f>SUMIFS(Datadetails[[Hours]:[Hours]],Datadetails[[Group]:[Group]],O$5,Datadetails[[Taskcode]:[Taskcode]],$A93,Datadetails[[Activity_help]:[Activity_help]],"C40")</f>
        <v>1</v>
      </c>
      <c r="P93" s="39">
        <f>SUMIFS(Datadetails[[Hours]:[Hours]],Datadetails[[Group]:[Group]],P$5,Datadetails[[Taskcode]:[Taskcode]],$A93,Datadetails[[Activity_help]:[Activity_help]],"C40")</f>
        <v>0</v>
      </c>
      <c r="Q93" s="40">
        <f t="shared" si="7"/>
        <v>1</v>
      </c>
      <c r="R93" s="63">
        <f>SUMIFS(Datadetails[[Hours]:[Hours]],Datadetails[[Group]:[Group]],"Other",Datadetails[[Taskcode]:[Taskcode]],$A93,Datadetails[[Activity_help]:[Activity_help]],"Other")</f>
        <v>0</v>
      </c>
      <c r="S93" s="21">
        <f t="shared" si="9"/>
        <v>5.26</v>
      </c>
    </row>
    <row r="94" spans="1:19" x14ac:dyDescent="0.25">
      <c r="A94" s="35" t="s">
        <v>121</v>
      </c>
      <c r="B94" s="66" t="s">
        <v>256</v>
      </c>
      <c r="C94" s="7">
        <f>SUMIFS(Datadetails[[Hours]:[Hours]],Datadetails[[Group]:[Group]],C$5,Datadetails[[Taskcode]:[Taskcode]],$A94,Datadetails[[Activity_help]:[Activity_help]],"C20")</f>
        <v>0</v>
      </c>
      <c r="D94" s="7">
        <f>SUMIFS(Datadetails[[Hours]:[Hours]],Datadetails[[Group]:[Group]],D$5,Datadetails[[Taskcode]:[Taskcode]],$A94,Datadetails[[Activity_help]:[Activity_help]],"C20")</f>
        <v>0</v>
      </c>
      <c r="E94" s="7">
        <f>SUMIFS(Datadetails[[Hours]:[Hours]],Datadetails[[Group]:[Group]],E$5,Datadetails[[Taskcode]:[Taskcode]],$A94,Datadetails[[Activity_help]:[Activity_help]],"C20")</f>
        <v>0</v>
      </c>
      <c r="F94" s="7">
        <f>SUMIFS(Datadetails[[Hours]:[Hours]],Datadetails[[Group]:[Group]],F$5,Datadetails[[Taskcode]:[Taskcode]],$A94,Datadetails[[Activity_help]:[Activity_help]],"C20")</f>
        <v>0</v>
      </c>
      <c r="G94" s="12">
        <f t="shared" si="8"/>
        <v>0</v>
      </c>
      <c r="H94" s="8">
        <f>SUMIFS(Datadetails[[Hours]:[Hours]],Datadetails[[Group]:[Group]],H$5,Datadetails[[Taskcode]:[Taskcode]],$A94,Datadetails[[Activity_help]:[Activity_help]],"C30")</f>
        <v>0</v>
      </c>
      <c r="I94" s="8">
        <f>SUMIFS(Datadetails[[Hours]:[Hours]],Datadetails[[Group]:[Group]],I$5,Datadetails[[Taskcode]:[Taskcode]],$A94,Datadetails[[Activity_help]:[Activity_help]],"C30")</f>
        <v>0</v>
      </c>
      <c r="J94" s="8">
        <f>SUMIFS(Datadetails[[Hours]:[Hours]],Datadetails[[Group]:[Group]],J$5,Datadetails[[Taskcode]:[Taskcode]],$A94,Datadetails[[Activity_help]:[Activity_help]],"C30")</f>
        <v>0.17</v>
      </c>
      <c r="K94" s="8">
        <f>SUMIFS(Datadetails[[Hours]:[Hours]],Datadetails[[Group]:[Group]],K$5,Datadetails[[Taskcode]:[Taskcode]],$A94,Datadetails[[Activity_help]:[Activity_help]],"C30")</f>
        <v>0</v>
      </c>
      <c r="L94" s="13">
        <f t="shared" si="6"/>
        <v>0.17</v>
      </c>
      <c r="M94" s="39">
        <f>SUMIFS(Datadetails[[Hours]:[Hours]],Datadetails[[Group]:[Group]],M$5,Datadetails[[Taskcode]:[Taskcode]],$A94,Datadetails[[Activity_help]:[Activity_help]],"C40")</f>
        <v>0</v>
      </c>
      <c r="N94" s="39">
        <f>SUMIFS(Datadetails[[Hours]:[Hours]],Datadetails[[Group]:[Group]],N$5,Datadetails[[Taskcode]:[Taskcode]],$A94,Datadetails[[Activity_help]:[Activity_help]],"C40")</f>
        <v>0</v>
      </c>
      <c r="O94" s="39">
        <f>SUMIFS(Datadetails[[Hours]:[Hours]],Datadetails[[Group]:[Group]],O$5,Datadetails[[Taskcode]:[Taskcode]],$A94,Datadetails[[Activity_help]:[Activity_help]],"C40")</f>
        <v>2</v>
      </c>
      <c r="P94" s="39">
        <f>SUMIFS(Datadetails[[Hours]:[Hours]],Datadetails[[Group]:[Group]],P$5,Datadetails[[Taskcode]:[Taskcode]],$A94,Datadetails[[Activity_help]:[Activity_help]],"C40")</f>
        <v>0</v>
      </c>
      <c r="Q94" s="40">
        <f t="shared" si="7"/>
        <v>2</v>
      </c>
      <c r="R94" s="63">
        <f>SUMIFS(Datadetails[[Hours]:[Hours]],Datadetails[[Group]:[Group]],"Other",Datadetails[[Taskcode]:[Taskcode]],$A94,Datadetails[[Activity_help]:[Activity_help]],"Other")</f>
        <v>0</v>
      </c>
      <c r="S94" s="21">
        <f t="shared" si="9"/>
        <v>2.17</v>
      </c>
    </row>
    <row r="95" spans="1:19" x14ac:dyDescent="0.25">
      <c r="A95" s="35" t="s">
        <v>122</v>
      </c>
      <c r="B95" s="66" t="s">
        <v>257</v>
      </c>
      <c r="C95" s="7">
        <f>SUMIFS(Datadetails[[Hours]:[Hours]],Datadetails[[Group]:[Group]],C$5,Datadetails[[Taskcode]:[Taskcode]],$A95,Datadetails[[Activity_help]:[Activity_help]],"C20")</f>
        <v>0</v>
      </c>
      <c r="D95" s="7">
        <f>SUMIFS(Datadetails[[Hours]:[Hours]],Datadetails[[Group]:[Group]],D$5,Datadetails[[Taskcode]:[Taskcode]],$A95,Datadetails[[Activity_help]:[Activity_help]],"C20")</f>
        <v>0</v>
      </c>
      <c r="E95" s="7">
        <f>SUMIFS(Datadetails[[Hours]:[Hours]],Datadetails[[Group]:[Group]],E$5,Datadetails[[Taskcode]:[Taskcode]],$A95,Datadetails[[Activity_help]:[Activity_help]],"C20")</f>
        <v>0</v>
      </c>
      <c r="F95" s="7">
        <f>SUMIFS(Datadetails[[Hours]:[Hours]],Datadetails[[Group]:[Group]],F$5,Datadetails[[Taskcode]:[Taskcode]],$A95,Datadetails[[Activity_help]:[Activity_help]],"C20")</f>
        <v>0</v>
      </c>
      <c r="G95" s="12">
        <f t="shared" si="8"/>
        <v>0</v>
      </c>
      <c r="H95" s="8">
        <f>SUMIFS(Datadetails[[Hours]:[Hours]],Datadetails[[Group]:[Group]],H$5,Datadetails[[Taskcode]:[Taskcode]],$A95,Datadetails[[Activity_help]:[Activity_help]],"C30")</f>
        <v>0</v>
      </c>
      <c r="I95" s="8">
        <f>SUMIFS(Datadetails[[Hours]:[Hours]],Datadetails[[Group]:[Group]],I$5,Datadetails[[Taskcode]:[Taskcode]],$A95,Datadetails[[Activity_help]:[Activity_help]],"C30")</f>
        <v>0.5</v>
      </c>
      <c r="J95" s="8">
        <f>SUMIFS(Datadetails[[Hours]:[Hours]],Datadetails[[Group]:[Group]],J$5,Datadetails[[Taskcode]:[Taskcode]],$A95,Datadetails[[Activity_help]:[Activity_help]],"C30")</f>
        <v>0</v>
      </c>
      <c r="K95" s="8">
        <f>SUMIFS(Datadetails[[Hours]:[Hours]],Datadetails[[Group]:[Group]],K$5,Datadetails[[Taskcode]:[Taskcode]],$A95,Datadetails[[Activity_help]:[Activity_help]],"C30")</f>
        <v>0</v>
      </c>
      <c r="L95" s="13">
        <f t="shared" si="6"/>
        <v>0.5</v>
      </c>
      <c r="M95" s="39">
        <f>SUMIFS(Datadetails[[Hours]:[Hours]],Datadetails[[Group]:[Group]],M$5,Datadetails[[Taskcode]:[Taskcode]],$A95,Datadetails[[Activity_help]:[Activity_help]],"C40")</f>
        <v>0</v>
      </c>
      <c r="N95" s="39">
        <f>SUMIFS(Datadetails[[Hours]:[Hours]],Datadetails[[Group]:[Group]],N$5,Datadetails[[Taskcode]:[Taskcode]],$A95,Datadetails[[Activity_help]:[Activity_help]],"C40")</f>
        <v>0</v>
      </c>
      <c r="O95" s="39">
        <f>SUMIFS(Datadetails[[Hours]:[Hours]],Datadetails[[Group]:[Group]],O$5,Datadetails[[Taskcode]:[Taskcode]],$A95,Datadetails[[Activity_help]:[Activity_help]],"C40")</f>
        <v>0</v>
      </c>
      <c r="P95" s="39">
        <f>SUMIFS(Datadetails[[Hours]:[Hours]],Datadetails[[Group]:[Group]],P$5,Datadetails[[Taskcode]:[Taskcode]],$A95,Datadetails[[Activity_help]:[Activity_help]],"C40")</f>
        <v>0</v>
      </c>
      <c r="Q95" s="40">
        <f t="shared" si="7"/>
        <v>0</v>
      </c>
      <c r="R95" s="63">
        <f>SUMIFS(Datadetails[[Hours]:[Hours]],Datadetails[[Group]:[Group]],"Other",Datadetails[[Taskcode]:[Taskcode]],$A95,Datadetails[[Activity_help]:[Activity_help]],"Other")</f>
        <v>0</v>
      </c>
      <c r="S95" s="21">
        <f t="shared" si="9"/>
        <v>0.5</v>
      </c>
    </row>
    <row r="96" spans="1:19" x14ac:dyDescent="0.25">
      <c r="A96" s="35" t="s">
        <v>46</v>
      </c>
      <c r="B96" s="66" t="s">
        <v>258</v>
      </c>
      <c r="C96" s="7">
        <f>SUMIFS(Datadetails[[Hours]:[Hours]],Datadetails[[Group]:[Group]],C$5,Datadetails[[Taskcode]:[Taskcode]],$A96,Datadetails[[Activity_help]:[Activity_help]],"C20")</f>
        <v>0</v>
      </c>
      <c r="D96" s="7">
        <f>SUMIFS(Datadetails[[Hours]:[Hours]],Datadetails[[Group]:[Group]],D$5,Datadetails[[Taskcode]:[Taskcode]],$A96,Datadetails[[Activity_help]:[Activity_help]],"C20")</f>
        <v>0</v>
      </c>
      <c r="E96" s="7">
        <f>SUMIFS(Datadetails[[Hours]:[Hours]],Datadetails[[Group]:[Group]],E$5,Datadetails[[Taskcode]:[Taskcode]],$A96,Datadetails[[Activity_help]:[Activity_help]],"C20")</f>
        <v>0</v>
      </c>
      <c r="F96" s="7">
        <f>SUMIFS(Datadetails[[Hours]:[Hours]],Datadetails[[Group]:[Group]],F$5,Datadetails[[Taskcode]:[Taskcode]],$A96,Datadetails[[Activity_help]:[Activity_help]],"C20")</f>
        <v>0</v>
      </c>
      <c r="G96" s="12">
        <f t="shared" si="8"/>
        <v>0</v>
      </c>
      <c r="H96" s="8">
        <f>SUMIFS(Datadetails[[Hours]:[Hours]],Datadetails[[Group]:[Group]],H$5,Datadetails[[Taskcode]:[Taskcode]],$A96,Datadetails[[Activity_help]:[Activity_help]],"C30")</f>
        <v>0</v>
      </c>
      <c r="I96" s="8">
        <f>SUMIFS(Datadetails[[Hours]:[Hours]],Datadetails[[Group]:[Group]],I$5,Datadetails[[Taskcode]:[Taskcode]],$A96,Datadetails[[Activity_help]:[Activity_help]],"C30")</f>
        <v>0</v>
      </c>
      <c r="J96" s="8">
        <f>SUMIFS(Datadetails[[Hours]:[Hours]],Datadetails[[Group]:[Group]],J$5,Datadetails[[Taskcode]:[Taskcode]],$A96,Datadetails[[Activity_help]:[Activity_help]],"C30")</f>
        <v>3.0700000000000003</v>
      </c>
      <c r="K96" s="8">
        <f>SUMIFS(Datadetails[[Hours]:[Hours]],Datadetails[[Group]:[Group]],K$5,Datadetails[[Taskcode]:[Taskcode]],$A96,Datadetails[[Activity_help]:[Activity_help]],"C30")</f>
        <v>0</v>
      </c>
      <c r="L96" s="13">
        <f t="shared" si="6"/>
        <v>3.0700000000000003</v>
      </c>
      <c r="M96" s="39">
        <f>SUMIFS(Datadetails[[Hours]:[Hours]],Datadetails[[Group]:[Group]],M$5,Datadetails[[Taskcode]:[Taskcode]],$A96,Datadetails[[Activity_help]:[Activity_help]],"C40")</f>
        <v>0</v>
      </c>
      <c r="N96" s="39">
        <f>SUMIFS(Datadetails[[Hours]:[Hours]],Datadetails[[Group]:[Group]],N$5,Datadetails[[Taskcode]:[Taskcode]],$A96,Datadetails[[Activity_help]:[Activity_help]],"C40")</f>
        <v>0</v>
      </c>
      <c r="O96" s="39">
        <f>SUMIFS(Datadetails[[Hours]:[Hours]],Datadetails[[Group]:[Group]],O$5,Datadetails[[Taskcode]:[Taskcode]],$A96,Datadetails[[Activity_help]:[Activity_help]],"C40")</f>
        <v>0</v>
      </c>
      <c r="P96" s="39">
        <f>SUMIFS(Datadetails[[Hours]:[Hours]],Datadetails[[Group]:[Group]],P$5,Datadetails[[Taskcode]:[Taskcode]],$A96,Datadetails[[Activity_help]:[Activity_help]],"C40")</f>
        <v>0</v>
      </c>
      <c r="Q96" s="40">
        <f t="shared" si="7"/>
        <v>0</v>
      </c>
      <c r="R96" s="63">
        <f>SUMIFS(Datadetails[[Hours]:[Hours]],Datadetails[[Group]:[Group]],"Other",Datadetails[[Taskcode]:[Taskcode]],$A96,Datadetails[[Activity_help]:[Activity_help]],"Other")</f>
        <v>0</v>
      </c>
      <c r="S96" s="21">
        <f t="shared" si="9"/>
        <v>3.0700000000000003</v>
      </c>
    </row>
    <row r="97" spans="1:19" x14ac:dyDescent="0.25">
      <c r="A97" s="35" t="s">
        <v>28</v>
      </c>
      <c r="B97" s="66" t="s">
        <v>259</v>
      </c>
      <c r="C97" s="7">
        <f>SUMIFS(Datadetails[[Hours]:[Hours]],Datadetails[[Group]:[Group]],C$5,Datadetails[[Taskcode]:[Taskcode]],$A97,Datadetails[[Activity_help]:[Activity_help]],"C20")</f>
        <v>0</v>
      </c>
      <c r="D97" s="7">
        <f>SUMIFS(Datadetails[[Hours]:[Hours]],Datadetails[[Group]:[Group]],D$5,Datadetails[[Taskcode]:[Taskcode]],$A97,Datadetails[[Activity_help]:[Activity_help]],"C20")</f>
        <v>0</v>
      </c>
      <c r="E97" s="7">
        <f>SUMIFS(Datadetails[[Hours]:[Hours]],Datadetails[[Group]:[Group]],E$5,Datadetails[[Taskcode]:[Taskcode]],$A97,Datadetails[[Activity_help]:[Activity_help]],"C20")</f>
        <v>0</v>
      </c>
      <c r="F97" s="7">
        <f>SUMIFS(Datadetails[[Hours]:[Hours]],Datadetails[[Group]:[Group]],F$5,Datadetails[[Taskcode]:[Taskcode]],$A97,Datadetails[[Activity_help]:[Activity_help]],"C20")</f>
        <v>0</v>
      </c>
      <c r="G97" s="12">
        <f t="shared" si="8"/>
        <v>0</v>
      </c>
      <c r="H97" s="8">
        <f>SUMIFS(Datadetails[[Hours]:[Hours]],Datadetails[[Group]:[Group]],H$5,Datadetails[[Taskcode]:[Taskcode]],$A97,Datadetails[[Activity_help]:[Activity_help]],"C30")</f>
        <v>0</v>
      </c>
      <c r="I97" s="8">
        <f>SUMIFS(Datadetails[[Hours]:[Hours]],Datadetails[[Group]:[Group]],I$5,Datadetails[[Taskcode]:[Taskcode]],$A97,Datadetails[[Activity_help]:[Activity_help]],"C30")</f>
        <v>0</v>
      </c>
      <c r="J97" s="8">
        <f>SUMIFS(Datadetails[[Hours]:[Hours]],Datadetails[[Group]:[Group]],J$5,Datadetails[[Taskcode]:[Taskcode]],$A97,Datadetails[[Activity_help]:[Activity_help]],"C30")</f>
        <v>8.83</v>
      </c>
      <c r="K97" s="8">
        <f>SUMIFS(Datadetails[[Hours]:[Hours]],Datadetails[[Group]:[Group]],K$5,Datadetails[[Taskcode]:[Taskcode]],$A97,Datadetails[[Activity_help]:[Activity_help]],"C30")</f>
        <v>0</v>
      </c>
      <c r="L97" s="13">
        <f t="shared" si="6"/>
        <v>8.83</v>
      </c>
      <c r="M97" s="39">
        <f>SUMIFS(Datadetails[[Hours]:[Hours]],Datadetails[[Group]:[Group]],M$5,Datadetails[[Taskcode]:[Taskcode]],$A97,Datadetails[[Activity_help]:[Activity_help]],"C40")</f>
        <v>0</v>
      </c>
      <c r="N97" s="39">
        <f>SUMIFS(Datadetails[[Hours]:[Hours]],Datadetails[[Group]:[Group]],N$5,Datadetails[[Taskcode]:[Taskcode]],$A97,Datadetails[[Activity_help]:[Activity_help]],"C40")</f>
        <v>0</v>
      </c>
      <c r="O97" s="39">
        <f>SUMIFS(Datadetails[[Hours]:[Hours]],Datadetails[[Group]:[Group]],O$5,Datadetails[[Taskcode]:[Taskcode]],$A97,Datadetails[[Activity_help]:[Activity_help]],"C40")</f>
        <v>2.75</v>
      </c>
      <c r="P97" s="39">
        <f>SUMIFS(Datadetails[[Hours]:[Hours]],Datadetails[[Group]:[Group]],P$5,Datadetails[[Taskcode]:[Taskcode]],$A97,Datadetails[[Activity_help]:[Activity_help]],"C40")</f>
        <v>0</v>
      </c>
      <c r="Q97" s="40">
        <f t="shared" si="7"/>
        <v>2.75</v>
      </c>
      <c r="R97" s="63">
        <f>SUMIFS(Datadetails[[Hours]:[Hours]],Datadetails[[Group]:[Group]],"Other",Datadetails[[Taskcode]:[Taskcode]],$A97,Datadetails[[Activity_help]:[Activity_help]],"Other")</f>
        <v>0</v>
      </c>
      <c r="S97" s="21">
        <f t="shared" si="9"/>
        <v>11.58</v>
      </c>
    </row>
    <row r="98" spans="1:19" x14ac:dyDescent="0.25">
      <c r="A98" s="35" t="s">
        <v>123</v>
      </c>
      <c r="B98" s="66" t="s">
        <v>260</v>
      </c>
      <c r="C98" s="7">
        <f>SUMIFS(Datadetails[[Hours]:[Hours]],Datadetails[[Group]:[Group]],C$5,Datadetails[[Taskcode]:[Taskcode]],$A98,Datadetails[[Activity_help]:[Activity_help]],"C20")</f>
        <v>0</v>
      </c>
      <c r="D98" s="7">
        <f>SUMIFS(Datadetails[[Hours]:[Hours]],Datadetails[[Group]:[Group]],D$5,Datadetails[[Taskcode]:[Taskcode]],$A98,Datadetails[[Activity_help]:[Activity_help]],"C20")</f>
        <v>0</v>
      </c>
      <c r="E98" s="7">
        <f>SUMIFS(Datadetails[[Hours]:[Hours]],Datadetails[[Group]:[Group]],E$5,Datadetails[[Taskcode]:[Taskcode]],$A98,Datadetails[[Activity_help]:[Activity_help]],"C20")</f>
        <v>0</v>
      </c>
      <c r="F98" s="7">
        <f>SUMIFS(Datadetails[[Hours]:[Hours]],Datadetails[[Group]:[Group]],F$5,Datadetails[[Taskcode]:[Taskcode]],$A98,Datadetails[[Activity_help]:[Activity_help]],"C20")</f>
        <v>0</v>
      </c>
      <c r="G98" s="12">
        <f t="shared" si="8"/>
        <v>0</v>
      </c>
      <c r="H98" s="8">
        <f>SUMIFS(Datadetails[[Hours]:[Hours]],Datadetails[[Group]:[Group]],H$5,Datadetails[[Taskcode]:[Taskcode]],$A98,Datadetails[[Activity_help]:[Activity_help]],"C30")</f>
        <v>0</v>
      </c>
      <c r="I98" s="8">
        <f>SUMIFS(Datadetails[[Hours]:[Hours]],Datadetails[[Group]:[Group]],I$5,Datadetails[[Taskcode]:[Taskcode]],$A98,Datadetails[[Activity_help]:[Activity_help]],"C30")</f>
        <v>0</v>
      </c>
      <c r="J98" s="8">
        <f>SUMIFS(Datadetails[[Hours]:[Hours]],Datadetails[[Group]:[Group]],J$5,Datadetails[[Taskcode]:[Taskcode]],$A98,Datadetails[[Activity_help]:[Activity_help]],"C30")</f>
        <v>0</v>
      </c>
      <c r="K98" s="8">
        <f>SUMIFS(Datadetails[[Hours]:[Hours]],Datadetails[[Group]:[Group]],K$5,Datadetails[[Taskcode]:[Taskcode]],$A98,Datadetails[[Activity_help]:[Activity_help]],"C30")</f>
        <v>0</v>
      </c>
      <c r="L98" s="13">
        <f t="shared" si="6"/>
        <v>0</v>
      </c>
      <c r="M98" s="39">
        <f>SUMIFS(Datadetails[[Hours]:[Hours]],Datadetails[[Group]:[Group]],M$5,Datadetails[[Taskcode]:[Taskcode]],$A98,Datadetails[[Activity_help]:[Activity_help]],"C40")</f>
        <v>0</v>
      </c>
      <c r="N98" s="39">
        <f>SUMIFS(Datadetails[[Hours]:[Hours]],Datadetails[[Group]:[Group]],N$5,Datadetails[[Taskcode]:[Taskcode]],$A98,Datadetails[[Activity_help]:[Activity_help]],"C40")</f>
        <v>0</v>
      </c>
      <c r="O98" s="39">
        <f>SUMIFS(Datadetails[[Hours]:[Hours]],Datadetails[[Group]:[Group]],O$5,Datadetails[[Taskcode]:[Taskcode]],$A98,Datadetails[[Activity_help]:[Activity_help]],"C40")</f>
        <v>0</v>
      </c>
      <c r="P98" s="39">
        <f>SUMIFS(Datadetails[[Hours]:[Hours]],Datadetails[[Group]:[Group]],P$5,Datadetails[[Taskcode]:[Taskcode]],$A98,Datadetails[[Activity_help]:[Activity_help]],"C40")</f>
        <v>0</v>
      </c>
      <c r="Q98" s="40">
        <f t="shared" si="7"/>
        <v>0</v>
      </c>
      <c r="R98" s="63">
        <f>SUMIFS(Datadetails[[Hours]:[Hours]],Datadetails[[Group]:[Group]],"Other",Datadetails[[Taskcode]:[Taskcode]],$A98,Datadetails[[Activity_help]:[Activity_help]],"Other")</f>
        <v>0</v>
      </c>
      <c r="S98" s="21">
        <f t="shared" si="9"/>
        <v>0</v>
      </c>
    </row>
    <row r="99" spans="1:19" x14ac:dyDescent="0.25">
      <c r="A99" s="35" t="s">
        <v>124</v>
      </c>
      <c r="B99" s="66" t="s">
        <v>261</v>
      </c>
      <c r="C99" s="7">
        <f>SUMIFS(Datadetails[[Hours]:[Hours]],Datadetails[[Group]:[Group]],C$5,Datadetails[[Taskcode]:[Taskcode]],$A99,Datadetails[[Activity_help]:[Activity_help]],"C20")</f>
        <v>0</v>
      </c>
      <c r="D99" s="7">
        <f>SUMIFS(Datadetails[[Hours]:[Hours]],Datadetails[[Group]:[Group]],D$5,Datadetails[[Taskcode]:[Taskcode]],$A99,Datadetails[[Activity_help]:[Activity_help]],"C20")</f>
        <v>0</v>
      </c>
      <c r="E99" s="7">
        <f>SUMIFS(Datadetails[[Hours]:[Hours]],Datadetails[[Group]:[Group]],E$5,Datadetails[[Taskcode]:[Taskcode]],$A99,Datadetails[[Activity_help]:[Activity_help]],"C20")</f>
        <v>0</v>
      </c>
      <c r="F99" s="7">
        <f>SUMIFS(Datadetails[[Hours]:[Hours]],Datadetails[[Group]:[Group]],F$5,Datadetails[[Taskcode]:[Taskcode]],$A99,Datadetails[[Activity_help]:[Activity_help]],"C20")</f>
        <v>0</v>
      </c>
      <c r="G99" s="12">
        <f t="shared" si="8"/>
        <v>0</v>
      </c>
      <c r="H99" s="8">
        <f>SUMIFS(Datadetails[[Hours]:[Hours]],Datadetails[[Group]:[Group]],H$5,Datadetails[[Taskcode]:[Taskcode]],$A99,Datadetails[[Activity_help]:[Activity_help]],"C30")</f>
        <v>0</v>
      </c>
      <c r="I99" s="8">
        <f>SUMIFS(Datadetails[[Hours]:[Hours]],Datadetails[[Group]:[Group]],I$5,Datadetails[[Taskcode]:[Taskcode]],$A99,Datadetails[[Activity_help]:[Activity_help]],"C30")</f>
        <v>0</v>
      </c>
      <c r="J99" s="8">
        <f>SUMIFS(Datadetails[[Hours]:[Hours]],Datadetails[[Group]:[Group]],J$5,Datadetails[[Taskcode]:[Taskcode]],$A99,Datadetails[[Activity_help]:[Activity_help]],"C30")</f>
        <v>3.26</v>
      </c>
      <c r="K99" s="8">
        <f>SUMIFS(Datadetails[[Hours]:[Hours]],Datadetails[[Group]:[Group]],K$5,Datadetails[[Taskcode]:[Taskcode]],$A99,Datadetails[[Activity_help]:[Activity_help]],"C30")</f>
        <v>0</v>
      </c>
      <c r="L99" s="13">
        <f t="shared" si="6"/>
        <v>3.26</v>
      </c>
      <c r="M99" s="39">
        <f>SUMIFS(Datadetails[[Hours]:[Hours]],Datadetails[[Group]:[Group]],M$5,Datadetails[[Taskcode]:[Taskcode]],$A99,Datadetails[[Activity_help]:[Activity_help]],"C40")</f>
        <v>0</v>
      </c>
      <c r="N99" s="39">
        <f>SUMIFS(Datadetails[[Hours]:[Hours]],Datadetails[[Group]:[Group]],N$5,Datadetails[[Taskcode]:[Taskcode]],$A99,Datadetails[[Activity_help]:[Activity_help]],"C40")</f>
        <v>0</v>
      </c>
      <c r="O99" s="39">
        <f>SUMIFS(Datadetails[[Hours]:[Hours]],Datadetails[[Group]:[Group]],O$5,Datadetails[[Taskcode]:[Taskcode]],$A99,Datadetails[[Activity_help]:[Activity_help]],"C40")</f>
        <v>2.25</v>
      </c>
      <c r="P99" s="39">
        <f>SUMIFS(Datadetails[[Hours]:[Hours]],Datadetails[[Group]:[Group]],P$5,Datadetails[[Taskcode]:[Taskcode]],$A99,Datadetails[[Activity_help]:[Activity_help]],"C40")</f>
        <v>0</v>
      </c>
      <c r="Q99" s="40">
        <f t="shared" si="7"/>
        <v>2.25</v>
      </c>
      <c r="R99" s="63">
        <f>SUMIFS(Datadetails[[Hours]:[Hours]],Datadetails[[Group]:[Group]],"Other",Datadetails[[Taskcode]:[Taskcode]],$A99,Datadetails[[Activity_help]:[Activity_help]],"Other")</f>
        <v>0</v>
      </c>
      <c r="S99" s="21">
        <f t="shared" si="9"/>
        <v>5.51</v>
      </c>
    </row>
    <row r="100" spans="1:19" x14ac:dyDescent="0.25">
      <c r="A100" s="35" t="s">
        <v>125</v>
      </c>
      <c r="B100" s="66" t="s">
        <v>262</v>
      </c>
      <c r="C100" s="7">
        <f>SUMIFS(Datadetails[[Hours]:[Hours]],Datadetails[[Group]:[Group]],C$5,Datadetails[[Taskcode]:[Taskcode]],$A100,Datadetails[[Activity_help]:[Activity_help]],"C20")</f>
        <v>0</v>
      </c>
      <c r="D100" s="7">
        <f>SUMIFS(Datadetails[[Hours]:[Hours]],Datadetails[[Group]:[Group]],D$5,Datadetails[[Taskcode]:[Taskcode]],$A100,Datadetails[[Activity_help]:[Activity_help]],"C20")</f>
        <v>0</v>
      </c>
      <c r="E100" s="7">
        <f>SUMIFS(Datadetails[[Hours]:[Hours]],Datadetails[[Group]:[Group]],E$5,Datadetails[[Taskcode]:[Taskcode]],$A100,Datadetails[[Activity_help]:[Activity_help]],"C20")</f>
        <v>0</v>
      </c>
      <c r="F100" s="7">
        <f>SUMIFS(Datadetails[[Hours]:[Hours]],Datadetails[[Group]:[Group]],F$5,Datadetails[[Taskcode]:[Taskcode]],$A100,Datadetails[[Activity_help]:[Activity_help]],"C20")</f>
        <v>0</v>
      </c>
      <c r="G100" s="12">
        <f t="shared" si="8"/>
        <v>0</v>
      </c>
      <c r="H100" s="8">
        <f>SUMIFS(Datadetails[[Hours]:[Hours]],Datadetails[[Group]:[Group]],H$5,Datadetails[[Taskcode]:[Taskcode]],$A100,Datadetails[[Activity_help]:[Activity_help]],"C30")</f>
        <v>0</v>
      </c>
      <c r="I100" s="8">
        <f>SUMIFS(Datadetails[[Hours]:[Hours]],Datadetails[[Group]:[Group]],I$5,Datadetails[[Taskcode]:[Taskcode]],$A100,Datadetails[[Activity_help]:[Activity_help]],"C30")</f>
        <v>0</v>
      </c>
      <c r="J100" s="8">
        <f>SUMIFS(Datadetails[[Hours]:[Hours]],Datadetails[[Group]:[Group]],J$5,Datadetails[[Taskcode]:[Taskcode]],$A100,Datadetails[[Activity_help]:[Activity_help]],"C30")</f>
        <v>2.9599999999999995</v>
      </c>
      <c r="K100" s="8">
        <f>SUMIFS(Datadetails[[Hours]:[Hours]],Datadetails[[Group]:[Group]],K$5,Datadetails[[Taskcode]:[Taskcode]],$A100,Datadetails[[Activity_help]:[Activity_help]],"C30")</f>
        <v>0</v>
      </c>
      <c r="L100" s="13">
        <f t="shared" si="6"/>
        <v>2.9599999999999995</v>
      </c>
      <c r="M100" s="39">
        <f>SUMIFS(Datadetails[[Hours]:[Hours]],Datadetails[[Group]:[Group]],M$5,Datadetails[[Taskcode]:[Taskcode]],$A100,Datadetails[[Activity_help]:[Activity_help]],"C40")</f>
        <v>0</v>
      </c>
      <c r="N100" s="39">
        <f>SUMIFS(Datadetails[[Hours]:[Hours]],Datadetails[[Group]:[Group]],N$5,Datadetails[[Taskcode]:[Taskcode]],$A100,Datadetails[[Activity_help]:[Activity_help]],"C40")</f>
        <v>0</v>
      </c>
      <c r="O100" s="39">
        <f>SUMIFS(Datadetails[[Hours]:[Hours]],Datadetails[[Group]:[Group]],O$5,Datadetails[[Taskcode]:[Taskcode]],$A100,Datadetails[[Activity_help]:[Activity_help]],"C40")</f>
        <v>3.34</v>
      </c>
      <c r="P100" s="39">
        <f>SUMIFS(Datadetails[[Hours]:[Hours]],Datadetails[[Group]:[Group]],P$5,Datadetails[[Taskcode]:[Taskcode]],$A100,Datadetails[[Activity_help]:[Activity_help]],"C40")</f>
        <v>0</v>
      </c>
      <c r="Q100" s="40">
        <f t="shared" si="7"/>
        <v>3.34</v>
      </c>
      <c r="R100" s="63">
        <f>SUMIFS(Datadetails[[Hours]:[Hours]],Datadetails[[Group]:[Group]],"Other",Datadetails[[Taskcode]:[Taskcode]],$A100,Datadetails[[Activity_help]:[Activity_help]],"Other")</f>
        <v>0</v>
      </c>
      <c r="S100" s="21">
        <f t="shared" si="9"/>
        <v>6.2999999999999989</v>
      </c>
    </row>
    <row r="101" spans="1:19" x14ac:dyDescent="0.25">
      <c r="A101" s="35" t="s">
        <v>126</v>
      </c>
      <c r="B101" s="66" t="s">
        <v>263</v>
      </c>
      <c r="C101" s="7">
        <f>SUMIFS(Datadetails[[Hours]:[Hours]],Datadetails[[Group]:[Group]],C$5,Datadetails[[Taskcode]:[Taskcode]],$A101,Datadetails[[Activity_help]:[Activity_help]],"C20")</f>
        <v>0</v>
      </c>
      <c r="D101" s="7">
        <f>SUMIFS(Datadetails[[Hours]:[Hours]],Datadetails[[Group]:[Group]],D$5,Datadetails[[Taskcode]:[Taskcode]],$A101,Datadetails[[Activity_help]:[Activity_help]],"C20")</f>
        <v>0</v>
      </c>
      <c r="E101" s="7">
        <f>SUMIFS(Datadetails[[Hours]:[Hours]],Datadetails[[Group]:[Group]],E$5,Datadetails[[Taskcode]:[Taskcode]],$A101,Datadetails[[Activity_help]:[Activity_help]],"C20")</f>
        <v>0</v>
      </c>
      <c r="F101" s="7">
        <f>SUMIFS(Datadetails[[Hours]:[Hours]],Datadetails[[Group]:[Group]],F$5,Datadetails[[Taskcode]:[Taskcode]],$A101,Datadetails[[Activity_help]:[Activity_help]],"C20")</f>
        <v>0</v>
      </c>
      <c r="G101" s="12">
        <f t="shared" si="8"/>
        <v>0</v>
      </c>
      <c r="H101" s="8">
        <f>SUMIFS(Datadetails[[Hours]:[Hours]],Datadetails[[Group]:[Group]],H$5,Datadetails[[Taskcode]:[Taskcode]],$A101,Datadetails[[Activity_help]:[Activity_help]],"C30")</f>
        <v>0</v>
      </c>
      <c r="I101" s="8">
        <f>SUMIFS(Datadetails[[Hours]:[Hours]],Datadetails[[Group]:[Group]],I$5,Datadetails[[Taskcode]:[Taskcode]],$A101,Datadetails[[Activity_help]:[Activity_help]],"C30")</f>
        <v>0</v>
      </c>
      <c r="J101" s="8">
        <f>SUMIFS(Datadetails[[Hours]:[Hours]],Datadetails[[Group]:[Group]],J$5,Datadetails[[Taskcode]:[Taskcode]],$A101,Datadetails[[Activity_help]:[Activity_help]],"C30")</f>
        <v>3.08</v>
      </c>
      <c r="K101" s="8">
        <f>SUMIFS(Datadetails[[Hours]:[Hours]],Datadetails[[Group]:[Group]],K$5,Datadetails[[Taskcode]:[Taskcode]],$A101,Datadetails[[Activity_help]:[Activity_help]],"C30")</f>
        <v>0</v>
      </c>
      <c r="L101" s="13">
        <f t="shared" si="6"/>
        <v>3.08</v>
      </c>
      <c r="M101" s="39">
        <f>SUMIFS(Datadetails[[Hours]:[Hours]],Datadetails[[Group]:[Group]],M$5,Datadetails[[Taskcode]:[Taskcode]],$A101,Datadetails[[Activity_help]:[Activity_help]],"C40")</f>
        <v>0</v>
      </c>
      <c r="N101" s="39">
        <f>SUMIFS(Datadetails[[Hours]:[Hours]],Datadetails[[Group]:[Group]],N$5,Datadetails[[Taskcode]:[Taskcode]],$A101,Datadetails[[Activity_help]:[Activity_help]],"C40")</f>
        <v>0</v>
      </c>
      <c r="O101" s="39">
        <f>SUMIFS(Datadetails[[Hours]:[Hours]],Datadetails[[Group]:[Group]],O$5,Datadetails[[Taskcode]:[Taskcode]],$A101,Datadetails[[Activity_help]:[Activity_help]],"C40")</f>
        <v>4.75</v>
      </c>
      <c r="P101" s="39">
        <f>SUMIFS(Datadetails[[Hours]:[Hours]],Datadetails[[Group]:[Group]],P$5,Datadetails[[Taskcode]:[Taskcode]],$A101,Datadetails[[Activity_help]:[Activity_help]],"C40")</f>
        <v>0</v>
      </c>
      <c r="Q101" s="40">
        <f t="shared" si="7"/>
        <v>4.75</v>
      </c>
      <c r="R101" s="63">
        <f>SUMIFS(Datadetails[[Hours]:[Hours]],Datadetails[[Group]:[Group]],"Other",Datadetails[[Taskcode]:[Taskcode]],$A101,Datadetails[[Activity_help]:[Activity_help]],"Other")</f>
        <v>0</v>
      </c>
      <c r="S101" s="21">
        <f t="shared" si="9"/>
        <v>7.83</v>
      </c>
    </row>
    <row r="102" spans="1:19" x14ac:dyDescent="0.25">
      <c r="A102" s="35" t="s">
        <v>127</v>
      </c>
      <c r="B102" s="66" t="s">
        <v>264</v>
      </c>
      <c r="C102" s="7">
        <f>SUMIFS(Datadetails[[Hours]:[Hours]],Datadetails[[Group]:[Group]],C$5,Datadetails[[Taskcode]:[Taskcode]],$A102,Datadetails[[Activity_help]:[Activity_help]],"C20")</f>
        <v>0</v>
      </c>
      <c r="D102" s="7">
        <f>SUMIFS(Datadetails[[Hours]:[Hours]],Datadetails[[Group]:[Group]],D$5,Datadetails[[Taskcode]:[Taskcode]],$A102,Datadetails[[Activity_help]:[Activity_help]],"C20")</f>
        <v>0</v>
      </c>
      <c r="E102" s="7">
        <f>SUMIFS(Datadetails[[Hours]:[Hours]],Datadetails[[Group]:[Group]],E$5,Datadetails[[Taskcode]:[Taskcode]],$A102,Datadetails[[Activity_help]:[Activity_help]],"C20")</f>
        <v>0</v>
      </c>
      <c r="F102" s="7">
        <f>SUMIFS(Datadetails[[Hours]:[Hours]],Datadetails[[Group]:[Group]],F$5,Datadetails[[Taskcode]:[Taskcode]],$A102,Datadetails[[Activity_help]:[Activity_help]],"C20")</f>
        <v>0</v>
      </c>
      <c r="G102" s="12">
        <f t="shared" si="8"/>
        <v>0</v>
      </c>
      <c r="H102" s="8">
        <f>SUMIFS(Datadetails[[Hours]:[Hours]],Datadetails[[Group]:[Group]],H$5,Datadetails[[Taskcode]:[Taskcode]],$A102,Datadetails[[Activity_help]:[Activity_help]],"C30")</f>
        <v>0</v>
      </c>
      <c r="I102" s="8">
        <f>SUMIFS(Datadetails[[Hours]:[Hours]],Datadetails[[Group]:[Group]],I$5,Datadetails[[Taskcode]:[Taskcode]],$A102,Datadetails[[Activity_help]:[Activity_help]],"C30")</f>
        <v>0</v>
      </c>
      <c r="J102" s="8">
        <f>SUMIFS(Datadetails[[Hours]:[Hours]],Datadetails[[Group]:[Group]],J$5,Datadetails[[Taskcode]:[Taskcode]],$A102,Datadetails[[Activity_help]:[Activity_help]],"C30")</f>
        <v>3.27</v>
      </c>
      <c r="K102" s="8">
        <f>SUMIFS(Datadetails[[Hours]:[Hours]],Datadetails[[Group]:[Group]],K$5,Datadetails[[Taskcode]:[Taskcode]],$A102,Datadetails[[Activity_help]:[Activity_help]],"C30")</f>
        <v>0</v>
      </c>
      <c r="L102" s="13">
        <f t="shared" ref="L102:L133" si="10">SUM(H102:K102)</f>
        <v>3.27</v>
      </c>
      <c r="M102" s="39">
        <f>SUMIFS(Datadetails[[Hours]:[Hours]],Datadetails[[Group]:[Group]],M$5,Datadetails[[Taskcode]:[Taskcode]],$A102,Datadetails[[Activity_help]:[Activity_help]],"C40")</f>
        <v>0</v>
      </c>
      <c r="N102" s="39">
        <f>SUMIFS(Datadetails[[Hours]:[Hours]],Datadetails[[Group]:[Group]],N$5,Datadetails[[Taskcode]:[Taskcode]],$A102,Datadetails[[Activity_help]:[Activity_help]],"C40")</f>
        <v>0</v>
      </c>
      <c r="O102" s="39">
        <f>SUMIFS(Datadetails[[Hours]:[Hours]],Datadetails[[Group]:[Group]],O$5,Datadetails[[Taskcode]:[Taskcode]],$A102,Datadetails[[Activity_help]:[Activity_help]],"C40")</f>
        <v>4.67</v>
      </c>
      <c r="P102" s="39">
        <f>SUMIFS(Datadetails[[Hours]:[Hours]],Datadetails[[Group]:[Group]],P$5,Datadetails[[Taskcode]:[Taskcode]],$A102,Datadetails[[Activity_help]:[Activity_help]],"C40")</f>
        <v>0</v>
      </c>
      <c r="Q102" s="40">
        <f t="shared" ref="Q102:Q133" si="11">SUM(M102:P102)</f>
        <v>4.67</v>
      </c>
      <c r="R102" s="63">
        <f>SUMIFS(Datadetails[[Hours]:[Hours]],Datadetails[[Group]:[Group]],"Other",Datadetails[[Taskcode]:[Taskcode]],$A102,Datadetails[[Activity_help]:[Activity_help]],"Other")</f>
        <v>0</v>
      </c>
      <c r="S102" s="21">
        <f t="shared" si="9"/>
        <v>7.9399999999999995</v>
      </c>
    </row>
    <row r="103" spans="1:19" x14ac:dyDescent="0.25">
      <c r="A103" s="35" t="s">
        <v>128</v>
      </c>
      <c r="B103" s="66" t="s">
        <v>265</v>
      </c>
      <c r="C103" s="7">
        <f>SUMIFS(Datadetails[[Hours]:[Hours]],Datadetails[[Group]:[Group]],C$5,Datadetails[[Taskcode]:[Taskcode]],$A103,Datadetails[[Activity_help]:[Activity_help]],"C20")</f>
        <v>0</v>
      </c>
      <c r="D103" s="7">
        <f>SUMIFS(Datadetails[[Hours]:[Hours]],Datadetails[[Group]:[Group]],D$5,Datadetails[[Taskcode]:[Taskcode]],$A103,Datadetails[[Activity_help]:[Activity_help]],"C20")</f>
        <v>6.5</v>
      </c>
      <c r="E103" s="7">
        <f>SUMIFS(Datadetails[[Hours]:[Hours]],Datadetails[[Group]:[Group]],E$5,Datadetails[[Taskcode]:[Taskcode]],$A103,Datadetails[[Activity_help]:[Activity_help]],"C20")</f>
        <v>0</v>
      </c>
      <c r="F103" s="7">
        <f>SUMIFS(Datadetails[[Hours]:[Hours]],Datadetails[[Group]:[Group]],F$5,Datadetails[[Taskcode]:[Taskcode]],$A103,Datadetails[[Activity_help]:[Activity_help]],"C20")</f>
        <v>0</v>
      </c>
      <c r="G103" s="12">
        <f t="shared" si="8"/>
        <v>6.5</v>
      </c>
      <c r="H103" s="8">
        <f>SUMIFS(Datadetails[[Hours]:[Hours]],Datadetails[[Group]:[Group]],H$5,Datadetails[[Taskcode]:[Taskcode]],$A103,Datadetails[[Activity_help]:[Activity_help]],"C30")</f>
        <v>0</v>
      </c>
      <c r="I103" s="8">
        <f>SUMIFS(Datadetails[[Hours]:[Hours]],Datadetails[[Group]:[Group]],I$5,Datadetails[[Taskcode]:[Taskcode]],$A103,Datadetails[[Activity_help]:[Activity_help]],"C30")</f>
        <v>30.58</v>
      </c>
      <c r="J103" s="8">
        <f>SUMIFS(Datadetails[[Hours]:[Hours]],Datadetails[[Group]:[Group]],J$5,Datadetails[[Taskcode]:[Taskcode]],$A103,Datadetails[[Activity_help]:[Activity_help]],"C30")</f>
        <v>0</v>
      </c>
      <c r="K103" s="8">
        <f>SUMIFS(Datadetails[[Hours]:[Hours]],Datadetails[[Group]:[Group]],K$5,Datadetails[[Taskcode]:[Taskcode]],$A103,Datadetails[[Activity_help]:[Activity_help]],"C30")</f>
        <v>0</v>
      </c>
      <c r="L103" s="13">
        <f t="shared" si="10"/>
        <v>30.58</v>
      </c>
      <c r="M103" s="39">
        <f>SUMIFS(Datadetails[[Hours]:[Hours]],Datadetails[[Group]:[Group]],M$5,Datadetails[[Taskcode]:[Taskcode]],$A103,Datadetails[[Activity_help]:[Activity_help]],"C40")</f>
        <v>0</v>
      </c>
      <c r="N103" s="39">
        <f>SUMIFS(Datadetails[[Hours]:[Hours]],Datadetails[[Group]:[Group]],N$5,Datadetails[[Taskcode]:[Taskcode]],$A103,Datadetails[[Activity_help]:[Activity_help]],"C40")</f>
        <v>0</v>
      </c>
      <c r="O103" s="39">
        <f>SUMIFS(Datadetails[[Hours]:[Hours]],Datadetails[[Group]:[Group]],O$5,Datadetails[[Taskcode]:[Taskcode]],$A103,Datadetails[[Activity_help]:[Activity_help]],"C40")</f>
        <v>0</v>
      </c>
      <c r="P103" s="39">
        <f>SUMIFS(Datadetails[[Hours]:[Hours]],Datadetails[[Group]:[Group]],P$5,Datadetails[[Taskcode]:[Taskcode]],$A103,Datadetails[[Activity_help]:[Activity_help]],"C40")</f>
        <v>0</v>
      </c>
      <c r="Q103" s="40">
        <f t="shared" si="11"/>
        <v>0</v>
      </c>
      <c r="R103" s="63">
        <f>SUMIFS(Datadetails[[Hours]:[Hours]],Datadetails[[Group]:[Group]],"Other",Datadetails[[Taskcode]:[Taskcode]],$A103,Datadetails[[Activity_help]:[Activity_help]],"Other")</f>
        <v>0</v>
      </c>
      <c r="S103" s="21">
        <f t="shared" si="9"/>
        <v>37.08</v>
      </c>
    </row>
    <row r="104" spans="1:19" x14ac:dyDescent="0.25">
      <c r="A104" s="35" t="s">
        <v>129</v>
      </c>
      <c r="B104" s="66" t="s">
        <v>266</v>
      </c>
      <c r="C104" s="7">
        <f>SUMIFS(Datadetails[[Hours]:[Hours]],Datadetails[[Group]:[Group]],C$5,Datadetails[[Taskcode]:[Taskcode]],$A104,Datadetails[[Activity_help]:[Activity_help]],"C20")</f>
        <v>0</v>
      </c>
      <c r="D104" s="7">
        <f>SUMIFS(Datadetails[[Hours]:[Hours]],Datadetails[[Group]:[Group]],D$5,Datadetails[[Taskcode]:[Taskcode]],$A104,Datadetails[[Activity_help]:[Activity_help]],"C20")</f>
        <v>0</v>
      </c>
      <c r="E104" s="7">
        <f>SUMIFS(Datadetails[[Hours]:[Hours]],Datadetails[[Group]:[Group]],E$5,Datadetails[[Taskcode]:[Taskcode]],$A104,Datadetails[[Activity_help]:[Activity_help]],"C20")</f>
        <v>0</v>
      </c>
      <c r="F104" s="7">
        <f>SUMIFS(Datadetails[[Hours]:[Hours]],Datadetails[[Group]:[Group]],F$5,Datadetails[[Taskcode]:[Taskcode]],$A104,Datadetails[[Activity_help]:[Activity_help]],"C20")</f>
        <v>5.99</v>
      </c>
      <c r="G104" s="12">
        <f t="shared" si="8"/>
        <v>5.99</v>
      </c>
      <c r="H104" s="8">
        <f>SUMIFS(Datadetails[[Hours]:[Hours]],Datadetails[[Group]:[Group]],H$5,Datadetails[[Taskcode]:[Taskcode]],$A104,Datadetails[[Activity_help]:[Activity_help]],"C30")</f>
        <v>0</v>
      </c>
      <c r="I104" s="8">
        <f>SUMIFS(Datadetails[[Hours]:[Hours]],Datadetails[[Group]:[Group]],I$5,Datadetails[[Taskcode]:[Taskcode]],$A104,Datadetails[[Activity_help]:[Activity_help]],"C30")</f>
        <v>0</v>
      </c>
      <c r="J104" s="8">
        <f>SUMIFS(Datadetails[[Hours]:[Hours]],Datadetails[[Group]:[Group]],J$5,Datadetails[[Taskcode]:[Taskcode]],$A104,Datadetails[[Activity_help]:[Activity_help]],"C30")</f>
        <v>0</v>
      </c>
      <c r="K104" s="8">
        <f>SUMIFS(Datadetails[[Hours]:[Hours]],Datadetails[[Group]:[Group]],K$5,Datadetails[[Taskcode]:[Taskcode]],$A104,Datadetails[[Activity_help]:[Activity_help]],"C30")</f>
        <v>1.83</v>
      </c>
      <c r="L104" s="13">
        <f t="shared" si="10"/>
        <v>1.83</v>
      </c>
      <c r="M104" s="39">
        <f>SUMIFS(Datadetails[[Hours]:[Hours]],Datadetails[[Group]:[Group]],M$5,Datadetails[[Taskcode]:[Taskcode]],$A104,Datadetails[[Activity_help]:[Activity_help]],"C40")</f>
        <v>0</v>
      </c>
      <c r="N104" s="39">
        <f>SUMIFS(Datadetails[[Hours]:[Hours]],Datadetails[[Group]:[Group]],N$5,Datadetails[[Taskcode]:[Taskcode]],$A104,Datadetails[[Activity_help]:[Activity_help]],"C40")</f>
        <v>0</v>
      </c>
      <c r="O104" s="39">
        <f>SUMIFS(Datadetails[[Hours]:[Hours]],Datadetails[[Group]:[Group]],O$5,Datadetails[[Taskcode]:[Taskcode]],$A104,Datadetails[[Activity_help]:[Activity_help]],"C40")</f>
        <v>0</v>
      </c>
      <c r="P104" s="39">
        <f>SUMIFS(Datadetails[[Hours]:[Hours]],Datadetails[[Group]:[Group]],P$5,Datadetails[[Taskcode]:[Taskcode]],$A104,Datadetails[[Activity_help]:[Activity_help]],"C40")</f>
        <v>1</v>
      </c>
      <c r="Q104" s="40">
        <f t="shared" si="11"/>
        <v>1</v>
      </c>
      <c r="R104" s="63">
        <f>SUMIFS(Datadetails[[Hours]:[Hours]],Datadetails[[Group]:[Group]],"Other",Datadetails[[Taskcode]:[Taskcode]],$A104,Datadetails[[Activity_help]:[Activity_help]],"Other")</f>
        <v>0</v>
      </c>
      <c r="S104" s="21">
        <f t="shared" si="9"/>
        <v>8.82</v>
      </c>
    </row>
    <row r="105" spans="1:19" x14ac:dyDescent="0.25">
      <c r="A105" s="35" t="s">
        <v>130</v>
      </c>
      <c r="B105" s="66" t="s">
        <v>267</v>
      </c>
      <c r="C105" s="7">
        <f>SUMIFS(Datadetails[[Hours]:[Hours]],Datadetails[[Group]:[Group]],C$5,Datadetails[[Taskcode]:[Taskcode]],$A105,Datadetails[[Activity_help]:[Activity_help]],"C20")</f>
        <v>0</v>
      </c>
      <c r="D105" s="7">
        <f>SUMIFS(Datadetails[[Hours]:[Hours]],Datadetails[[Group]:[Group]],D$5,Datadetails[[Taskcode]:[Taskcode]],$A105,Datadetails[[Activity_help]:[Activity_help]],"C20")</f>
        <v>0</v>
      </c>
      <c r="E105" s="7">
        <f>SUMIFS(Datadetails[[Hours]:[Hours]],Datadetails[[Group]:[Group]],E$5,Datadetails[[Taskcode]:[Taskcode]],$A105,Datadetails[[Activity_help]:[Activity_help]],"C20")</f>
        <v>0</v>
      </c>
      <c r="F105" s="7">
        <f>SUMIFS(Datadetails[[Hours]:[Hours]],Datadetails[[Group]:[Group]],F$5,Datadetails[[Taskcode]:[Taskcode]],$A105,Datadetails[[Activity_help]:[Activity_help]],"C20")</f>
        <v>3.08</v>
      </c>
      <c r="G105" s="12">
        <f t="shared" si="8"/>
        <v>3.08</v>
      </c>
      <c r="H105" s="8">
        <f>SUMIFS(Datadetails[[Hours]:[Hours]],Datadetails[[Group]:[Group]],H$5,Datadetails[[Taskcode]:[Taskcode]],$A105,Datadetails[[Activity_help]:[Activity_help]],"C30")</f>
        <v>0</v>
      </c>
      <c r="I105" s="8">
        <f>SUMIFS(Datadetails[[Hours]:[Hours]],Datadetails[[Group]:[Group]],I$5,Datadetails[[Taskcode]:[Taskcode]],$A105,Datadetails[[Activity_help]:[Activity_help]],"C30")</f>
        <v>0</v>
      </c>
      <c r="J105" s="8">
        <f>SUMIFS(Datadetails[[Hours]:[Hours]],Datadetails[[Group]:[Group]],J$5,Datadetails[[Taskcode]:[Taskcode]],$A105,Datadetails[[Activity_help]:[Activity_help]],"C30")</f>
        <v>0</v>
      </c>
      <c r="K105" s="8">
        <f>SUMIFS(Datadetails[[Hours]:[Hours]],Datadetails[[Group]:[Group]],K$5,Datadetails[[Taskcode]:[Taskcode]],$A105,Datadetails[[Activity_help]:[Activity_help]],"C30")</f>
        <v>0.25</v>
      </c>
      <c r="L105" s="13">
        <f t="shared" si="10"/>
        <v>0.25</v>
      </c>
      <c r="M105" s="39">
        <f>SUMIFS(Datadetails[[Hours]:[Hours]],Datadetails[[Group]:[Group]],M$5,Datadetails[[Taskcode]:[Taskcode]],$A105,Datadetails[[Activity_help]:[Activity_help]],"C40")</f>
        <v>0</v>
      </c>
      <c r="N105" s="39">
        <f>SUMIFS(Datadetails[[Hours]:[Hours]],Datadetails[[Group]:[Group]],N$5,Datadetails[[Taskcode]:[Taskcode]],$A105,Datadetails[[Activity_help]:[Activity_help]],"C40")</f>
        <v>0</v>
      </c>
      <c r="O105" s="39">
        <f>SUMIFS(Datadetails[[Hours]:[Hours]],Datadetails[[Group]:[Group]],O$5,Datadetails[[Taskcode]:[Taskcode]],$A105,Datadetails[[Activity_help]:[Activity_help]],"C40")</f>
        <v>0</v>
      </c>
      <c r="P105" s="39">
        <f>SUMIFS(Datadetails[[Hours]:[Hours]],Datadetails[[Group]:[Group]],P$5,Datadetails[[Taskcode]:[Taskcode]],$A105,Datadetails[[Activity_help]:[Activity_help]],"C40")</f>
        <v>0</v>
      </c>
      <c r="Q105" s="40">
        <f t="shared" si="11"/>
        <v>0</v>
      </c>
      <c r="R105" s="63">
        <f>SUMIFS(Datadetails[[Hours]:[Hours]],Datadetails[[Group]:[Group]],"Other",Datadetails[[Taskcode]:[Taskcode]],$A105,Datadetails[[Activity_help]:[Activity_help]],"Other")</f>
        <v>0</v>
      </c>
      <c r="S105" s="21">
        <f t="shared" si="9"/>
        <v>3.33</v>
      </c>
    </row>
    <row r="106" spans="1:19" x14ac:dyDescent="0.25">
      <c r="A106" s="35" t="s">
        <v>47</v>
      </c>
      <c r="B106" s="66" t="s">
        <v>268</v>
      </c>
      <c r="C106" s="7">
        <f>SUMIFS(Datadetails[[Hours]:[Hours]],Datadetails[[Group]:[Group]],C$5,Datadetails[[Taskcode]:[Taskcode]],$A106,Datadetails[[Activity_help]:[Activity_help]],"C20")</f>
        <v>0</v>
      </c>
      <c r="D106" s="7">
        <f>SUMIFS(Datadetails[[Hours]:[Hours]],Datadetails[[Group]:[Group]],D$5,Datadetails[[Taskcode]:[Taskcode]],$A106,Datadetails[[Activity_help]:[Activity_help]],"C20")</f>
        <v>1.75</v>
      </c>
      <c r="E106" s="7">
        <f>SUMIFS(Datadetails[[Hours]:[Hours]],Datadetails[[Group]:[Group]],E$5,Datadetails[[Taskcode]:[Taskcode]],$A106,Datadetails[[Activity_help]:[Activity_help]],"C20")</f>
        <v>0</v>
      </c>
      <c r="F106" s="7">
        <f>SUMIFS(Datadetails[[Hours]:[Hours]],Datadetails[[Group]:[Group]],F$5,Datadetails[[Taskcode]:[Taskcode]],$A106,Datadetails[[Activity_help]:[Activity_help]],"C20")</f>
        <v>0</v>
      </c>
      <c r="G106" s="12">
        <f t="shared" si="8"/>
        <v>1.75</v>
      </c>
      <c r="H106" s="8">
        <f>SUMIFS(Datadetails[[Hours]:[Hours]],Datadetails[[Group]:[Group]],H$5,Datadetails[[Taskcode]:[Taskcode]],$A106,Datadetails[[Activity_help]:[Activity_help]],"C30")</f>
        <v>0</v>
      </c>
      <c r="I106" s="8">
        <f>SUMIFS(Datadetails[[Hours]:[Hours]],Datadetails[[Group]:[Group]],I$5,Datadetails[[Taskcode]:[Taskcode]],$A106,Datadetails[[Activity_help]:[Activity_help]],"C30")</f>
        <v>0</v>
      </c>
      <c r="J106" s="8">
        <f>SUMIFS(Datadetails[[Hours]:[Hours]],Datadetails[[Group]:[Group]],J$5,Datadetails[[Taskcode]:[Taskcode]],$A106,Datadetails[[Activity_help]:[Activity_help]],"C30")</f>
        <v>8.02</v>
      </c>
      <c r="K106" s="8">
        <f>SUMIFS(Datadetails[[Hours]:[Hours]],Datadetails[[Group]:[Group]],K$5,Datadetails[[Taskcode]:[Taskcode]],$A106,Datadetails[[Activity_help]:[Activity_help]],"C30")</f>
        <v>0</v>
      </c>
      <c r="L106" s="13">
        <f t="shared" si="10"/>
        <v>8.02</v>
      </c>
      <c r="M106" s="39">
        <f>SUMIFS(Datadetails[[Hours]:[Hours]],Datadetails[[Group]:[Group]],M$5,Datadetails[[Taskcode]:[Taskcode]],$A106,Datadetails[[Activity_help]:[Activity_help]],"C40")</f>
        <v>0</v>
      </c>
      <c r="N106" s="39">
        <f>SUMIFS(Datadetails[[Hours]:[Hours]],Datadetails[[Group]:[Group]],N$5,Datadetails[[Taskcode]:[Taskcode]],$A106,Datadetails[[Activity_help]:[Activity_help]],"C40")</f>
        <v>0</v>
      </c>
      <c r="O106" s="39">
        <f>SUMIFS(Datadetails[[Hours]:[Hours]],Datadetails[[Group]:[Group]],O$5,Datadetails[[Taskcode]:[Taskcode]],$A106,Datadetails[[Activity_help]:[Activity_help]],"C40")</f>
        <v>2.25</v>
      </c>
      <c r="P106" s="39">
        <f>SUMIFS(Datadetails[[Hours]:[Hours]],Datadetails[[Group]:[Group]],P$5,Datadetails[[Taskcode]:[Taskcode]],$A106,Datadetails[[Activity_help]:[Activity_help]],"C40")</f>
        <v>0</v>
      </c>
      <c r="Q106" s="40">
        <f t="shared" si="11"/>
        <v>2.25</v>
      </c>
      <c r="R106" s="63">
        <f>SUMIFS(Datadetails[[Hours]:[Hours]],Datadetails[[Group]:[Group]],"Other",Datadetails[[Taskcode]:[Taskcode]],$A106,Datadetails[[Activity_help]:[Activity_help]],"Other")</f>
        <v>0</v>
      </c>
      <c r="S106" s="21">
        <f t="shared" si="9"/>
        <v>12.02</v>
      </c>
    </row>
    <row r="107" spans="1:19" x14ac:dyDescent="0.25">
      <c r="A107" s="35" t="s">
        <v>131</v>
      </c>
      <c r="B107" s="66" t="s">
        <v>269</v>
      </c>
      <c r="C107" s="7">
        <f>SUMIFS(Datadetails[[Hours]:[Hours]],Datadetails[[Group]:[Group]],C$5,Datadetails[[Taskcode]:[Taskcode]],$A107,Datadetails[[Activity_help]:[Activity_help]],"C20")</f>
        <v>0</v>
      </c>
      <c r="D107" s="7">
        <f>SUMIFS(Datadetails[[Hours]:[Hours]],Datadetails[[Group]:[Group]],D$5,Datadetails[[Taskcode]:[Taskcode]],$A107,Datadetails[[Activity_help]:[Activity_help]],"C20")</f>
        <v>0</v>
      </c>
      <c r="E107" s="7">
        <f>SUMIFS(Datadetails[[Hours]:[Hours]],Datadetails[[Group]:[Group]],E$5,Datadetails[[Taskcode]:[Taskcode]],$A107,Datadetails[[Activity_help]:[Activity_help]],"C20")</f>
        <v>0</v>
      </c>
      <c r="F107" s="7">
        <f>SUMIFS(Datadetails[[Hours]:[Hours]],Datadetails[[Group]:[Group]],F$5,Datadetails[[Taskcode]:[Taskcode]],$A107,Datadetails[[Activity_help]:[Activity_help]],"C20")</f>
        <v>0</v>
      </c>
      <c r="G107" s="12">
        <f t="shared" si="8"/>
        <v>0</v>
      </c>
      <c r="H107" s="8">
        <f>SUMIFS(Datadetails[[Hours]:[Hours]],Datadetails[[Group]:[Group]],H$5,Datadetails[[Taskcode]:[Taskcode]],$A107,Datadetails[[Activity_help]:[Activity_help]],"C30")</f>
        <v>0</v>
      </c>
      <c r="I107" s="8">
        <f>SUMIFS(Datadetails[[Hours]:[Hours]],Datadetails[[Group]:[Group]],I$5,Datadetails[[Taskcode]:[Taskcode]],$A107,Datadetails[[Activity_help]:[Activity_help]],"C30")</f>
        <v>0</v>
      </c>
      <c r="J107" s="8">
        <f>SUMIFS(Datadetails[[Hours]:[Hours]],Datadetails[[Group]:[Group]],J$5,Datadetails[[Taskcode]:[Taskcode]],$A107,Datadetails[[Activity_help]:[Activity_help]],"C30")</f>
        <v>4.3600000000000003</v>
      </c>
      <c r="K107" s="8">
        <f>SUMIFS(Datadetails[[Hours]:[Hours]],Datadetails[[Group]:[Group]],K$5,Datadetails[[Taskcode]:[Taskcode]],$A107,Datadetails[[Activity_help]:[Activity_help]],"C30")</f>
        <v>0</v>
      </c>
      <c r="L107" s="13">
        <f t="shared" si="10"/>
        <v>4.3600000000000003</v>
      </c>
      <c r="M107" s="39">
        <f>SUMIFS(Datadetails[[Hours]:[Hours]],Datadetails[[Group]:[Group]],M$5,Datadetails[[Taskcode]:[Taskcode]],$A107,Datadetails[[Activity_help]:[Activity_help]],"C40")</f>
        <v>0</v>
      </c>
      <c r="N107" s="39">
        <f>SUMIFS(Datadetails[[Hours]:[Hours]],Datadetails[[Group]:[Group]],N$5,Datadetails[[Taskcode]:[Taskcode]],$A107,Datadetails[[Activity_help]:[Activity_help]],"C40")</f>
        <v>0</v>
      </c>
      <c r="O107" s="39">
        <f>SUMIFS(Datadetails[[Hours]:[Hours]],Datadetails[[Group]:[Group]],O$5,Datadetails[[Taskcode]:[Taskcode]],$A107,Datadetails[[Activity_help]:[Activity_help]],"C40")</f>
        <v>1.5</v>
      </c>
      <c r="P107" s="39">
        <f>SUMIFS(Datadetails[[Hours]:[Hours]],Datadetails[[Group]:[Group]],P$5,Datadetails[[Taskcode]:[Taskcode]],$A107,Datadetails[[Activity_help]:[Activity_help]],"C40")</f>
        <v>0</v>
      </c>
      <c r="Q107" s="40">
        <f t="shared" si="11"/>
        <v>1.5</v>
      </c>
      <c r="R107" s="63">
        <f>SUMIFS(Datadetails[[Hours]:[Hours]],Datadetails[[Group]:[Group]],"Other",Datadetails[[Taskcode]:[Taskcode]],$A107,Datadetails[[Activity_help]:[Activity_help]],"Other")</f>
        <v>0</v>
      </c>
      <c r="S107" s="21">
        <f t="shared" si="9"/>
        <v>5.86</v>
      </c>
    </row>
    <row r="108" spans="1:19" x14ac:dyDescent="0.25">
      <c r="A108" s="35" t="s">
        <v>132</v>
      </c>
      <c r="B108" s="66" t="s">
        <v>270</v>
      </c>
      <c r="C108" s="7">
        <f>SUMIFS(Datadetails[[Hours]:[Hours]],Datadetails[[Group]:[Group]],C$5,Datadetails[[Taskcode]:[Taskcode]],$A108,Datadetails[[Activity_help]:[Activity_help]],"C20")</f>
        <v>0</v>
      </c>
      <c r="D108" s="7">
        <f>SUMIFS(Datadetails[[Hours]:[Hours]],Datadetails[[Group]:[Group]],D$5,Datadetails[[Taskcode]:[Taskcode]],$A108,Datadetails[[Activity_help]:[Activity_help]],"C20")</f>
        <v>0</v>
      </c>
      <c r="E108" s="7">
        <f>SUMIFS(Datadetails[[Hours]:[Hours]],Datadetails[[Group]:[Group]],E$5,Datadetails[[Taskcode]:[Taskcode]],$A108,Datadetails[[Activity_help]:[Activity_help]],"C20")</f>
        <v>0</v>
      </c>
      <c r="F108" s="7">
        <f>SUMIFS(Datadetails[[Hours]:[Hours]],Datadetails[[Group]:[Group]],F$5,Datadetails[[Taskcode]:[Taskcode]],$A108,Datadetails[[Activity_help]:[Activity_help]],"C20")</f>
        <v>0</v>
      </c>
      <c r="G108" s="12">
        <f t="shared" si="8"/>
        <v>0</v>
      </c>
      <c r="H108" s="8">
        <f>SUMIFS(Datadetails[[Hours]:[Hours]],Datadetails[[Group]:[Group]],H$5,Datadetails[[Taskcode]:[Taskcode]],$A108,Datadetails[[Activity_help]:[Activity_help]],"C30")</f>
        <v>0</v>
      </c>
      <c r="I108" s="8">
        <f>SUMIFS(Datadetails[[Hours]:[Hours]],Datadetails[[Group]:[Group]],I$5,Datadetails[[Taskcode]:[Taskcode]],$A108,Datadetails[[Activity_help]:[Activity_help]],"C30")</f>
        <v>0</v>
      </c>
      <c r="J108" s="8">
        <f>SUMIFS(Datadetails[[Hours]:[Hours]],Datadetails[[Group]:[Group]],J$5,Datadetails[[Taskcode]:[Taskcode]],$A108,Datadetails[[Activity_help]:[Activity_help]],"C30")</f>
        <v>3.16</v>
      </c>
      <c r="K108" s="8">
        <f>SUMIFS(Datadetails[[Hours]:[Hours]],Datadetails[[Group]:[Group]],K$5,Datadetails[[Taskcode]:[Taskcode]],$A108,Datadetails[[Activity_help]:[Activity_help]],"C30")</f>
        <v>0</v>
      </c>
      <c r="L108" s="13">
        <f t="shared" si="10"/>
        <v>3.16</v>
      </c>
      <c r="M108" s="39">
        <f>SUMIFS(Datadetails[[Hours]:[Hours]],Datadetails[[Group]:[Group]],M$5,Datadetails[[Taskcode]:[Taskcode]],$A108,Datadetails[[Activity_help]:[Activity_help]],"C40")</f>
        <v>0</v>
      </c>
      <c r="N108" s="39">
        <f>SUMIFS(Datadetails[[Hours]:[Hours]],Datadetails[[Group]:[Group]],N$5,Datadetails[[Taskcode]:[Taskcode]],$A108,Datadetails[[Activity_help]:[Activity_help]],"C40")</f>
        <v>0</v>
      </c>
      <c r="O108" s="39">
        <f>SUMIFS(Datadetails[[Hours]:[Hours]],Datadetails[[Group]:[Group]],O$5,Datadetails[[Taskcode]:[Taskcode]],$A108,Datadetails[[Activity_help]:[Activity_help]],"C40")</f>
        <v>2</v>
      </c>
      <c r="P108" s="39">
        <f>SUMIFS(Datadetails[[Hours]:[Hours]],Datadetails[[Group]:[Group]],P$5,Datadetails[[Taskcode]:[Taskcode]],$A108,Datadetails[[Activity_help]:[Activity_help]],"C40")</f>
        <v>0</v>
      </c>
      <c r="Q108" s="40">
        <f t="shared" si="11"/>
        <v>2</v>
      </c>
      <c r="R108" s="63">
        <f>SUMIFS(Datadetails[[Hours]:[Hours]],Datadetails[[Group]:[Group]],"Other",Datadetails[[Taskcode]:[Taskcode]],$A108,Datadetails[[Activity_help]:[Activity_help]],"Other")</f>
        <v>0</v>
      </c>
      <c r="S108" s="21">
        <f t="shared" si="9"/>
        <v>5.16</v>
      </c>
    </row>
    <row r="109" spans="1:19" x14ac:dyDescent="0.25">
      <c r="A109" s="35" t="s">
        <v>29</v>
      </c>
      <c r="B109" s="66" t="s">
        <v>271</v>
      </c>
      <c r="C109" s="7">
        <f>SUMIFS(Datadetails[[Hours]:[Hours]],Datadetails[[Group]:[Group]],C$5,Datadetails[[Taskcode]:[Taskcode]],$A109,Datadetails[[Activity_help]:[Activity_help]],"C20")</f>
        <v>0</v>
      </c>
      <c r="D109" s="7">
        <f>SUMIFS(Datadetails[[Hours]:[Hours]],Datadetails[[Group]:[Group]],D$5,Datadetails[[Taskcode]:[Taskcode]],$A109,Datadetails[[Activity_help]:[Activity_help]],"C20")</f>
        <v>0</v>
      </c>
      <c r="E109" s="7">
        <f>SUMIFS(Datadetails[[Hours]:[Hours]],Datadetails[[Group]:[Group]],E$5,Datadetails[[Taskcode]:[Taskcode]],$A109,Datadetails[[Activity_help]:[Activity_help]],"C20")</f>
        <v>1.75</v>
      </c>
      <c r="F109" s="7">
        <f>SUMIFS(Datadetails[[Hours]:[Hours]],Datadetails[[Group]:[Group]],F$5,Datadetails[[Taskcode]:[Taskcode]],$A109,Datadetails[[Activity_help]:[Activity_help]],"C20")</f>
        <v>0</v>
      </c>
      <c r="G109" s="12">
        <f t="shared" si="8"/>
        <v>1.75</v>
      </c>
      <c r="H109" s="8">
        <f>SUMIFS(Datadetails[[Hours]:[Hours]],Datadetails[[Group]:[Group]],H$5,Datadetails[[Taskcode]:[Taskcode]],$A109,Datadetails[[Activity_help]:[Activity_help]],"C30")</f>
        <v>0</v>
      </c>
      <c r="I109" s="8">
        <f>SUMIFS(Datadetails[[Hours]:[Hours]],Datadetails[[Group]:[Group]],I$5,Datadetails[[Taskcode]:[Taskcode]],$A109,Datadetails[[Activity_help]:[Activity_help]],"C30")</f>
        <v>0</v>
      </c>
      <c r="J109" s="8">
        <f>SUMIFS(Datadetails[[Hours]:[Hours]],Datadetails[[Group]:[Group]],J$5,Datadetails[[Taskcode]:[Taskcode]],$A109,Datadetails[[Activity_help]:[Activity_help]],"C30")</f>
        <v>2.58</v>
      </c>
      <c r="K109" s="8">
        <f>SUMIFS(Datadetails[[Hours]:[Hours]],Datadetails[[Group]:[Group]],K$5,Datadetails[[Taskcode]:[Taskcode]],$A109,Datadetails[[Activity_help]:[Activity_help]],"C30")</f>
        <v>0</v>
      </c>
      <c r="L109" s="13">
        <f t="shared" si="10"/>
        <v>2.58</v>
      </c>
      <c r="M109" s="39">
        <f>SUMIFS(Datadetails[[Hours]:[Hours]],Datadetails[[Group]:[Group]],M$5,Datadetails[[Taskcode]:[Taskcode]],$A109,Datadetails[[Activity_help]:[Activity_help]],"C40")</f>
        <v>0</v>
      </c>
      <c r="N109" s="39">
        <f>SUMIFS(Datadetails[[Hours]:[Hours]],Datadetails[[Group]:[Group]],N$5,Datadetails[[Taskcode]:[Taskcode]],$A109,Datadetails[[Activity_help]:[Activity_help]],"C40")</f>
        <v>0</v>
      </c>
      <c r="O109" s="39">
        <f>SUMIFS(Datadetails[[Hours]:[Hours]],Datadetails[[Group]:[Group]],O$5,Datadetails[[Taskcode]:[Taskcode]],$A109,Datadetails[[Activity_help]:[Activity_help]],"C40")</f>
        <v>2.0100000000000002</v>
      </c>
      <c r="P109" s="39">
        <f>SUMIFS(Datadetails[[Hours]:[Hours]],Datadetails[[Group]:[Group]],P$5,Datadetails[[Taskcode]:[Taskcode]],$A109,Datadetails[[Activity_help]:[Activity_help]],"C40")</f>
        <v>0</v>
      </c>
      <c r="Q109" s="40">
        <f t="shared" si="11"/>
        <v>2.0100000000000002</v>
      </c>
      <c r="R109" s="63">
        <f>SUMIFS(Datadetails[[Hours]:[Hours]],Datadetails[[Group]:[Group]],"Other",Datadetails[[Taskcode]:[Taskcode]],$A109,Datadetails[[Activity_help]:[Activity_help]],"Other")</f>
        <v>0</v>
      </c>
      <c r="S109" s="21">
        <f t="shared" si="9"/>
        <v>6.34</v>
      </c>
    </row>
    <row r="110" spans="1:19" x14ac:dyDescent="0.25">
      <c r="A110" s="35" t="s">
        <v>133</v>
      </c>
      <c r="B110" s="66" t="s">
        <v>272</v>
      </c>
      <c r="C110" s="7">
        <f>SUMIFS(Datadetails[[Hours]:[Hours]],Datadetails[[Group]:[Group]],C$5,Datadetails[[Taskcode]:[Taskcode]],$A110,Datadetails[[Activity_help]:[Activity_help]],"C20")</f>
        <v>0</v>
      </c>
      <c r="D110" s="7">
        <f>SUMIFS(Datadetails[[Hours]:[Hours]],Datadetails[[Group]:[Group]],D$5,Datadetails[[Taskcode]:[Taskcode]],$A110,Datadetails[[Activity_help]:[Activity_help]],"C20")</f>
        <v>0</v>
      </c>
      <c r="E110" s="7">
        <f>SUMIFS(Datadetails[[Hours]:[Hours]],Datadetails[[Group]:[Group]],E$5,Datadetails[[Taskcode]:[Taskcode]],$A110,Datadetails[[Activity_help]:[Activity_help]],"C20")</f>
        <v>0</v>
      </c>
      <c r="F110" s="7">
        <f>SUMIFS(Datadetails[[Hours]:[Hours]],Datadetails[[Group]:[Group]],F$5,Datadetails[[Taskcode]:[Taskcode]],$A110,Datadetails[[Activity_help]:[Activity_help]],"C20")</f>
        <v>0</v>
      </c>
      <c r="G110" s="12">
        <f t="shared" si="8"/>
        <v>0</v>
      </c>
      <c r="H110" s="8">
        <f>SUMIFS(Datadetails[[Hours]:[Hours]],Datadetails[[Group]:[Group]],H$5,Datadetails[[Taskcode]:[Taskcode]],$A110,Datadetails[[Activity_help]:[Activity_help]],"C30")</f>
        <v>0</v>
      </c>
      <c r="I110" s="8">
        <f>SUMIFS(Datadetails[[Hours]:[Hours]],Datadetails[[Group]:[Group]],I$5,Datadetails[[Taskcode]:[Taskcode]],$A110,Datadetails[[Activity_help]:[Activity_help]],"C30")</f>
        <v>0</v>
      </c>
      <c r="J110" s="8">
        <f>SUMIFS(Datadetails[[Hours]:[Hours]],Datadetails[[Group]:[Group]],J$5,Datadetails[[Taskcode]:[Taskcode]],$A110,Datadetails[[Activity_help]:[Activity_help]],"C30")</f>
        <v>7.51</v>
      </c>
      <c r="K110" s="8">
        <f>SUMIFS(Datadetails[[Hours]:[Hours]],Datadetails[[Group]:[Group]],K$5,Datadetails[[Taskcode]:[Taskcode]],$A110,Datadetails[[Activity_help]:[Activity_help]],"C30")</f>
        <v>0</v>
      </c>
      <c r="L110" s="13">
        <f t="shared" si="10"/>
        <v>7.51</v>
      </c>
      <c r="M110" s="39">
        <f>SUMIFS(Datadetails[[Hours]:[Hours]],Datadetails[[Group]:[Group]],M$5,Datadetails[[Taskcode]:[Taskcode]],$A110,Datadetails[[Activity_help]:[Activity_help]],"C40")</f>
        <v>0</v>
      </c>
      <c r="N110" s="39">
        <f>SUMIFS(Datadetails[[Hours]:[Hours]],Datadetails[[Group]:[Group]],N$5,Datadetails[[Taskcode]:[Taskcode]],$A110,Datadetails[[Activity_help]:[Activity_help]],"C40")</f>
        <v>0</v>
      </c>
      <c r="O110" s="39">
        <f>SUMIFS(Datadetails[[Hours]:[Hours]],Datadetails[[Group]:[Group]],O$5,Datadetails[[Taskcode]:[Taskcode]],$A110,Datadetails[[Activity_help]:[Activity_help]],"C40")</f>
        <v>7.92</v>
      </c>
      <c r="P110" s="39">
        <f>SUMIFS(Datadetails[[Hours]:[Hours]],Datadetails[[Group]:[Group]],P$5,Datadetails[[Taskcode]:[Taskcode]],$A110,Datadetails[[Activity_help]:[Activity_help]],"C40")</f>
        <v>0</v>
      </c>
      <c r="Q110" s="40">
        <f t="shared" si="11"/>
        <v>7.92</v>
      </c>
      <c r="R110" s="63">
        <f>SUMIFS(Datadetails[[Hours]:[Hours]],Datadetails[[Group]:[Group]],"Other",Datadetails[[Taskcode]:[Taskcode]],$A110,Datadetails[[Activity_help]:[Activity_help]],"Other")</f>
        <v>0</v>
      </c>
      <c r="S110" s="21">
        <f t="shared" si="9"/>
        <v>15.43</v>
      </c>
    </row>
    <row r="111" spans="1:19" x14ac:dyDescent="0.25">
      <c r="A111" s="35" t="s">
        <v>134</v>
      </c>
      <c r="B111" s="66" t="s">
        <v>273</v>
      </c>
      <c r="C111" s="7">
        <f>SUMIFS(Datadetails[[Hours]:[Hours]],Datadetails[[Group]:[Group]],C$5,Datadetails[[Taskcode]:[Taskcode]],$A111,Datadetails[[Activity_help]:[Activity_help]],"C20")</f>
        <v>0</v>
      </c>
      <c r="D111" s="7">
        <f>SUMIFS(Datadetails[[Hours]:[Hours]],Datadetails[[Group]:[Group]],D$5,Datadetails[[Taskcode]:[Taskcode]],$A111,Datadetails[[Activity_help]:[Activity_help]],"C20")</f>
        <v>0</v>
      </c>
      <c r="E111" s="7">
        <f>SUMIFS(Datadetails[[Hours]:[Hours]],Datadetails[[Group]:[Group]],E$5,Datadetails[[Taskcode]:[Taskcode]],$A111,Datadetails[[Activity_help]:[Activity_help]],"C20")</f>
        <v>0</v>
      </c>
      <c r="F111" s="7">
        <f>SUMIFS(Datadetails[[Hours]:[Hours]],Datadetails[[Group]:[Group]],F$5,Datadetails[[Taskcode]:[Taskcode]],$A111,Datadetails[[Activity_help]:[Activity_help]],"C20")</f>
        <v>0</v>
      </c>
      <c r="G111" s="12">
        <f t="shared" si="8"/>
        <v>0</v>
      </c>
      <c r="H111" s="8">
        <f>SUMIFS(Datadetails[[Hours]:[Hours]],Datadetails[[Group]:[Group]],H$5,Datadetails[[Taskcode]:[Taskcode]],$A111,Datadetails[[Activity_help]:[Activity_help]],"C30")</f>
        <v>0</v>
      </c>
      <c r="I111" s="8">
        <f>SUMIFS(Datadetails[[Hours]:[Hours]],Datadetails[[Group]:[Group]],I$5,Datadetails[[Taskcode]:[Taskcode]],$A111,Datadetails[[Activity_help]:[Activity_help]],"C30")</f>
        <v>0</v>
      </c>
      <c r="J111" s="8">
        <f>SUMIFS(Datadetails[[Hours]:[Hours]],Datadetails[[Group]:[Group]],J$5,Datadetails[[Taskcode]:[Taskcode]],$A111,Datadetails[[Activity_help]:[Activity_help]],"C30")</f>
        <v>3.5</v>
      </c>
      <c r="K111" s="8">
        <f>SUMIFS(Datadetails[[Hours]:[Hours]],Datadetails[[Group]:[Group]],K$5,Datadetails[[Taskcode]:[Taskcode]],$A111,Datadetails[[Activity_help]:[Activity_help]],"C30")</f>
        <v>0</v>
      </c>
      <c r="L111" s="13">
        <f t="shared" si="10"/>
        <v>3.5</v>
      </c>
      <c r="M111" s="39">
        <f>SUMIFS(Datadetails[[Hours]:[Hours]],Datadetails[[Group]:[Group]],M$5,Datadetails[[Taskcode]:[Taskcode]],$A111,Datadetails[[Activity_help]:[Activity_help]],"C40")</f>
        <v>0</v>
      </c>
      <c r="N111" s="39">
        <f>SUMIFS(Datadetails[[Hours]:[Hours]],Datadetails[[Group]:[Group]],N$5,Datadetails[[Taskcode]:[Taskcode]],$A111,Datadetails[[Activity_help]:[Activity_help]],"C40")</f>
        <v>0</v>
      </c>
      <c r="O111" s="39">
        <f>SUMIFS(Datadetails[[Hours]:[Hours]],Datadetails[[Group]:[Group]],O$5,Datadetails[[Taskcode]:[Taskcode]],$A111,Datadetails[[Activity_help]:[Activity_help]],"C40")</f>
        <v>0</v>
      </c>
      <c r="P111" s="39">
        <f>SUMIFS(Datadetails[[Hours]:[Hours]],Datadetails[[Group]:[Group]],P$5,Datadetails[[Taskcode]:[Taskcode]],$A111,Datadetails[[Activity_help]:[Activity_help]],"C40")</f>
        <v>0</v>
      </c>
      <c r="Q111" s="40">
        <f t="shared" si="11"/>
        <v>0</v>
      </c>
      <c r="R111" s="63">
        <f>SUMIFS(Datadetails[[Hours]:[Hours]],Datadetails[[Group]:[Group]],"Other",Datadetails[[Taskcode]:[Taskcode]],$A111,Datadetails[[Activity_help]:[Activity_help]],"Other")</f>
        <v>0</v>
      </c>
      <c r="S111" s="21">
        <f t="shared" si="9"/>
        <v>3.5</v>
      </c>
    </row>
    <row r="112" spans="1:19" x14ac:dyDescent="0.25">
      <c r="A112" s="35" t="s">
        <v>135</v>
      </c>
      <c r="B112" s="66" t="s">
        <v>274</v>
      </c>
      <c r="C112" s="7">
        <f>SUMIFS(Datadetails[[Hours]:[Hours]],Datadetails[[Group]:[Group]],C$5,Datadetails[[Taskcode]:[Taskcode]],$A112,Datadetails[[Activity_help]:[Activity_help]],"C20")</f>
        <v>0</v>
      </c>
      <c r="D112" s="7">
        <f>SUMIFS(Datadetails[[Hours]:[Hours]],Datadetails[[Group]:[Group]],D$5,Datadetails[[Taskcode]:[Taskcode]],$A112,Datadetails[[Activity_help]:[Activity_help]],"C20")</f>
        <v>0</v>
      </c>
      <c r="E112" s="7">
        <f>SUMIFS(Datadetails[[Hours]:[Hours]],Datadetails[[Group]:[Group]],E$5,Datadetails[[Taskcode]:[Taskcode]],$A112,Datadetails[[Activity_help]:[Activity_help]],"C20")</f>
        <v>0</v>
      </c>
      <c r="F112" s="7">
        <f>SUMIFS(Datadetails[[Hours]:[Hours]],Datadetails[[Group]:[Group]],F$5,Datadetails[[Taskcode]:[Taskcode]],$A112,Datadetails[[Activity_help]:[Activity_help]],"C20")</f>
        <v>2.91</v>
      </c>
      <c r="G112" s="12">
        <f t="shared" si="8"/>
        <v>2.91</v>
      </c>
      <c r="H112" s="8">
        <f>SUMIFS(Datadetails[[Hours]:[Hours]],Datadetails[[Group]:[Group]],H$5,Datadetails[[Taskcode]:[Taskcode]],$A112,Datadetails[[Activity_help]:[Activity_help]],"C30")</f>
        <v>0</v>
      </c>
      <c r="I112" s="8">
        <f>SUMIFS(Datadetails[[Hours]:[Hours]],Datadetails[[Group]:[Group]],I$5,Datadetails[[Taskcode]:[Taskcode]],$A112,Datadetails[[Activity_help]:[Activity_help]],"C30")</f>
        <v>0</v>
      </c>
      <c r="J112" s="8">
        <f>SUMIFS(Datadetails[[Hours]:[Hours]],Datadetails[[Group]:[Group]],J$5,Datadetails[[Taskcode]:[Taskcode]],$A112,Datadetails[[Activity_help]:[Activity_help]],"C30")</f>
        <v>0</v>
      </c>
      <c r="K112" s="8">
        <f>SUMIFS(Datadetails[[Hours]:[Hours]],Datadetails[[Group]:[Group]],K$5,Datadetails[[Taskcode]:[Taskcode]],$A112,Datadetails[[Activity_help]:[Activity_help]],"C30")</f>
        <v>0.25</v>
      </c>
      <c r="L112" s="13">
        <f t="shared" si="10"/>
        <v>0.25</v>
      </c>
      <c r="M112" s="39">
        <f>SUMIFS(Datadetails[[Hours]:[Hours]],Datadetails[[Group]:[Group]],M$5,Datadetails[[Taskcode]:[Taskcode]],$A112,Datadetails[[Activity_help]:[Activity_help]],"C40")</f>
        <v>0</v>
      </c>
      <c r="N112" s="39">
        <f>SUMIFS(Datadetails[[Hours]:[Hours]],Datadetails[[Group]:[Group]],N$5,Datadetails[[Taskcode]:[Taskcode]],$A112,Datadetails[[Activity_help]:[Activity_help]],"C40")</f>
        <v>0</v>
      </c>
      <c r="O112" s="39">
        <f>SUMIFS(Datadetails[[Hours]:[Hours]],Datadetails[[Group]:[Group]],O$5,Datadetails[[Taskcode]:[Taskcode]],$A112,Datadetails[[Activity_help]:[Activity_help]],"C40")</f>
        <v>0</v>
      </c>
      <c r="P112" s="39">
        <f>SUMIFS(Datadetails[[Hours]:[Hours]],Datadetails[[Group]:[Group]],P$5,Datadetails[[Taskcode]:[Taskcode]],$A112,Datadetails[[Activity_help]:[Activity_help]],"C40")</f>
        <v>1</v>
      </c>
      <c r="Q112" s="40">
        <f t="shared" si="11"/>
        <v>1</v>
      </c>
      <c r="R112" s="63">
        <f>SUMIFS(Datadetails[[Hours]:[Hours]],Datadetails[[Group]:[Group]],"Other",Datadetails[[Taskcode]:[Taskcode]],$A112,Datadetails[[Activity_help]:[Activity_help]],"Other")</f>
        <v>0</v>
      </c>
      <c r="S112" s="21">
        <f t="shared" si="9"/>
        <v>4.16</v>
      </c>
    </row>
    <row r="113" spans="1:19" x14ac:dyDescent="0.25">
      <c r="A113" s="35" t="s">
        <v>136</v>
      </c>
      <c r="B113" s="66" t="s">
        <v>275</v>
      </c>
      <c r="C113" s="7">
        <f>SUMIFS(Datadetails[[Hours]:[Hours]],Datadetails[[Group]:[Group]],C$5,Datadetails[[Taskcode]:[Taskcode]],$A113,Datadetails[[Activity_help]:[Activity_help]],"C20")</f>
        <v>0</v>
      </c>
      <c r="D113" s="7">
        <f>SUMIFS(Datadetails[[Hours]:[Hours]],Datadetails[[Group]:[Group]],D$5,Datadetails[[Taskcode]:[Taskcode]],$A113,Datadetails[[Activity_help]:[Activity_help]],"C20")</f>
        <v>0</v>
      </c>
      <c r="E113" s="7">
        <f>SUMIFS(Datadetails[[Hours]:[Hours]],Datadetails[[Group]:[Group]],E$5,Datadetails[[Taskcode]:[Taskcode]],$A113,Datadetails[[Activity_help]:[Activity_help]],"C20")</f>
        <v>0</v>
      </c>
      <c r="F113" s="7">
        <f>SUMIFS(Datadetails[[Hours]:[Hours]],Datadetails[[Group]:[Group]],F$5,Datadetails[[Taskcode]:[Taskcode]],$A113,Datadetails[[Activity_help]:[Activity_help]],"C20")</f>
        <v>0</v>
      </c>
      <c r="G113" s="12">
        <f t="shared" si="8"/>
        <v>0</v>
      </c>
      <c r="H113" s="8">
        <f>SUMIFS(Datadetails[[Hours]:[Hours]],Datadetails[[Group]:[Group]],H$5,Datadetails[[Taskcode]:[Taskcode]],$A113,Datadetails[[Activity_help]:[Activity_help]],"C30")</f>
        <v>0</v>
      </c>
      <c r="I113" s="8">
        <f>SUMIFS(Datadetails[[Hours]:[Hours]],Datadetails[[Group]:[Group]],I$5,Datadetails[[Taskcode]:[Taskcode]],$A113,Datadetails[[Activity_help]:[Activity_help]],"C30")</f>
        <v>0</v>
      </c>
      <c r="J113" s="8">
        <f>SUMIFS(Datadetails[[Hours]:[Hours]],Datadetails[[Group]:[Group]],J$5,Datadetails[[Taskcode]:[Taskcode]],$A113,Datadetails[[Activity_help]:[Activity_help]],"C30")</f>
        <v>2.5</v>
      </c>
      <c r="K113" s="8">
        <f>SUMIFS(Datadetails[[Hours]:[Hours]],Datadetails[[Group]:[Group]],K$5,Datadetails[[Taskcode]:[Taskcode]],$A113,Datadetails[[Activity_help]:[Activity_help]],"C30")</f>
        <v>0</v>
      </c>
      <c r="L113" s="13">
        <f t="shared" si="10"/>
        <v>2.5</v>
      </c>
      <c r="M113" s="39">
        <f>SUMIFS(Datadetails[[Hours]:[Hours]],Datadetails[[Group]:[Group]],M$5,Datadetails[[Taskcode]:[Taskcode]],$A113,Datadetails[[Activity_help]:[Activity_help]],"C40")</f>
        <v>0</v>
      </c>
      <c r="N113" s="39">
        <f>SUMIFS(Datadetails[[Hours]:[Hours]],Datadetails[[Group]:[Group]],N$5,Datadetails[[Taskcode]:[Taskcode]],$A113,Datadetails[[Activity_help]:[Activity_help]],"C40")</f>
        <v>0</v>
      </c>
      <c r="O113" s="39">
        <f>SUMIFS(Datadetails[[Hours]:[Hours]],Datadetails[[Group]:[Group]],O$5,Datadetails[[Taskcode]:[Taskcode]],$A113,Datadetails[[Activity_help]:[Activity_help]],"C40")</f>
        <v>0</v>
      </c>
      <c r="P113" s="39">
        <f>SUMIFS(Datadetails[[Hours]:[Hours]],Datadetails[[Group]:[Group]],P$5,Datadetails[[Taskcode]:[Taskcode]],$A113,Datadetails[[Activity_help]:[Activity_help]],"C40")</f>
        <v>0</v>
      </c>
      <c r="Q113" s="40">
        <f t="shared" si="11"/>
        <v>0</v>
      </c>
      <c r="R113" s="63">
        <f>SUMIFS(Datadetails[[Hours]:[Hours]],Datadetails[[Group]:[Group]],"Other",Datadetails[[Taskcode]:[Taskcode]],$A113,Datadetails[[Activity_help]:[Activity_help]],"Other")</f>
        <v>0</v>
      </c>
      <c r="S113" s="21">
        <f t="shared" si="9"/>
        <v>2.5</v>
      </c>
    </row>
    <row r="114" spans="1:19" x14ac:dyDescent="0.25">
      <c r="A114" s="35" t="s">
        <v>137</v>
      </c>
      <c r="B114" s="66" t="s">
        <v>276</v>
      </c>
      <c r="C114" s="7">
        <f>SUMIFS(Datadetails[[Hours]:[Hours]],Datadetails[[Group]:[Group]],C$5,Datadetails[[Taskcode]:[Taskcode]],$A114,Datadetails[[Activity_help]:[Activity_help]],"C20")</f>
        <v>0</v>
      </c>
      <c r="D114" s="7">
        <f>SUMIFS(Datadetails[[Hours]:[Hours]],Datadetails[[Group]:[Group]],D$5,Datadetails[[Taskcode]:[Taskcode]],$A114,Datadetails[[Activity_help]:[Activity_help]],"C20")</f>
        <v>0</v>
      </c>
      <c r="E114" s="7">
        <f>SUMIFS(Datadetails[[Hours]:[Hours]],Datadetails[[Group]:[Group]],E$5,Datadetails[[Taskcode]:[Taskcode]],$A114,Datadetails[[Activity_help]:[Activity_help]],"C20")</f>
        <v>0.17</v>
      </c>
      <c r="F114" s="7">
        <f>SUMIFS(Datadetails[[Hours]:[Hours]],Datadetails[[Group]:[Group]],F$5,Datadetails[[Taskcode]:[Taskcode]],$A114,Datadetails[[Activity_help]:[Activity_help]],"C20")</f>
        <v>0</v>
      </c>
      <c r="G114" s="12">
        <f t="shared" si="8"/>
        <v>0.17</v>
      </c>
      <c r="H114" s="8">
        <f>SUMIFS(Datadetails[[Hours]:[Hours]],Datadetails[[Group]:[Group]],H$5,Datadetails[[Taskcode]:[Taskcode]],$A114,Datadetails[[Activity_help]:[Activity_help]],"C30")</f>
        <v>0</v>
      </c>
      <c r="I114" s="8">
        <f>SUMIFS(Datadetails[[Hours]:[Hours]],Datadetails[[Group]:[Group]],I$5,Datadetails[[Taskcode]:[Taskcode]],$A114,Datadetails[[Activity_help]:[Activity_help]],"C30")</f>
        <v>0</v>
      </c>
      <c r="J114" s="8">
        <f>SUMIFS(Datadetails[[Hours]:[Hours]],Datadetails[[Group]:[Group]],J$5,Datadetails[[Taskcode]:[Taskcode]],$A114,Datadetails[[Activity_help]:[Activity_help]],"C30")</f>
        <v>1.26</v>
      </c>
      <c r="K114" s="8">
        <f>SUMIFS(Datadetails[[Hours]:[Hours]],Datadetails[[Group]:[Group]],K$5,Datadetails[[Taskcode]:[Taskcode]],$A114,Datadetails[[Activity_help]:[Activity_help]],"C30")</f>
        <v>0</v>
      </c>
      <c r="L114" s="13">
        <f t="shared" si="10"/>
        <v>1.26</v>
      </c>
      <c r="M114" s="39">
        <f>SUMIFS(Datadetails[[Hours]:[Hours]],Datadetails[[Group]:[Group]],M$5,Datadetails[[Taskcode]:[Taskcode]],$A114,Datadetails[[Activity_help]:[Activity_help]],"C40")</f>
        <v>0</v>
      </c>
      <c r="N114" s="39">
        <f>SUMIFS(Datadetails[[Hours]:[Hours]],Datadetails[[Group]:[Group]],N$5,Datadetails[[Taskcode]:[Taskcode]],$A114,Datadetails[[Activity_help]:[Activity_help]],"C40")</f>
        <v>0</v>
      </c>
      <c r="O114" s="39">
        <f>SUMIFS(Datadetails[[Hours]:[Hours]],Datadetails[[Group]:[Group]],O$5,Datadetails[[Taskcode]:[Taskcode]],$A114,Datadetails[[Activity_help]:[Activity_help]],"C40")</f>
        <v>0</v>
      </c>
      <c r="P114" s="39">
        <f>SUMIFS(Datadetails[[Hours]:[Hours]],Datadetails[[Group]:[Group]],P$5,Datadetails[[Taskcode]:[Taskcode]],$A114,Datadetails[[Activity_help]:[Activity_help]],"C40")</f>
        <v>0</v>
      </c>
      <c r="Q114" s="40">
        <f t="shared" si="11"/>
        <v>0</v>
      </c>
      <c r="R114" s="63">
        <f>SUMIFS(Datadetails[[Hours]:[Hours]],Datadetails[[Group]:[Group]],"Other",Datadetails[[Taskcode]:[Taskcode]],$A114,Datadetails[[Activity_help]:[Activity_help]],"Other")</f>
        <v>0</v>
      </c>
      <c r="S114" s="21">
        <f t="shared" si="9"/>
        <v>1.43</v>
      </c>
    </row>
    <row r="115" spans="1:19" x14ac:dyDescent="0.25">
      <c r="A115" s="35" t="s">
        <v>138</v>
      </c>
      <c r="B115" s="66" t="s">
        <v>277</v>
      </c>
      <c r="C115" s="7">
        <f>SUMIFS(Datadetails[[Hours]:[Hours]],Datadetails[[Group]:[Group]],C$5,Datadetails[[Taskcode]:[Taskcode]],$A115,Datadetails[[Activity_help]:[Activity_help]],"C20")</f>
        <v>0</v>
      </c>
      <c r="D115" s="7">
        <f>SUMIFS(Datadetails[[Hours]:[Hours]],Datadetails[[Group]:[Group]],D$5,Datadetails[[Taskcode]:[Taskcode]],$A115,Datadetails[[Activity_help]:[Activity_help]],"C20")</f>
        <v>0</v>
      </c>
      <c r="E115" s="7">
        <f>SUMIFS(Datadetails[[Hours]:[Hours]],Datadetails[[Group]:[Group]],E$5,Datadetails[[Taskcode]:[Taskcode]],$A115,Datadetails[[Activity_help]:[Activity_help]],"C20")</f>
        <v>0</v>
      </c>
      <c r="F115" s="7">
        <f>SUMIFS(Datadetails[[Hours]:[Hours]],Datadetails[[Group]:[Group]],F$5,Datadetails[[Taskcode]:[Taskcode]],$A115,Datadetails[[Activity_help]:[Activity_help]],"C20")</f>
        <v>0</v>
      </c>
      <c r="G115" s="12">
        <f t="shared" si="8"/>
        <v>0</v>
      </c>
      <c r="H115" s="8">
        <f>SUMIFS(Datadetails[[Hours]:[Hours]],Datadetails[[Group]:[Group]],H$5,Datadetails[[Taskcode]:[Taskcode]],$A115,Datadetails[[Activity_help]:[Activity_help]],"C30")</f>
        <v>0</v>
      </c>
      <c r="I115" s="8">
        <f>SUMIFS(Datadetails[[Hours]:[Hours]],Datadetails[[Group]:[Group]],I$5,Datadetails[[Taskcode]:[Taskcode]],$A115,Datadetails[[Activity_help]:[Activity_help]],"C30")</f>
        <v>0</v>
      </c>
      <c r="J115" s="8">
        <f>SUMIFS(Datadetails[[Hours]:[Hours]],Datadetails[[Group]:[Group]],J$5,Datadetails[[Taskcode]:[Taskcode]],$A115,Datadetails[[Activity_help]:[Activity_help]],"C30")</f>
        <v>4.7799999999999994</v>
      </c>
      <c r="K115" s="8">
        <f>SUMIFS(Datadetails[[Hours]:[Hours]],Datadetails[[Group]:[Group]],K$5,Datadetails[[Taskcode]:[Taskcode]],$A115,Datadetails[[Activity_help]:[Activity_help]],"C30")</f>
        <v>0</v>
      </c>
      <c r="L115" s="13">
        <f t="shared" si="10"/>
        <v>4.7799999999999994</v>
      </c>
      <c r="M115" s="39">
        <f>SUMIFS(Datadetails[[Hours]:[Hours]],Datadetails[[Group]:[Group]],M$5,Datadetails[[Taskcode]:[Taskcode]],$A115,Datadetails[[Activity_help]:[Activity_help]],"C40")</f>
        <v>0</v>
      </c>
      <c r="N115" s="39">
        <f>SUMIFS(Datadetails[[Hours]:[Hours]],Datadetails[[Group]:[Group]],N$5,Datadetails[[Taskcode]:[Taskcode]],$A115,Datadetails[[Activity_help]:[Activity_help]],"C40")</f>
        <v>0</v>
      </c>
      <c r="O115" s="39">
        <f>SUMIFS(Datadetails[[Hours]:[Hours]],Datadetails[[Group]:[Group]],O$5,Datadetails[[Taskcode]:[Taskcode]],$A115,Datadetails[[Activity_help]:[Activity_help]],"C40")</f>
        <v>0.83</v>
      </c>
      <c r="P115" s="39">
        <f>SUMIFS(Datadetails[[Hours]:[Hours]],Datadetails[[Group]:[Group]],P$5,Datadetails[[Taskcode]:[Taskcode]],$A115,Datadetails[[Activity_help]:[Activity_help]],"C40")</f>
        <v>0</v>
      </c>
      <c r="Q115" s="40">
        <f t="shared" si="11"/>
        <v>0.83</v>
      </c>
      <c r="R115" s="63">
        <f>SUMIFS(Datadetails[[Hours]:[Hours]],Datadetails[[Group]:[Group]],"Other",Datadetails[[Taskcode]:[Taskcode]],$A115,Datadetails[[Activity_help]:[Activity_help]],"Other")</f>
        <v>0</v>
      </c>
      <c r="S115" s="21">
        <f t="shared" si="9"/>
        <v>5.6099999999999994</v>
      </c>
    </row>
    <row r="116" spans="1:19" x14ac:dyDescent="0.25">
      <c r="A116" s="35" t="s">
        <v>139</v>
      </c>
      <c r="B116" s="66" t="s">
        <v>278</v>
      </c>
      <c r="C116" s="7">
        <f>SUMIFS(Datadetails[[Hours]:[Hours]],Datadetails[[Group]:[Group]],C$5,Datadetails[[Taskcode]:[Taskcode]],$A116,Datadetails[[Activity_help]:[Activity_help]],"C20")</f>
        <v>0</v>
      </c>
      <c r="D116" s="7">
        <f>SUMIFS(Datadetails[[Hours]:[Hours]],Datadetails[[Group]:[Group]],D$5,Datadetails[[Taskcode]:[Taskcode]],$A116,Datadetails[[Activity_help]:[Activity_help]],"C20")</f>
        <v>0</v>
      </c>
      <c r="E116" s="7">
        <f>SUMIFS(Datadetails[[Hours]:[Hours]],Datadetails[[Group]:[Group]],E$5,Datadetails[[Taskcode]:[Taskcode]],$A116,Datadetails[[Activity_help]:[Activity_help]],"C20")</f>
        <v>0</v>
      </c>
      <c r="F116" s="7">
        <f>SUMIFS(Datadetails[[Hours]:[Hours]],Datadetails[[Group]:[Group]],F$5,Datadetails[[Taskcode]:[Taskcode]],$A116,Datadetails[[Activity_help]:[Activity_help]],"C20")</f>
        <v>0</v>
      </c>
      <c r="G116" s="12">
        <f t="shared" si="8"/>
        <v>0</v>
      </c>
      <c r="H116" s="8">
        <f>SUMIFS(Datadetails[[Hours]:[Hours]],Datadetails[[Group]:[Group]],H$5,Datadetails[[Taskcode]:[Taskcode]],$A116,Datadetails[[Activity_help]:[Activity_help]],"C30")</f>
        <v>0</v>
      </c>
      <c r="I116" s="8">
        <f>SUMIFS(Datadetails[[Hours]:[Hours]],Datadetails[[Group]:[Group]],I$5,Datadetails[[Taskcode]:[Taskcode]],$A116,Datadetails[[Activity_help]:[Activity_help]],"C30")</f>
        <v>0</v>
      </c>
      <c r="J116" s="8">
        <f>SUMIFS(Datadetails[[Hours]:[Hours]],Datadetails[[Group]:[Group]],J$5,Datadetails[[Taskcode]:[Taskcode]],$A116,Datadetails[[Activity_help]:[Activity_help]],"C30")</f>
        <v>5.27</v>
      </c>
      <c r="K116" s="8">
        <f>SUMIFS(Datadetails[[Hours]:[Hours]],Datadetails[[Group]:[Group]],K$5,Datadetails[[Taskcode]:[Taskcode]],$A116,Datadetails[[Activity_help]:[Activity_help]],"C30")</f>
        <v>0</v>
      </c>
      <c r="L116" s="13">
        <f t="shared" si="10"/>
        <v>5.27</v>
      </c>
      <c r="M116" s="39">
        <f>SUMIFS(Datadetails[[Hours]:[Hours]],Datadetails[[Group]:[Group]],M$5,Datadetails[[Taskcode]:[Taskcode]],$A116,Datadetails[[Activity_help]:[Activity_help]],"C40")</f>
        <v>0</v>
      </c>
      <c r="N116" s="39">
        <f>SUMIFS(Datadetails[[Hours]:[Hours]],Datadetails[[Group]:[Group]],N$5,Datadetails[[Taskcode]:[Taskcode]],$A116,Datadetails[[Activity_help]:[Activity_help]],"C40")</f>
        <v>0</v>
      </c>
      <c r="O116" s="39">
        <f>SUMIFS(Datadetails[[Hours]:[Hours]],Datadetails[[Group]:[Group]],O$5,Datadetails[[Taskcode]:[Taskcode]],$A116,Datadetails[[Activity_help]:[Activity_help]],"C40")</f>
        <v>4.42</v>
      </c>
      <c r="P116" s="39">
        <f>SUMIFS(Datadetails[[Hours]:[Hours]],Datadetails[[Group]:[Group]],P$5,Datadetails[[Taskcode]:[Taskcode]],$A116,Datadetails[[Activity_help]:[Activity_help]],"C40")</f>
        <v>0</v>
      </c>
      <c r="Q116" s="40">
        <f t="shared" si="11"/>
        <v>4.42</v>
      </c>
      <c r="R116" s="63">
        <f>SUMIFS(Datadetails[[Hours]:[Hours]],Datadetails[[Group]:[Group]],"Other",Datadetails[[Taskcode]:[Taskcode]],$A116,Datadetails[[Activity_help]:[Activity_help]],"Other")</f>
        <v>0</v>
      </c>
      <c r="S116" s="21">
        <f t="shared" si="9"/>
        <v>9.69</v>
      </c>
    </row>
    <row r="117" spans="1:19" x14ac:dyDescent="0.25">
      <c r="A117" s="35" t="s">
        <v>140</v>
      </c>
      <c r="B117" s="66" t="s">
        <v>279</v>
      </c>
      <c r="C117" s="7">
        <f>SUMIFS(Datadetails[[Hours]:[Hours]],Datadetails[[Group]:[Group]],C$5,Datadetails[[Taskcode]:[Taskcode]],$A117,Datadetails[[Activity_help]:[Activity_help]],"C20")</f>
        <v>0</v>
      </c>
      <c r="D117" s="7">
        <f>SUMIFS(Datadetails[[Hours]:[Hours]],Datadetails[[Group]:[Group]],D$5,Datadetails[[Taskcode]:[Taskcode]],$A117,Datadetails[[Activity_help]:[Activity_help]],"C20")</f>
        <v>0</v>
      </c>
      <c r="E117" s="7">
        <f>SUMIFS(Datadetails[[Hours]:[Hours]],Datadetails[[Group]:[Group]],E$5,Datadetails[[Taskcode]:[Taskcode]],$A117,Datadetails[[Activity_help]:[Activity_help]],"C20")</f>
        <v>0</v>
      </c>
      <c r="F117" s="7">
        <f>SUMIFS(Datadetails[[Hours]:[Hours]],Datadetails[[Group]:[Group]],F$5,Datadetails[[Taskcode]:[Taskcode]],$A117,Datadetails[[Activity_help]:[Activity_help]],"C20")</f>
        <v>0</v>
      </c>
      <c r="G117" s="12">
        <f t="shared" si="8"/>
        <v>0</v>
      </c>
      <c r="H117" s="8">
        <f>SUMIFS(Datadetails[[Hours]:[Hours]],Datadetails[[Group]:[Group]],H$5,Datadetails[[Taskcode]:[Taskcode]],$A117,Datadetails[[Activity_help]:[Activity_help]],"C30")</f>
        <v>0</v>
      </c>
      <c r="I117" s="8">
        <f>SUMIFS(Datadetails[[Hours]:[Hours]],Datadetails[[Group]:[Group]],I$5,Datadetails[[Taskcode]:[Taskcode]],$A117,Datadetails[[Activity_help]:[Activity_help]],"C30")</f>
        <v>0</v>
      </c>
      <c r="J117" s="8">
        <f>SUMIFS(Datadetails[[Hours]:[Hours]],Datadetails[[Group]:[Group]],J$5,Datadetails[[Taskcode]:[Taskcode]],$A117,Datadetails[[Activity_help]:[Activity_help]],"C30")</f>
        <v>0</v>
      </c>
      <c r="K117" s="8">
        <f>SUMIFS(Datadetails[[Hours]:[Hours]],Datadetails[[Group]:[Group]],K$5,Datadetails[[Taskcode]:[Taskcode]],$A117,Datadetails[[Activity_help]:[Activity_help]],"C30")</f>
        <v>0</v>
      </c>
      <c r="L117" s="13">
        <f t="shared" si="10"/>
        <v>0</v>
      </c>
      <c r="M117" s="39">
        <f>SUMIFS(Datadetails[[Hours]:[Hours]],Datadetails[[Group]:[Group]],M$5,Datadetails[[Taskcode]:[Taskcode]],$A117,Datadetails[[Activity_help]:[Activity_help]],"C40")</f>
        <v>0</v>
      </c>
      <c r="N117" s="39">
        <f>SUMIFS(Datadetails[[Hours]:[Hours]],Datadetails[[Group]:[Group]],N$5,Datadetails[[Taskcode]:[Taskcode]],$A117,Datadetails[[Activity_help]:[Activity_help]],"C40")</f>
        <v>0</v>
      </c>
      <c r="O117" s="39">
        <f>SUMIFS(Datadetails[[Hours]:[Hours]],Datadetails[[Group]:[Group]],O$5,Datadetails[[Taskcode]:[Taskcode]],$A117,Datadetails[[Activity_help]:[Activity_help]],"C40")</f>
        <v>0</v>
      </c>
      <c r="P117" s="39">
        <f>SUMIFS(Datadetails[[Hours]:[Hours]],Datadetails[[Group]:[Group]],P$5,Datadetails[[Taskcode]:[Taskcode]],$A117,Datadetails[[Activity_help]:[Activity_help]],"C40")</f>
        <v>0</v>
      </c>
      <c r="Q117" s="40">
        <f t="shared" si="11"/>
        <v>0</v>
      </c>
      <c r="R117" s="63">
        <f>SUMIFS(Datadetails[[Hours]:[Hours]],Datadetails[[Group]:[Group]],"Other",Datadetails[[Taskcode]:[Taskcode]],$A117,Datadetails[[Activity_help]:[Activity_help]],"Other")</f>
        <v>0</v>
      </c>
      <c r="S117" s="21">
        <f t="shared" si="9"/>
        <v>0</v>
      </c>
    </row>
    <row r="118" spans="1:19" x14ac:dyDescent="0.25">
      <c r="A118" s="35" t="s">
        <v>141</v>
      </c>
      <c r="B118" s="66" t="s">
        <v>280</v>
      </c>
      <c r="C118" s="7">
        <f>SUMIFS(Datadetails[[Hours]:[Hours]],Datadetails[[Group]:[Group]],C$5,Datadetails[[Taskcode]:[Taskcode]],$A118,Datadetails[[Activity_help]:[Activity_help]],"C20")</f>
        <v>0</v>
      </c>
      <c r="D118" s="7">
        <f>SUMIFS(Datadetails[[Hours]:[Hours]],Datadetails[[Group]:[Group]],D$5,Datadetails[[Taskcode]:[Taskcode]],$A118,Datadetails[[Activity_help]:[Activity_help]],"C20")</f>
        <v>0</v>
      </c>
      <c r="E118" s="7">
        <f>SUMIFS(Datadetails[[Hours]:[Hours]],Datadetails[[Group]:[Group]],E$5,Datadetails[[Taskcode]:[Taskcode]],$A118,Datadetails[[Activity_help]:[Activity_help]],"C20")</f>
        <v>0</v>
      </c>
      <c r="F118" s="7">
        <f>SUMIFS(Datadetails[[Hours]:[Hours]],Datadetails[[Group]:[Group]],F$5,Datadetails[[Taskcode]:[Taskcode]],$A118,Datadetails[[Activity_help]:[Activity_help]],"C20")</f>
        <v>3</v>
      </c>
      <c r="G118" s="12">
        <f t="shared" si="8"/>
        <v>3</v>
      </c>
      <c r="H118" s="8">
        <f>SUMIFS(Datadetails[[Hours]:[Hours]],Datadetails[[Group]:[Group]],H$5,Datadetails[[Taskcode]:[Taskcode]],$A118,Datadetails[[Activity_help]:[Activity_help]],"C30")</f>
        <v>0</v>
      </c>
      <c r="I118" s="8">
        <f>SUMIFS(Datadetails[[Hours]:[Hours]],Datadetails[[Group]:[Group]],I$5,Datadetails[[Taskcode]:[Taskcode]],$A118,Datadetails[[Activity_help]:[Activity_help]],"C30")</f>
        <v>0</v>
      </c>
      <c r="J118" s="8">
        <f>SUMIFS(Datadetails[[Hours]:[Hours]],Datadetails[[Group]:[Group]],J$5,Datadetails[[Taskcode]:[Taskcode]],$A118,Datadetails[[Activity_help]:[Activity_help]],"C30")</f>
        <v>0</v>
      </c>
      <c r="K118" s="8">
        <f>SUMIFS(Datadetails[[Hours]:[Hours]],Datadetails[[Group]:[Group]],K$5,Datadetails[[Taskcode]:[Taskcode]],$A118,Datadetails[[Activity_help]:[Activity_help]],"C30")</f>
        <v>0.25</v>
      </c>
      <c r="L118" s="13">
        <f t="shared" si="10"/>
        <v>0.25</v>
      </c>
      <c r="M118" s="39">
        <f>SUMIFS(Datadetails[[Hours]:[Hours]],Datadetails[[Group]:[Group]],M$5,Datadetails[[Taskcode]:[Taskcode]],$A118,Datadetails[[Activity_help]:[Activity_help]],"C40")</f>
        <v>0</v>
      </c>
      <c r="N118" s="39">
        <f>SUMIFS(Datadetails[[Hours]:[Hours]],Datadetails[[Group]:[Group]],N$5,Datadetails[[Taskcode]:[Taskcode]],$A118,Datadetails[[Activity_help]:[Activity_help]],"C40")</f>
        <v>0</v>
      </c>
      <c r="O118" s="39">
        <f>SUMIFS(Datadetails[[Hours]:[Hours]],Datadetails[[Group]:[Group]],O$5,Datadetails[[Taskcode]:[Taskcode]],$A118,Datadetails[[Activity_help]:[Activity_help]],"C40")</f>
        <v>0</v>
      </c>
      <c r="P118" s="39">
        <f>SUMIFS(Datadetails[[Hours]:[Hours]],Datadetails[[Group]:[Group]],P$5,Datadetails[[Taskcode]:[Taskcode]],$A118,Datadetails[[Activity_help]:[Activity_help]],"C40")</f>
        <v>3</v>
      </c>
      <c r="Q118" s="40">
        <f t="shared" si="11"/>
        <v>3</v>
      </c>
      <c r="R118" s="63">
        <f>SUMIFS(Datadetails[[Hours]:[Hours]],Datadetails[[Group]:[Group]],"Other",Datadetails[[Taskcode]:[Taskcode]],$A118,Datadetails[[Activity_help]:[Activity_help]],"Other")</f>
        <v>0</v>
      </c>
      <c r="S118" s="21">
        <f t="shared" si="9"/>
        <v>6.25</v>
      </c>
    </row>
    <row r="119" spans="1:19" x14ac:dyDescent="0.25">
      <c r="A119" s="35" t="s">
        <v>142</v>
      </c>
      <c r="B119" s="66" t="s">
        <v>281</v>
      </c>
      <c r="C119" s="7">
        <f>SUMIFS(Datadetails[[Hours]:[Hours]],Datadetails[[Group]:[Group]],C$5,Datadetails[[Taskcode]:[Taskcode]],$A119,Datadetails[[Activity_help]:[Activity_help]],"C20")</f>
        <v>0</v>
      </c>
      <c r="D119" s="7">
        <f>SUMIFS(Datadetails[[Hours]:[Hours]],Datadetails[[Group]:[Group]],D$5,Datadetails[[Taskcode]:[Taskcode]],$A119,Datadetails[[Activity_help]:[Activity_help]],"C20")</f>
        <v>0</v>
      </c>
      <c r="E119" s="7">
        <f>SUMIFS(Datadetails[[Hours]:[Hours]],Datadetails[[Group]:[Group]],E$5,Datadetails[[Taskcode]:[Taskcode]],$A119,Datadetails[[Activity_help]:[Activity_help]],"C20")</f>
        <v>0</v>
      </c>
      <c r="F119" s="7">
        <f>SUMIFS(Datadetails[[Hours]:[Hours]],Datadetails[[Group]:[Group]],F$5,Datadetails[[Taskcode]:[Taskcode]],$A119,Datadetails[[Activity_help]:[Activity_help]],"C20")</f>
        <v>4.83</v>
      </c>
      <c r="G119" s="12">
        <f t="shared" si="8"/>
        <v>4.83</v>
      </c>
      <c r="H119" s="8">
        <f>SUMIFS(Datadetails[[Hours]:[Hours]],Datadetails[[Group]:[Group]],H$5,Datadetails[[Taskcode]:[Taskcode]],$A119,Datadetails[[Activity_help]:[Activity_help]],"C30")</f>
        <v>0</v>
      </c>
      <c r="I119" s="8">
        <f>SUMIFS(Datadetails[[Hours]:[Hours]],Datadetails[[Group]:[Group]],I$5,Datadetails[[Taskcode]:[Taskcode]],$A119,Datadetails[[Activity_help]:[Activity_help]],"C30")</f>
        <v>0</v>
      </c>
      <c r="J119" s="8">
        <f>SUMIFS(Datadetails[[Hours]:[Hours]],Datadetails[[Group]:[Group]],J$5,Datadetails[[Taskcode]:[Taskcode]],$A119,Datadetails[[Activity_help]:[Activity_help]],"C30")</f>
        <v>0</v>
      </c>
      <c r="K119" s="8">
        <f>SUMIFS(Datadetails[[Hours]:[Hours]],Datadetails[[Group]:[Group]],K$5,Datadetails[[Taskcode]:[Taskcode]],$A119,Datadetails[[Activity_help]:[Activity_help]],"C30")</f>
        <v>0.25</v>
      </c>
      <c r="L119" s="13">
        <f t="shared" si="10"/>
        <v>0.25</v>
      </c>
      <c r="M119" s="39">
        <f>SUMIFS(Datadetails[[Hours]:[Hours]],Datadetails[[Group]:[Group]],M$5,Datadetails[[Taskcode]:[Taskcode]],$A119,Datadetails[[Activity_help]:[Activity_help]],"C40")</f>
        <v>0</v>
      </c>
      <c r="N119" s="39">
        <f>SUMIFS(Datadetails[[Hours]:[Hours]],Datadetails[[Group]:[Group]],N$5,Datadetails[[Taskcode]:[Taskcode]],$A119,Datadetails[[Activity_help]:[Activity_help]],"C40")</f>
        <v>0</v>
      </c>
      <c r="O119" s="39">
        <f>SUMIFS(Datadetails[[Hours]:[Hours]],Datadetails[[Group]:[Group]],O$5,Datadetails[[Taskcode]:[Taskcode]],$A119,Datadetails[[Activity_help]:[Activity_help]],"C40")</f>
        <v>0</v>
      </c>
      <c r="P119" s="39">
        <f>SUMIFS(Datadetails[[Hours]:[Hours]],Datadetails[[Group]:[Group]],P$5,Datadetails[[Taskcode]:[Taskcode]],$A119,Datadetails[[Activity_help]:[Activity_help]],"C40")</f>
        <v>9</v>
      </c>
      <c r="Q119" s="40">
        <f t="shared" si="11"/>
        <v>9</v>
      </c>
      <c r="R119" s="63">
        <f>SUMIFS(Datadetails[[Hours]:[Hours]],Datadetails[[Group]:[Group]],"Other",Datadetails[[Taskcode]:[Taskcode]],$A119,Datadetails[[Activity_help]:[Activity_help]],"Other")</f>
        <v>0</v>
      </c>
      <c r="S119" s="21">
        <f t="shared" si="9"/>
        <v>14.08</v>
      </c>
    </row>
    <row r="120" spans="1:19" x14ac:dyDescent="0.25">
      <c r="A120" s="35" t="s">
        <v>143</v>
      </c>
      <c r="B120" s="66" t="s">
        <v>282</v>
      </c>
      <c r="C120" s="7">
        <f>SUMIFS(Datadetails[[Hours]:[Hours]],Datadetails[[Group]:[Group]],C$5,Datadetails[[Taskcode]:[Taskcode]],$A120,Datadetails[[Activity_help]:[Activity_help]],"C20")</f>
        <v>0</v>
      </c>
      <c r="D120" s="7">
        <f>SUMIFS(Datadetails[[Hours]:[Hours]],Datadetails[[Group]:[Group]],D$5,Datadetails[[Taskcode]:[Taskcode]],$A120,Datadetails[[Activity_help]:[Activity_help]],"C20")</f>
        <v>0</v>
      </c>
      <c r="E120" s="7">
        <f>SUMIFS(Datadetails[[Hours]:[Hours]],Datadetails[[Group]:[Group]],E$5,Datadetails[[Taskcode]:[Taskcode]],$A120,Datadetails[[Activity_help]:[Activity_help]],"C20")</f>
        <v>0</v>
      </c>
      <c r="F120" s="7">
        <f>SUMIFS(Datadetails[[Hours]:[Hours]],Datadetails[[Group]:[Group]],F$5,Datadetails[[Taskcode]:[Taskcode]],$A120,Datadetails[[Activity_help]:[Activity_help]],"C20")</f>
        <v>1</v>
      </c>
      <c r="G120" s="12">
        <f t="shared" si="8"/>
        <v>1</v>
      </c>
      <c r="H120" s="8">
        <f>SUMIFS(Datadetails[[Hours]:[Hours]],Datadetails[[Group]:[Group]],H$5,Datadetails[[Taskcode]:[Taskcode]],$A120,Datadetails[[Activity_help]:[Activity_help]],"C30")</f>
        <v>0</v>
      </c>
      <c r="I120" s="8">
        <f>SUMIFS(Datadetails[[Hours]:[Hours]],Datadetails[[Group]:[Group]],I$5,Datadetails[[Taskcode]:[Taskcode]],$A120,Datadetails[[Activity_help]:[Activity_help]],"C30")</f>
        <v>0</v>
      </c>
      <c r="J120" s="8">
        <f>SUMIFS(Datadetails[[Hours]:[Hours]],Datadetails[[Group]:[Group]],J$5,Datadetails[[Taskcode]:[Taskcode]],$A120,Datadetails[[Activity_help]:[Activity_help]],"C30")</f>
        <v>0</v>
      </c>
      <c r="K120" s="8">
        <f>SUMIFS(Datadetails[[Hours]:[Hours]],Datadetails[[Group]:[Group]],K$5,Datadetails[[Taskcode]:[Taskcode]],$A120,Datadetails[[Activity_help]:[Activity_help]],"C30")</f>
        <v>0</v>
      </c>
      <c r="L120" s="13">
        <f t="shared" si="10"/>
        <v>0</v>
      </c>
      <c r="M120" s="39">
        <f>SUMIFS(Datadetails[[Hours]:[Hours]],Datadetails[[Group]:[Group]],M$5,Datadetails[[Taskcode]:[Taskcode]],$A120,Datadetails[[Activity_help]:[Activity_help]],"C40")</f>
        <v>0</v>
      </c>
      <c r="N120" s="39">
        <f>SUMIFS(Datadetails[[Hours]:[Hours]],Datadetails[[Group]:[Group]],N$5,Datadetails[[Taskcode]:[Taskcode]],$A120,Datadetails[[Activity_help]:[Activity_help]],"C40")</f>
        <v>0</v>
      </c>
      <c r="O120" s="39">
        <f>SUMIFS(Datadetails[[Hours]:[Hours]],Datadetails[[Group]:[Group]],O$5,Datadetails[[Taskcode]:[Taskcode]],$A120,Datadetails[[Activity_help]:[Activity_help]],"C40")</f>
        <v>0</v>
      </c>
      <c r="P120" s="39">
        <f>SUMIFS(Datadetails[[Hours]:[Hours]],Datadetails[[Group]:[Group]],P$5,Datadetails[[Taskcode]:[Taskcode]],$A120,Datadetails[[Activity_help]:[Activity_help]],"C40")</f>
        <v>4</v>
      </c>
      <c r="Q120" s="40">
        <f t="shared" si="11"/>
        <v>4</v>
      </c>
      <c r="R120" s="63">
        <f>SUMIFS(Datadetails[[Hours]:[Hours]],Datadetails[[Group]:[Group]],"Other",Datadetails[[Taskcode]:[Taskcode]],$A120,Datadetails[[Activity_help]:[Activity_help]],"Other")</f>
        <v>0</v>
      </c>
      <c r="S120" s="21">
        <f t="shared" si="9"/>
        <v>5</v>
      </c>
    </row>
    <row r="121" spans="1:19" x14ac:dyDescent="0.25">
      <c r="A121" s="35" t="s">
        <v>144</v>
      </c>
      <c r="B121" s="66" t="s">
        <v>283</v>
      </c>
      <c r="C121" s="7">
        <f>SUMIFS(Datadetails[[Hours]:[Hours]],Datadetails[[Group]:[Group]],C$5,Datadetails[[Taskcode]:[Taskcode]],$A121,Datadetails[[Activity_help]:[Activity_help]],"C20")</f>
        <v>0</v>
      </c>
      <c r="D121" s="7">
        <f>SUMIFS(Datadetails[[Hours]:[Hours]],Datadetails[[Group]:[Group]],D$5,Datadetails[[Taskcode]:[Taskcode]],$A121,Datadetails[[Activity_help]:[Activity_help]],"C20")</f>
        <v>0</v>
      </c>
      <c r="E121" s="7">
        <f>SUMIFS(Datadetails[[Hours]:[Hours]],Datadetails[[Group]:[Group]],E$5,Datadetails[[Taskcode]:[Taskcode]],$A121,Datadetails[[Activity_help]:[Activity_help]],"C20")</f>
        <v>0</v>
      </c>
      <c r="F121" s="7">
        <f>SUMIFS(Datadetails[[Hours]:[Hours]],Datadetails[[Group]:[Group]],F$5,Datadetails[[Taskcode]:[Taskcode]],$A121,Datadetails[[Activity_help]:[Activity_help]],"C20")</f>
        <v>5.66</v>
      </c>
      <c r="G121" s="12">
        <f t="shared" si="8"/>
        <v>5.66</v>
      </c>
      <c r="H121" s="8">
        <f>SUMIFS(Datadetails[[Hours]:[Hours]],Datadetails[[Group]:[Group]],H$5,Datadetails[[Taskcode]:[Taskcode]],$A121,Datadetails[[Activity_help]:[Activity_help]],"C30")</f>
        <v>0</v>
      </c>
      <c r="I121" s="8">
        <f>SUMIFS(Datadetails[[Hours]:[Hours]],Datadetails[[Group]:[Group]],I$5,Datadetails[[Taskcode]:[Taskcode]],$A121,Datadetails[[Activity_help]:[Activity_help]],"C30")</f>
        <v>0</v>
      </c>
      <c r="J121" s="8">
        <f>SUMIFS(Datadetails[[Hours]:[Hours]],Datadetails[[Group]:[Group]],J$5,Datadetails[[Taskcode]:[Taskcode]],$A121,Datadetails[[Activity_help]:[Activity_help]],"C30")</f>
        <v>0</v>
      </c>
      <c r="K121" s="8">
        <f>SUMIFS(Datadetails[[Hours]:[Hours]],Datadetails[[Group]:[Group]],K$5,Datadetails[[Taskcode]:[Taskcode]],$A121,Datadetails[[Activity_help]:[Activity_help]],"C30")</f>
        <v>3</v>
      </c>
      <c r="L121" s="13">
        <f t="shared" si="10"/>
        <v>3</v>
      </c>
      <c r="M121" s="39">
        <f>SUMIFS(Datadetails[[Hours]:[Hours]],Datadetails[[Group]:[Group]],M$5,Datadetails[[Taskcode]:[Taskcode]],$A121,Datadetails[[Activity_help]:[Activity_help]],"C40")</f>
        <v>0</v>
      </c>
      <c r="N121" s="39">
        <f>SUMIFS(Datadetails[[Hours]:[Hours]],Datadetails[[Group]:[Group]],N$5,Datadetails[[Taskcode]:[Taskcode]],$A121,Datadetails[[Activity_help]:[Activity_help]],"C40")</f>
        <v>0</v>
      </c>
      <c r="O121" s="39">
        <f>SUMIFS(Datadetails[[Hours]:[Hours]],Datadetails[[Group]:[Group]],O$5,Datadetails[[Taskcode]:[Taskcode]],$A121,Datadetails[[Activity_help]:[Activity_help]],"C40")</f>
        <v>0</v>
      </c>
      <c r="P121" s="39">
        <f>SUMIFS(Datadetails[[Hours]:[Hours]],Datadetails[[Group]:[Group]],P$5,Datadetails[[Taskcode]:[Taskcode]],$A121,Datadetails[[Activity_help]:[Activity_help]],"C40")</f>
        <v>6.5</v>
      </c>
      <c r="Q121" s="40">
        <f t="shared" si="11"/>
        <v>6.5</v>
      </c>
      <c r="R121" s="63">
        <f>SUMIFS(Datadetails[[Hours]:[Hours]],Datadetails[[Group]:[Group]],"Other",Datadetails[[Taskcode]:[Taskcode]],$A121,Datadetails[[Activity_help]:[Activity_help]],"Other")</f>
        <v>0</v>
      </c>
      <c r="S121" s="21">
        <f t="shared" si="9"/>
        <v>15.16</v>
      </c>
    </row>
    <row r="122" spans="1:19" x14ac:dyDescent="0.25">
      <c r="A122" s="35" t="s">
        <v>145</v>
      </c>
      <c r="B122" s="66" t="s">
        <v>284</v>
      </c>
      <c r="C122" s="7">
        <f>SUMIFS(Datadetails[[Hours]:[Hours]],Datadetails[[Group]:[Group]],C$5,Datadetails[[Taskcode]:[Taskcode]],$A122,Datadetails[[Activity_help]:[Activity_help]],"C20")</f>
        <v>0</v>
      </c>
      <c r="D122" s="7">
        <f>SUMIFS(Datadetails[[Hours]:[Hours]],Datadetails[[Group]:[Group]],D$5,Datadetails[[Taskcode]:[Taskcode]],$A122,Datadetails[[Activity_help]:[Activity_help]],"C20")</f>
        <v>0</v>
      </c>
      <c r="E122" s="7">
        <f>SUMIFS(Datadetails[[Hours]:[Hours]],Datadetails[[Group]:[Group]],E$5,Datadetails[[Taskcode]:[Taskcode]],$A122,Datadetails[[Activity_help]:[Activity_help]],"C20")</f>
        <v>0.75</v>
      </c>
      <c r="F122" s="7">
        <f>SUMIFS(Datadetails[[Hours]:[Hours]],Datadetails[[Group]:[Group]],F$5,Datadetails[[Taskcode]:[Taskcode]],$A122,Datadetails[[Activity_help]:[Activity_help]],"C20")</f>
        <v>0</v>
      </c>
      <c r="G122" s="12">
        <f t="shared" si="8"/>
        <v>0.75</v>
      </c>
      <c r="H122" s="8">
        <f>SUMIFS(Datadetails[[Hours]:[Hours]],Datadetails[[Group]:[Group]],H$5,Datadetails[[Taskcode]:[Taskcode]],$A122,Datadetails[[Activity_help]:[Activity_help]],"C30")</f>
        <v>0</v>
      </c>
      <c r="I122" s="8">
        <f>SUMIFS(Datadetails[[Hours]:[Hours]],Datadetails[[Group]:[Group]],I$5,Datadetails[[Taskcode]:[Taskcode]],$A122,Datadetails[[Activity_help]:[Activity_help]],"C30")</f>
        <v>0</v>
      </c>
      <c r="J122" s="8">
        <f>SUMIFS(Datadetails[[Hours]:[Hours]],Datadetails[[Group]:[Group]],J$5,Datadetails[[Taskcode]:[Taskcode]],$A122,Datadetails[[Activity_help]:[Activity_help]],"C30")</f>
        <v>2.1799999999999997</v>
      </c>
      <c r="K122" s="8">
        <f>SUMIFS(Datadetails[[Hours]:[Hours]],Datadetails[[Group]:[Group]],K$5,Datadetails[[Taskcode]:[Taskcode]],$A122,Datadetails[[Activity_help]:[Activity_help]],"C30")</f>
        <v>0</v>
      </c>
      <c r="L122" s="13">
        <f t="shared" si="10"/>
        <v>2.1799999999999997</v>
      </c>
      <c r="M122" s="39">
        <f>SUMIFS(Datadetails[[Hours]:[Hours]],Datadetails[[Group]:[Group]],M$5,Datadetails[[Taskcode]:[Taskcode]],$A122,Datadetails[[Activity_help]:[Activity_help]],"C40")</f>
        <v>0</v>
      </c>
      <c r="N122" s="39">
        <f>SUMIFS(Datadetails[[Hours]:[Hours]],Datadetails[[Group]:[Group]],N$5,Datadetails[[Taskcode]:[Taskcode]],$A122,Datadetails[[Activity_help]:[Activity_help]],"C40")</f>
        <v>0</v>
      </c>
      <c r="O122" s="39">
        <f>SUMIFS(Datadetails[[Hours]:[Hours]],Datadetails[[Group]:[Group]],O$5,Datadetails[[Taskcode]:[Taskcode]],$A122,Datadetails[[Activity_help]:[Activity_help]],"C40")</f>
        <v>1.5</v>
      </c>
      <c r="P122" s="39">
        <f>SUMIFS(Datadetails[[Hours]:[Hours]],Datadetails[[Group]:[Group]],P$5,Datadetails[[Taskcode]:[Taskcode]],$A122,Datadetails[[Activity_help]:[Activity_help]],"C40")</f>
        <v>0</v>
      </c>
      <c r="Q122" s="40">
        <f t="shared" si="11"/>
        <v>1.5</v>
      </c>
      <c r="R122" s="63">
        <f>SUMIFS(Datadetails[[Hours]:[Hours]],Datadetails[[Group]:[Group]],"Other",Datadetails[[Taskcode]:[Taskcode]],$A122,Datadetails[[Activity_help]:[Activity_help]],"Other")</f>
        <v>0</v>
      </c>
      <c r="S122" s="21">
        <f t="shared" si="9"/>
        <v>4.43</v>
      </c>
    </row>
    <row r="123" spans="1:19" x14ac:dyDescent="0.25">
      <c r="A123" s="35" t="s">
        <v>146</v>
      </c>
      <c r="B123" s="66" t="s">
        <v>285</v>
      </c>
      <c r="C123" s="7">
        <f>SUMIFS(Datadetails[[Hours]:[Hours]],Datadetails[[Group]:[Group]],C$5,Datadetails[[Taskcode]:[Taskcode]],$A123,Datadetails[[Activity_help]:[Activity_help]],"C20")</f>
        <v>0</v>
      </c>
      <c r="D123" s="7">
        <f>SUMIFS(Datadetails[[Hours]:[Hours]],Datadetails[[Group]:[Group]],D$5,Datadetails[[Taskcode]:[Taskcode]],$A123,Datadetails[[Activity_help]:[Activity_help]],"C20")</f>
        <v>0</v>
      </c>
      <c r="E123" s="7">
        <f>SUMIFS(Datadetails[[Hours]:[Hours]],Datadetails[[Group]:[Group]],E$5,Datadetails[[Taskcode]:[Taskcode]],$A123,Datadetails[[Activity_help]:[Activity_help]],"C20")</f>
        <v>0</v>
      </c>
      <c r="F123" s="7">
        <f>SUMIFS(Datadetails[[Hours]:[Hours]],Datadetails[[Group]:[Group]],F$5,Datadetails[[Taskcode]:[Taskcode]],$A123,Datadetails[[Activity_help]:[Activity_help]],"C20")</f>
        <v>2.17</v>
      </c>
      <c r="G123" s="12">
        <f t="shared" si="8"/>
        <v>2.17</v>
      </c>
      <c r="H123" s="8">
        <f>SUMIFS(Datadetails[[Hours]:[Hours]],Datadetails[[Group]:[Group]],H$5,Datadetails[[Taskcode]:[Taskcode]],$A123,Datadetails[[Activity_help]:[Activity_help]],"C30")</f>
        <v>0</v>
      </c>
      <c r="I123" s="8">
        <f>SUMIFS(Datadetails[[Hours]:[Hours]],Datadetails[[Group]:[Group]],I$5,Datadetails[[Taskcode]:[Taskcode]],$A123,Datadetails[[Activity_help]:[Activity_help]],"C30")</f>
        <v>0</v>
      </c>
      <c r="J123" s="8">
        <f>SUMIFS(Datadetails[[Hours]:[Hours]],Datadetails[[Group]:[Group]],J$5,Datadetails[[Taskcode]:[Taskcode]],$A123,Datadetails[[Activity_help]:[Activity_help]],"C30")</f>
        <v>0</v>
      </c>
      <c r="K123" s="8">
        <f>SUMIFS(Datadetails[[Hours]:[Hours]],Datadetails[[Group]:[Group]],K$5,Datadetails[[Taskcode]:[Taskcode]],$A123,Datadetails[[Activity_help]:[Activity_help]],"C30")</f>
        <v>1.75</v>
      </c>
      <c r="L123" s="13">
        <f t="shared" si="10"/>
        <v>1.75</v>
      </c>
      <c r="M123" s="39">
        <f>SUMIFS(Datadetails[[Hours]:[Hours]],Datadetails[[Group]:[Group]],M$5,Datadetails[[Taskcode]:[Taskcode]],$A123,Datadetails[[Activity_help]:[Activity_help]],"C40")</f>
        <v>0</v>
      </c>
      <c r="N123" s="39">
        <f>SUMIFS(Datadetails[[Hours]:[Hours]],Datadetails[[Group]:[Group]],N$5,Datadetails[[Taskcode]:[Taskcode]],$A123,Datadetails[[Activity_help]:[Activity_help]],"C40")</f>
        <v>0</v>
      </c>
      <c r="O123" s="39">
        <f>SUMIFS(Datadetails[[Hours]:[Hours]],Datadetails[[Group]:[Group]],O$5,Datadetails[[Taskcode]:[Taskcode]],$A123,Datadetails[[Activity_help]:[Activity_help]],"C40")</f>
        <v>0</v>
      </c>
      <c r="P123" s="39">
        <f>SUMIFS(Datadetails[[Hours]:[Hours]],Datadetails[[Group]:[Group]],P$5,Datadetails[[Taskcode]:[Taskcode]],$A123,Datadetails[[Activity_help]:[Activity_help]],"C40")</f>
        <v>2.5</v>
      </c>
      <c r="Q123" s="40">
        <f t="shared" si="11"/>
        <v>2.5</v>
      </c>
      <c r="R123" s="63">
        <f>SUMIFS(Datadetails[[Hours]:[Hours]],Datadetails[[Group]:[Group]],"Other",Datadetails[[Taskcode]:[Taskcode]],$A123,Datadetails[[Activity_help]:[Activity_help]],"Other")</f>
        <v>0</v>
      </c>
      <c r="S123" s="21">
        <f t="shared" si="9"/>
        <v>6.42</v>
      </c>
    </row>
    <row r="124" spans="1:19" x14ac:dyDescent="0.25">
      <c r="A124" s="35" t="s">
        <v>147</v>
      </c>
      <c r="B124" s="66" t="s">
        <v>286</v>
      </c>
      <c r="C124" s="7">
        <f>SUMIFS(Datadetails[[Hours]:[Hours]],Datadetails[[Group]:[Group]],C$5,Datadetails[[Taskcode]:[Taskcode]],$A124,Datadetails[[Activity_help]:[Activity_help]],"C20")</f>
        <v>0</v>
      </c>
      <c r="D124" s="7">
        <f>SUMIFS(Datadetails[[Hours]:[Hours]],Datadetails[[Group]:[Group]],D$5,Datadetails[[Taskcode]:[Taskcode]],$A124,Datadetails[[Activity_help]:[Activity_help]],"C20")</f>
        <v>0</v>
      </c>
      <c r="E124" s="7">
        <f>SUMIFS(Datadetails[[Hours]:[Hours]],Datadetails[[Group]:[Group]],E$5,Datadetails[[Taskcode]:[Taskcode]],$A124,Datadetails[[Activity_help]:[Activity_help]],"C20")</f>
        <v>0</v>
      </c>
      <c r="F124" s="7">
        <f>SUMIFS(Datadetails[[Hours]:[Hours]],Datadetails[[Group]:[Group]],F$5,Datadetails[[Taskcode]:[Taskcode]],$A124,Datadetails[[Activity_help]:[Activity_help]],"C20")</f>
        <v>1.5</v>
      </c>
      <c r="G124" s="12">
        <f t="shared" si="8"/>
        <v>1.5</v>
      </c>
      <c r="H124" s="8">
        <f>SUMIFS(Datadetails[[Hours]:[Hours]],Datadetails[[Group]:[Group]],H$5,Datadetails[[Taskcode]:[Taskcode]],$A124,Datadetails[[Activity_help]:[Activity_help]],"C30")</f>
        <v>0</v>
      </c>
      <c r="I124" s="8">
        <f>SUMIFS(Datadetails[[Hours]:[Hours]],Datadetails[[Group]:[Group]],I$5,Datadetails[[Taskcode]:[Taskcode]],$A124,Datadetails[[Activity_help]:[Activity_help]],"C30")</f>
        <v>0</v>
      </c>
      <c r="J124" s="8">
        <f>SUMIFS(Datadetails[[Hours]:[Hours]],Datadetails[[Group]:[Group]],J$5,Datadetails[[Taskcode]:[Taskcode]],$A124,Datadetails[[Activity_help]:[Activity_help]],"C30")</f>
        <v>0</v>
      </c>
      <c r="K124" s="8">
        <f>SUMIFS(Datadetails[[Hours]:[Hours]],Datadetails[[Group]:[Group]],K$5,Datadetails[[Taskcode]:[Taskcode]],$A124,Datadetails[[Activity_help]:[Activity_help]],"C30")</f>
        <v>1.08</v>
      </c>
      <c r="L124" s="13">
        <f t="shared" si="10"/>
        <v>1.08</v>
      </c>
      <c r="M124" s="39">
        <f>SUMIFS(Datadetails[[Hours]:[Hours]],Datadetails[[Group]:[Group]],M$5,Datadetails[[Taskcode]:[Taskcode]],$A124,Datadetails[[Activity_help]:[Activity_help]],"C40")</f>
        <v>0</v>
      </c>
      <c r="N124" s="39">
        <f>SUMIFS(Datadetails[[Hours]:[Hours]],Datadetails[[Group]:[Group]],N$5,Datadetails[[Taskcode]:[Taskcode]],$A124,Datadetails[[Activity_help]:[Activity_help]],"C40")</f>
        <v>0</v>
      </c>
      <c r="O124" s="39">
        <f>SUMIFS(Datadetails[[Hours]:[Hours]],Datadetails[[Group]:[Group]],O$5,Datadetails[[Taskcode]:[Taskcode]],$A124,Datadetails[[Activity_help]:[Activity_help]],"C40")</f>
        <v>0</v>
      </c>
      <c r="P124" s="39">
        <f>SUMIFS(Datadetails[[Hours]:[Hours]],Datadetails[[Group]:[Group]],P$5,Datadetails[[Taskcode]:[Taskcode]],$A124,Datadetails[[Activity_help]:[Activity_help]],"C40")</f>
        <v>2.5</v>
      </c>
      <c r="Q124" s="40">
        <f t="shared" si="11"/>
        <v>2.5</v>
      </c>
      <c r="R124" s="63">
        <f>SUMIFS(Datadetails[[Hours]:[Hours]],Datadetails[[Group]:[Group]],"Other",Datadetails[[Taskcode]:[Taskcode]],$A124,Datadetails[[Activity_help]:[Activity_help]],"Other")</f>
        <v>0</v>
      </c>
      <c r="S124" s="21">
        <f t="shared" si="9"/>
        <v>5.08</v>
      </c>
    </row>
    <row r="125" spans="1:19" x14ac:dyDescent="0.25">
      <c r="A125" s="35" t="s">
        <v>148</v>
      </c>
      <c r="B125" s="66" t="s">
        <v>287</v>
      </c>
      <c r="C125" s="7">
        <f>SUMIFS(Datadetails[[Hours]:[Hours]],Datadetails[[Group]:[Group]],C$5,Datadetails[[Taskcode]:[Taskcode]],$A125,Datadetails[[Activity_help]:[Activity_help]],"C20")</f>
        <v>0</v>
      </c>
      <c r="D125" s="7">
        <f>SUMIFS(Datadetails[[Hours]:[Hours]],Datadetails[[Group]:[Group]],D$5,Datadetails[[Taskcode]:[Taskcode]],$A125,Datadetails[[Activity_help]:[Activity_help]],"C20")</f>
        <v>0</v>
      </c>
      <c r="E125" s="7">
        <f>SUMIFS(Datadetails[[Hours]:[Hours]],Datadetails[[Group]:[Group]],E$5,Datadetails[[Taskcode]:[Taskcode]],$A125,Datadetails[[Activity_help]:[Activity_help]],"C20")</f>
        <v>0</v>
      </c>
      <c r="F125" s="7">
        <f>SUMIFS(Datadetails[[Hours]:[Hours]],Datadetails[[Group]:[Group]],F$5,Datadetails[[Taskcode]:[Taskcode]],$A125,Datadetails[[Activity_help]:[Activity_help]],"C20")</f>
        <v>0</v>
      </c>
      <c r="G125" s="12">
        <f t="shared" si="8"/>
        <v>0</v>
      </c>
      <c r="H125" s="8">
        <f>SUMIFS(Datadetails[[Hours]:[Hours]],Datadetails[[Group]:[Group]],H$5,Datadetails[[Taskcode]:[Taskcode]],$A125,Datadetails[[Activity_help]:[Activity_help]],"C30")</f>
        <v>0</v>
      </c>
      <c r="I125" s="8">
        <f>SUMIFS(Datadetails[[Hours]:[Hours]],Datadetails[[Group]:[Group]],I$5,Datadetails[[Taskcode]:[Taskcode]],$A125,Datadetails[[Activity_help]:[Activity_help]],"C30")</f>
        <v>0</v>
      </c>
      <c r="J125" s="8">
        <f>SUMIFS(Datadetails[[Hours]:[Hours]],Datadetails[[Group]:[Group]],J$5,Datadetails[[Taskcode]:[Taskcode]],$A125,Datadetails[[Activity_help]:[Activity_help]],"C30")</f>
        <v>5.5299999999999994</v>
      </c>
      <c r="K125" s="8">
        <f>SUMIFS(Datadetails[[Hours]:[Hours]],Datadetails[[Group]:[Group]],K$5,Datadetails[[Taskcode]:[Taskcode]],$A125,Datadetails[[Activity_help]:[Activity_help]],"C30")</f>
        <v>0</v>
      </c>
      <c r="L125" s="13">
        <f t="shared" si="10"/>
        <v>5.5299999999999994</v>
      </c>
      <c r="M125" s="39">
        <f>SUMIFS(Datadetails[[Hours]:[Hours]],Datadetails[[Group]:[Group]],M$5,Datadetails[[Taskcode]:[Taskcode]],$A125,Datadetails[[Activity_help]:[Activity_help]],"C40")</f>
        <v>0</v>
      </c>
      <c r="N125" s="39">
        <f>SUMIFS(Datadetails[[Hours]:[Hours]],Datadetails[[Group]:[Group]],N$5,Datadetails[[Taskcode]:[Taskcode]],$A125,Datadetails[[Activity_help]:[Activity_help]],"C40")</f>
        <v>0</v>
      </c>
      <c r="O125" s="39">
        <f>SUMIFS(Datadetails[[Hours]:[Hours]],Datadetails[[Group]:[Group]],O$5,Datadetails[[Taskcode]:[Taskcode]],$A125,Datadetails[[Activity_help]:[Activity_help]],"C40")</f>
        <v>0</v>
      </c>
      <c r="P125" s="39">
        <f>SUMIFS(Datadetails[[Hours]:[Hours]],Datadetails[[Group]:[Group]],P$5,Datadetails[[Taskcode]:[Taskcode]],$A125,Datadetails[[Activity_help]:[Activity_help]],"C40")</f>
        <v>0</v>
      </c>
      <c r="Q125" s="40">
        <f t="shared" si="11"/>
        <v>0</v>
      </c>
      <c r="R125" s="63">
        <f>SUMIFS(Datadetails[[Hours]:[Hours]],Datadetails[[Group]:[Group]],"Other",Datadetails[[Taskcode]:[Taskcode]],$A125,Datadetails[[Activity_help]:[Activity_help]],"Other")</f>
        <v>0</v>
      </c>
      <c r="S125" s="21">
        <f t="shared" si="9"/>
        <v>5.5299999999999994</v>
      </c>
    </row>
    <row r="126" spans="1:19" x14ac:dyDescent="0.25">
      <c r="A126" s="35" t="s">
        <v>48</v>
      </c>
      <c r="B126" s="66" t="s">
        <v>288</v>
      </c>
      <c r="C126" s="7">
        <f>SUMIFS(Datadetails[[Hours]:[Hours]],Datadetails[[Group]:[Group]],C$5,Datadetails[[Taskcode]:[Taskcode]],$A126,Datadetails[[Activity_help]:[Activity_help]],"C20")</f>
        <v>0</v>
      </c>
      <c r="D126" s="7">
        <f>SUMIFS(Datadetails[[Hours]:[Hours]],Datadetails[[Group]:[Group]],D$5,Datadetails[[Taskcode]:[Taskcode]],$A126,Datadetails[[Activity_help]:[Activity_help]],"C20")</f>
        <v>0</v>
      </c>
      <c r="E126" s="7">
        <f>SUMIFS(Datadetails[[Hours]:[Hours]],Datadetails[[Group]:[Group]],E$5,Datadetails[[Taskcode]:[Taskcode]],$A126,Datadetails[[Activity_help]:[Activity_help]],"C20")</f>
        <v>0</v>
      </c>
      <c r="F126" s="7">
        <f>SUMIFS(Datadetails[[Hours]:[Hours]],Datadetails[[Group]:[Group]],F$5,Datadetails[[Taskcode]:[Taskcode]],$A126,Datadetails[[Activity_help]:[Activity_help]],"C20")</f>
        <v>0</v>
      </c>
      <c r="G126" s="12">
        <f t="shared" si="8"/>
        <v>0</v>
      </c>
      <c r="H126" s="8">
        <f>SUMIFS(Datadetails[[Hours]:[Hours]],Datadetails[[Group]:[Group]],H$5,Datadetails[[Taskcode]:[Taskcode]],$A126,Datadetails[[Activity_help]:[Activity_help]],"C30")</f>
        <v>0</v>
      </c>
      <c r="I126" s="8">
        <f>SUMIFS(Datadetails[[Hours]:[Hours]],Datadetails[[Group]:[Group]],I$5,Datadetails[[Taskcode]:[Taskcode]],$A126,Datadetails[[Activity_help]:[Activity_help]],"C30")</f>
        <v>0</v>
      </c>
      <c r="J126" s="8">
        <f>SUMIFS(Datadetails[[Hours]:[Hours]],Datadetails[[Group]:[Group]],J$5,Datadetails[[Taskcode]:[Taskcode]],$A126,Datadetails[[Activity_help]:[Activity_help]],"C30")</f>
        <v>5.24</v>
      </c>
      <c r="K126" s="8">
        <f>SUMIFS(Datadetails[[Hours]:[Hours]],Datadetails[[Group]:[Group]],K$5,Datadetails[[Taskcode]:[Taskcode]],$A126,Datadetails[[Activity_help]:[Activity_help]],"C30")</f>
        <v>0</v>
      </c>
      <c r="L126" s="13">
        <f t="shared" si="10"/>
        <v>5.24</v>
      </c>
      <c r="M126" s="39">
        <f>SUMIFS(Datadetails[[Hours]:[Hours]],Datadetails[[Group]:[Group]],M$5,Datadetails[[Taskcode]:[Taskcode]],$A126,Datadetails[[Activity_help]:[Activity_help]],"C40")</f>
        <v>0</v>
      </c>
      <c r="N126" s="39">
        <f>SUMIFS(Datadetails[[Hours]:[Hours]],Datadetails[[Group]:[Group]],N$5,Datadetails[[Taskcode]:[Taskcode]],$A126,Datadetails[[Activity_help]:[Activity_help]],"C40")</f>
        <v>0</v>
      </c>
      <c r="O126" s="39">
        <f>SUMIFS(Datadetails[[Hours]:[Hours]],Datadetails[[Group]:[Group]],O$5,Datadetails[[Taskcode]:[Taskcode]],$A126,Datadetails[[Activity_help]:[Activity_help]],"C40")</f>
        <v>4.75</v>
      </c>
      <c r="P126" s="39">
        <f>SUMIFS(Datadetails[[Hours]:[Hours]],Datadetails[[Group]:[Group]],P$5,Datadetails[[Taskcode]:[Taskcode]],$A126,Datadetails[[Activity_help]:[Activity_help]],"C40")</f>
        <v>0</v>
      </c>
      <c r="Q126" s="40">
        <f t="shared" si="11"/>
        <v>4.75</v>
      </c>
      <c r="R126" s="63">
        <f>SUMIFS(Datadetails[[Hours]:[Hours]],Datadetails[[Group]:[Group]],"Other",Datadetails[[Taskcode]:[Taskcode]],$A126,Datadetails[[Activity_help]:[Activity_help]],"Other")</f>
        <v>0</v>
      </c>
      <c r="S126" s="21">
        <f t="shared" si="9"/>
        <v>9.99</v>
      </c>
    </row>
    <row r="127" spans="1:19" x14ac:dyDescent="0.25">
      <c r="A127" s="35" t="s">
        <v>149</v>
      </c>
      <c r="B127" s="66" t="s">
        <v>289</v>
      </c>
      <c r="C127" s="7">
        <f>SUMIFS(Datadetails[[Hours]:[Hours]],Datadetails[[Group]:[Group]],C$5,Datadetails[[Taskcode]:[Taskcode]],$A127,Datadetails[[Activity_help]:[Activity_help]],"C20")</f>
        <v>0</v>
      </c>
      <c r="D127" s="7">
        <f>SUMIFS(Datadetails[[Hours]:[Hours]],Datadetails[[Group]:[Group]],D$5,Datadetails[[Taskcode]:[Taskcode]],$A127,Datadetails[[Activity_help]:[Activity_help]],"C20")</f>
        <v>0</v>
      </c>
      <c r="E127" s="7">
        <f>SUMIFS(Datadetails[[Hours]:[Hours]],Datadetails[[Group]:[Group]],E$5,Datadetails[[Taskcode]:[Taskcode]],$A127,Datadetails[[Activity_help]:[Activity_help]],"C20")</f>
        <v>0</v>
      </c>
      <c r="F127" s="7">
        <f>SUMIFS(Datadetails[[Hours]:[Hours]],Datadetails[[Group]:[Group]],F$5,Datadetails[[Taskcode]:[Taskcode]],$A127,Datadetails[[Activity_help]:[Activity_help]],"C20")</f>
        <v>0</v>
      </c>
      <c r="G127" s="12">
        <f t="shared" si="8"/>
        <v>0</v>
      </c>
      <c r="H127" s="8">
        <f>SUMIFS(Datadetails[[Hours]:[Hours]],Datadetails[[Group]:[Group]],H$5,Datadetails[[Taskcode]:[Taskcode]],$A127,Datadetails[[Activity_help]:[Activity_help]],"C30")</f>
        <v>0</v>
      </c>
      <c r="I127" s="8">
        <f>SUMIFS(Datadetails[[Hours]:[Hours]],Datadetails[[Group]:[Group]],I$5,Datadetails[[Taskcode]:[Taskcode]],$A127,Datadetails[[Activity_help]:[Activity_help]],"C30")</f>
        <v>0</v>
      </c>
      <c r="J127" s="8">
        <f>SUMIFS(Datadetails[[Hours]:[Hours]],Datadetails[[Group]:[Group]],J$5,Datadetails[[Taskcode]:[Taskcode]],$A127,Datadetails[[Activity_help]:[Activity_help]],"C30")</f>
        <v>0</v>
      </c>
      <c r="K127" s="8">
        <f>SUMIFS(Datadetails[[Hours]:[Hours]],Datadetails[[Group]:[Group]],K$5,Datadetails[[Taskcode]:[Taskcode]],$A127,Datadetails[[Activity_help]:[Activity_help]],"C30")</f>
        <v>0</v>
      </c>
      <c r="L127" s="13">
        <f t="shared" si="10"/>
        <v>0</v>
      </c>
      <c r="M127" s="39">
        <f>SUMIFS(Datadetails[[Hours]:[Hours]],Datadetails[[Group]:[Group]],M$5,Datadetails[[Taskcode]:[Taskcode]],$A127,Datadetails[[Activity_help]:[Activity_help]],"C40")</f>
        <v>0</v>
      </c>
      <c r="N127" s="39">
        <f>SUMIFS(Datadetails[[Hours]:[Hours]],Datadetails[[Group]:[Group]],N$5,Datadetails[[Taskcode]:[Taskcode]],$A127,Datadetails[[Activity_help]:[Activity_help]],"C40")</f>
        <v>0</v>
      </c>
      <c r="O127" s="39">
        <f>SUMIFS(Datadetails[[Hours]:[Hours]],Datadetails[[Group]:[Group]],O$5,Datadetails[[Taskcode]:[Taskcode]],$A127,Datadetails[[Activity_help]:[Activity_help]],"C40")</f>
        <v>0</v>
      </c>
      <c r="P127" s="39">
        <f>SUMIFS(Datadetails[[Hours]:[Hours]],Datadetails[[Group]:[Group]],P$5,Datadetails[[Taskcode]:[Taskcode]],$A127,Datadetails[[Activity_help]:[Activity_help]],"C40")</f>
        <v>0</v>
      </c>
      <c r="Q127" s="40">
        <f t="shared" si="11"/>
        <v>0</v>
      </c>
      <c r="R127" s="63">
        <f>SUMIFS(Datadetails[[Hours]:[Hours]],Datadetails[[Group]:[Group]],"Other",Datadetails[[Taskcode]:[Taskcode]],$A127,Datadetails[[Activity_help]:[Activity_help]],"Other")</f>
        <v>0</v>
      </c>
      <c r="S127" s="21">
        <f t="shared" si="9"/>
        <v>0</v>
      </c>
    </row>
    <row r="128" spans="1:19" x14ac:dyDescent="0.25">
      <c r="A128" s="35" t="s">
        <v>150</v>
      </c>
      <c r="B128" s="66" t="s">
        <v>290</v>
      </c>
      <c r="C128" s="7">
        <f>SUMIFS(Datadetails[[Hours]:[Hours]],Datadetails[[Group]:[Group]],C$5,Datadetails[[Taskcode]:[Taskcode]],$A128,Datadetails[[Activity_help]:[Activity_help]],"C20")</f>
        <v>0</v>
      </c>
      <c r="D128" s="7">
        <f>SUMIFS(Datadetails[[Hours]:[Hours]],Datadetails[[Group]:[Group]],D$5,Datadetails[[Taskcode]:[Taskcode]],$A128,Datadetails[[Activity_help]:[Activity_help]],"C20")</f>
        <v>0</v>
      </c>
      <c r="E128" s="7">
        <f>SUMIFS(Datadetails[[Hours]:[Hours]],Datadetails[[Group]:[Group]],E$5,Datadetails[[Taskcode]:[Taskcode]],$A128,Datadetails[[Activity_help]:[Activity_help]],"C20")</f>
        <v>1.7599999999999998</v>
      </c>
      <c r="F128" s="7">
        <f>SUMIFS(Datadetails[[Hours]:[Hours]],Datadetails[[Group]:[Group]],F$5,Datadetails[[Taskcode]:[Taskcode]],$A128,Datadetails[[Activity_help]:[Activity_help]],"C20")</f>
        <v>0</v>
      </c>
      <c r="G128" s="12">
        <f t="shared" si="8"/>
        <v>1.7599999999999998</v>
      </c>
      <c r="H128" s="8">
        <f>SUMIFS(Datadetails[[Hours]:[Hours]],Datadetails[[Group]:[Group]],H$5,Datadetails[[Taskcode]:[Taskcode]],$A128,Datadetails[[Activity_help]:[Activity_help]],"C30")</f>
        <v>0</v>
      </c>
      <c r="I128" s="8">
        <f>SUMIFS(Datadetails[[Hours]:[Hours]],Datadetails[[Group]:[Group]],I$5,Datadetails[[Taskcode]:[Taskcode]],$A128,Datadetails[[Activity_help]:[Activity_help]],"C30")</f>
        <v>0</v>
      </c>
      <c r="J128" s="8">
        <f>SUMIFS(Datadetails[[Hours]:[Hours]],Datadetails[[Group]:[Group]],J$5,Datadetails[[Taskcode]:[Taskcode]],$A128,Datadetails[[Activity_help]:[Activity_help]],"C30")</f>
        <v>3.1099999999999994</v>
      </c>
      <c r="K128" s="8">
        <f>SUMIFS(Datadetails[[Hours]:[Hours]],Datadetails[[Group]:[Group]],K$5,Datadetails[[Taskcode]:[Taskcode]],$A128,Datadetails[[Activity_help]:[Activity_help]],"C30")</f>
        <v>0</v>
      </c>
      <c r="L128" s="13">
        <f t="shared" si="10"/>
        <v>3.1099999999999994</v>
      </c>
      <c r="M128" s="39">
        <f>SUMIFS(Datadetails[[Hours]:[Hours]],Datadetails[[Group]:[Group]],M$5,Datadetails[[Taskcode]:[Taskcode]],$A128,Datadetails[[Activity_help]:[Activity_help]],"C40")</f>
        <v>0</v>
      </c>
      <c r="N128" s="39">
        <f>SUMIFS(Datadetails[[Hours]:[Hours]],Datadetails[[Group]:[Group]],N$5,Datadetails[[Taskcode]:[Taskcode]],$A128,Datadetails[[Activity_help]:[Activity_help]],"C40")</f>
        <v>0</v>
      </c>
      <c r="O128" s="39">
        <f>SUMIFS(Datadetails[[Hours]:[Hours]],Datadetails[[Group]:[Group]],O$5,Datadetails[[Taskcode]:[Taskcode]],$A128,Datadetails[[Activity_help]:[Activity_help]],"C40")</f>
        <v>1.3399999999999999</v>
      </c>
      <c r="P128" s="39">
        <f>SUMIFS(Datadetails[[Hours]:[Hours]],Datadetails[[Group]:[Group]],P$5,Datadetails[[Taskcode]:[Taskcode]],$A128,Datadetails[[Activity_help]:[Activity_help]],"C40")</f>
        <v>0</v>
      </c>
      <c r="Q128" s="40">
        <f t="shared" si="11"/>
        <v>1.3399999999999999</v>
      </c>
      <c r="R128" s="63">
        <f>SUMIFS(Datadetails[[Hours]:[Hours]],Datadetails[[Group]:[Group]],"Other",Datadetails[[Taskcode]:[Taskcode]],$A128,Datadetails[[Activity_help]:[Activity_help]],"Other")</f>
        <v>7</v>
      </c>
      <c r="S128" s="21">
        <f t="shared" si="9"/>
        <v>13.209999999999999</v>
      </c>
    </row>
    <row r="129" spans="1:19" x14ac:dyDescent="0.25">
      <c r="A129" s="35" t="s">
        <v>151</v>
      </c>
      <c r="B129" s="66" t="s">
        <v>291</v>
      </c>
      <c r="C129" s="7">
        <f>SUMIFS(Datadetails[[Hours]:[Hours]],Datadetails[[Group]:[Group]],C$5,Datadetails[[Taskcode]:[Taskcode]],$A129,Datadetails[[Activity_help]:[Activity_help]],"C20")</f>
        <v>0</v>
      </c>
      <c r="D129" s="7">
        <f>SUMIFS(Datadetails[[Hours]:[Hours]],Datadetails[[Group]:[Group]],D$5,Datadetails[[Taskcode]:[Taskcode]],$A129,Datadetails[[Activity_help]:[Activity_help]],"C20")</f>
        <v>0</v>
      </c>
      <c r="E129" s="7">
        <f>SUMIFS(Datadetails[[Hours]:[Hours]],Datadetails[[Group]:[Group]],E$5,Datadetails[[Taskcode]:[Taskcode]],$A129,Datadetails[[Activity_help]:[Activity_help]],"C20")</f>
        <v>0</v>
      </c>
      <c r="F129" s="7">
        <f>SUMIFS(Datadetails[[Hours]:[Hours]],Datadetails[[Group]:[Group]],F$5,Datadetails[[Taskcode]:[Taskcode]],$A129,Datadetails[[Activity_help]:[Activity_help]],"C20")</f>
        <v>0</v>
      </c>
      <c r="G129" s="12">
        <f t="shared" si="8"/>
        <v>0</v>
      </c>
      <c r="H129" s="8">
        <f>SUMIFS(Datadetails[[Hours]:[Hours]],Datadetails[[Group]:[Group]],H$5,Datadetails[[Taskcode]:[Taskcode]],$A129,Datadetails[[Activity_help]:[Activity_help]],"C30")</f>
        <v>0</v>
      </c>
      <c r="I129" s="8">
        <f>SUMIFS(Datadetails[[Hours]:[Hours]],Datadetails[[Group]:[Group]],I$5,Datadetails[[Taskcode]:[Taskcode]],$A129,Datadetails[[Activity_help]:[Activity_help]],"C30")</f>
        <v>0</v>
      </c>
      <c r="J129" s="8">
        <f>SUMIFS(Datadetails[[Hours]:[Hours]],Datadetails[[Group]:[Group]],J$5,Datadetails[[Taskcode]:[Taskcode]],$A129,Datadetails[[Activity_help]:[Activity_help]],"C30")</f>
        <v>2.0099999999999998</v>
      </c>
      <c r="K129" s="8">
        <f>SUMIFS(Datadetails[[Hours]:[Hours]],Datadetails[[Group]:[Group]],K$5,Datadetails[[Taskcode]:[Taskcode]],$A129,Datadetails[[Activity_help]:[Activity_help]],"C30")</f>
        <v>0</v>
      </c>
      <c r="L129" s="13">
        <f t="shared" si="10"/>
        <v>2.0099999999999998</v>
      </c>
      <c r="M129" s="39">
        <f>SUMIFS(Datadetails[[Hours]:[Hours]],Datadetails[[Group]:[Group]],M$5,Datadetails[[Taskcode]:[Taskcode]],$A129,Datadetails[[Activity_help]:[Activity_help]],"C40")</f>
        <v>0</v>
      </c>
      <c r="N129" s="39">
        <f>SUMIFS(Datadetails[[Hours]:[Hours]],Datadetails[[Group]:[Group]],N$5,Datadetails[[Taskcode]:[Taskcode]],$A129,Datadetails[[Activity_help]:[Activity_help]],"C40")</f>
        <v>0</v>
      </c>
      <c r="O129" s="39">
        <f>SUMIFS(Datadetails[[Hours]:[Hours]],Datadetails[[Group]:[Group]],O$5,Datadetails[[Taskcode]:[Taskcode]],$A129,Datadetails[[Activity_help]:[Activity_help]],"C40")</f>
        <v>2</v>
      </c>
      <c r="P129" s="39">
        <f>SUMIFS(Datadetails[[Hours]:[Hours]],Datadetails[[Group]:[Group]],P$5,Datadetails[[Taskcode]:[Taskcode]],$A129,Datadetails[[Activity_help]:[Activity_help]],"C40")</f>
        <v>0</v>
      </c>
      <c r="Q129" s="40">
        <f t="shared" si="11"/>
        <v>2</v>
      </c>
      <c r="R129" s="63">
        <f>SUMIFS(Datadetails[[Hours]:[Hours]],Datadetails[[Group]:[Group]],"Other",Datadetails[[Taskcode]:[Taskcode]],$A129,Datadetails[[Activity_help]:[Activity_help]],"Other")</f>
        <v>0</v>
      </c>
      <c r="S129" s="21">
        <f t="shared" si="9"/>
        <v>4.01</v>
      </c>
    </row>
    <row r="130" spans="1:19" x14ac:dyDescent="0.25">
      <c r="A130" s="35" t="s">
        <v>152</v>
      </c>
      <c r="B130" s="66" t="s">
        <v>292</v>
      </c>
      <c r="C130" s="7">
        <f>SUMIFS(Datadetails[[Hours]:[Hours]],Datadetails[[Group]:[Group]],C$5,Datadetails[[Taskcode]:[Taskcode]],$A130,Datadetails[[Activity_help]:[Activity_help]],"C20")</f>
        <v>0</v>
      </c>
      <c r="D130" s="7">
        <f>SUMIFS(Datadetails[[Hours]:[Hours]],Datadetails[[Group]:[Group]],D$5,Datadetails[[Taskcode]:[Taskcode]],$A130,Datadetails[[Activity_help]:[Activity_help]],"C20")</f>
        <v>0</v>
      </c>
      <c r="E130" s="7">
        <f>SUMIFS(Datadetails[[Hours]:[Hours]],Datadetails[[Group]:[Group]],E$5,Datadetails[[Taskcode]:[Taskcode]],$A130,Datadetails[[Activity_help]:[Activity_help]],"C20")</f>
        <v>0</v>
      </c>
      <c r="F130" s="7">
        <f>SUMIFS(Datadetails[[Hours]:[Hours]],Datadetails[[Group]:[Group]],F$5,Datadetails[[Taskcode]:[Taskcode]],$A130,Datadetails[[Activity_help]:[Activity_help]],"C20")</f>
        <v>0</v>
      </c>
      <c r="G130" s="12">
        <f t="shared" si="8"/>
        <v>0</v>
      </c>
      <c r="H130" s="8">
        <f>SUMIFS(Datadetails[[Hours]:[Hours]],Datadetails[[Group]:[Group]],H$5,Datadetails[[Taskcode]:[Taskcode]],$A130,Datadetails[[Activity_help]:[Activity_help]],"C30")</f>
        <v>0</v>
      </c>
      <c r="I130" s="8">
        <f>SUMIFS(Datadetails[[Hours]:[Hours]],Datadetails[[Group]:[Group]],I$5,Datadetails[[Taskcode]:[Taskcode]],$A130,Datadetails[[Activity_help]:[Activity_help]],"C30")</f>
        <v>0</v>
      </c>
      <c r="J130" s="8">
        <f>SUMIFS(Datadetails[[Hours]:[Hours]],Datadetails[[Group]:[Group]],J$5,Datadetails[[Taskcode]:[Taskcode]],$A130,Datadetails[[Activity_help]:[Activity_help]],"C30")</f>
        <v>0</v>
      </c>
      <c r="K130" s="8">
        <f>SUMIFS(Datadetails[[Hours]:[Hours]],Datadetails[[Group]:[Group]],K$5,Datadetails[[Taskcode]:[Taskcode]],$A130,Datadetails[[Activity_help]:[Activity_help]],"C30")</f>
        <v>0</v>
      </c>
      <c r="L130" s="13">
        <f t="shared" si="10"/>
        <v>0</v>
      </c>
      <c r="M130" s="39">
        <f>SUMIFS(Datadetails[[Hours]:[Hours]],Datadetails[[Group]:[Group]],M$5,Datadetails[[Taskcode]:[Taskcode]],$A130,Datadetails[[Activity_help]:[Activity_help]],"C40")</f>
        <v>0</v>
      </c>
      <c r="N130" s="39">
        <f>SUMIFS(Datadetails[[Hours]:[Hours]],Datadetails[[Group]:[Group]],N$5,Datadetails[[Taskcode]:[Taskcode]],$A130,Datadetails[[Activity_help]:[Activity_help]],"C40")</f>
        <v>0</v>
      </c>
      <c r="O130" s="39">
        <f>SUMIFS(Datadetails[[Hours]:[Hours]],Datadetails[[Group]:[Group]],O$5,Datadetails[[Taskcode]:[Taskcode]],$A130,Datadetails[[Activity_help]:[Activity_help]],"C40")</f>
        <v>0</v>
      </c>
      <c r="P130" s="39">
        <f>SUMIFS(Datadetails[[Hours]:[Hours]],Datadetails[[Group]:[Group]],P$5,Datadetails[[Taskcode]:[Taskcode]],$A130,Datadetails[[Activity_help]:[Activity_help]],"C40")</f>
        <v>0</v>
      </c>
      <c r="Q130" s="40">
        <f t="shared" si="11"/>
        <v>0</v>
      </c>
      <c r="R130" s="63">
        <f>SUMIFS(Datadetails[[Hours]:[Hours]],Datadetails[[Group]:[Group]],"Other",Datadetails[[Taskcode]:[Taskcode]],$A130,Datadetails[[Activity_help]:[Activity_help]],"Other")</f>
        <v>0</v>
      </c>
      <c r="S130" s="21">
        <f t="shared" si="9"/>
        <v>0</v>
      </c>
    </row>
    <row r="131" spans="1:19" x14ac:dyDescent="0.25">
      <c r="A131" s="35" t="s">
        <v>153</v>
      </c>
      <c r="B131" s="66" t="s">
        <v>293</v>
      </c>
      <c r="C131" s="7">
        <f>SUMIFS(Datadetails[[Hours]:[Hours]],Datadetails[[Group]:[Group]],C$5,Datadetails[[Taskcode]:[Taskcode]],$A131,Datadetails[[Activity_help]:[Activity_help]],"C20")</f>
        <v>0</v>
      </c>
      <c r="D131" s="7">
        <f>SUMIFS(Datadetails[[Hours]:[Hours]],Datadetails[[Group]:[Group]],D$5,Datadetails[[Taskcode]:[Taskcode]],$A131,Datadetails[[Activity_help]:[Activity_help]],"C20")</f>
        <v>0</v>
      </c>
      <c r="E131" s="7">
        <f>SUMIFS(Datadetails[[Hours]:[Hours]],Datadetails[[Group]:[Group]],E$5,Datadetails[[Taskcode]:[Taskcode]],$A131,Datadetails[[Activity_help]:[Activity_help]],"C20")</f>
        <v>0</v>
      </c>
      <c r="F131" s="7">
        <f>SUMIFS(Datadetails[[Hours]:[Hours]],Datadetails[[Group]:[Group]],F$5,Datadetails[[Taskcode]:[Taskcode]],$A131,Datadetails[[Activity_help]:[Activity_help]],"C20")</f>
        <v>0</v>
      </c>
      <c r="G131" s="12">
        <f t="shared" si="8"/>
        <v>0</v>
      </c>
      <c r="H131" s="8">
        <f>SUMIFS(Datadetails[[Hours]:[Hours]],Datadetails[[Group]:[Group]],H$5,Datadetails[[Taskcode]:[Taskcode]],$A131,Datadetails[[Activity_help]:[Activity_help]],"C30")</f>
        <v>0</v>
      </c>
      <c r="I131" s="8">
        <f>SUMIFS(Datadetails[[Hours]:[Hours]],Datadetails[[Group]:[Group]],I$5,Datadetails[[Taskcode]:[Taskcode]],$A131,Datadetails[[Activity_help]:[Activity_help]],"C30")</f>
        <v>0</v>
      </c>
      <c r="J131" s="8">
        <f>SUMIFS(Datadetails[[Hours]:[Hours]],Datadetails[[Group]:[Group]],J$5,Datadetails[[Taskcode]:[Taskcode]],$A131,Datadetails[[Activity_help]:[Activity_help]],"C30")</f>
        <v>9.2799999999999994</v>
      </c>
      <c r="K131" s="8">
        <f>SUMIFS(Datadetails[[Hours]:[Hours]],Datadetails[[Group]:[Group]],K$5,Datadetails[[Taskcode]:[Taskcode]],$A131,Datadetails[[Activity_help]:[Activity_help]],"C30")</f>
        <v>0</v>
      </c>
      <c r="L131" s="13">
        <f t="shared" si="10"/>
        <v>9.2799999999999994</v>
      </c>
      <c r="M131" s="39">
        <f>SUMIFS(Datadetails[[Hours]:[Hours]],Datadetails[[Group]:[Group]],M$5,Datadetails[[Taskcode]:[Taskcode]],$A131,Datadetails[[Activity_help]:[Activity_help]],"C40")</f>
        <v>0</v>
      </c>
      <c r="N131" s="39">
        <f>SUMIFS(Datadetails[[Hours]:[Hours]],Datadetails[[Group]:[Group]],N$5,Datadetails[[Taskcode]:[Taskcode]],$A131,Datadetails[[Activity_help]:[Activity_help]],"C40")</f>
        <v>0</v>
      </c>
      <c r="O131" s="39">
        <f>SUMIFS(Datadetails[[Hours]:[Hours]],Datadetails[[Group]:[Group]],O$5,Datadetails[[Taskcode]:[Taskcode]],$A131,Datadetails[[Activity_help]:[Activity_help]],"C40")</f>
        <v>3.75</v>
      </c>
      <c r="P131" s="39">
        <f>SUMIFS(Datadetails[[Hours]:[Hours]],Datadetails[[Group]:[Group]],P$5,Datadetails[[Taskcode]:[Taskcode]],$A131,Datadetails[[Activity_help]:[Activity_help]],"C40")</f>
        <v>0</v>
      </c>
      <c r="Q131" s="40">
        <f t="shared" si="11"/>
        <v>3.75</v>
      </c>
      <c r="R131" s="63">
        <f>SUMIFS(Datadetails[[Hours]:[Hours]],Datadetails[[Group]:[Group]],"Other",Datadetails[[Taskcode]:[Taskcode]],$A131,Datadetails[[Activity_help]:[Activity_help]],"Other")</f>
        <v>0</v>
      </c>
      <c r="S131" s="21">
        <f t="shared" si="9"/>
        <v>13.03</v>
      </c>
    </row>
    <row r="132" spans="1:19" x14ac:dyDescent="0.25">
      <c r="A132" s="35" t="s">
        <v>154</v>
      </c>
      <c r="B132" s="66" t="s">
        <v>294</v>
      </c>
      <c r="C132" s="7">
        <f>SUMIFS(Datadetails[[Hours]:[Hours]],Datadetails[[Group]:[Group]],C$5,Datadetails[[Taskcode]:[Taskcode]],$A132,Datadetails[[Activity_help]:[Activity_help]],"C20")</f>
        <v>0</v>
      </c>
      <c r="D132" s="7">
        <f>SUMIFS(Datadetails[[Hours]:[Hours]],Datadetails[[Group]:[Group]],D$5,Datadetails[[Taskcode]:[Taskcode]],$A132,Datadetails[[Activity_help]:[Activity_help]],"C20")</f>
        <v>0</v>
      </c>
      <c r="E132" s="7">
        <f>SUMIFS(Datadetails[[Hours]:[Hours]],Datadetails[[Group]:[Group]],E$5,Datadetails[[Taskcode]:[Taskcode]],$A132,Datadetails[[Activity_help]:[Activity_help]],"C20")</f>
        <v>0</v>
      </c>
      <c r="F132" s="7">
        <f>SUMIFS(Datadetails[[Hours]:[Hours]],Datadetails[[Group]:[Group]],F$5,Datadetails[[Taskcode]:[Taskcode]],$A132,Datadetails[[Activity_help]:[Activity_help]],"C20")</f>
        <v>0</v>
      </c>
      <c r="G132" s="12">
        <f t="shared" si="8"/>
        <v>0</v>
      </c>
      <c r="H132" s="8">
        <f>SUMIFS(Datadetails[[Hours]:[Hours]],Datadetails[[Group]:[Group]],H$5,Datadetails[[Taskcode]:[Taskcode]],$A132,Datadetails[[Activity_help]:[Activity_help]],"C30")</f>
        <v>0</v>
      </c>
      <c r="I132" s="8">
        <f>SUMIFS(Datadetails[[Hours]:[Hours]],Datadetails[[Group]:[Group]],I$5,Datadetails[[Taskcode]:[Taskcode]],$A132,Datadetails[[Activity_help]:[Activity_help]],"C30")</f>
        <v>0</v>
      </c>
      <c r="J132" s="8">
        <f>SUMIFS(Datadetails[[Hours]:[Hours]],Datadetails[[Group]:[Group]],J$5,Datadetails[[Taskcode]:[Taskcode]],$A132,Datadetails[[Activity_help]:[Activity_help]],"C30")</f>
        <v>4.3499999999999996</v>
      </c>
      <c r="K132" s="8">
        <f>SUMIFS(Datadetails[[Hours]:[Hours]],Datadetails[[Group]:[Group]],K$5,Datadetails[[Taskcode]:[Taskcode]],$A132,Datadetails[[Activity_help]:[Activity_help]],"C30")</f>
        <v>0</v>
      </c>
      <c r="L132" s="13">
        <f t="shared" si="10"/>
        <v>4.3499999999999996</v>
      </c>
      <c r="M132" s="39">
        <f>SUMIFS(Datadetails[[Hours]:[Hours]],Datadetails[[Group]:[Group]],M$5,Datadetails[[Taskcode]:[Taskcode]],$A132,Datadetails[[Activity_help]:[Activity_help]],"C40")</f>
        <v>0</v>
      </c>
      <c r="N132" s="39">
        <f>SUMIFS(Datadetails[[Hours]:[Hours]],Datadetails[[Group]:[Group]],N$5,Datadetails[[Taskcode]:[Taskcode]],$A132,Datadetails[[Activity_help]:[Activity_help]],"C40")</f>
        <v>0</v>
      </c>
      <c r="O132" s="39">
        <f>SUMIFS(Datadetails[[Hours]:[Hours]],Datadetails[[Group]:[Group]],O$5,Datadetails[[Taskcode]:[Taskcode]],$A132,Datadetails[[Activity_help]:[Activity_help]],"C40")</f>
        <v>2</v>
      </c>
      <c r="P132" s="39">
        <f>SUMIFS(Datadetails[[Hours]:[Hours]],Datadetails[[Group]:[Group]],P$5,Datadetails[[Taskcode]:[Taskcode]],$A132,Datadetails[[Activity_help]:[Activity_help]],"C40")</f>
        <v>0</v>
      </c>
      <c r="Q132" s="40">
        <f t="shared" si="11"/>
        <v>2</v>
      </c>
      <c r="R132" s="63">
        <f>SUMIFS(Datadetails[[Hours]:[Hours]],Datadetails[[Group]:[Group]],"Other",Datadetails[[Taskcode]:[Taskcode]],$A132,Datadetails[[Activity_help]:[Activity_help]],"Other")</f>
        <v>0</v>
      </c>
      <c r="S132" s="21">
        <f t="shared" si="9"/>
        <v>6.35</v>
      </c>
    </row>
    <row r="133" spans="1:19" x14ac:dyDescent="0.25">
      <c r="A133" s="35" t="s">
        <v>30</v>
      </c>
      <c r="B133" s="66" t="s">
        <v>295</v>
      </c>
      <c r="C133" s="7">
        <f>SUMIFS(Datadetails[[Hours]:[Hours]],Datadetails[[Group]:[Group]],C$5,Datadetails[[Taskcode]:[Taskcode]],$A133,Datadetails[[Activity_help]:[Activity_help]],"C20")</f>
        <v>0</v>
      </c>
      <c r="D133" s="7">
        <f>SUMIFS(Datadetails[[Hours]:[Hours]],Datadetails[[Group]:[Group]],D$5,Datadetails[[Taskcode]:[Taskcode]],$A133,Datadetails[[Activity_help]:[Activity_help]],"C20")</f>
        <v>0</v>
      </c>
      <c r="E133" s="7">
        <f>SUMIFS(Datadetails[[Hours]:[Hours]],Datadetails[[Group]:[Group]],E$5,Datadetails[[Taskcode]:[Taskcode]],$A133,Datadetails[[Activity_help]:[Activity_help]],"C20")</f>
        <v>0</v>
      </c>
      <c r="F133" s="7">
        <f>SUMIFS(Datadetails[[Hours]:[Hours]],Datadetails[[Group]:[Group]],F$5,Datadetails[[Taskcode]:[Taskcode]],$A133,Datadetails[[Activity_help]:[Activity_help]],"C20")</f>
        <v>0</v>
      </c>
      <c r="G133" s="12">
        <f t="shared" si="8"/>
        <v>0</v>
      </c>
      <c r="H133" s="8">
        <f>SUMIFS(Datadetails[[Hours]:[Hours]],Datadetails[[Group]:[Group]],H$5,Datadetails[[Taskcode]:[Taskcode]],$A133,Datadetails[[Activity_help]:[Activity_help]],"C30")</f>
        <v>0</v>
      </c>
      <c r="I133" s="8">
        <f>SUMIFS(Datadetails[[Hours]:[Hours]],Datadetails[[Group]:[Group]],I$5,Datadetails[[Taskcode]:[Taskcode]],$A133,Datadetails[[Activity_help]:[Activity_help]],"C30")</f>
        <v>0</v>
      </c>
      <c r="J133" s="8">
        <f>SUMIFS(Datadetails[[Hours]:[Hours]],Datadetails[[Group]:[Group]],J$5,Datadetails[[Taskcode]:[Taskcode]],$A133,Datadetails[[Activity_help]:[Activity_help]],"C30")</f>
        <v>9.879999999999999</v>
      </c>
      <c r="K133" s="8">
        <f>SUMIFS(Datadetails[[Hours]:[Hours]],Datadetails[[Group]:[Group]],K$5,Datadetails[[Taskcode]:[Taskcode]],$A133,Datadetails[[Activity_help]:[Activity_help]],"C30")</f>
        <v>0</v>
      </c>
      <c r="L133" s="13">
        <f t="shared" si="10"/>
        <v>9.879999999999999</v>
      </c>
      <c r="M133" s="39">
        <f>SUMIFS(Datadetails[[Hours]:[Hours]],Datadetails[[Group]:[Group]],M$5,Datadetails[[Taskcode]:[Taskcode]],$A133,Datadetails[[Activity_help]:[Activity_help]],"C40")</f>
        <v>0</v>
      </c>
      <c r="N133" s="39">
        <f>SUMIFS(Datadetails[[Hours]:[Hours]],Datadetails[[Group]:[Group]],N$5,Datadetails[[Taskcode]:[Taskcode]],$A133,Datadetails[[Activity_help]:[Activity_help]],"C40")</f>
        <v>0</v>
      </c>
      <c r="O133" s="39">
        <f>SUMIFS(Datadetails[[Hours]:[Hours]],Datadetails[[Group]:[Group]],O$5,Datadetails[[Taskcode]:[Taskcode]],$A133,Datadetails[[Activity_help]:[Activity_help]],"C40")</f>
        <v>3</v>
      </c>
      <c r="P133" s="39">
        <f>SUMIFS(Datadetails[[Hours]:[Hours]],Datadetails[[Group]:[Group]],P$5,Datadetails[[Taskcode]:[Taskcode]],$A133,Datadetails[[Activity_help]:[Activity_help]],"C40")</f>
        <v>0</v>
      </c>
      <c r="Q133" s="40">
        <f t="shared" si="11"/>
        <v>3</v>
      </c>
      <c r="R133" s="63">
        <f>SUMIFS(Datadetails[[Hours]:[Hours]],Datadetails[[Group]:[Group]],"Other",Datadetails[[Taskcode]:[Taskcode]],$A133,Datadetails[[Activity_help]:[Activity_help]],"Other")</f>
        <v>0</v>
      </c>
      <c r="S133" s="21">
        <f t="shared" si="9"/>
        <v>12.879999999999999</v>
      </c>
    </row>
    <row r="134" spans="1:19" x14ac:dyDescent="0.25">
      <c r="A134" s="35" t="s">
        <v>155</v>
      </c>
      <c r="B134" s="66" t="s">
        <v>296</v>
      </c>
      <c r="C134" s="7">
        <f>SUMIFS(Datadetails[[Hours]:[Hours]],Datadetails[[Group]:[Group]],C$5,Datadetails[[Taskcode]:[Taskcode]],$A134,Datadetails[[Activity_help]:[Activity_help]],"C20")</f>
        <v>0</v>
      </c>
      <c r="D134" s="7">
        <f>SUMIFS(Datadetails[[Hours]:[Hours]],Datadetails[[Group]:[Group]],D$5,Datadetails[[Taskcode]:[Taskcode]],$A134,Datadetails[[Activity_help]:[Activity_help]],"C20")</f>
        <v>0</v>
      </c>
      <c r="E134" s="7">
        <f>SUMIFS(Datadetails[[Hours]:[Hours]],Datadetails[[Group]:[Group]],E$5,Datadetails[[Taskcode]:[Taskcode]],$A134,Datadetails[[Activity_help]:[Activity_help]],"C20")</f>
        <v>0</v>
      </c>
      <c r="F134" s="7">
        <f>SUMIFS(Datadetails[[Hours]:[Hours]],Datadetails[[Group]:[Group]],F$5,Datadetails[[Taskcode]:[Taskcode]],$A134,Datadetails[[Activity_help]:[Activity_help]],"C20")</f>
        <v>0</v>
      </c>
      <c r="G134" s="12">
        <f t="shared" si="8"/>
        <v>0</v>
      </c>
      <c r="H134" s="8">
        <f>SUMIFS(Datadetails[[Hours]:[Hours]],Datadetails[[Group]:[Group]],H$5,Datadetails[[Taskcode]:[Taskcode]],$A134,Datadetails[[Activity_help]:[Activity_help]],"C30")</f>
        <v>0</v>
      </c>
      <c r="I134" s="8">
        <f>SUMIFS(Datadetails[[Hours]:[Hours]],Datadetails[[Group]:[Group]],I$5,Datadetails[[Taskcode]:[Taskcode]],$A134,Datadetails[[Activity_help]:[Activity_help]],"C30")</f>
        <v>0</v>
      </c>
      <c r="J134" s="8">
        <f>SUMIFS(Datadetails[[Hours]:[Hours]],Datadetails[[Group]:[Group]],J$5,Datadetails[[Taskcode]:[Taskcode]],$A134,Datadetails[[Activity_help]:[Activity_help]],"C30")</f>
        <v>6.91</v>
      </c>
      <c r="K134" s="8">
        <f>SUMIFS(Datadetails[[Hours]:[Hours]],Datadetails[[Group]:[Group]],K$5,Datadetails[[Taskcode]:[Taskcode]],$A134,Datadetails[[Activity_help]:[Activity_help]],"C30")</f>
        <v>0</v>
      </c>
      <c r="L134" s="13">
        <f t="shared" ref="L134:L147" si="12">SUM(H134:K134)</f>
        <v>6.91</v>
      </c>
      <c r="M134" s="39">
        <f>SUMIFS(Datadetails[[Hours]:[Hours]],Datadetails[[Group]:[Group]],M$5,Datadetails[[Taskcode]:[Taskcode]],$A134,Datadetails[[Activity_help]:[Activity_help]],"C40")</f>
        <v>0</v>
      </c>
      <c r="N134" s="39">
        <f>SUMIFS(Datadetails[[Hours]:[Hours]],Datadetails[[Group]:[Group]],N$5,Datadetails[[Taskcode]:[Taskcode]],$A134,Datadetails[[Activity_help]:[Activity_help]],"C40")</f>
        <v>0</v>
      </c>
      <c r="O134" s="39">
        <f>SUMIFS(Datadetails[[Hours]:[Hours]],Datadetails[[Group]:[Group]],O$5,Datadetails[[Taskcode]:[Taskcode]],$A134,Datadetails[[Activity_help]:[Activity_help]],"C40")</f>
        <v>6.42</v>
      </c>
      <c r="P134" s="39">
        <f>SUMIFS(Datadetails[[Hours]:[Hours]],Datadetails[[Group]:[Group]],P$5,Datadetails[[Taskcode]:[Taskcode]],$A134,Datadetails[[Activity_help]:[Activity_help]],"C40")</f>
        <v>0</v>
      </c>
      <c r="Q134" s="40">
        <f t="shared" ref="Q134:Q147" si="13">SUM(M134:P134)</f>
        <v>6.42</v>
      </c>
      <c r="R134" s="63">
        <f>SUMIFS(Datadetails[[Hours]:[Hours]],Datadetails[[Group]:[Group]],"Other",Datadetails[[Taskcode]:[Taskcode]],$A134,Datadetails[[Activity_help]:[Activity_help]],"Other")</f>
        <v>0</v>
      </c>
      <c r="S134" s="21">
        <f t="shared" si="9"/>
        <v>13.33</v>
      </c>
    </row>
    <row r="135" spans="1:19" x14ac:dyDescent="0.25">
      <c r="A135" s="35" t="s">
        <v>156</v>
      </c>
      <c r="B135" s="66" t="s">
        <v>297</v>
      </c>
      <c r="C135" s="7">
        <f>SUMIFS(Datadetails[[Hours]:[Hours]],Datadetails[[Group]:[Group]],C$5,Datadetails[[Taskcode]:[Taskcode]],$A135,Datadetails[[Activity_help]:[Activity_help]],"C20")</f>
        <v>0</v>
      </c>
      <c r="D135" s="7">
        <f>SUMIFS(Datadetails[[Hours]:[Hours]],Datadetails[[Group]:[Group]],D$5,Datadetails[[Taskcode]:[Taskcode]],$A135,Datadetails[[Activity_help]:[Activity_help]],"C20")</f>
        <v>0</v>
      </c>
      <c r="E135" s="7">
        <f>SUMIFS(Datadetails[[Hours]:[Hours]],Datadetails[[Group]:[Group]],E$5,Datadetails[[Taskcode]:[Taskcode]],$A135,Datadetails[[Activity_help]:[Activity_help]],"C20")</f>
        <v>0</v>
      </c>
      <c r="F135" s="7">
        <f>SUMIFS(Datadetails[[Hours]:[Hours]],Datadetails[[Group]:[Group]],F$5,Datadetails[[Taskcode]:[Taskcode]],$A135,Datadetails[[Activity_help]:[Activity_help]],"C20")</f>
        <v>0</v>
      </c>
      <c r="G135" s="12">
        <f t="shared" ref="G135:G147" si="14">SUM(C135:F135)</f>
        <v>0</v>
      </c>
      <c r="H135" s="8">
        <f>SUMIFS(Datadetails[[Hours]:[Hours]],Datadetails[[Group]:[Group]],H$5,Datadetails[[Taskcode]:[Taskcode]],$A135,Datadetails[[Activity_help]:[Activity_help]],"C30")</f>
        <v>0</v>
      </c>
      <c r="I135" s="8">
        <f>SUMIFS(Datadetails[[Hours]:[Hours]],Datadetails[[Group]:[Group]],I$5,Datadetails[[Taskcode]:[Taskcode]],$A135,Datadetails[[Activity_help]:[Activity_help]],"C30")</f>
        <v>0</v>
      </c>
      <c r="J135" s="8">
        <f>SUMIFS(Datadetails[[Hours]:[Hours]],Datadetails[[Group]:[Group]],J$5,Datadetails[[Taskcode]:[Taskcode]],$A135,Datadetails[[Activity_help]:[Activity_help]],"C30")</f>
        <v>5.25</v>
      </c>
      <c r="K135" s="8">
        <f>SUMIFS(Datadetails[[Hours]:[Hours]],Datadetails[[Group]:[Group]],K$5,Datadetails[[Taskcode]:[Taskcode]],$A135,Datadetails[[Activity_help]:[Activity_help]],"C30")</f>
        <v>0</v>
      </c>
      <c r="L135" s="13">
        <f t="shared" si="12"/>
        <v>5.25</v>
      </c>
      <c r="M135" s="39">
        <f>SUMIFS(Datadetails[[Hours]:[Hours]],Datadetails[[Group]:[Group]],M$5,Datadetails[[Taskcode]:[Taskcode]],$A135,Datadetails[[Activity_help]:[Activity_help]],"C40")</f>
        <v>0</v>
      </c>
      <c r="N135" s="39">
        <f>SUMIFS(Datadetails[[Hours]:[Hours]],Datadetails[[Group]:[Group]],N$5,Datadetails[[Taskcode]:[Taskcode]],$A135,Datadetails[[Activity_help]:[Activity_help]],"C40")</f>
        <v>0</v>
      </c>
      <c r="O135" s="39">
        <f>SUMIFS(Datadetails[[Hours]:[Hours]],Datadetails[[Group]:[Group]],O$5,Datadetails[[Taskcode]:[Taskcode]],$A135,Datadetails[[Activity_help]:[Activity_help]],"C40")</f>
        <v>7.17</v>
      </c>
      <c r="P135" s="39">
        <f>SUMIFS(Datadetails[[Hours]:[Hours]],Datadetails[[Group]:[Group]],P$5,Datadetails[[Taskcode]:[Taskcode]],$A135,Datadetails[[Activity_help]:[Activity_help]],"C40")</f>
        <v>0</v>
      </c>
      <c r="Q135" s="40">
        <f t="shared" si="13"/>
        <v>7.17</v>
      </c>
      <c r="R135" s="63">
        <f>SUMIFS(Datadetails[[Hours]:[Hours]],Datadetails[[Group]:[Group]],"Other",Datadetails[[Taskcode]:[Taskcode]],$A135,Datadetails[[Activity_help]:[Activity_help]],"Other")</f>
        <v>3.5</v>
      </c>
      <c r="S135" s="21">
        <f t="shared" ref="S135:S147" si="15">SUM(G135+L135+Q135+R135)</f>
        <v>15.92</v>
      </c>
    </row>
    <row r="136" spans="1:19" x14ac:dyDescent="0.25">
      <c r="A136" s="35" t="s">
        <v>157</v>
      </c>
      <c r="B136" s="66" t="s">
        <v>298</v>
      </c>
      <c r="C136" s="7">
        <f>SUMIFS(Datadetails[[Hours]:[Hours]],Datadetails[[Group]:[Group]],C$5,Datadetails[[Taskcode]:[Taskcode]],$A136,Datadetails[[Activity_help]:[Activity_help]],"C20")</f>
        <v>0</v>
      </c>
      <c r="D136" s="7">
        <f>SUMIFS(Datadetails[[Hours]:[Hours]],Datadetails[[Group]:[Group]],D$5,Datadetails[[Taskcode]:[Taskcode]],$A136,Datadetails[[Activity_help]:[Activity_help]],"C20")</f>
        <v>0</v>
      </c>
      <c r="E136" s="7">
        <f>SUMIFS(Datadetails[[Hours]:[Hours]],Datadetails[[Group]:[Group]],E$5,Datadetails[[Taskcode]:[Taskcode]],$A136,Datadetails[[Activity_help]:[Activity_help]],"C20")</f>
        <v>0</v>
      </c>
      <c r="F136" s="7">
        <f>SUMIFS(Datadetails[[Hours]:[Hours]],Datadetails[[Group]:[Group]],F$5,Datadetails[[Taskcode]:[Taskcode]],$A136,Datadetails[[Activity_help]:[Activity_help]],"C20")</f>
        <v>0</v>
      </c>
      <c r="G136" s="12">
        <f t="shared" si="14"/>
        <v>0</v>
      </c>
      <c r="H136" s="8">
        <f>SUMIFS(Datadetails[[Hours]:[Hours]],Datadetails[[Group]:[Group]],H$5,Datadetails[[Taskcode]:[Taskcode]],$A136,Datadetails[[Activity_help]:[Activity_help]],"C30")</f>
        <v>0</v>
      </c>
      <c r="I136" s="8">
        <f>SUMIFS(Datadetails[[Hours]:[Hours]],Datadetails[[Group]:[Group]],I$5,Datadetails[[Taskcode]:[Taskcode]],$A136,Datadetails[[Activity_help]:[Activity_help]],"C30")</f>
        <v>0</v>
      </c>
      <c r="J136" s="8">
        <f>SUMIFS(Datadetails[[Hours]:[Hours]],Datadetails[[Group]:[Group]],J$5,Datadetails[[Taskcode]:[Taskcode]],$A136,Datadetails[[Activity_help]:[Activity_help]],"C30")</f>
        <v>1.26</v>
      </c>
      <c r="K136" s="8">
        <f>SUMIFS(Datadetails[[Hours]:[Hours]],Datadetails[[Group]:[Group]],K$5,Datadetails[[Taskcode]:[Taskcode]],$A136,Datadetails[[Activity_help]:[Activity_help]],"C30")</f>
        <v>0</v>
      </c>
      <c r="L136" s="13">
        <f t="shared" si="12"/>
        <v>1.26</v>
      </c>
      <c r="M136" s="39">
        <f>SUMIFS(Datadetails[[Hours]:[Hours]],Datadetails[[Group]:[Group]],M$5,Datadetails[[Taskcode]:[Taskcode]],$A136,Datadetails[[Activity_help]:[Activity_help]],"C40")</f>
        <v>0</v>
      </c>
      <c r="N136" s="39">
        <f>SUMIFS(Datadetails[[Hours]:[Hours]],Datadetails[[Group]:[Group]],N$5,Datadetails[[Taskcode]:[Taskcode]],$A136,Datadetails[[Activity_help]:[Activity_help]],"C40")</f>
        <v>0</v>
      </c>
      <c r="O136" s="39">
        <f>SUMIFS(Datadetails[[Hours]:[Hours]],Datadetails[[Group]:[Group]],O$5,Datadetails[[Taskcode]:[Taskcode]],$A136,Datadetails[[Activity_help]:[Activity_help]],"C40")</f>
        <v>2.83</v>
      </c>
      <c r="P136" s="39">
        <f>SUMIFS(Datadetails[[Hours]:[Hours]],Datadetails[[Group]:[Group]],P$5,Datadetails[[Taskcode]:[Taskcode]],$A136,Datadetails[[Activity_help]:[Activity_help]],"C40")</f>
        <v>0</v>
      </c>
      <c r="Q136" s="40">
        <f t="shared" si="13"/>
        <v>2.83</v>
      </c>
      <c r="R136" s="63">
        <f>SUMIFS(Datadetails[[Hours]:[Hours]],Datadetails[[Group]:[Group]],"Other",Datadetails[[Taskcode]:[Taskcode]],$A136,Datadetails[[Activity_help]:[Activity_help]],"Other")</f>
        <v>0</v>
      </c>
      <c r="S136" s="21">
        <f t="shared" si="15"/>
        <v>4.09</v>
      </c>
    </row>
    <row r="137" spans="1:19" x14ac:dyDescent="0.25">
      <c r="A137" s="35" t="s">
        <v>158</v>
      </c>
      <c r="B137" s="66" t="s">
        <v>299</v>
      </c>
      <c r="C137" s="7">
        <f>SUMIFS(Datadetails[[Hours]:[Hours]],Datadetails[[Group]:[Group]],C$5,Datadetails[[Taskcode]:[Taskcode]],$A137,Datadetails[[Activity_help]:[Activity_help]],"C20")</f>
        <v>0</v>
      </c>
      <c r="D137" s="7">
        <f>SUMIFS(Datadetails[[Hours]:[Hours]],Datadetails[[Group]:[Group]],D$5,Datadetails[[Taskcode]:[Taskcode]],$A137,Datadetails[[Activity_help]:[Activity_help]],"C20")</f>
        <v>0</v>
      </c>
      <c r="E137" s="7">
        <f>SUMIFS(Datadetails[[Hours]:[Hours]],Datadetails[[Group]:[Group]],E$5,Datadetails[[Taskcode]:[Taskcode]],$A137,Datadetails[[Activity_help]:[Activity_help]],"C20")</f>
        <v>25.82</v>
      </c>
      <c r="F137" s="7">
        <f>SUMIFS(Datadetails[[Hours]:[Hours]],Datadetails[[Group]:[Group]],F$5,Datadetails[[Taskcode]:[Taskcode]],$A137,Datadetails[[Activity_help]:[Activity_help]],"C20")</f>
        <v>0</v>
      </c>
      <c r="G137" s="12">
        <f t="shared" si="14"/>
        <v>25.82</v>
      </c>
      <c r="H137" s="8">
        <f>SUMIFS(Datadetails[[Hours]:[Hours]],Datadetails[[Group]:[Group]],H$5,Datadetails[[Taskcode]:[Taskcode]],$A137,Datadetails[[Activity_help]:[Activity_help]],"C30")</f>
        <v>0</v>
      </c>
      <c r="I137" s="8">
        <f>SUMIFS(Datadetails[[Hours]:[Hours]],Datadetails[[Group]:[Group]],I$5,Datadetails[[Taskcode]:[Taskcode]],$A137,Datadetails[[Activity_help]:[Activity_help]],"C30")</f>
        <v>0</v>
      </c>
      <c r="J137" s="8">
        <f>SUMIFS(Datadetails[[Hours]:[Hours]],Datadetails[[Group]:[Group]],J$5,Datadetails[[Taskcode]:[Taskcode]],$A137,Datadetails[[Activity_help]:[Activity_help]],"C30")</f>
        <v>0</v>
      </c>
      <c r="K137" s="8">
        <f>SUMIFS(Datadetails[[Hours]:[Hours]],Datadetails[[Group]:[Group]],K$5,Datadetails[[Taskcode]:[Taskcode]],$A137,Datadetails[[Activity_help]:[Activity_help]],"C30")</f>
        <v>0</v>
      </c>
      <c r="L137" s="13">
        <f t="shared" si="12"/>
        <v>0</v>
      </c>
      <c r="M137" s="39">
        <f>SUMIFS(Datadetails[[Hours]:[Hours]],Datadetails[[Group]:[Group]],M$5,Datadetails[[Taskcode]:[Taskcode]],$A137,Datadetails[[Activity_help]:[Activity_help]],"C40")</f>
        <v>0</v>
      </c>
      <c r="N137" s="39">
        <f>SUMIFS(Datadetails[[Hours]:[Hours]],Datadetails[[Group]:[Group]],N$5,Datadetails[[Taskcode]:[Taskcode]],$A137,Datadetails[[Activity_help]:[Activity_help]],"C40")</f>
        <v>0</v>
      </c>
      <c r="O137" s="39">
        <f>SUMIFS(Datadetails[[Hours]:[Hours]],Datadetails[[Group]:[Group]],O$5,Datadetails[[Taskcode]:[Taskcode]],$A137,Datadetails[[Activity_help]:[Activity_help]],"C40")</f>
        <v>0</v>
      </c>
      <c r="P137" s="39">
        <f>SUMIFS(Datadetails[[Hours]:[Hours]],Datadetails[[Group]:[Group]],P$5,Datadetails[[Taskcode]:[Taskcode]],$A137,Datadetails[[Activity_help]:[Activity_help]],"C40")</f>
        <v>0</v>
      </c>
      <c r="Q137" s="40">
        <f t="shared" si="13"/>
        <v>0</v>
      </c>
      <c r="R137" s="63">
        <f>SUMIFS(Datadetails[[Hours]:[Hours]],Datadetails[[Group]:[Group]],"Other",Datadetails[[Taskcode]:[Taskcode]],$A137,Datadetails[[Activity_help]:[Activity_help]],"Other")</f>
        <v>0</v>
      </c>
      <c r="S137" s="21">
        <f t="shared" si="15"/>
        <v>25.82</v>
      </c>
    </row>
    <row r="138" spans="1:19" x14ac:dyDescent="0.25">
      <c r="A138" s="35" t="s">
        <v>159</v>
      </c>
      <c r="B138" s="66" t="s">
        <v>300</v>
      </c>
      <c r="C138" s="7">
        <f>SUMIFS(Datadetails[[Hours]:[Hours]],Datadetails[[Group]:[Group]],C$5,Datadetails[[Taskcode]:[Taskcode]],$A138,Datadetails[[Activity_help]:[Activity_help]],"C20")</f>
        <v>0</v>
      </c>
      <c r="D138" s="7">
        <f>SUMIFS(Datadetails[[Hours]:[Hours]],Datadetails[[Group]:[Group]],D$5,Datadetails[[Taskcode]:[Taskcode]],$A138,Datadetails[[Activity_help]:[Activity_help]],"C20")</f>
        <v>2.58</v>
      </c>
      <c r="E138" s="7">
        <f>SUMIFS(Datadetails[[Hours]:[Hours]],Datadetails[[Group]:[Group]],E$5,Datadetails[[Taskcode]:[Taskcode]],$A138,Datadetails[[Activity_help]:[Activity_help]],"C20")</f>
        <v>0</v>
      </c>
      <c r="F138" s="7">
        <f>SUMIFS(Datadetails[[Hours]:[Hours]],Datadetails[[Group]:[Group]],F$5,Datadetails[[Taskcode]:[Taskcode]],$A138,Datadetails[[Activity_help]:[Activity_help]],"C20")</f>
        <v>0</v>
      </c>
      <c r="G138" s="12">
        <f t="shared" si="14"/>
        <v>2.58</v>
      </c>
      <c r="H138" s="8">
        <f>SUMIFS(Datadetails[[Hours]:[Hours]],Datadetails[[Group]:[Group]],H$5,Datadetails[[Taskcode]:[Taskcode]],$A138,Datadetails[[Activity_help]:[Activity_help]],"C30")</f>
        <v>0</v>
      </c>
      <c r="I138" s="8">
        <f>SUMIFS(Datadetails[[Hours]:[Hours]],Datadetails[[Group]:[Group]],I$5,Datadetails[[Taskcode]:[Taskcode]],$A138,Datadetails[[Activity_help]:[Activity_help]],"C30")</f>
        <v>3.17</v>
      </c>
      <c r="J138" s="8">
        <f>SUMIFS(Datadetails[[Hours]:[Hours]],Datadetails[[Group]:[Group]],J$5,Datadetails[[Taskcode]:[Taskcode]],$A138,Datadetails[[Activity_help]:[Activity_help]],"C30")</f>
        <v>0</v>
      </c>
      <c r="K138" s="8">
        <f>SUMIFS(Datadetails[[Hours]:[Hours]],Datadetails[[Group]:[Group]],K$5,Datadetails[[Taskcode]:[Taskcode]],$A138,Datadetails[[Activity_help]:[Activity_help]],"C30")</f>
        <v>0</v>
      </c>
      <c r="L138" s="13">
        <f t="shared" si="12"/>
        <v>3.17</v>
      </c>
      <c r="M138" s="39">
        <f>SUMIFS(Datadetails[[Hours]:[Hours]],Datadetails[[Group]:[Group]],M$5,Datadetails[[Taskcode]:[Taskcode]],$A138,Datadetails[[Activity_help]:[Activity_help]],"C40")</f>
        <v>0</v>
      </c>
      <c r="N138" s="39">
        <f>SUMIFS(Datadetails[[Hours]:[Hours]],Datadetails[[Group]:[Group]],N$5,Datadetails[[Taskcode]:[Taskcode]],$A138,Datadetails[[Activity_help]:[Activity_help]],"C40")</f>
        <v>5.84</v>
      </c>
      <c r="O138" s="39">
        <f>SUMIFS(Datadetails[[Hours]:[Hours]],Datadetails[[Group]:[Group]],O$5,Datadetails[[Taskcode]:[Taskcode]],$A138,Datadetails[[Activity_help]:[Activity_help]],"C40")</f>
        <v>0</v>
      </c>
      <c r="P138" s="39">
        <f>SUMIFS(Datadetails[[Hours]:[Hours]],Datadetails[[Group]:[Group]],P$5,Datadetails[[Taskcode]:[Taskcode]],$A138,Datadetails[[Activity_help]:[Activity_help]],"C40")</f>
        <v>0</v>
      </c>
      <c r="Q138" s="40">
        <f t="shared" si="13"/>
        <v>5.84</v>
      </c>
      <c r="R138" s="63">
        <f>SUMIFS(Datadetails[[Hours]:[Hours]],Datadetails[[Group]:[Group]],"Other",Datadetails[[Taskcode]:[Taskcode]],$A138,Datadetails[[Activity_help]:[Activity_help]],"Other")</f>
        <v>0</v>
      </c>
      <c r="S138" s="21">
        <f t="shared" si="15"/>
        <v>11.59</v>
      </c>
    </row>
    <row r="139" spans="1:19" x14ac:dyDescent="0.25">
      <c r="A139" s="35" t="s">
        <v>160</v>
      </c>
      <c r="B139" s="66" t="s">
        <v>301</v>
      </c>
      <c r="C139" s="7">
        <f>SUMIFS(Datadetails[[Hours]:[Hours]],Datadetails[[Group]:[Group]],C$5,Datadetails[[Taskcode]:[Taskcode]],$A139,Datadetails[[Activity_help]:[Activity_help]],"C20")</f>
        <v>0</v>
      </c>
      <c r="D139" s="7">
        <f>SUMIFS(Datadetails[[Hours]:[Hours]],Datadetails[[Group]:[Group]],D$5,Datadetails[[Taskcode]:[Taskcode]],$A139,Datadetails[[Activity_help]:[Activity_help]],"C20")</f>
        <v>0</v>
      </c>
      <c r="E139" s="7">
        <f>SUMIFS(Datadetails[[Hours]:[Hours]],Datadetails[[Group]:[Group]],E$5,Datadetails[[Taskcode]:[Taskcode]],$A139,Datadetails[[Activity_help]:[Activity_help]],"C20")</f>
        <v>0</v>
      </c>
      <c r="F139" s="7">
        <f>SUMIFS(Datadetails[[Hours]:[Hours]],Datadetails[[Group]:[Group]],F$5,Datadetails[[Taskcode]:[Taskcode]],$A139,Datadetails[[Activity_help]:[Activity_help]],"C20")</f>
        <v>0</v>
      </c>
      <c r="G139" s="12">
        <f t="shared" si="14"/>
        <v>0</v>
      </c>
      <c r="H139" s="8">
        <f>SUMIFS(Datadetails[[Hours]:[Hours]],Datadetails[[Group]:[Group]],H$5,Datadetails[[Taskcode]:[Taskcode]],$A139,Datadetails[[Activity_help]:[Activity_help]],"C30")</f>
        <v>0</v>
      </c>
      <c r="I139" s="8">
        <f>SUMIFS(Datadetails[[Hours]:[Hours]],Datadetails[[Group]:[Group]],I$5,Datadetails[[Taskcode]:[Taskcode]],$A139,Datadetails[[Activity_help]:[Activity_help]],"C30")</f>
        <v>0</v>
      </c>
      <c r="J139" s="8">
        <f>SUMIFS(Datadetails[[Hours]:[Hours]],Datadetails[[Group]:[Group]],J$5,Datadetails[[Taskcode]:[Taskcode]],$A139,Datadetails[[Activity_help]:[Activity_help]],"C30")</f>
        <v>14.11</v>
      </c>
      <c r="K139" s="8">
        <f>SUMIFS(Datadetails[[Hours]:[Hours]],Datadetails[[Group]:[Group]],K$5,Datadetails[[Taskcode]:[Taskcode]],$A139,Datadetails[[Activity_help]:[Activity_help]],"C30")</f>
        <v>0</v>
      </c>
      <c r="L139" s="13">
        <f t="shared" si="12"/>
        <v>14.11</v>
      </c>
      <c r="M139" s="39">
        <f>SUMIFS(Datadetails[[Hours]:[Hours]],Datadetails[[Group]:[Group]],M$5,Datadetails[[Taskcode]:[Taskcode]],$A139,Datadetails[[Activity_help]:[Activity_help]],"C40")</f>
        <v>0</v>
      </c>
      <c r="N139" s="39">
        <f>SUMIFS(Datadetails[[Hours]:[Hours]],Datadetails[[Group]:[Group]],N$5,Datadetails[[Taskcode]:[Taskcode]],$A139,Datadetails[[Activity_help]:[Activity_help]],"C40")</f>
        <v>0</v>
      </c>
      <c r="O139" s="39">
        <f>SUMIFS(Datadetails[[Hours]:[Hours]],Datadetails[[Group]:[Group]],O$5,Datadetails[[Taskcode]:[Taskcode]],$A139,Datadetails[[Activity_help]:[Activity_help]],"C40")</f>
        <v>5.33</v>
      </c>
      <c r="P139" s="39">
        <f>SUMIFS(Datadetails[[Hours]:[Hours]],Datadetails[[Group]:[Group]],P$5,Datadetails[[Taskcode]:[Taskcode]],$A139,Datadetails[[Activity_help]:[Activity_help]],"C40")</f>
        <v>0</v>
      </c>
      <c r="Q139" s="40">
        <f t="shared" si="13"/>
        <v>5.33</v>
      </c>
      <c r="R139" s="63">
        <f>SUMIFS(Datadetails[[Hours]:[Hours]],Datadetails[[Group]:[Group]],"Other",Datadetails[[Taskcode]:[Taskcode]],$A139,Datadetails[[Activity_help]:[Activity_help]],"Other")</f>
        <v>0</v>
      </c>
      <c r="S139" s="21">
        <f t="shared" si="15"/>
        <v>19.439999999999998</v>
      </c>
    </row>
    <row r="140" spans="1:19" x14ac:dyDescent="0.25">
      <c r="A140" s="35" t="s">
        <v>161</v>
      </c>
      <c r="B140" s="66" t="s">
        <v>302</v>
      </c>
      <c r="C140" s="7">
        <f>SUMIFS(Datadetails[[Hours]:[Hours]],Datadetails[[Group]:[Group]],C$5,Datadetails[[Taskcode]:[Taskcode]],$A140,Datadetails[[Activity_help]:[Activity_help]],"C20")</f>
        <v>0</v>
      </c>
      <c r="D140" s="7">
        <f>SUMIFS(Datadetails[[Hours]:[Hours]],Datadetails[[Group]:[Group]],D$5,Datadetails[[Taskcode]:[Taskcode]],$A140,Datadetails[[Activity_help]:[Activity_help]],"C20")</f>
        <v>0</v>
      </c>
      <c r="E140" s="7">
        <f>SUMIFS(Datadetails[[Hours]:[Hours]],Datadetails[[Group]:[Group]],E$5,Datadetails[[Taskcode]:[Taskcode]],$A140,Datadetails[[Activity_help]:[Activity_help]],"C20")</f>
        <v>0</v>
      </c>
      <c r="F140" s="7">
        <f>SUMIFS(Datadetails[[Hours]:[Hours]],Datadetails[[Group]:[Group]],F$5,Datadetails[[Taskcode]:[Taskcode]],$A140,Datadetails[[Activity_help]:[Activity_help]],"C20")</f>
        <v>0</v>
      </c>
      <c r="G140" s="12">
        <f t="shared" si="14"/>
        <v>0</v>
      </c>
      <c r="H140" s="8">
        <f>SUMIFS(Datadetails[[Hours]:[Hours]],Datadetails[[Group]:[Group]],H$5,Datadetails[[Taskcode]:[Taskcode]],$A140,Datadetails[[Activity_help]:[Activity_help]],"C30")</f>
        <v>0</v>
      </c>
      <c r="I140" s="8">
        <f>SUMIFS(Datadetails[[Hours]:[Hours]],Datadetails[[Group]:[Group]],I$5,Datadetails[[Taskcode]:[Taskcode]],$A140,Datadetails[[Activity_help]:[Activity_help]],"C30")</f>
        <v>0</v>
      </c>
      <c r="J140" s="8">
        <f>SUMIFS(Datadetails[[Hours]:[Hours]],Datadetails[[Group]:[Group]],J$5,Datadetails[[Taskcode]:[Taskcode]],$A140,Datadetails[[Activity_help]:[Activity_help]],"C30")</f>
        <v>3.58</v>
      </c>
      <c r="K140" s="8">
        <f>SUMIFS(Datadetails[[Hours]:[Hours]],Datadetails[[Group]:[Group]],K$5,Datadetails[[Taskcode]:[Taskcode]],$A140,Datadetails[[Activity_help]:[Activity_help]],"C30")</f>
        <v>0</v>
      </c>
      <c r="L140" s="13">
        <f t="shared" si="12"/>
        <v>3.58</v>
      </c>
      <c r="M140" s="39">
        <f>SUMIFS(Datadetails[[Hours]:[Hours]],Datadetails[[Group]:[Group]],M$5,Datadetails[[Taskcode]:[Taskcode]],$A140,Datadetails[[Activity_help]:[Activity_help]],"C40")</f>
        <v>0</v>
      </c>
      <c r="N140" s="39">
        <f>SUMIFS(Datadetails[[Hours]:[Hours]],Datadetails[[Group]:[Group]],N$5,Datadetails[[Taskcode]:[Taskcode]],$A140,Datadetails[[Activity_help]:[Activity_help]],"C40")</f>
        <v>0</v>
      </c>
      <c r="O140" s="39">
        <f>SUMIFS(Datadetails[[Hours]:[Hours]],Datadetails[[Group]:[Group]],O$5,Datadetails[[Taskcode]:[Taskcode]],$A140,Datadetails[[Activity_help]:[Activity_help]],"C40")</f>
        <v>1.75</v>
      </c>
      <c r="P140" s="39">
        <f>SUMIFS(Datadetails[[Hours]:[Hours]],Datadetails[[Group]:[Group]],P$5,Datadetails[[Taskcode]:[Taskcode]],$A140,Datadetails[[Activity_help]:[Activity_help]],"C40")</f>
        <v>0</v>
      </c>
      <c r="Q140" s="40">
        <f t="shared" si="13"/>
        <v>1.75</v>
      </c>
      <c r="R140" s="63">
        <f>SUMIFS(Datadetails[[Hours]:[Hours]],Datadetails[[Group]:[Group]],"Other",Datadetails[[Taskcode]:[Taskcode]],$A140,Datadetails[[Activity_help]:[Activity_help]],"Other")</f>
        <v>0</v>
      </c>
      <c r="S140" s="21">
        <f t="shared" si="15"/>
        <v>5.33</v>
      </c>
    </row>
    <row r="141" spans="1:19" x14ac:dyDescent="0.25">
      <c r="A141" s="35" t="s">
        <v>162</v>
      </c>
      <c r="B141" s="66" t="s">
        <v>303</v>
      </c>
      <c r="C141" s="7">
        <f>SUMIFS(Datadetails[[Hours]:[Hours]],Datadetails[[Group]:[Group]],C$5,Datadetails[[Taskcode]:[Taskcode]],$A141,Datadetails[[Activity_help]:[Activity_help]],"C20")</f>
        <v>0</v>
      </c>
      <c r="D141" s="7">
        <f>SUMIFS(Datadetails[[Hours]:[Hours]],Datadetails[[Group]:[Group]],D$5,Datadetails[[Taskcode]:[Taskcode]],$A141,Datadetails[[Activity_help]:[Activity_help]],"C20")</f>
        <v>0</v>
      </c>
      <c r="E141" s="7">
        <f>SUMIFS(Datadetails[[Hours]:[Hours]],Datadetails[[Group]:[Group]],E$5,Datadetails[[Taskcode]:[Taskcode]],$A141,Datadetails[[Activity_help]:[Activity_help]],"C20")</f>
        <v>0</v>
      </c>
      <c r="F141" s="7">
        <f>SUMIFS(Datadetails[[Hours]:[Hours]],Datadetails[[Group]:[Group]],F$5,Datadetails[[Taskcode]:[Taskcode]],$A141,Datadetails[[Activity_help]:[Activity_help]],"C20")</f>
        <v>0</v>
      </c>
      <c r="G141" s="12">
        <f t="shared" si="14"/>
        <v>0</v>
      </c>
      <c r="H141" s="8">
        <f>SUMIFS(Datadetails[[Hours]:[Hours]],Datadetails[[Group]:[Group]],H$5,Datadetails[[Taskcode]:[Taskcode]],$A141,Datadetails[[Activity_help]:[Activity_help]],"C30")</f>
        <v>0</v>
      </c>
      <c r="I141" s="8">
        <f>SUMIFS(Datadetails[[Hours]:[Hours]],Datadetails[[Group]:[Group]],I$5,Datadetails[[Taskcode]:[Taskcode]],$A141,Datadetails[[Activity_help]:[Activity_help]],"C30")</f>
        <v>0</v>
      </c>
      <c r="J141" s="8">
        <f>SUMIFS(Datadetails[[Hours]:[Hours]],Datadetails[[Group]:[Group]],J$5,Datadetails[[Taskcode]:[Taskcode]],$A141,Datadetails[[Activity_help]:[Activity_help]],"C30")</f>
        <v>7.24</v>
      </c>
      <c r="K141" s="8">
        <f>SUMIFS(Datadetails[[Hours]:[Hours]],Datadetails[[Group]:[Group]],K$5,Datadetails[[Taskcode]:[Taskcode]],$A141,Datadetails[[Activity_help]:[Activity_help]],"C30")</f>
        <v>0</v>
      </c>
      <c r="L141" s="13">
        <f t="shared" si="12"/>
        <v>7.24</v>
      </c>
      <c r="M141" s="39">
        <f>SUMIFS(Datadetails[[Hours]:[Hours]],Datadetails[[Group]:[Group]],M$5,Datadetails[[Taskcode]:[Taskcode]],$A141,Datadetails[[Activity_help]:[Activity_help]],"C40")</f>
        <v>0</v>
      </c>
      <c r="N141" s="39">
        <f>SUMIFS(Datadetails[[Hours]:[Hours]],Datadetails[[Group]:[Group]],N$5,Datadetails[[Taskcode]:[Taskcode]],$A141,Datadetails[[Activity_help]:[Activity_help]],"C40")</f>
        <v>0</v>
      </c>
      <c r="O141" s="39">
        <f>SUMIFS(Datadetails[[Hours]:[Hours]],Datadetails[[Group]:[Group]],O$5,Datadetails[[Taskcode]:[Taskcode]],$A141,Datadetails[[Activity_help]:[Activity_help]],"C40")</f>
        <v>3.75</v>
      </c>
      <c r="P141" s="39">
        <f>SUMIFS(Datadetails[[Hours]:[Hours]],Datadetails[[Group]:[Group]],P$5,Datadetails[[Taskcode]:[Taskcode]],$A141,Datadetails[[Activity_help]:[Activity_help]],"C40")</f>
        <v>0</v>
      </c>
      <c r="Q141" s="40">
        <f t="shared" si="13"/>
        <v>3.75</v>
      </c>
      <c r="R141" s="63">
        <f>SUMIFS(Datadetails[[Hours]:[Hours]],Datadetails[[Group]:[Group]],"Other",Datadetails[[Taskcode]:[Taskcode]],$A141,Datadetails[[Activity_help]:[Activity_help]],"Other")</f>
        <v>0</v>
      </c>
      <c r="S141" s="21">
        <f t="shared" si="15"/>
        <v>10.99</v>
      </c>
    </row>
    <row r="142" spans="1:19" x14ac:dyDescent="0.25">
      <c r="A142" s="35" t="s">
        <v>163</v>
      </c>
      <c r="B142" s="66" t="s">
        <v>304</v>
      </c>
      <c r="C142" s="7">
        <f>SUMIFS(Datadetails[[Hours]:[Hours]],Datadetails[[Group]:[Group]],C$5,Datadetails[[Taskcode]:[Taskcode]],$A142,Datadetails[[Activity_help]:[Activity_help]],"C20")</f>
        <v>0</v>
      </c>
      <c r="D142" s="7">
        <f>SUMIFS(Datadetails[[Hours]:[Hours]],Datadetails[[Group]:[Group]],D$5,Datadetails[[Taskcode]:[Taskcode]],$A142,Datadetails[[Activity_help]:[Activity_help]],"C20")</f>
        <v>0</v>
      </c>
      <c r="E142" s="7">
        <f>SUMIFS(Datadetails[[Hours]:[Hours]],Datadetails[[Group]:[Group]],E$5,Datadetails[[Taskcode]:[Taskcode]],$A142,Datadetails[[Activity_help]:[Activity_help]],"C20")</f>
        <v>0</v>
      </c>
      <c r="F142" s="7">
        <f>SUMIFS(Datadetails[[Hours]:[Hours]],Datadetails[[Group]:[Group]],F$5,Datadetails[[Taskcode]:[Taskcode]],$A142,Datadetails[[Activity_help]:[Activity_help]],"C20")</f>
        <v>0</v>
      </c>
      <c r="G142" s="12">
        <f t="shared" si="14"/>
        <v>0</v>
      </c>
      <c r="H142" s="8">
        <f>SUMIFS(Datadetails[[Hours]:[Hours]],Datadetails[[Group]:[Group]],H$5,Datadetails[[Taskcode]:[Taskcode]],$A142,Datadetails[[Activity_help]:[Activity_help]],"C30")</f>
        <v>0</v>
      </c>
      <c r="I142" s="8">
        <f>SUMIFS(Datadetails[[Hours]:[Hours]],Datadetails[[Group]:[Group]],I$5,Datadetails[[Taskcode]:[Taskcode]],$A142,Datadetails[[Activity_help]:[Activity_help]],"C30")</f>
        <v>0</v>
      </c>
      <c r="J142" s="8">
        <f>SUMIFS(Datadetails[[Hours]:[Hours]],Datadetails[[Group]:[Group]],J$5,Datadetails[[Taskcode]:[Taskcode]],$A142,Datadetails[[Activity_help]:[Activity_help]],"C30")</f>
        <v>2.78</v>
      </c>
      <c r="K142" s="8">
        <f>SUMIFS(Datadetails[[Hours]:[Hours]],Datadetails[[Group]:[Group]],K$5,Datadetails[[Taskcode]:[Taskcode]],$A142,Datadetails[[Activity_help]:[Activity_help]],"C30")</f>
        <v>0</v>
      </c>
      <c r="L142" s="13">
        <f t="shared" si="12"/>
        <v>2.78</v>
      </c>
      <c r="M142" s="39">
        <f>SUMIFS(Datadetails[[Hours]:[Hours]],Datadetails[[Group]:[Group]],M$5,Datadetails[[Taskcode]:[Taskcode]],$A142,Datadetails[[Activity_help]:[Activity_help]],"C40")</f>
        <v>0</v>
      </c>
      <c r="N142" s="39">
        <f>SUMIFS(Datadetails[[Hours]:[Hours]],Datadetails[[Group]:[Group]],N$5,Datadetails[[Taskcode]:[Taskcode]],$A142,Datadetails[[Activity_help]:[Activity_help]],"C40")</f>
        <v>0</v>
      </c>
      <c r="O142" s="39">
        <f>SUMIFS(Datadetails[[Hours]:[Hours]],Datadetails[[Group]:[Group]],O$5,Datadetails[[Taskcode]:[Taskcode]],$A142,Datadetails[[Activity_help]:[Activity_help]],"C40")</f>
        <v>0.92</v>
      </c>
      <c r="P142" s="39">
        <f>SUMIFS(Datadetails[[Hours]:[Hours]],Datadetails[[Group]:[Group]],P$5,Datadetails[[Taskcode]:[Taskcode]],$A142,Datadetails[[Activity_help]:[Activity_help]],"C40")</f>
        <v>0</v>
      </c>
      <c r="Q142" s="40">
        <f t="shared" si="13"/>
        <v>0.92</v>
      </c>
      <c r="R142" s="63">
        <f>SUMIFS(Datadetails[[Hours]:[Hours]],Datadetails[[Group]:[Group]],"Other",Datadetails[[Taskcode]:[Taskcode]],$A142,Datadetails[[Activity_help]:[Activity_help]],"Other")</f>
        <v>0</v>
      </c>
      <c r="S142" s="21">
        <f t="shared" si="15"/>
        <v>3.6999999999999997</v>
      </c>
    </row>
    <row r="143" spans="1:19" x14ac:dyDescent="0.25">
      <c r="A143" s="35" t="s">
        <v>164</v>
      </c>
      <c r="B143" s="66" t="s">
        <v>305</v>
      </c>
      <c r="C143" s="7">
        <f>SUMIFS(Datadetails[[Hours]:[Hours]],Datadetails[[Group]:[Group]],C$5,Datadetails[[Taskcode]:[Taskcode]],$A143,Datadetails[[Activity_help]:[Activity_help]],"C20")</f>
        <v>0</v>
      </c>
      <c r="D143" s="7">
        <f>SUMIFS(Datadetails[[Hours]:[Hours]],Datadetails[[Group]:[Group]],D$5,Datadetails[[Taskcode]:[Taskcode]],$A143,Datadetails[[Activity_help]:[Activity_help]],"C20")</f>
        <v>0</v>
      </c>
      <c r="E143" s="7">
        <f>SUMIFS(Datadetails[[Hours]:[Hours]],Datadetails[[Group]:[Group]],E$5,Datadetails[[Taskcode]:[Taskcode]],$A143,Datadetails[[Activity_help]:[Activity_help]],"C20")</f>
        <v>0</v>
      </c>
      <c r="F143" s="7">
        <f>SUMIFS(Datadetails[[Hours]:[Hours]],Datadetails[[Group]:[Group]],F$5,Datadetails[[Taskcode]:[Taskcode]],$A143,Datadetails[[Activity_help]:[Activity_help]],"C20")</f>
        <v>0</v>
      </c>
      <c r="G143" s="12">
        <f t="shared" si="14"/>
        <v>0</v>
      </c>
      <c r="H143" s="8">
        <f>SUMIFS(Datadetails[[Hours]:[Hours]],Datadetails[[Group]:[Group]],H$5,Datadetails[[Taskcode]:[Taskcode]],$A143,Datadetails[[Activity_help]:[Activity_help]],"C30")</f>
        <v>0</v>
      </c>
      <c r="I143" s="8">
        <f>SUMIFS(Datadetails[[Hours]:[Hours]],Datadetails[[Group]:[Group]],I$5,Datadetails[[Taskcode]:[Taskcode]],$A143,Datadetails[[Activity_help]:[Activity_help]],"C30")</f>
        <v>0</v>
      </c>
      <c r="J143" s="8">
        <f>SUMIFS(Datadetails[[Hours]:[Hours]],Datadetails[[Group]:[Group]],J$5,Datadetails[[Taskcode]:[Taskcode]],$A143,Datadetails[[Activity_help]:[Activity_help]],"C30")</f>
        <v>3.0900000000000003</v>
      </c>
      <c r="K143" s="8">
        <f>SUMIFS(Datadetails[[Hours]:[Hours]],Datadetails[[Group]:[Group]],K$5,Datadetails[[Taskcode]:[Taskcode]],$A143,Datadetails[[Activity_help]:[Activity_help]],"C30")</f>
        <v>0</v>
      </c>
      <c r="L143" s="13">
        <f t="shared" si="12"/>
        <v>3.0900000000000003</v>
      </c>
      <c r="M143" s="39">
        <f>SUMIFS(Datadetails[[Hours]:[Hours]],Datadetails[[Group]:[Group]],M$5,Datadetails[[Taskcode]:[Taskcode]],$A143,Datadetails[[Activity_help]:[Activity_help]],"C40")</f>
        <v>0</v>
      </c>
      <c r="N143" s="39">
        <f>SUMIFS(Datadetails[[Hours]:[Hours]],Datadetails[[Group]:[Group]],N$5,Datadetails[[Taskcode]:[Taskcode]],$A143,Datadetails[[Activity_help]:[Activity_help]],"C40")</f>
        <v>0</v>
      </c>
      <c r="O143" s="39">
        <f>SUMIFS(Datadetails[[Hours]:[Hours]],Datadetails[[Group]:[Group]],O$5,Datadetails[[Taskcode]:[Taskcode]],$A143,Datadetails[[Activity_help]:[Activity_help]],"C40")</f>
        <v>2.84</v>
      </c>
      <c r="P143" s="39">
        <f>SUMIFS(Datadetails[[Hours]:[Hours]],Datadetails[[Group]:[Group]],P$5,Datadetails[[Taskcode]:[Taskcode]],$A143,Datadetails[[Activity_help]:[Activity_help]],"C40")</f>
        <v>0</v>
      </c>
      <c r="Q143" s="40">
        <f t="shared" si="13"/>
        <v>2.84</v>
      </c>
      <c r="R143" s="63">
        <f>SUMIFS(Datadetails[[Hours]:[Hours]],Datadetails[[Group]:[Group]],"Other",Datadetails[[Taskcode]:[Taskcode]],$A143,Datadetails[[Activity_help]:[Activity_help]],"Other")</f>
        <v>0</v>
      </c>
      <c r="S143" s="21">
        <f t="shared" si="15"/>
        <v>5.93</v>
      </c>
    </row>
    <row r="144" spans="1:19" x14ac:dyDescent="0.25">
      <c r="A144" s="35" t="s">
        <v>165</v>
      </c>
      <c r="B144" s="66" t="s">
        <v>306</v>
      </c>
      <c r="C144" s="7">
        <f>SUMIFS(Datadetails[[Hours]:[Hours]],Datadetails[[Group]:[Group]],C$5,Datadetails[[Taskcode]:[Taskcode]],$A144,Datadetails[[Activity_help]:[Activity_help]],"C20")</f>
        <v>0</v>
      </c>
      <c r="D144" s="7">
        <f>SUMIFS(Datadetails[[Hours]:[Hours]],Datadetails[[Group]:[Group]],D$5,Datadetails[[Taskcode]:[Taskcode]],$A144,Datadetails[[Activity_help]:[Activity_help]],"C20")</f>
        <v>0</v>
      </c>
      <c r="E144" s="7">
        <f>SUMIFS(Datadetails[[Hours]:[Hours]],Datadetails[[Group]:[Group]],E$5,Datadetails[[Taskcode]:[Taskcode]],$A144,Datadetails[[Activity_help]:[Activity_help]],"C20")</f>
        <v>0</v>
      </c>
      <c r="F144" s="7">
        <f>SUMIFS(Datadetails[[Hours]:[Hours]],Datadetails[[Group]:[Group]],F$5,Datadetails[[Taskcode]:[Taskcode]],$A144,Datadetails[[Activity_help]:[Activity_help]],"C20")</f>
        <v>0</v>
      </c>
      <c r="G144" s="12">
        <f t="shared" si="14"/>
        <v>0</v>
      </c>
      <c r="H144" s="8">
        <f>SUMIFS(Datadetails[[Hours]:[Hours]],Datadetails[[Group]:[Group]],H$5,Datadetails[[Taskcode]:[Taskcode]],$A144,Datadetails[[Activity_help]:[Activity_help]],"C30")</f>
        <v>0</v>
      </c>
      <c r="I144" s="8">
        <f>SUMIFS(Datadetails[[Hours]:[Hours]],Datadetails[[Group]:[Group]],I$5,Datadetails[[Taskcode]:[Taskcode]],$A144,Datadetails[[Activity_help]:[Activity_help]],"C30")</f>
        <v>0</v>
      </c>
      <c r="J144" s="8">
        <f>SUMIFS(Datadetails[[Hours]:[Hours]],Datadetails[[Group]:[Group]],J$5,Datadetails[[Taskcode]:[Taskcode]],$A144,Datadetails[[Activity_help]:[Activity_help]],"C30")</f>
        <v>0.17</v>
      </c>
      <c r="K144" s="8">
        <f>SUMIFS(Datadetails[[Hours]:[Hours]],Datadetails[[Group]:[Group]],K$5,Datadetails[[Taskcode]:[Taskcode]],$A144,Datadetails[[Activity_help]:[Activity_help]],"C30")</f>
        <v>0</v>
      </c>
      <c r="L144" s="13">
        <f t="shared" si="12"/>
        <v>0.17</v>
      </c>
      <c r="M144" s="39">
        <f>SUMIFS(Datadetails[[Hours]:[Hours]],Datadetails[[Group]:[Group]],M$5,Datadetails[[Taskcode]:[Taskcode]],$A144,Datadetails[[Activity_help]:[Activity_help]],"C40")</f>
        <v>0</v>
      </c>
      <c r="N144" s="39">
        <f>SUMIFS(Datadetails[[Hours]:[Hours]],Datadetails[[Group]:[Group]],N$5,Datadetails[[Taskcode]:[Taskcode]],$A144,Datadetails[[Activity_help]:[Activity_help]],"C40")</f>
        <v>0</v>
      </c>
      <c r="O144" s="39">
        <f>SUMIFS(Datadetails[[Hours]:[Hours]],Datadetails[[Group]:[Group]],O$5,Datadetails[[Taskcode]:[Taskcode]],$A144,Datadetails[[Activity_help]:[Activity_help]],"C40")</f>
        <v>0</v>
      </c>
      <c r="P144" s="39">
        <f>SUMIFS(Datadetails[[Hours]:[Hours]],Datadetails[[Group]:[Group]],P$5,Datadetails[[Taskcode]:[Taskcode]],$A144,Datadetails[[Activity_help]:[Activity_help]],"C40")</f>
        <v>0</v>
      </c>
      <c r="Q144" s="40">
        <f t="shared" si="13"/>
        <v>0</v>
      </c>
      <c r="R144" s="63">
        <f>SUMIFS(Datadetails[[Hours]:[Hours]],Datadetails[[Group]:[Group]],"Other",Datadetails[[Taskcode]:[Taskcode]],$A144,Datadetails[[Activity_help]:[Activity_help]],"Other")</f>
        <v>0</v>
      </c>
      <c r="S144" s="21">
        <f t="shared" si="15"/>
        <v>0.17</v>
      </c>
    </row>
    <row r="145" spans="1:19" x14ac:dyDescent="0.25">
      <c r="A145" s="35" t="s">
        <v>166</v>
      </c>
      <c r="B145" s="66" t="s">
        <v>307</v>
      </c>
      <c r="C145" s="7">
        <f>SUMIFS(Datadetails[[Hours]:[Hours]],Datadetails[[Group]:[Group]],C$5,Datadetails[[Taskcode]:[Taskcode]],$A145,Datadetails[[Activity_help]:[Activity_help]],"C20")</f>
        <v>0</v>
      </c>
      <c r="D145" s="7">
        <f>SUMIFS(Datadetails[[Hours]:[Hours]],Datadetails[[Group]:[Group]],D$5,Datadetails[[Taskcode]:[Taskcode]],$A145,Datadetails[[Activity_help]:[Activity_help]],"C20")</f>
        <v>0</v>
      </c>
      <c r="E145" s="7">
        <f>SUMIFS(Datadetails[[Hours]:[Hours]],Datadetails[[Group]:[Group]],E$5,Datadetails[[Taskcode]:[Taskcode]],$A145,Datadetails[[Activity_help]:[Activity_help]],"C20")</f>
        <v>0</v>
      </c>
      <c r="F145" s="7">
        <f>SUMIFS(Datadetails[[Hours]:[Hours]],Datadetails[[Group]:[Group]],F$5,Datadetails[[Taskcode]:[Taskcode]],$A145,Datadetails[[Activity_help]:[Activity_help]],"C20")</f>
        <v>0</v>
      </c>
      <c r="G145" s="12">
        <f t="shared" si="14"/>
        <v>0</v>
      </c>
      <c r="H145" s="8">
        <f>SUMIFS(Datadetails[[Hours]:[Hours]],Datadetails[[Group]:[Group]],H$5,Datadetails[[Taskcode]:[Taskcode]],$A145,Datadetails[[Activity_help]:[Activity_help]],"C30")</f>
        <v>0</v>
      </c>
      <c r="I145" s="8">
        <f>SUMIFS(Datadetails[[Hours]:[Hours]],Datadetails[[Group]:[Group]],I$5,Datadetails[[Taskcode]:[Taskcode]],$A145,Datadetails[[Activity_help]:[Activity_help]],"C30")</f>
        <v>0</v>
      </c>
      <c r="J145" s="8">
        <f>SUMIFS(Datadetails[[Hours]:[Hours]],Datadetails[[Group]:[Group]],J$5,Datadetails[[Taskcode]:[Taskcode]],$A145,Datadetails[[Activity_help]:[Activity_help]],"C30")</f>
        <v>1.5</v>
      </c>
      <c r="K145" s="8">
        <f>SUMIFS(Datadetails[[Hours]:[Hours]],Datadetails[[Group]:[Group]],K$5,Datadetails[[Taskcode]:[Taskcode]],$A145,Datadetails[[Activity_help]:[Activity_help]],"C30")</f>
        <v>0</v>
      </c>
      <c r="L145" s="13">
        <f t="shared" si="12"/>
        <v>1.5</v>
      </c>
      <c r="M145" s="39">
        <f>SUMIFS(Datadetails[[Hours]:[Hours]],Datadetails[[Group]:[Group]],M$5,Datadetails[[Taskcode]:[Taskcode]],$A145,Datadetails[[Activity_help]:[Activity_help]],"C40")</f>
        <v>0</v>
      </c>
      <c r="N145" s="39">
        <f>SUMIFS(Datadetails[[Hours]:[Hours]],Datadetails[[Group]:[Group]],N$5,Datadetails[[Taskcode]:[Taskcode]],$A145,Datadetails[[Activity_help]:[Activity_help]],"C40")</f>
        <v>0</v>
      </c>
      <c r="O145" s="39">
        <f>SUMIFS(Datadetails[[Hours]:[Hours]],Datadetails[[Group]:[Group]],O$5,Datadetails[[Taskcode]:[Taskcode]],$A145,Datadetails[[Activity_help]:[Activity_help]],"C40")</f>
        <v>1.58</v>
      </c>
      <c r="P145" s="39">
        <f>SUMIFS(Datadetails[[Hours]:[Hours]],Datadetails[[Group]:[Group]],P$5,Datadetails[[Taskcode]:[Taskcode]],$A145,Datadetails[[Activity_help]:[Activity_help]],"C40")</f>
        <v>0</v>
      </c>
      <c r="Q145" s="40">
        <f t="shared" si="13"/>
        <v>1.58</v>
      </c>
      <c r="R145" s="63">
        <f>SUMIFS(Datadetails[[Hours]:[Hours]],Datadetails[[Group]:[Group]],"Other",Datadetails[[Taskcode]:[Taskcode]],$A145,Datadetails[[Activity_help]:[Activity_help]],"Other")</f>
        <v>0</v>
      </c>
      <c r="S145" s="21">
        <f t="shared" si="15"/>
        <v>3.08</v>
      </c>
    </row>
    <row r="146" spans="1:19" x14ac:dyDescent="0.25">
      <c r="A146" s="55" t="s">
        <v>49</v>
      </c>
      <c r="B146" s="67" t="s">
        <v>308</v>
      </c>
      <c r="C146" s="7">
        <f>SUMIFS(Datadetails[[Hours]:[Hours]],Datadetails[[Group]:[Group]],C$5,Datadetails[[Taskcode]:[Taskcode]],$A146,Datadetails[[Activity_help]:[Activity_help]],"C20")</f>
        <v>0</v>
      </c>
      <c r="D146" s="7">
        <f>SUMIFS(Datadetails[[Hours]:[Hours]],Datadetails[[Group]:[Group]],D$5,Datadetails[[Taskcode]:[Taskcode]],$A146,Datadetails[[Activity_help]:[Activity_help]],"C20")</f>
        <v>0</v>
      </c>
      <c r="E146" s="7">
        <f>SUMIFS(Datadetails[[Hours]:[Hours]],Datadetails[[Group]:[Group]],E$5,Datadetails[[Taskcode]:[Taskcode]],$A146,Datadetails[[Activity_help]:[Activity_help]],"C20")</f>
        <v>0</v>
      </c>
      <c r="F146" s="7">
        <f>SUMIFS(Datadetails[[Hours]:[Hours]],Datadetails[[Group]:[Group]],F$5,Datadetails[[Taskcode]:[Taskcode]],$A146,Datadetails[[Activity_help]:[Activity_help]],"C20")</f>
        <v>0</v>
      </c>
      <c r="G146" s="12">
        <f t="shared" si="14"/>
        <v>0</v>
      </c>
      <c r="H146" s="8">
        <f>SUMIFS(Datadetails[[Hours]:[Hours]],Datadetails[[Group]:[Group]],H$5,Datadetails[[Taskcode]:[Taskcode]],$A146,Datadetails[[Activity_help]:[Activity_help]],"C30")</f>
        <v>0</v>
      </c>
      <c r="I146" s="8">
        <f>SUMIFS(Datadetails[[Hours]:[Hours]],Datadetails[[Group]:[Group]],I$5,Datadetails[[Taskcode]:[Taskcode]],$A146,Datadetails[[Activity_help]:[Activity_help]],"C30")</f>
        <v>0</v>
      </c>
      <c r="J146" s="8">
        <f>SUMIFS(Datadetails[[Hours]:[Hours]],Datadetails[[Group]:[Group]],J$5,Datadetails[[Taskcode]:[Taskcode]],$A146,Datadetails[[Activity_help]:[Activity_help]],"C30")</f>
        <v>0</v>
      </c>
      <c r="K146" s="8">
        <f>SUMIFS(Datadetails[[Hours]:[Hours]],Datadetails[[Group]:[Group]],K$5,Datadetails[[Taskcode]:[Taskcode]],$A146,Datadetails[[Activity_help]:[Activity_help]],"C30")</f>
        <v>0</v>
      </c>
      <c r="L146" s="13">
        <f t="shared" si="12"/>
        <v>0</v>
      </c>
      <c r="M146" s="39">
        <f>SUMIFS(Datadetails[[Hours]:[Hours]],Datadetails[[Group]:[Group]],M$5,Datadetails[[Taskcode]:[Taskcode]],$A146,Datadetails[[Activity_help]:[Activity_help]],"C40")</f>
        <v>0</v>
      </c>
      <c r="N146" s="39">
        <f>SUMIFS(Datadetails[[Hours]:[Hours]],Datadetails[[Group]:[Group]],N$5,Datadetails[[Taskcode]:[Taskcode]],$A146,Datadetails[[Activity_help]:[Activity_help]],"C40")</f>
        <v>0</v>
      </c>
      <c r="O146" s="39">
        <f>SUMIFS(Datadetails[[Hours]:[Hours]],Datadetails[[Group]:[Group]],O$5,Datadetails[[Taskcode]:[Taskcode]],$A146,Datadetails[[Activity_help]:[Activity_help]],"C40")</f>
        <v>0</v>
      </c>
      <c r="P146" s="39">
        <f>SUMIFS(Datadetails[[Hours]:[Hours]],Datadetails[[Group]:[Group]],P$5,Datadetails[[Taskcode]:[Taskcode]],$A146,Datadetails[[Activity_help]:[Activity_help]],"C40")</f>
        <v>0</v>
      </c>
      <c r="Q146" s="40">
        <f t="shared" si="13"/>
        <v>0</v>
      </c>
      <c r="R146" s="63">
        <f>SUMIFS(Datadetails[[Hours]:[Hours]],Datadetails[[Group]:[Group]],"Other",Datadetails[[Taskcode]:[Taskcode]],$A146,Datadetails[[Activity_help]:[Activity_help]],"Other")</f>
        <v>0</v>
      </c>
      <c r="S146" s="21">
        <f t="shared" si="15"/>
        <v>0</v>
      </c>
    </row>
    <row r="147" spans="1:19" ht="15.75" thickBot="1" x14ac:dyDescent="0.3">
      <c r="A147" s="36" t="s">
        <v>167</v>
      </c>
      <c r="B147" s="68" t="s">
        <v>309</v>
      </c>
      <c r="C147" s="24">
        <f>SUMIFS(Datadetails[[Hours]:[Hours]],Datadetails[[Group]:[Group]],C$5,Datadetails[[Taskcode]:[Taskcode]],$A147,Datadetails[[Activity_help]:[Activity_help]],"C20")</f>
        <v>0</v>
      </c>
      <c r="D147" s="24">
        <f>SUMIFS(Datadetails[[Hours]:[Hours]],Datadetails[[Group]:[Group]],D$5,Datadetails[[Taskcode]:[Taskcode]],$A147,Datadetails[[Activity_help]:[Activity_help]],"C20")</f>
        <v>4.92</v>
      </c>
      <c r="E147" s="24">
        <f>SUMIFS(Datadetails[[Hours]:[Hours]],Datadetails[[Group]:[Group]],E$5,Datadetails[[Taskcode]:[Taskcode]],$A147,Datadetails[[Activity_help]:[Activity_help]],"C20")</f>
        <v>0</v>
      </c>
      <c r="F147" s="24">
        <f>SUMIFS(Datadetails[[Hours]:[Hours]],Datadetails[[Group]:[Group]],F$5,Datadetails[[Taskcode]:[Taskcode]],$A147,Datadetails[[Activity_help]:[Activity_help]],"C20")</f>
        <v>0</v>
      </c>
      <c r="G147" s="130">
        <f t="shared" si="14"/>
        <v>4.92</v>
      </c>
      <c r="H147" s="25">
        <f>SUMIFS(Datadetails[[Hours]:[Hours]],Datadetails[[Group]:[Group]],H$5,Datadetails[[Taskcode]:[Taskcode]],$A147,Datadetails[[Activity_help]:[Activity_help]],"C30")</f>
        <v>0</v>
      </c>
      <c r="I147" s="25">
        <f>SUMIFS(Datadetails[[Hours]:[Hours]],Datadetails[[Group]:[Group]],I$5,Datadetails[[Taskcode]:[Taskcode]],$A147,Datadetails[[Activity_help]:[Activity_help]],"C30")</f>
        <v>12.16</v>
      </c>
      <c r="J147" s="25">
        <f>SUMIFS(Datadetails[[Hours]:[Hours]],Datadetails[[Group]:[Group]],J$5,Datadetails[[Taskcode]:[Taskcode]],$A147,Datadetails[[Activity_help]:[Activity_help]],"C30")</f>
        <v>0</v>
      </c>
      <c r="K147" s="25">
        <f>SUMIFS(Datadetails[[Hours]:[Hours]],Datadetails[[Group]:[Group]],K$5,Datadetails[[Taskcode]:[Taskcode]],$A147,Datadetails[[Activity_help]:[Activity_help]],"C30")</f>
        <v>0</v>
      </c>
      <c r="L147" s="26">
        <f t="shared" si="12"/>
        <v>12.16</v>
      </c>
      <c r="M147" s="42">
        <f>SUMIFS(Datadetails[[Hours]:[Hours]],Datadetails[[Group]:[Group]],M$5,Datadetails[[Taskcode]:[Taskcode]],$A147,Datadetails[[Activity_help]:[Activity_help]],"C40")</f>
        <v>0</v>
      </c>
      <c r="N147" s="42">
        <f>SUMIFS(Datadetails[[Hours]:[Hours]],Datadetails[[Group]:[Group]],N$5,Datadetails[[Taskcode]:[Taskcode]],$A147,Datadetails[[Activity_help]:[Activity_help]],"C40")</f>
        <v>2</v>
      </c>
      <c r="O147" s="42">
        <f>SUMIFS(Datadetails[[Hours]:[Hours]],Datadetails[[Group]:[Group]],O$5,Datadetails[[Taskcode]:[Taskcode]],$A147,Datadetails[[Activity_help]:[Activity_help]],"C40")</f>
        <v>0</v>
      </c>
      <c r="P147" s="42">
        <f>SUMIFS(Datadetails[[Hours]:[Hours]],Datadetails[[Group]:[Group]],P$5,Datadetails[[Taskcode]:[Taskcode]],$A147,Datadetails[[Activity_help]:[Activity_help]],"C40")</f>
        <v>0</v>
      </c>
      <c r="Q147" s="46">
        <f t="shared" si="13"/>
        <v>2</v>
      </c>
      <c r="R147" s="64">
        <f>SUMIFS(Datadetails[[Hours]:[Hours]],Datadetails[[Group]:[Group]],"Other",Datadetails[[Taskcode]:[Taskcode]],$A147,Datadetails[[Activity_help]:[Activity_help]],"Other")</f>
        <v>0</v>
      </c>
      <c r="S147" s="27">
        <f t="shared" si="15"/>
        <v>19.079999999999998</v>
      </c>
    </row>
    <row r="148" spans="1:19" ht="18.75" customHeight="1" thickBot="1" x14ac:dyDescent="0.3">
      <c r="G148" s="57"/>
    </row>
    <row r="149" spans="1:19" ht="30" customHeight="1" thickBot="1" x14ac:dyDescent="0.3">
      <c r="C149" s="48" t="s">
        <v>339</v>
      </c>
      <c r="D149" s="49" t="s">
        <v>348</v>
      </c>
      <c r="E149" s="49" t="s">
        <v>318</v>
      </c>
      <c r="F149" s="49" t="s">
        <v>346</v>
      </c>
      <c r="G149" s="69" t="s">
        <v>16</v>
      </c>
      <c r="H149" s="50" t="s">
        <v>339</v>
      </c>
      <c r="I149" s="50" t="s">
        <v>348</v>
      </c>
      <c r="J149" s="50" t="s">
        <v>318</v>
      </c>
      <c r="K149" s="50" t="s">
        <v>346</v>
      </c>
      <c r="L149" s="51" t="s">
        <v>16</v>
      </c>
      <c r="M149" s="52" t="s">
        <v>339</v>
      </c>
      <c r="N149" s="52" t="s">
        <v>348</v>
      </c>
      <c r="O149" s="52" t="s">
        <v>318</v>
      </c>
      <c r="P149" s="52" t="s">
        <v>346</v>
      </c>
      <c r="Q149" s="52" t="s">
        <v>16</v>
      </c>
      <c r="R149" s="71" t="s">
        <v>39</v>
      </c>
      <c r="S149" s="53" t="s">
        <v>16</v>
      </c>
    </row>
    <row r="150" spans="1:19" ht="20.100000000000001" customHeight="1" thickBot="1" x14ac:dyDescent="0.3">
      <c r="B150" s="11" t="s">
        <v>31</v>
      </c>
      <c r="C150" s="28">
        <f>SUM(C6:C148)</f>
        <v>0</v>
      </c>
      <c r="D150" s="29">
        <f t="shared" ref="D150:P150" si="16">SUM(D6:D148)</f>
        <v>85.97</v>
      </c>
      <c r="E150" s="29">
        <f t="shared" si="16"/>
        <v>66.990000000000009</v>
      </c>
      <c r="F150" s="29">
        <f t="shared" si="16"/>
        <v>85.499999999999986</v>
      </c>
      <c r="G150" s="70">
        <f t="shared" si="16"/>
        <v>238.45999999999998</v>
      </c>
      <c r="H150" s="30">
        <f>SUM(H6:H148)</f>
        <v>0</v>
      </c>
      <c r="I150" s="30">
        <f t="shared" si="16"/>
        <v>119.74</v>
      </c>
      <c r="J150" s="30">
        <f t="shared" si="16"/>
        <v>376.8599999999999</v>
      </c>
      <c r="K150" s="30">
        <f>SUM(K6:K148)</f>
        <v>22.630000000000003</v>
      </c>
      <c r="L150" s="31">
        <f>SUM(L6:L148)</f>
        <v>519.22999999999979</v>
      </c>
      <c r="M150" s="43">
        <f>SUM(M6:M148)</f>
        <v>0</v>
      </c>
      <c r="N150" s="43">
        <f t="shared" si="16"/>
        <v>26.26</v>
      </c>
      <c r="O150" s="43">
        <f t="shared" si="16"/>
        <v>223.79</v>
      </c>
      <c r="P150" s="43">
        <f t="shared" si="16"/>
        <v>49.99</v>
      </c>
      <c r="Q150" s="44">
        <f>SUM(Q6:Q148)</f>
        <v>300.03999999999991</v>
      </c>
      <c r="R150" s="72">
        <f>SUM(R6:R148)</f>
        <v>10.5</v>
      </c>
      <c r="S150" s="32">
        <f>SUM(S6:S148)</f>
        <v>1068.2300000000002</v>
      </c>
    </row>
    <row r="151" spans="1:19" ht="15" customHeight="1" x14ac:dyDescent="0.25"/>
    <row r="152" spans="1:19" ht="20.100000000000001" customHeight="1" thickBot="1" x14ac:dyDescent="0.3"/>
    <row r="153" spans="1:19" ht="15" customHeight="1" x14ac:dyDescent="0.25">
      <c r="A153" s="96" t="s">
        <v>1</v>
      </c>
      <c r="B153" s="104" t="s">
        <v>14</v>
      </c>
      <c r="C153" s="106" t="s">
        <v>477</v>
      </c>
      <c r="D153" s="106"/>
      <c r="E153" s="106"/>
      <c r="F153" s="107"/>
      <c r="G153" s="107"/>
      <c r="H153" s="108" t="s">
        <v>315</v>
      </c>
      <c r="I153" s="107"/>
      <c r="J153" s="107"/>
      <c r="K153" s="107"/>
      <c r="L153" s="107"/>
      <c r="M153" s="109" t="s">
        <v>476</v>
      </c>
      <c r="N153" s="107"/>
      <c r="O153" s="107"/>
      <c r="P153" s="107"/>
      <c r="Q153" s="107"/>
      <c r="R153" s="122" t="s">
        <v>16</v>
      </c>
      <c r="S153" s="123"/>
    </row>
    <row r="154" spans="1:19" ht="15" customHeight="1" x14ac:dyDescent="0.25">
      <c r="A154" s="97"/>
      <c r="B154" s="105"/>
      <c r="C154" s="110" t="s">
        <v>319</v>
      </c>
      <c r="D154" s="110"/>
      <c r="E154" s="110"/>
      <c r="F154" s="111"/>
      <c r="G154" s="111"/>
      <c r="H154" s="112" t="s">
        <v>475</v>
      </c>
      <c r="I154" s="111"/>
      <c r="J154" s="111"/>
      <c r="K154" s="111"/>
      <c r="L154" s="111"/>
      <c r="M154" s="113" t="s">
        <v>339</v>
      </c>
      <c r="N154" s="111"/>
      <c r="O154" s="111"/>
      <c r="P154" s="111"/>
      <c r="Q154" s="111"/>
      <c r="R154" s="111"/>
      <c r="S154" s="124"/>
    </row>
    <row r="155" spans="1:19" ht="15.75" thickBot="1" x14ac:dyDescent="0.3">
      <c r="A155" s="22" t="s">
        <v>15</v>
      </c>
      <c r="B155" s="23" t="s">
        <v>12</v>
      </c>
      <c r="C155" s="116">
        <f>SUMIFS(Datadetails[[Hours]:[Hours]],Datadetails[[Group]:[Group]],"CSD",Datadetails[[Taskcode]:[Taskcode]],$A155,Datadetails[[Activity_help]:[Activity_help]],"D04")</f>
        <v>1923.1500000000012</v>
      </c>
      <c r="D155" s="116"/>
      <c r="E155" s="116"/>
      <c r="F155" s="117"/>
      <c r="G155" s="117"/>
      <c r="H155" s="118">
        <f>SUMIFS(Datadetails[[Hours]:[Hours]],Datadetails[[Group]:[Group]],"CSS",Datadetails[[Taskcode]:[Taskcode]],$A155,Datadetails[[Activity_help]:[Activity_help]],"D04")+SUMIFS(Datadetails[[Hours]:[Hours]],Datadetails[[Group]:[Group]],"CSN",Datadetails[[Taskcode]:[Taskcode]],$A155,Datadetails[[Activity_help]:[Activity_help]],"D04")</f>
        <v>192.00999999999993</v>
      </c>
      <c r="I155" s="117"/>
      <c r="J155" s="117"/>
      <c r="K155" s="117"/>
      <c r="L155" s="117"/>
      <c r="M155" s="119">
        <f>SUMIFS(Datadetails[[Hours]:[Hours]],Datadetails[[Group]:[Group]],"BEC",Datadetails[[Taskcode]:[Taskcode]],$A155,Datadetails[[Activity_help]:[Activity_help]],"D04")</f>
        <v>1867.3399999999995</v>
      </c>
      <c r="N155" s="117"/>
      <c r="O155" s="117"/>
      <c r="P155" s="117"/>
      <c r="Q155" s="117"/>
      <c r="R155" s="125">
        <f>SUM(B155:Q155)</f>
        <v>3982.5000000000009</v>
      </c>
      <c r="S155" s="126"/>
    </row>
    <row r="157" spans="1:19" ht="15.75" thickBot="1" x14ac:dyDescent="0.3">
      <c r="A157" s="33" t="s">
        <v>17</v>
      </c>
    </row>
    <row r="158" spans="1:19" x14ac:dyDescent="0.25">
      <c r="A158" s="73" t="s">
        <v>319</v>
      </c>
      <c r="B158" s="74" t="s">
        <v>320</v>
      </c>
      <c r="G158" s="129"/>
      <c r="H158" s="129"/>
      <c r="I158" s="129"/>
      <c r="J158" s="129"/>
      <c r="K158" s="129"/>
      <c r="L158" s="129"/>
      <c r="M158" s="129"/>
      <c r="N158" s="129"/>
      <c r="O158" s="129"/>
      <c r="P158" s="129"/>
      <c r="Q158" s="129"/>
      <c r="R158" s="127"/>
      <c r="S158" s="128"/>
    </row>
    <row r="159" spans="1:19" x14ac:dyDescent="0.25">
      <c r="A159" s="75" t="s">
        <v>339</v>
      </c>
      <c r="B159" s="76" t="s">
        <v>340</v>
      </c>
      <c r="G159" s="129"/>
      <c r="H159" s="129"/>
      <c r="I159" s="129"/>
      <c r="J159" s="129"/>
      <c r="K159" s="129"/>
      <c r="L159" s="129"/>
      <c r="M159" s="129"/>
      <c r="N159" s="129"/>
      <c r="O159" s="129"/>
      <c r="P159" s="129"/>
      <c r="Q159" s="129"/>
      <c r="R159" s="127"/>
      <c r="S159" s="128"/>
    </row>
    <row r="160" spans="1:19" x14ac:dyDescent="0.25">
      <c r="A160" s="75" t="s">
        <v>317</v>
      </c>
      <c r="B160" s="76" t="s">
        <v>335</v>
      </c>
      <c r="G160" s="129"/>
      <c r="H160" s="129"/>
      <c r="I160" s="129"/>
      <c r="J160" s="129"/>
      <c r="K160" s="129"/>
      <c r="L160" s="129"/>
      <c r="M160" s="129"/>
      <c r="N160" s="129"/>
      <c r="O160" s="129"/>
      <c r="P160" s="129"/>
      <c r="Q160" s="129"/>
      <c r="R160" s="127"/>
      <c r="S160" s="128"/>
    </row>
    <row r="161" spans="1:23" ht="15.75" thickBot="1" x14ac:dyDescent="0.3">
      <c r="A161" s="77" t="s">
        <v>337</v>
      </c>
      <c r="B161" s="78" t="s">
        <v>336</v>
      </c>
      <c r="G161" s="58"/>
      <c r="H161" s="58"/>
      <c r="I161" s="58"/>
      <c r="J161" s="58"/>
      <c r="K161" s="58"/>
      <c r="L161" s="59"/>
      <c r="M161" s="59"/>
      <c r="N161" s="59"/>
      <c r="O161" s="59"/>
      <c r="P161" s="59"/>
      <c r="Q161" s="59"/>
      <c r="R161" s="59"/>
      <c r="S161" s="54"/>
      <c r="T161" s="59"/>
      <c r="U161" s="59"/>
      <c r="V161" s="59"/>
      <c r="W161" s="59"/>
    </row>
    <row r="162" spans="1:23" x14ac:dyDescent="0.25">
      <c r="G162" s="129"/>
      <c r="H162" s="129"/>
      <c r="I162" s="129"/>
      <c r="J162" s="129"/>
      <c r="K162" s="129"/>
      <c r="L162" s="129"/>
      <c r="M162" s="129"/>
      <c r="N162" s="129"/>
      <c r="O162" s="129"/>
      <c r="P162" s="129"/>
      <c r="Q162" s="129"/>
      <c r="R162" s="58"/>
      <c r="S162" s="54"/>
    </row>
  </sheetData>
  <sheetProtection sort="0" autoFilter="0" pivotTables="0"/>
  <autoFilter ref="A4:S147" xr:uid="{FAC5B0C4-1301-41A8-943B-C52CF2DA777F}">
    <filterColumn colId="2" showButton="0"/>
    <filterColumn colId="3" showButton="0"/>
    <filterColumn colId="4" showButton="0"/>
    <filterColumn colId="5" showButton="0"/>
    <filterColumn colId="7" showButton="0"/>
    <filterColumn colId="8" showButton="0"/>
    <filterColumn colId="9" showButton="0"/>
    <filterColumn colId="10" showButton="0"/>
    <filterColumn colId="12" showButton="0"/>
    <filterColumn colId="13" showButton="0"/>
    <filterColumn colId="14" showButton="0"/>
    <filterColumn colId="15" showButton="0"/>
  </autoFilter>
  <mergeCells count="27">
    <mergeCell ref="R158:S158"/>
    <mergeCell ref="R159:S159"/>
    <mergeCell ref="R160:S160"/>
    <mergeCell ref="G162:Q162"/>
    <mergeCell ref="G158:Q158"/>
    <mergeCell ref="G160:Q160"/>
    <mergeCell ref="G159:Q159"/>
    <mergeCell ref="S4:S5"/>
    <mergeCell ref="C155:G155"/>
    <mergeCell ref="H155:L155"/>
    <mergeCell ref="M155:Q155"/>
    <mergeCell ref="R4:R5"/>
    <mergeCell ref="R153:S154"/>
    <mergeCell ref="R155:S155"/>
    <mergeCell ref="A153:A154"/>
    <mergeCell ref="B153:B154"/>
    <mergeCell ref="C153:G153"/>
    <mergeCell ref="H153:L153"/>
    <mergeCell ref="M153:Q153"/>
    <mergeCell ref="C154:G154"/>
    <mergeCell ref="H154:L154"/>
    <mergeCell ref="M154:Q154"/>
    <mergeCell ref="A4:A5"/>
    <mergeCell ref="B4:B5"/>
    <mergeCell ref="C4:G4"/>
    <mergeCell ref="H4:L4"/>
    <mergeCell ref="M4:Q4"/>
  </mergeCells>
  <printOptions horizontalCentered="1"/>
  <pageMargins left="0.70866141732283472" right="0.70866141732283472" top="0.74803149606299213" bottom="0.74803149606299213" header="0.31496062992125984" footer="0.31496062992125984"/>
  <pageSetup paperSize="9" scale="54" fitToHeight="2"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ED223-2E56-4081-A990-43B7D8B6A05F}">
  <sheetPr codeName="Sheet1">
    <tabColor rgb="FF40749B"/>
  </sheetPr>
  <dimension ref="A1:P2850"/>
  <sheetViews>
    <sheetView showGridLines="0" zoomScaleNormal="100" workbookViewId="0">
      <pane ySplit="1" topLeftCell="A2" activePane="bottomLeft" state="frozen"/>
      <selection pane="bottomLeft" activeCell="P79" sqref="P79"/>
    </sheetView>
  </sheetViews>
  <sheetFormatPr defaultRowHeight="15" x14ac:dyDescent="0.25"/>
  <cols>
    <col min="2" max="3" width="13.28515625" customWidth="1"/>
    <col min="4" max="4" width="15.28515625" customWidth="1"/>
    <col min="5" max="5" width="12.5703125" style="2" customWidth="1"/>
    <col min="6" max="6" width="19.42578125" style="2" customWidth="1"/>
    <col min="7" max="7" width="17" style="2" customWidth="1"/>
    <col min="8" max="8" width="35.28515625" style="2" customWidth="1"/>
    <col min="9" max="9" width="28.5703125" style="2" customWidth="1"/>
    <col min="10" max="10" width="11.28515625" style="2" customWidth="1"/>
    <col min="11" max="15" width="9.140625" style="2"/>
    <col min="16" max="16" width="12.42578125" style="2" customWidth="1"/>
  </cols>
  <sheetData>
    <row r="1" spans="1:16" ht="60" customHeight="1" x14ac:dyDescent="0.25">
      <c r="A1" s="9" t="s">
        <v>0</v>
      </c>
      <c r="B1" s="9" t="s">
        <v>1</v>
      </c>
      <c r="C1" s="9" t="s">
        <v>37</v>
      </c>
      <c r="D1" s="9" t="s">
        <v>478</v>
      </c>
      <c r="E1" s="84" t="s">
        <v>2</v>
      </c>
      <c r="F1" s="84" t="s">
        <v>3</v>
      </c>
      <c r="G1" s="84" t="s">
        <v>4</v>
      </c>
      <c r="H1" s="84" t="s">
        <v>14</v>
      </c>
      <c r="I1" s="84" t="s">
        <v>32</v>
      </c>
      <c r="J1" s="84" t="s">
        <v>5</v>
      </c>
      <c r="K1" s="84" t="s">
        <v>6</v>
      </c>
      <c r="L1" s="84" t="s">
        <v>7</v>
      </c>
      <c r="M1" s="84" t="s">
        <v>8</v>
      </c>
      <c r="N1" s="84" t="s">
        <v>9</v>
      </c>
      <c r="O1" s="1" t="s">
        <v>10</v>
      </c>
      <c r="P1" s="1" t="s">
        <v>11</v>
      </c>
    </row>
    <row r="2" spans="1:16" x14ac:dyDescent="0.25">
      <c r="A2" s="10" t="str">
        <f>_xlfn.IFNA(
    IF(J2=
        "PCB-0001",
        "CSS",
        IF(
            ISNUMBER(MATCH(_xlfn.TEXTBEFORE(J2,"-"), {"CSS","CSN","PCB","PCF","BEC","CSD","PCM"}, 0)),
            _xlfn.TEXTBEFORE(J2,"-"),
            "Other"
        )
    ),
"Add")</f>
        <v>CSS</v>
      </c>
      <c r="B2" s="10" t="str">
        <f>_xlfn.IFNA(_xlfn.TEXTAFTER(J2,"-"),"Data to C2")</f>
        <v>0001</v>
      </c>
      <c r="C2" s="10" t="str">
        <f>_xlfn.LET(
    _xlpm.val, IF(Datadetails[[#This Row],[Activity]]="D02","C20",Datadetails[[#This Row],[Activity]]),
    IF(ISNUMBER(MATCH(_xlpm.val,{"D04","C30","c40","C20"},0)), _xlpm.val, "Other")
)</f>
        <v>D04</v>
      </c>
      <c r="D2" s="10" t="str">
        <f>IFERROR(VLOOKUP(Datadetails[[#This Row],[Taskcode]],Dashboard!A:A,1,FALSE),"00 Err Missing")</f>
        <v>0001</v>
      </c>
      <c r="E2" s="83">
        <v>45747</v>
      </c>
      <c r="F2" s="2" t="s">
        <v>334</v>
      </c>
      <c r="G2" s="60" t="s">
        <v>40</v>
      </c>
      <c r="H2" s="2" t="s">
        <v>316</v>
      </c>
      <c r="I2" s="2" t="s">
        <v>35</v>
      </c>
      <c r="J2" s="2" t="s">
        <v>321</v>
      </c>
      <c r="K2" s="2" t="s">
        <v>317</v>
      </c>
      <c r="L2" s="2" t="s">
        <v>352</v>
      </c>
      <c r="M2" s="61">
        <v>8</v>
      </c>
      <c r="N2" s="54">
        <v>256</v>
      </c>
      <c r="O2" s="56"/>
      <c r="P2"/>
    </row>
    <row r="3" spans="1:16" x14ac:dyDescent="0.25">
      <c r="A3" s="10" t="str">
        <f>_xlfn.IFNA(
    IF(J3=
        "PCB-0001",
        "CSS",
        IF(
            ISNUMBER(MATCH(_xlfn.TEXTBEFORE(J3,"-"), {"CSS","CSN","PCB","PCF","BEC","CSD","PCM"}, 0)),
            _xlfn.TEXTBEFORE(J3,"-"),
            "Other"
        )
    ),
"Add")</f>
        <v>CSN</v>
      </c>
      <c r="B3" s="10" t="str">
        <f t="shared" ref="B3" si="0">_xlfn.IFNA(_xlfn.TEXTAFTER(J3,"-"),"Data to C2")</f>
        <v>0001</v>
      </c>
      <c r="C3" s="10" t="str">
        <f>_xlfn.LET(
    _xlpm.val, IF(Datadetails[[#This Row],[Activity]]="D02","C20",Datadetails[[#This Row],[Activity]]),
    IF(ISNUMBER(MATCH(_xlpm.val,{"D04","C30","c40","C20"},0)), _xlpm.val, "Other")
)</f>
        <v>D04</v>
      </c>
      <c r="D3" s="10" t="str">
        <f>IFERROR(VLOOKUP(Datadetails[[#This Row],[Taskcode]],Dashboard!A:A,1,FALSE),"00 Err Missing")</f>
        <v>0001</v>
      </c>
      <c r="E3" s="79">
        <v>45747</v>
      </c>
      <c r="F3" s="80" t="s">
        <v>331</v>
      </c>
      <c r="G3" s="60" t="s">
        <v>40</v>
      </c>
      <c r="H3" s="80" t="s">
        <v>316</v>
      </c>
      <c r="I3" s="80" t="s">
        <v>35</v>
      </c>
      <c r="J3" s="80" t="s">
        <v>338</v>
      </c>
      <c r="K3" s="80" t="s">
        <v>337</v>
      </c>
      <c r="L3" s="80" t="s">
        <v>352</v>
      </c>
      <c r="M3" s="81">
        <v>6</v>
      </c>
      <c r="N3" s="82">
        <v>192</v>
      </c>
    </row>
    <row r="4" spans="1:16" x14ac:dyDescent="0.25">
      <c r="A4" s="10" t="str">
        <f>_xlfn.IFNA(
    IF(J4=
        "PCB-0001",
        "CSS",
        IF(
            ISNUMBER(MATCH(_xlfn.TEXTBEFORE(J4,"-"), {"CSS","CSN","PCB","PCF","BEC","CSD","PCM"}, 0)),
            _xlfn.TEXTBEFORE(J4,"-"),
            "Other"
        )
    ),
"Add")</f>
        <v>PCB</v>
      </c>
      <c r="B4" s="10" t="str">
        <f t="shared" ref="B4:B67" si="1">_xlfn.IFNA(_xlfn.TEXTAFTER(J4,"-"),"Data to C2")</f>
        <v>0110</v>
      </c>
      <c r="C4" s="10" t="str">
        <f>_xlfn.LET(
    _xlpm.val, IF(Datadetails[[#This Row],[Activity]]="D02","C20",Datadetails[[#This Row],[Activity]]),
    IF(ISNUMBER(MATCH(_xlpm.val,{"D04","C30","c40","C20"},0)), _xlpm.val, "Other")
)</f>
        <v>C30</v>
      </c>
      <c r="D4" s="10" t="str">
        <f>IFERROR(VLOOKUP(Datadetails[[#This Row],[Taskcode]],Dashboard!A:A,1,FALSE),"00 Err Missing")</f>
        <v>0110</v>
      </c>
      <c r="E4" s="79">
        <v>45747</v>
      </c>
      <c r="F4" s="80" t="s">
        <v>325</v>
      </c>
      <c r="G4" s="60" t="s">
        <v>40</v>
      </c>
      <c r="H4" s="80" t="s">
        <v>277</v>
      </c>
      <c r="I4" s="80" t="s">
        <v>34</v>
      </c>
      <c r="J4" s="80" t="s">
        <v>353</v>
      </c>
      <c r="K4" s="80" t="s">
        <v>347</v>
      </c>
      <c r="L4" s="80" t="s">
        <v>343</v>
      </c>
      <c r="M4" s="81">
        <v>0.33</v>
      </c>
      <c r="N4" s="82">
        <v>24.75</v>
      </c>
    </row>
    <row r="5" spans="1:16" x14ac:dyDescent="0.25">
      <c r="A5" s="10" t="str">
        <f>_xlfn.IFNA(
    IF(J5=
        "PCB-0001",
        "CSS",
        IF(
            ISNUMBER(MATCH(_xlfn.TEXTBEFORE(J5,"-"), {"CSS","CSN","PCB","PCF","BEC","CSD","PCM"}, 0)),
            _xlfn.TEXTBEFORE(J5,"-"),
            "Other"
        )
    ),
"Add")</f>
        <v>CSS</v>
      </c>
      <c r="B5" s="10" t="str">
        <f t="shared" si="1"/>
        <v>0001</v>
      </c>
      <c r="C5" s="10" t="str">
        <f>_xlfn.LET(
    _xlpm.val, IF(Datadetails[[#This Row],[Activity]]="D02","C20",Datadetails[[#This Row],[Activity]]),
    IF(ISNUMBER(MATCH(_xlpm.val,{"D04","C30","c40","C20"},0)), _xlpm.val, "Other")
)</f>
        <v>D04</v>
      </c>
      <c r="D5" s="10" t="str">
        <f>IFERROR(VLOOKUP(Datadetails[[#This Row],[Taskcode]],Dashboard!A:A,1,FALSE),"00 Err Missing")</f>
        <v>0001</v>
      </c>
      <c r="E5" s="79">
        <v>45747</v>
      </c>
      <c r="F5" s="80" t="s">
        <v>325</v>
      </c>
      <c r="G5" s="60" t="s">
        <v>40</v>
      </c>
      <c r="H5" s="80" t="s">
        <v>315</v>
      </c>
      <c r="I5" s="80" t="s">
        <v>35</v>
      </c>
      <c r="J5" s="80" t="s">
        <v>354</v>
      </c>
      <c r="K5" s="80" t="s">
        <v>347</v>
      </c>
      <c r="L5" s="80" t="s">
        <v>352</v>
      </c>
      <c r="M5" s="81">
        <v>0.33</v>
      </c>
      <c r="N5" s="82">
        <v>24.75</v>
      </c>
    </row>
    <row r="6" spans="1:16" x14ac:dyDescent="0.25">
      <c r="A6" s="10" t="str">
        <f>_xlfn.IFNA(
    IF(J6=
        "PCB-0001",
        "CSS",
        IF(
            ISNUMBER(MATCH(_xlfn.TEXTBEFORE(J6,"-"), {"CSS","CSN","PCB","PCF","BEC","CSD","PCM"}, 0)),
            _xlfn.TEXTBEFORE(J6,"-"),
            "Other"
        )
    ),
"Add")</f>
        <v>PCF</v>
      </c>
      <c r="B6" s="10" t="str">
        <f t="shared" si="1"/>
        <v>0068</v>
      </c>
      <c r="C6" s="10" t="str">
        <f>_xlfn.LET(
    _xlpm.val, IF(Datadetails[[#This Row],[Activity]]="D02","C20",Datadetails[[#This Row],[Activity]]),
    IF(ISNUMBER(MATCH(_xlpm.val,{"D04","C30","c40","C20"},0)), _xlpm.val, "Other")
)</f>
        <v>C30</v>
      </c>
      <c r="D6" s="10" t="str">
        <f>IFERROR(VLOOKUP(Datadetails[[#This Row],[Taskcode]],Dashboard!A:A,1,FALSE),"00 Err Missing")</f>
        <v>0068</v>
      </c>
      <c r="E6" s="79">
        <v>45747</v>
      </c>
      <c r="F6" s="80" t="s">
        <v>326</v>
      </c>
      <c r="G6" s="60" t="s">
        <v>40</v>
      </c>
      <c r="H6" s="80" t="s">
        <v>235</v>
      </c>
      <c r="I6" s="80" t="s">
        <v>34</v>
      </c>
      <c r="J6" s="80" t="s">
        <v>355</v>
      </c>
      <c r="K6" s="80" t="s">
        <v>348</v>
      </c>
      <c r="L6" s="80" t="s">
        <v>343</v>
      </c>
      <c r="M6" s="81">
        <v>0.57999999999999996</v>
      </c>
      <c r="N6" s="82">
        <v>34.799999999999997</v>
      </c>
    </row>
    <row r="7" spans="1:16" x14ac:dyDescent="0.25">
      <c r="A7" s="10" t="str">
        <f>_xlfn.IFNA(
    IF(J7=
        "PCB-0001",
        "CSS",
        IF(
            ISNUMBER(MATCH(_xlfn.TEXTBEFORE(J7,"-"), {"CSS","CSN","PCB","PCF","BEC","CSD","PCM"}, 0)),
            _xlfn.TEXTBEFORE(J7,"-"),
            "Other"
        )
    ),
"Add")</f>
        <v>PCF</v>
      </c>
      <c r="B7" s="10" t="str">
        <f t="shared" si="1"/>
        <v>0021</v>
      </c>
      <c r="C7" s="10" t="str">
        <f>_xlfn.LET(
    _xlpm.val, IF(Datadetails[[#This Row],[Activity]]="D02","C20",Datadetails[[#This Row],[Activity]]),
    IF(ISNUMBER(MATCH(_xlpm.val,{"D04","C30","c40","C20"},0)), _xlpm.val, "Other")
)</f>
        <v>C30</v>
      </c>
      <c r="D7" s="10" t="str">
        <f>IFERROR(VLOOKUP(Datadetails[[#This Row],[Taskcode]],Dashboard!A:A,1,FALSE),"00 Err Missing")</f>
        <v>0021</v>
      </c>
      <c r="E7" s="79">
        <v>45747</v>
      </c>
      <c r="F7" s="80" t="s">
        <v>326</v>
      </c>
      <c r="G7" s="60" t="s">
        <v>40</v>
      </c>
      <c r="H7" s="80" t="s">
        <v>188</v>
      </c>
      <c r="I7" s="80" t="s">
        <v>34</v>
      </c>
      <c r="J7" s="80" t="s">
        <v>356</v>
      </c>
      <c r="K7" s="80" t="s">
        <v>348</v>
      </c>
      <c r="L7" s="80" t="s">
        <v>343</v>
      </c>
      <c r="M7" s="81">
        <v>1</v>
      </c>
      <c r="N7" s="82">
        <v>60</v>
      </c>
    </row>
    <row r="8" spans="1:16" x14ac:dyDescent="0.25">
      <c r="A8" s="10" t="str">
        <f>_xlfn.IFNA(
    IF(J8=
        "PCB-0001",
        "CSS",
        IF(
            ISNUMBER(MATCH(_xlfn.TEXTBEFORE(J8,"-"), {"CSS","CSN","PCB","PCF","BEC","CSD","PCM"}, 0)),
            _xlfn.TEXTBEFORE(J8,"-"),
            "Other"
        )
    ),
"Add")</f>
        <v>PCF</v>
      </c>
      <c r="B8" s="10" t="str">
        <f t="shared" si="1"/>
        <v>0069</v>
      </c>
      <c r="C8" s="10" t="str">
        <f>_xlfn.LET(
    _xlpm.val, IF(Datadetails[[#This Row],[Activity]]="D02","C20",Datadetails[[#This Row],[Activity]]),
    IF(ISNUMBER(MATCH(_xlpm.val,{"D04","C30","c40","C20"},0)), _xlpm.val, "Other")
)</f>
        <v>C30</v>
      </c>
      <c r="D8" s="10" t="str">
        <f>IFERROR(VLOOKUP(Datadetails[[#This Row],[Taskcode]],Dashboard!A:A,1,FALSE),"00 Err Missing")</f>
        <v>0069</v>
      </c>
      <c r="E8" s="79">
        <v>45747</v>
      </c>
      <c r="F8" s="80" t="s">
        <v>326</v>
      </c>
      <c r="G8" s="60" t="s">
        <v>40</v>
      </c>
      <c r="H8" s="80" t="s">
        <v>236</v>
      </c>
      <c r="I8" s="80" t="s">
        <v>34</v>
      </c>
      <c r="J8" s="80" t="s">
        <v>357</v>
      </c>
      <c r="K8" s="80" t="s">
        <v>348</v>
      </c>
      <c r="L8" s="80" t="s">
        <v>343</v>
      </c>
      <c r="M8" s="81">
        <v>1</v>
      </c>
      <c r="N8" s="82">
        <v>60</v>
      </c>
    </row>
    <row r="9" spans="1:16" x14ac:dyDescent="0.25">
      <c r="A9" s="10" t="str">
        <f>_xlfn.IFNA(
    IF(J9=
        "PCB-0001",
        "CSS",
        IF(
            ISNUMBER(MATCH(_xlfn.TEXTBEFORE(J9,"-"), {"CSS","CSN","PCB","PCF","BEC","CSD","PCM"}, 0)),
            _xlfn.TEXTBEFORE(J9,"-"),
            "Other"
        )
    ),
"Add")</f>
        <v>PCF</v>
      </c>
      <c r="B9" s="10" t="str">
        <f t="shared" si="1"/>
        <v>0098</v>
      </c>
      <c r="C9" s="10" t="str">
        <f>_xlfn.LET(
    _xlpm.val, IF(Datadetails[[#This Row],[Activity]]="D02","C20",Datadetails[[#This Row],[Activity]]),
    IF(ISNUMBER(MATCH(_xlpm.val,{"D04","C30","c40","C20"},0)), _xlpm.val, "Other")
)</f>
        <v>C30</v>
      </c>
      <c r="D9" s="10" t="str">
        <f>IFERROR(VLOOKUP(Datadetails[[#This Row],[Taskcode]],Dashboard!A:A,1,FALSE),"00 Err Missing")</f>
        <v>0098</v>
      </c>
      <c r="E9" s="79">
        <v>45747</v>
      </c>
      <c r="F9" s="80" t="s">
        <v>326</v>
      </c>
      <c r="G9" s="60" t="s">
        <v>40</v>
      </c>
      <c r="H9" s="80" t="s">
        <v>265</v>
      </c>
      <c r="I9" s="80" t="s">
        <v>34</v>
      </c>
      <c r="J9" s="80" t="s">
        <v>358</v>
      </c>
      <c r="K9" s="80" t="s">
        <v>348</v>
      </c>
      <c r="L9" s="80" t="s">
        <v>343</v>
      </c>
      <c r="M9" s="81">
        <v>1</v>
      </c>
      <c r="N9" s="82">
        <v>60</v>
      </c>
    </row>
    <row r="10" spans="1:16" x14ac:dyDescent="0.25">
      <c r="A10" s="10" t="str">
        <f>_xlfn.IFNA(
    IF(J10=
        "PCB-0001",
        "CSS",
        IF(
            ISNUMBER(MATCH(_xlfn.TEXTBEFORE(J10,"-"), {"CSS","CSN","PCB","PCF","BEC","CSD","PCM"}, 0)),
            _xlfn.TEXTBEFORE(J10,"-"),
            "Other"
        )
    ),
"Add")</f>
        <v>BEC</v>
      </c>
      <c r="B10" s="10" t="str">
        <f t="shared" si="1"/>
        <v>0001</v>
      </c>
      <c r="C10" s="10" t="str">
        <f>_xlfn.LET(
    _xlpm.val, IF(Datadetails[[#This Row],[Activity]]="D02","C20",Datadetails[[#This Row],[Activity]]),
    IF(ISNUMBER(MATCH(_xlpm.val,{"D04","C30","c40","C20"},0)), _xlpm.val, "Other")
)</f>
        <v>D04</v>
      </c>
      <c r="D10" s="10" t="str">
        <f>IFERROR(VLOOKUP(Datadetails[[#This Row],[Taskcode]],Dashboard!A:A,1,FALSE),"00 Err Missing")</f>
        <v>0001</v>
      </c>
      <c r="E10" s="79">
        <v>45747</v>
      </c>
      <c r="F10" s="80" t="s">
        <v>332</v>
      </c>
      <c r="G10" s="60" t="s">
        <v>40</v>
      </c>
      <c r="H10" s="80" t="s">
        <v>314</v>
      </c>
      <c r="I10" s="80" t="s">
        <v>35</v>
      </c>
      <c r="J10" s="80" t="s">
        <v>359</v>
      </c>
      <c r="K10" s="80" t="s">
        <v>339</v>
      </c>
      <c r="L10" s="80" t="s">
        <v>352</v>
      </c>
      <c r="M10" s="81">
        <v>8.83</v>
      </c>
      <c r="N10" s="82">
        <v>353.2</v>
      </c>
    </row>
    <row r="11" spans="1:16" x14ac:dyDescent="0.25">
      <c r="A11" s="10" t="str">
        <f>_xlfn.IFNA(
    IF(J11=
        "PCB-0001",
        "CSS",
        IF(
            ISNUMBER(MATCH(_xlfn.TEXTBEFORE(J11,"-"), {"CSS","CSN","PCB","PCF","BEC","CSD","PCM"}, 0)),
            _xlfn.TEXTBEFORE(J11,"-"),
            "Other"
        )
    ),
"Add")</f>
        <v>PCB</v>
      </c>
      <c r="B11" s="10" t="str">
        <f t="shared" si="1"/>
        <v>0103</v>
      </c>
      <c r="C11" s="10" t="str">
        <f>_xlfn.LET(
    _xlpm.val, IF(Datadetails[[#This Row],[Activity]]="D02","C20",Datadetails[[#This Row],[Activity]]),
    IF(ISNUMBER(MATCH(_xlpm.val,{"D04","C30","c40","C20"},0)), _xlpm.val, "Other")
)</f>
        <v>C30</v>
      </c>
      <c r="D11" s="10" t="str">
        <f>IFERROR(VLOOKUP(Datadetails[[#This Row],[Taskcode]],Dashboard!A:A,1,FALSE),"00 Err Missing")</f>
        <v>0103</v>
      </c>
      <c r="E11" s="79">
        <v>45748</v>
      </c>
      <c r="F11" s="80" t="s">
        <v>329</v>
      </c>
      <c r="G11" s="60" t="s">
        <v>40</v>
      </c>
      <c r="H11" s="80" t="s">
        <v>270</v>
      </c>
      <c r="I11" s="80" t="s">
        <v>34</v>
      </c>
      <c r="J11" s="80" t="s">
        <v>360</v>
      </c>
      <c r="K11" s="80" t="s">
        <v>347</v>
      </c>
      <c r="L11" s="80" t="s">
        <v>343</v>
      </c>
      <c r="M11" s="81">
        <v>0.25</v>
      </c>
      <c r="N11" s="82">
        <v>18.75</v>
      </c>
    </row>
    <row r="12" spans="1:16" x14ac:dyDescent="0.25">
      <c r="A12" s="10" t="str">
        <f>_xlfn.IFNA(
    IF(J12=
        "PCB-0001",
        "CSS",
        IF(
            ISNUMBER(MATCH(_xlfn.TEXTBEFORE(J12,"-"), {"CSS","CSN","PCB","PCF","BEC","CSD","PCM"}, 0)),
            _xlfn.TEXTBEFORE(J12,"-"),
            "Other"
        )
    ),
"Add")</f>
        <v>PCB</v>
      </c>
      <c r="B12" s="10" t="str">
        <f t="shared" si="1"/>
        <v>0102</v>
      </c>
      <c r="C12" s="10" t="str">
        <f>_xlfn.LET(
    _xlpm.val, IF(Datadetails[[#This Row],[Activity]]="D02","C20",Datadetails[[#This Row],[Activity]]),
    IF(ISNUMBER(MATCH(_xlpm.val,{"D04","C30","c40","C20"},0)), _xlpm.val, "Other")
)</f>
        <v>C30</v>
      </c>
      <c r="D12" s="10" t="str">
        <f>IFERROR(VLOOKUP(Datadetails[[#This Row],[Taskcode]],Dashboard!A:A,1,FALSE),"00 Err Missing")</f>
        <v>0102</v>
      </c>
      <c r="E12" s="79">
        <v>45748</v>
      </c>
      <c r="F12" s="80" t="s">
        <v>329</v>
      </c>
      <c r="G12" s="60" t="s">
        <v>40</v>
      </c>
      <c r="H12" s="80" t="s">
        <v>269</v>
      </c>
      <c r="I12" s="80" t="s">
        <v>34</v>
      </c>
      <c r="J12" s="80" t="s">
        <v>361</v>
      </c>
      <c r="K12" s="80" t="s">
        <v>347</v>
      </c>
      <c r="L12" s="80" t="s">
        <v>343</v>
      </c>
      <c r="M12" s="81">
        <v>0.17</v>
      </c>
      <c r="N12" s="82">
        <v>12.750000000000002</v>
      </c>
    </row>
    <row r="13" spans="1:16" x14ac:dyDescent="0.25">
      <c r="A13" s="10" t="str">
        <f>_xlfn.IFNA(
    IF(J13=
        "PCB-0001",
        "CSS",
        IF(
            ISNUMBER(MATCH(_xlfn.TEXTBEFORE(J13,"-"), {"CSS","CSN","PCB","PCF","BEC","CSD","PCM"}, 0)),
            _xlfn.TEXTBEFORE(J13,"-"),
            "Other"
        )
    ),
"Add")</f>
        <v>PCB</v>
      </c>
      <c r="B13" s="10" t="str">
        <f t="shared" si="1"/>
        <v>0105</v>
      </c>
      <c r="C13" s="10" t="str">
        <f>_xlfn.LET(
    _xlpm.val, IF(Datadetails[[#This Row],[Activity]]="D02","C20",Datadetails[[#This Row],[Activity]]),
    IF(ISNUMBER(MATCH(_xlpm.val,{"D04","C30","c40","C20"},0)), _xlpm.val, "Other")
)</f>
        <v>C30</v>
      </c>
      <c r="D13" s="10" t="str">
        <f>IFERROR(VLOOKUP(Datadetails[[#This Row],[Taskcode]],Dashboard!A:A,1,FALSE),"00 Err Missing")</f>
        <v>0105</v>
      </c>
      <c r="E13" s="79">
        <v>45748</v>
      </c>
      <c r="F13" s="80" t="s">
        <v>329</v>
      </c>
      <c r="G13" s="60" t="s">
        <v>40</v>
      </c>
      <c r="H13" s="80" t="s">
        <v>272</v>
      </c>
      <c r="I13" s="80" t="s">
        <v>34</v>
      </c>
      <c r="J13" s="80" t="s">
        <v>362</v>
      </c>
      <c r="K13" s="80" t="s">
        <v>347</v>
      </c>
      <c r="L13" s="80" t="s">
        <v>343</v>
      </c>
      <c r="M13" s="81">
        <v>0.17</v>
      </c>
      <c r="N13" s="82">
        <v>12.750000000000002</v>
      </c>
    </row>
    <row r="14" spans="1:16" x14ac:dyDescent="0.25">
      <c r="A14" s="10" t="str">
        <f>_xlfn.IFNA(
    IF(J14=
        "PCB-0001",
        "CSS",
        IF(
            ISNUMBER(MATCH(_xlfn.TEXTBEFORE(J14,"-"), {"CSS","CSN","PCB","PCF","BEC","CSD","PCM"}, 0)),
            _xlfn.TEXTBEFORE(J14,"-"),
            "Other"
        )
    ),
"Add")</f>
        <v>PCB</v>
      </c>
      <c r="B14" s="10" t="str">
        <f t="shared" si="1"/>
        <v>0104</v>
      </c>
      <c r="C14" s="10" t="str">
        <f>_xlfn.LET(
    _xlpm.val, IF(Datadetails[[#This Row],[Activity]]="D02","C20",Datadetails[[#This Row],[Activity]]),
    IF(ISNUMBER(MATCH(_xlpm.val,{"D04","C30","c40","C20"},0)), _xlpm.val, "Other")
)</f>
        <v>C40</v>
      </c>
      <c r="D14" s="10" t="str">
        <f>IFERROR(VLOOKUP(Datadetails[[#This Row],[Taskcode]],Dashboard!A:A,1,FALSE),"00 Err Missing")</f>
        <v>0104</v>
      </c>
      <c r="E14" s="79">
        <v>45748</v>
      </c>
      <c r="F14" s="80" t="s">
        <v>325</v>
      </c>
      <c r="G14" s="60" t="s">
        <v>40</v>
      </c>
      <c r="H14" s="80" t="s">
        <v>271</v>
      </c>
      <c r="I14" s="80" t="s">
        <v>341</v>
      </c>
      <c r="J14" s="80" t="s">
        <v>363</v>
      </c>
      <c r="K14" s="80" t="s">
        <v>347</v>
      </c>
      <c r="L14" s="80" t="s">
        <v>344</v>
      </c>
      <c r="M14" s="81">
        <v>0.17</v>
      </c>
      <c r="N14" s="82">
        <v>12.750000000000002</v>
      </c>
    </row>
    <row r="15" spans="1:16" x14ac:dyDescent="0.25">
      <c r="A15" s="10" t="str">
        <f>_xlfn.IFNA(
    IF(J15=
        "PCB-0001",
        "CSS",
        IF(
            ISNUMBER(MATCH(_xlfn.TEXTBEFORE(J15,"-"), {"CSS","CSN","PCB","PCF","BEC","CSD","PCM"}, 0)),
            _xlfn.TEXTBEFORE(J15,"-"),
            "Other"
        )
    ),
"Add")</f>
        <v>CSS</v>
      </c>
      <c r="B15" s="10" t="str">
        <f t="shared" si="1"/>
        <v>0001</v>
      </c>
      <c r="C15" s="10" t="str">
        <f>_xlfn.LET(
    _xlpm.val, IF(Datadetails[[#This Row],[Activity]]="D02","C20",Datadetails[[#This Row],[Activity]]),
    IF(ISNUMBER(MATCH(_xlpm.val,{"D04","C30","c40","C20"},0)), _xlpm.val, "Other")
)</f>
        <v>D04</v>
      </c>
      <c r="D15" s="10" t="str">
        <f>IFERROR(VLOOKUP(Datadetails[[#This Row],[Taskcode]],Dashboard!A:A,1,FALSE),"00 Err Missing")</f>
        <v>0001</v>
      </c>
      <c r="E15" s="79">
        <v>45748</v>
      </c>
      <c r="F15" s="80" t="s">
        <v>334</v>
      </c>
      <c r="G15" s="60" t="s">
        <v>40</v>
      </c>
      <c r="H15" s="80" t="s">
        <v>316</v>
      </c>
      <c r="I15" s="80" t="s">
        <v>35</v>
      </c>
      <c r="J15" s="80" t="s">
        <v>321</v>
      </c>
      <c r="K15" s="80" t="s">
        <v>317</v>
      </c>
      <c r="L15" s="80" t="s">
        <v>352</v>
      </c>
      <c r="M15" s="81">
        <v>4</v>
      </c>
      <c r="N15" s="82">
        <v>128</v>
      </c>
    </row>
    <row r="16" spans="1:16" x14ac:dyDescent="0.25">
      <c r="A16" s="10" t="str">
        <f>_xlfn.IFNA(
    IF(J16=
        "PCB-0001",
        "CSS",
        IF(
            ISNUMBER(MATCH(_xlfn.TEXTBEFORE(J16,"-"), {"CSS","CSN","PCB","PCF","BEC","CSD","PCM"}, 0)),
            _xlfn.TEXTBEFORE(J16,"-"),
            "Other"
        )
    ),
"Add")</f>
        <v>CSN</v>
      </c>
      <c r="B16" s="10" t="str">
        <f t="shared" si="1"/>
        <v>0001</v>
      </c>
      <c r="C16" s="10" t="str">
        <f>_xlfn.LET(
    _xlpm.val, IF(Datadetails[[#This Row],[Activity]]="D02","C20",Datadetails[[#This Row],[Activity]]),
    IF(ISNUMBER(MATCH(_xlpm.val,{"D04","C30","c40","C20"},0)), _xlpm.val, "Other")
)</f>
        <v>D04</v>
      </c>
      <c r="D16" s="10" t="str">
        <f>IFERROR(VLOOKUP(Datadetails[[#This Row],[Taskcode]],Dashboard!A:A,1,FALSE),"00 Err Missing")</f>
        <v>0001</v>
      </c>
      <c r="E16" s="79">
        <v>45748</v>
      </c>
      <c r="F16" s="80" t="s">
        <v>329</v>
      </c>
      <c r="G16" s="60" t="s">
        <v>40</v>
      </c>
      <c r="H16" s="80" t="s">
        <v>316</v>
      </c>
      <c r="I16" s="80" t="s">
        <v>35</v>
      </c>
      <c r="J16" s="80" t="s">
        <v>338</v>
      </c>
      <c r="K16" s="80" t="s">
        <v>337</v>
      </c>
      <c r="L16" s="80" t="s">
        <v>352</v>
      </c>
      <c r="M16" s="81">
        <v>0.67</v>
      </c>
      <c r="N16" s="82">
        <v>50.25</v>
      </c>
    </row>
    <row r="17" spans="1:14" x14ac:dyDescent="0.25">
      <c r="A17" s="10" t="str">
        <f>_xlfn.IFNA(
    IF(J17=
        "PCB-0001",
        "CSS",
        IF(
            ISNUMBER(MATCH(_xlfn.TEXTBEFORE(J17,"-"), {"CSS","CSN","PCB","PCF","BEC","CSD","PCM"}, 0)),
            _xlfn.TEXTBEFORE(J17,"-"),
            "Other"
        )
    ),
"Add")</f>
        <v>CSN</v>
      </c>
      <c r="B17" s="10" t="str">
        <f t="shared" si="1"/>
        <v>0001</v>
      </c>
      <c r="C17" s="10" t="str">
        <f>_xlfn.LET(
    _xlpm.val, IF(Datadetails[[#This Row],[Activity]]="D02","C20",Datadetails[[#This Row],[Activity]]),
    IF(ISNUMBER(MATCH(_xlpm.val,{"D04","C30","c40","C20"},0)), _xlpm.val, "Other")
)</f>
        <v>D04</v>
      </c>
      <c r="D17" s="10" t="str">
        <f>IFERROR(VLOOKUP(Datadetails[[#This Row],[Taskcode]],Dashboard!A:A,1,FALSE),"00 Err Missing")</f>
        <v>0001</v>
      </c>
      <c r="E17" s="79">
        <v>45748</v>
      </c>
      <c r="F17" s="80" t="s">
        <v>331</v>
      </c>
      <c r="G17" s="60" t="s">
        <v>40</v>
      </c>
      <c r="H17" s="80" t="s">
        <v>316</v>
      </c>
      <c r="I17" s="80" t="s">
        <v>35</v>
      </c>
      <c r="J17" s="80" t="s">
        <v>338</v>
      </c>
      <c r="K17" s="80" t="s">
        <v>337</v>
      </c>
      <c r="L17" s="80" t="s">
        <v>352</v>
      </c>
      <c r="M17" s="81">
        <v>8</v>
      </c>
      <c r="N17" s="82">
        <v>256</v>
      </c>
    </row>
    <row r="18" spans="1:14" x14ac:dyDescent="0.25">
      <c r="A18" s="10" t="str">
        <f>_xlfn.IFNA(
    IF(J18=
        "PCB-0001",
        "CSS",
        IF(
            ISNUMBER(MATCH(_xlfn.TEXTBEFORE(J18,"-"), {"CSS","CSN","PCB","PCF","BEC","CSD","PCM"}, 0)),
            _xlfn.TEXTBEFORE(J18,"-"),
            "Other"
        )
    ),
"Add")</f>
        <v>CSD</v>
      </c>
      <c r="B18" s="10" t="str">
        <f t="shared" si="1"/>
        <v>0001</v>
      </c>
      <c r="C18" s="10" t="str">
        <f>_xlfn.LET(
    _xlpm.val, IF(Datadetails[[#This Row],[Activity]]="D02","C20",Datadetails[[#This Row],[Activity]]),
    IF(ISNUMBER(MATCH(_xlpm.val,{"D04","C30","c40","C20"},0)), _xlpm.val, "Other")
)</f>
        <v>D04</v>
      </c>
      <c r="D18" s="10" t="str">
        <f>IFERROR(VLOOKUP(Datadetails[[#This Row],[Taskcode]],Dashboard!A:A,1,FALSE),"00 Err Missing")</f>
        <v>0001</v>
      </c>
      <c r="E18" s="79">
        <v>45748</v>
      </c>
      <c r="F18" s="80" t="s">
        <v>333</v>
      </c>
      <c r="G18" s="60" t="s">
        <v>40</v>
      </c>
      <c r="H18" s="80" t="s">
        <v>320</v>
      </c>
      <c r="I18" s="80" t="s">
        <v>35</v>
      </c>
      <c r="J18" s="80" t="s">
        <v>322</v>
      </c>
      <c r="K18" s="80" t="s">
        <v>319</v>
      </c>
      <c r="L18" s="80" t="s">
        <v>352</v>
      </c>
      <c r="M18" s="81">
        <v>7.98</v>
      </c>
      <c r="N18" s="82">
        <v>255.36</v>
      </c>
    </row>
    <row r="19" spans="1:14" x14ac:dyDescent="0.25">
      <c r="A19" s="10" t="str">
        <f>_xlfn.IFNA(
    IF(J19=
        "PCB-0001",
        "CSS",
        IF(
            ISNUMBER(MATCH(_xlfn.TEXTBEFORE(J19,"-"), {"CSS","CSN","PCB","PCF","BEC","CSD","PCM"}, 0)),
            _xlfn.TEXTBEFORE(J19,"-"),
            "Other"
        )
    ),
"Add")</f>
        <v>CSD</v>
      </c>
      <c r="B19" s="10" t="str">
        <f t="shared" si="1"/>
        <v>0001</v>
      </c>
      <c r="C19" s="10" t="str">
        <f>_xlfn.LET(
    _xlpm.val, IF(Datadetails[[#This Row],[Activity]]="D02","C20",Datadetails[[#This Row],[Activity]]),
    IF(ISNUMBER(MATCH(_xlpm.val,{"D04","C30","c40","C20"},0)), _xlpm.val, "Other")
)</f>
        <v>D04</v>
      </c>
      <c r="D19" s="10" t="str">
        <f>IFERROR(VLOOKUP(Datadetails[[#This Row],[Taskcode]],Dashboard!A:A,1,FALSE),"00 Err Missing")</f>
        <v>0001</v>
      </c>
      <c r="E19" s="79">
        <v>45748</v>
      </c>
      <c r="F19" s="80" t="s">
        <v>327</v>
      </c>
      <c r="G19" s="60" t="s">
        <v>40</v>
      </c>
      <c r="H19" s="80" t="s">
        <v>320</v>
      </c>
      <c r="I19" s="80" t="s">
        <v>35</v>
      </c>
      <c r="J19" s="80" t="s">
        <v>322</v>
      </c>
      <c r="K19" s="80" t="s">
        <v>319</v>
      </c>
      <c r="L19" s="80" t="s">
        <v>352</v>
      </c>
      <c r="M19" s="81">
        <v>7.33</v>
      </c>
      <c r="N19" s="82">
        <v>234.56</v>
      </c>
    </row>
    <row r="20" spans="1:14" x14ac:dyDescent="0.25">
      <c r="A20" s="10" t="str">
        <f>_xlfn.IFNA(
    IF(J20=
        "PCB-0001",
        "CSS",
        IF(
            ISNUMBER(MATCH(_xlfn.TEXTBEFORE(J20,"-"), {"CSS","CSN","PCB","PCF","BEC","CSD","PCM"}, 0)),
            _xlfn.TEXTBEFORE(J20,"-"),
            "Other"
        )
    ),
"Add")</f>
        <v>PCM</v>
      </c>
      <c r="B20" s="10" t="str">
        <f t="shared" si="1"/>
        <v>0069</v>
      </c>
      <c r="C20" s="10" t="str">
        <f>_xlfn.LET(
    _xlpm.val, IF(Datadetails[[#This Row],[Activity]]="D02","C20",Datadetails[[#This Row],[Activity]]),
    IF(ISNUMBER(MATCH(_xlpm.val,{"D04","C30","c40","C20"},0)), _xlpm.val, "Other")
)</f>
        <v>C20</v>
      </c>
      <c r="D20" s="10" t="str">
        <f>IFERROR(VLOOKUP(Datadetails[[#This Row],[Taskcode]],Dashboard!A:A,1,FALSE),"00 Err Missing")</f>
        <v>0069</v>
      </c>
      <c r="E20" s="79">
        <v>45748</v>
      </c>
      <c r="F20" s="80" t="s">
        <v>326</v>
      </c>
      <c r="G20" s="60" t="s">
        <v>40</v>
      </c>
      <c r="H20" s="80" t="s">
        <v>236</v>
      </c>
      <c r="I20" s="80" t="s">
        <v>36</v>
      </c>
      <c r="J20" s="80" t="s">
        <v>364</v>
      </c>
      <c r="K20" s="80" t="s">
        <v>346</v>
      </c>
      <c r="L20" s="80" t="s">
        <v>342</v>
      </c>
      <c r="M20" s="81">
        <v>0.33</v>
      </c>
      <c r="N20" s="82">
        <v>19.8</v>
      </c>
    </row>
    <row r="21" spans="1:14" x14ac:dyDescent="0.25">
      <c r="A21" s="10" t="str">
        <f>_xlfn.IFNA(
    IF(J21=
        "PCB-0001",
        "CSS",
        IF(
            ISNUMBER(MATCH(_xlfn.TEXTBEFORE(J21,"-"), {"CSS","CSN","PCB","PCF","BEC","CSD","PCM"}, 0)),
            _xlfn.TEXTBEFORE(J21,"-"),
            "Other"
        )
    ),
"Add")</f>
        <v>PCB</v>
      </c>
      <c r="B21" s="10" t="str">
        <f t="shared" si="1"/>
        <v>0058</v>
      </c>
      <c r="C21" s="10" t="str">
        <f>_xlfn.LET(
    _xlpm.val, IF(Datadetails[[#This Row],[Activity]]="D02","C20",Datadetails[[#This Row],[Activity]]),
    IF(ISNUMBER(MATCH(_xlpm.val,{"D04","C30","c40","C20"},0)), _xlpm.val, "Other")
)</f>
        <v>C20</v>
      </c>
      <c r="D21" s="10" t="str">
        <f>IFERROR(VLOOKUP(Datadetails[[#This Row],[Taskcode]],Dashboard!A:A,1,FALSE),"00 Err Missing")</f>
        <v>0058</v>
      </c>
      <c r="E21" s="79">
        <v>45748</v>
      </c>
      <c r="F21" s="80" t="s">
        <v>330</v>
      </c>
      <c r="G21" s="60" t="s">
        <v>40</v>
      </c>
      <c r="H21" s="80" t="s">
        <v>225</v>
      </c>
      <c r="I21" s="80" t="s">
        <v>36</v>
      </c>
      <c r="J21" s="80" t="s">
        <v>365</v>
      </c>
      <c r="K21" s="80" t="s">
        <v>347</v>
      </c>
      <c r="L21" s="80" t="s">
        <v>342</v>
      </c>
      <c r="M21" s="81">
        <v>0.5</v>
      </c>
      <c r="N21" s="82">
        <v>30</v>
      </c>
    </row>
    <row r="22" spans="1:14" x14ac:dyDescent="0.25">
      <c r="A22" s="10" t="str">
        <f>_xlfn.IFNA(
    IF(J22=
        "PCB-0001",
        "CSS",
        IF(
            ISNUMBER(MATCH(_xlfn.TEXTBEFORE(J22,"-"), {"CSS","CSN","PCB","PCF","BEC","CSD","PCM"}, 0)),
            _xlfn.TEXTBEFORE(J22,"-"),
            "Other"
        )
    ),
"Add")</f>
        <v>PCB</v>
      </c>
      <c r="B22" s="10" t="str">
        <f t="shared" si="1"/>
        <v>0030</v>
      </c>
      <c r="C22" s="10" t="str">
        <f>_xlfn.LET(
    _xlpm.val, IF(Datadetails[[#This Row],[Activity]]="D02","C20",Datadetails[[#This Row],[Activity]]),
    IF(ISNUMBER(MATCH(_xlpm.val,{"D04","C30","c40","C20"},0)), _xlpm.val, "Other")
)</f>
        <v>C30</v>
      </c>
      <c r="D22" s="10" t="str">
        <f>IFERROR(VLOOKUP(Datadetails[[#This Row],[Taskcode]],Dashboard!A:A,1,FALSE),"00 Err Missing")</f>
        <v>0030</v>
      </c>
      <c r="E22" s="79">
        <v>45748</v>
      </c>
      <c r="F22" s="80" t="s">
        <v>329</v>
      </c>
      <c r="G22" s="60" t="s">
        <v>40</v>
      </c>
      <c r="H22" s="80" t="s">
        <v>197</v>
      </c>
      <c r="I22" s="80" t="s">
        <v>34</v>
      </c>
      <c r="J22" s="80" t="s">
        <v>366</v>
      </c>
      <c r="K22" s="80" t="s">
        <v>347</v>
      </c>
      <c r="L22" s="80" t="s">
        <v>343</v>
      </c>
      <c r="M22" s="81">
        <v>0.33</v>
      </c>
      <c r="N22" s="82">
        <v>24.75</v>
      </c>
    </row>
    <row r="23" spans="1:14" x14ac:dyDescent="0.25">
      <c r="A23" s="10" t="str">
        <f>_xlfn.IFNA(
    IF(J23=
        "PCB-0001",
        "CSS",
        IF(
            ISNUMBER(MATCH(_xlfn.TEXTBEFORE(J23,"-"), {"CSS","CSN","PCB","PCF","BEC","CSD","PCM"}, 0)),
            _xlfn.TEXTBEFORE(J23,"-"),
            "Other"
        )
    ),
"Add")</f>
        <v>PCB</v>
      </c>
      <c r="B23" s="10" t="str">
        <f t="shared" si="1"/>
        <v>0039</v>
      </c>
      <c r="C23" s="10" t="str">
        <f>_xlfn.LET(
    _xlpm.val, IF(Datadetails[[#This Row],[Activity]]="D02","C20",Datadetails[[#This Row],[Activity]]),
    IF(ISNUMBER(MATCH(_xlpm.val,{"D04","C30","c40","C20"},0)), _xlpm.val, "Other")
)</f>
        <v>C30</v>
      </c>
      <c r="D23" s="10" t="str">
        <f>IFERROR(VLOOKUP(Datadetails[[#This Row],[Taskcode]],Dashboard!A:A,1,FALSE),"00 Err Missing")</f>
        <v>0039</v>
      </c>
      <c r="E23" s="79">
        <v>45748</v>
      </c>
      <c r="F23" s="80" t="s">
        <v>329</v>
      </c>
      <c r="G23" s="60" t="s">
        <v>40</v>
      </c>
      <c r="H23" s="80" t="s">
        <v>206</v>
      </c>
      <c r="I23" s="80" t="s">
        <v>34</v>
      </c>
      <c r="J23" s="80" t="s">
        <v>367</v>
      </c>
      <c r="K23" s="80" t="s">
        <v>347</v>
      </c>
      <c r="L23" s="80" t="s">
        <v>343</v>
      </c>
      <c r="M23" s="81">
        <v>0.17</v>
      </c>
      <c r="N23" s="82">
        <v>12.750000000000002</v>
      </c>
    </row>
    <row r="24" spans="1:14" x14ac:dyDescent="0.25">
      <c r="A24" s="10" t="str">
        <f>_xlfn.IFNA(
    IF(J24=
        "PCB-0001",
        "CSS",
        IF(
            ISNUMBER(MATCH(_xlfn.TEXTBEFORE(J24,"-"), {"CSS","CSN","PCB","PCF","BEC","CSD","PCM"}, 0)),
            _xlfn.TEXTBEFORE(J24,"-"),
            "Other"
        )
    ),
"Add")</f>
        <v>PCB</v>
      </c>
      <c r="B24" s="10" t="str">
        <f t="shared" si="1"/>
        <v>0016</v>
      </c>
      <c r="C24" s="10" t="str">
        <f>_xlfn.LET(
    _xlpm.val, IF(Datadetails[[#This Row],[Activity]]="D02","C20",Datadetails[[#This Row],[Activity]]),
    IF(ISNUMBER(MATCH(_xlpm.val,{"D04","C30","c40","C20"},0)), _xlpm.val, "Other")
)</f>
        <v>C30</v>
      </c>
      <c r="D24" s="10" t="str">
        <f>IFERROR(VLOOKUP(Datadetails[[#This Row],[Taskcode]],Dashboard!A:A,1,FALSE),"00 Err Missing")</f>
        <v>0016</v>
      </c>
      <c r="E24" s="79">
        <v>45748</v>
      </c>
      <c r="F24" s="80" t="s">
        <v>329</v>
      </c>
      <c r="G24" s="60" t="s">
        <v>40</v>
      </c>
      <c r="H24" s="80" t="s">
        <v>183</v>
      </c>
      <c r="I24" s="80" t="s">
        <v>34</v>
      </c>
      <c r="J24" s="80" t="s">
        <v>368</v>
      </c>
      <c r="K24" s="80" t="s">
        <v>347</v>
      </c>
      <c r="L24" s="80" t="s">
        <v>343</v>
      </c>
      <c r="M24" s="81">
        <v>1</v>
      </c>
      <c r="N24" s="82">
        <v>75</v>
      </c>
    </row>
    <row r="25" spans="1:14" x14ac:dyDescent="0.25">
      <c r="A25" s="10" t="str">
        <f>_xlfn.IFNA(
    IF(J25=
        "PCB-0001",
        "CSS",
        IF(
            ISNUMBER(MATCH(_xlfn.TEXTBEFORE(J25,"-"), {"CSS","CSN","PCB","PCF","BEC","CSD","PCM"}, 0)),
            _xlfn.TEXTBEFORE(J25,"-"),
            "Other"
        )
    ),
"Add")</f>
        <v>PCB</v>
      </c>
      <c r="B25" s="10" t="str">
        <f t="shared" si="1"/>
        <v>0054</v>
      </c>
      <c r="C25" s="10" t="str">
        <f>_xlfn.LET(
    _xlpm.val, IF(Datadetails[[#This Row],[Activity]]="D02","C20",Datadetails[[#This Row],[Activity]]),
    IF(ISNUMBER(MATCH(_xlpm.val,{"D04","C30","c40","C20"},0)), _xlpm.val, "Other")
)</f>
        <v>C30</v>
      </c>
      <c r="D25" s="10" t="str">
        <f>IFERROR(VLOOKUP(Datadetails[[#This Row],[Taskcode]],Dashboard!A:A,1,FALSE),"00 Err Missing")</f>
        <v>0054</v>
      </c>
      <c r="E25" s="79">
        <v>45748</v>
      </c>
      <c r="F25" s="80" t="s">
        <v>329</v>
      </c>
      <c r="G25" s="60" t="s">
        <v>40</v>
      </c>
      <c r="H25" s="80" t="s">
        <v>221</v>
      </c>
      <c r="I25" s="80" t="s">
        <v>34</v>
      </c>
      <c r="J25" s="80" t="s">
        <v>369</v>
      </c>
      <c r="K25" s="80" t="s">
        <v>347</v>
      </c>
      <c r="L25" s="80" t="s">
        <v>343</v>
      </c>
      <c r="M25" s="81">
        <v>0.5</v>
      </c>
      <c r="N25" s="82">
        <v>37.5</v>
      </c>
    </row>
    <row r="26" spans="1:14" x14ac:dyDescent="0.25">
      <c r="A26" s="10" t="str">
        <f>_xlfn.IFNA(
    IF(J26=
        "PCB-0001",
        "CSS",
        IF(
            ISNUMBER(MATCH(_xlfn.TEXTBEFORE(J26,"-"), {"CSS","CSN","PCB","PCF","BEC","CSD","PCM"}, 0)),
            _xlfn.TEXTBEFORE(J26,"-"),
            "Other"
        )
    ),
"Add")</f>
        <v>PCB</v>
      </c>
      <c r="B26" s="10" t="str">
        <f t="shared" si="1"/>
        <v>0042</v>
      </c>
      <c r="C26" s="10" t="str">
        <f>_xlfn.LET(
    _xlpm.val, IF(Datadetails[[#This Row],[Activity]]="D02","C20",Datadetails[[#This Row],[Activity]]),
    IF(ISNUMBER(MATCH(_xlpm.val,{"D04","C30","c40","C20"},0)), _xlpm.val, "Other")
)</f>
        <v>C30</v>
      </c>
      <c r="D26" s="10" t="str">
        <f>IFERROR(VLOOKUP(Datadetails[[#This Row],[Taskcode]],Dashboard!A:A,1,FALSE),"00 Err Missing")</f>
        <v>0042</v>
      </c>
      <c r="E26" s="79">
        <v>45748</v>
      </c>
      <c r="F26" s="80" t="s">
        <v>330</v>
      </c>
      <c r="G26" s="60" t="s">
        <v>40</v>
      </c>
      <c r="H26" s="80" t="s">
        <v>209</v>
      </c>
      <c r="I26" s="80" t="s">
        <v>34</v>
      </c>
      <c r="J26" s="80" t="s">
        <v>370</v>
      </c>
      <c r="K26" s="80" t="s">
        <v>347</v>
      </c>
      <c r="L26" s="80" t="s">
        <v>343</v>
      </c>
      <c r="M26" s="81">
        <v>0.25</v>
      </c>
      <c r="N26" s="82">
        <v>15</v>
      </c>
    </row>
    <row r="27" spans="1:14" x14ac:dyDescent="0.25">
      <c r="A27" s="10" t="str">
        <f>_xlfn.IFNA(
    IF(J27=
        "PCB-0001",
        "CSS",
        IF(
            ISNUMBER(MATCH(_xlfn.TEXTBEFORE(J27,"-"), {"CSS","CSN","PCB","PCF","BEC","CSD","PCM"}, 0)),
            _xlfn.TEXTBEFORE(J27,"-"),
            "Other"
        )
    ),
"Add")</f>
        <v>PCB</v>
      </c>
      <c r="B27" s="10" t="str">
        <f t="shared" si="1"/>
        <v>0134</v>
      </c>
      <c r="C27" s="10" t="str">
        <f>_xlfn.LET(
    _xlpm.val, IF(Datadetails[[#This Row],[Activity]]="D02","C20",Datadetails[[#This Row],[Activity]]),
    IF(ISNUMBER(MATCH(_xlpm.val,{"D04","C30","c40","C20"},0)), _xlpm.val, "Other")
)</f>
        <v>C30</v>
      </c>
      <c r="D27" s="10" t="str">
        <f>IFERROR(VLOOKUP(Datadetails[[#This Row],[Taskcode]],Dashboard!A:A,1,FALSE),"00 Err Missing")</f>
        <v>0134</v>
      </c>
      <c r="E27" s="79">
        <v>45748</v>
      </c>
      <c r="F27" s="80" t="s">
        <v>329</v>
      </c>
      <c r="G27" s="60" t="s">
        <v>40</v>
      </c>
      <c r="H27" s="80" t="s">
        <v>301</v>
      </c>
      <c r="I27" s="80" t="s">
        <v>34</v>
      </c>
      <c r="J27" s="80" t="s">
        <v>371</v>
      </c>
      <c r="K27" s="80" t="s">
        <v>347</v>
      </c>
      <c r="L27" s="80" t="s">
        <v>343</v>
      </c>
      <c r="M27" s="81">
        <v>0.42</v>
      </c>
      <c r="N27" s="82">
        <v>31.5</v>
      </c>
    </row>
    <row r="28" spans="1:14" x14ac:dyDescent="0.25">
      <c r="A28" s="10" t="str">
        <f>_xlfn.IFNA(
    IF(J28=
        "PCB-0001",
        "CSS",
        IF(
            ISNUMBER(MATCH(_xlfn.TEXTBEFORE(J28,"-"), {"CSS","CSN","PCB","PCF","BEC","CSD","PCM"}, 0)),
            _xlfn.TEXTBEFORE(J28,"-"),
            "Other"
        )
    ),
"Add")</f>
        <v>PCB</v>
      </c>
      <c r="B28" s="10" t="str">
        <f t="shared" si="1"/>
        <v>0137</v>
      </c>
      <c r="C28" s="10" t="str">
        <f>_xlfn.LET(
    _xlpm.val, IF(Datadetails[[#This Row],[Activity]]="D02","C20",Datadetails[[#This Row],[Activity]]),
    IF(ISNUMBER(MATCH(_xlpm.val,{"D04","C30","c40","C20"},0)), _xlpm.val, "Other")
)</f>
        <v>C30</v>
      </c>
      <c r="D28" s="10" t="str">
        <f>IFERROR(VLOOKUP(Datadetails[[#This Row],[Taskcode]],Dashboard!A:A,1,FALSE),"00 Err Missing")</f>
        <v>0137</v>
      </c>
      <c r="E28" s="79">
        <v>45748</v>
      </c>
      <c r="F28" s="80" t="s">
        <v>325</v>
      </c>
      <c r="G28" s="60" t="s">
        <v>40</v>
      </c>
      <c r="H28" s="80" t="s">
        <v>304</v>
      </c>
      <c r="I28" s="80" t="s">
        <v>34</v>
      </c>
      <c r="J28" s="80" t="s">
        <v>372</v>
      </c>
      <c r="K28" s="80" t="s">
        <v>347</v>
      </c>
      <c r="L28" s="80" t="s">
        <v>343</v>
      </c>
      <c r="M28" s="81">
        <v>0.17</v>
      </c>
      <c r="N28" s="82">
        <v>12.750000000000002</v>
      </c>
    </row>
    <row r="29" spans="1:14" x14ac:dyDescent="0.25">
      <c r="A29" s="10" t="str">
        <f>_xlfn.IFNA(
    IF(J29=
        "PCB-0001",
        "CSS",
        IF(
            ISNUMBER(MATCH(_xlfn.TEXTBEFORE(J29,"-"), {"CSS","CSN","PCB","PCF","BEC","CSD","PCM"}, 0)),
            _xlfn.TEXTBEFORE(J29,"-"),
            "Other"
        )
    ),
"Add")</f>
        <v>PCB</v>
      </c>
      <c r="B29" s="10" t="str">
        <f t="shared" si="1"/>
        <v>0062</v>
      </c>
      <c r="C29" s="10" t="str">
        <f>_xlfn.LET(
    _xlpm.val, IF(Datadetails[[#This Row],[Activity]]="D02","C20",Datadetails[[#This Row],[Activity]]),
    IF(ISNUMBER(MATCH(_xlpm.val,{"D04","C30","c40","C20"},0)), _xlpm.val, "Other")
)</f>
        <v>C30</v>
      </c>
      <c r="D29" s="10" t="str">
        <f>IFERROR(VLOOKUP(Datadetails[[#This Row],[Taskcode]],Dashboard!A:A,1,FALSE),"00 Err Missing")</f>
        <v>0062</v>
      </c>
      <c r="E29" s="79">
        <v>45748</v>
      </c>
      <c r="F29" s="80" t="s">
        <v>329</v>
      </c>
      <c r="G29" s="60" t="s">
        <v>40</v>
      </c>
      <c r="H29" s="80" t="s">
        <v>229</v>
      </c>
      <c r="I29" s="80" t="s">
        <v>34</v>
      </c>
      <c r="J29" s="80" t="s">
        <v>373</v>
      </c>
      <c r="K29" s="80" t="s">
        <v>347</v>
      </c>
      <c r="L29" s="80" t="s">
        <v>343</v>
      </c>
      <c r="M29" s="81">
        <v>0.25</v>
      </c>
      <c r="N29" s="82">
        <v>18.75</v>
      </c>
    </row>
    <row r="30" spans="1:14" x14ac:dyDescent="0.25">
      <c r="A30" s="10" t="str">
        <f>_xlfn.IFNA(
    IF(J30=
        "PCB-0001",
        "CSS",
        IF(
            ISNUMBER(MATCH(_xlfn.TEXTBEFORE(J30,"-"), {"CSS","CSN","PCB","PCF","BEC","CSD","PCM"}, 0)),
            _xlfn.TEXTBEFORE(J30,"-"),
            "Other"
        )
    ),
"Add")</f>
        <v>PCB</v>
      </c>
      <c r="B30" s="10" t="str">
        <f t="shared" si="1"/>
        <v>0071</v>
      </c>
      <c r="C30" s="10" t="str">
        <f>_xlfn.LET(
    _xlpm.val, IF(Datadetails[[#This Row],[Activity]]="D02","C20",Datadetails[[#This Row],[Activity]]),
    IF(ISNUMBER(MATCH(_xlpm.val,{"D04","C30","c40","C20"},0)), _xlpm.val, "Other")
)</f>
        <v>C30</v>
      </c>
      <c r="D30" s="10" t="str">
        <f>IFERROR(VLOOKUP(Datadetails[[#This Row],[Taskcode]],Dashboard!A:A,1,FALSE),"00 Err Missing")</f>
        <v>0071</v>
      </c>
      <c r="E30" s="79">
        <v>45748</v>
      </c>
      <c r="F30" s="80" t="s">
        <v>329</v>
      </c>
      <c r="G30" s="60" t="s">
        <v>40</v>
      </c>
      <c r="H30" s="80" t="s">
        <v>238</v>
      </c>
      <c r="I30" s="80" t="s">
        <v>34</v>
      </c>
      <c r="J30" s="80" t="s">
        <v>374</v>
      </c>
      <c r="K30" s="80" t="s">
        <v>347</v>
      </c>
      <c r="L30" s="80" t="s">
        <v>343</v>
      </c>
      <c r="M30" s="81">
        <v>0.75</v>
      </c>
      <c r="N30" s="82">
        <v>56.25</v>
      </c>
    </row>
    <row r="31" spans="1:14" x14ac:dyDescent="0.25">
      <c r="A31" s="10" t="str">
        <f>_xlfn.IFNA(
    IF(J31=
        "PCB-0001",
        "CSS",
        IF(
            ISNUMBER(MATCH(_xlfn.TEXTBEFORE(J31,"-"), {"CSS","CSN","PCB","PCF","BEC","CSD","PCM"}, 0)),
            _xlfn.TEXTBEFORE(J31,"-"),
            "Other"
        )
    ),
"Add")</f>
        <v>PCB</v>
      </c>
      <c r="B31" s="10" t="str">
        <f t="shared" si="1"/>
        <v>0080</v>
      </c>
      <c r="C31" s="10" t="str">
        <f>_xlfn.LET(
    _xlpm.val, IF(Datadetails[[#This Row],[Activity]]="D02","C20",Datadetails[[#This Row],[Activity]]),
    IF(ISNUMBER(MATCH(_xlpm.val,{"D04","C30","c40","C20"},0)), _xlpm.val, "Other")
)</f>
        <v>C30</v>
      </c>
      <c r="D31" s="10" t="str">
        <f>IFERROR(VLOOKUP(Datadetails[[#This Row],[Taskcode]],Dashboard!A:A,1,FALSE),"00 Err Missing")</f>
        <v>0080</v>
      </c>
      <c r="E31" s="79">
        <v>45748</v>
      </c>
      <c r="F31" s="80" t="s">
        <v>329</v>
      </c>
      <c r="G31" s="60" t="s">
        <v>40</v>
      </c>
      <c r="H31" s="80" t="s">
        <v>247</v>
      </c>
      <c r="I31" s="80" t="s">
        <v>34</v>
      </c>
      <c r="J31" s="80" t="s">
        <v>375</v>
      </c>
      <c r="K31" s="80" t="s">
        <v>347</v>
      </c>
      <c r="L31" s="80" t="s">
        <v>343</v>
      </c>
      <c r="M31" s="81">
        <v>1</v>
      </c>
      <c r="N31" s="82">
        <v>75</v>
      </c>
    </row>
    <row r="32" spans="1:14" x14ac:dyDescent="0.25">
      <c r="A32" s="10" t="str">
        <f>_xlfn.IFNA(
    IF(J32=
        "PCB-0001",
        "CSS",
        IF(
            ISNUMBER(MATCH(_xlfn.TEXTBEFORE(J32,"-"), {"CSS","CSN","PCB","PCF","BEC","CSD","PCM"}, 0)),
            _xlfn.TEXTBEFORE(J32,"-"),
            "Other"
        )
    ),
"Add")</f>
        <v>PCB</v>
      </c>
      <c r="B32" s="10" t="str">
        <f t="shared" si="1"/>
        <v>0126</v>
      </c>
      <c r="C32" s="10" t="str">
        <f>_xlfn.LET(
    _xlpm.val, IF(Datadetails[[#This Row],[Activity]]="D02","C20",Datadetails[[#This Row],[Activity]]),
    IF(ISNUMBER(MATCH(_xlpm.val,{"D04","C30","c40","C20"},0)), _xlpm.val, "Other")
)</f>
        <v>C30</v>
      </c>
      <c r="D32" s="10" t="str">
        <f>IFERROR(VLOOKUP(Datadetails[[#This Row],[Taskcode]],Dashboard!A:A,1,FALSE),"00 Err Missing")</f>
        <v>0126</v>
      </c>
      <c r="E32" s="79">
        <v>45748</v>
      </c>
      <c r="F32" s="80" t="s">
        <v>329</v>
      </c>
      <c r="G32" s="60" t="s">
        <v>40</v>
      </c>
      <c r="H32" s="80" t="s">
        <v>293</v>
      </c>
      <c r="I32" s="80" t="s">
        <v>34</v>
      </c>
      <c r="J32" s="80" t="s">
        <v>376</v>
      </c>
      <c r="K32" s="80" t="s">
        <v>347</v>
      </c>
      <c r="L32" s="80" t="s">
        <v>343</v>
      </c>
      <c r="M32" s="81">
        <v>0.5</v>
      </c>
      <c r="N32" s="82">
        <v>37.5</v>
      </c>
    </row>
    <row r="33" spans="1:14" x14ac:dyDescent="0.25">
      <c r="A33" s="10" t="str">
        <f>_xlfn.IFNA(
    IF(J33=
        "PCB-0001",
        "CSS",
        IF(
            ISNUMBER(MATCH(_xlfn.TEXTBEFORE(J33,"-"), {"CSS","CSN","PCB","PCF","BEC","CSD","PCM"}, 0)),
            _xlfn.TEXTBEFORE(J33,"-"),
            "Other"
        )
    ),
"Add")</f>
        <v>PCB</v>
      </c>
      <c r="B33" s="10" t="str">
        <f t="shared" si="1"/>
        <v>0127</v>
      </c>
      <c r="C33" s="10" t="str">
        <f>_xlfn.LET(
    _xlpm.val, IF(Datadetails[[#This Row],[Activity]]="D02","C20",Datadetails[[#This Row],[Activity]]),
    IF(ISNUMBER(MATCH(_xlpm.val,{"D04","C30","c40","C20"},0)), _xlpm.val, "Other")
)</f>
        <v>C30</v>
      </c>
      <c r="D33" s="10" t="str">
        <f>IFERROR(VLOOKUP(Datadetails[[#This Row],[Taskcode]],Dashboard!A:A,1,FALSE),"00 Err Missing")</f>
        <v>0127</v>
      </c>
      <c r="E33" s="79">
        <v>45748</v>
      </c>
      <c r="F33" s="80" t="s">
        <v>329</v>
      </c>
      <c r="G33" s="60" t="s">
        <v>40</v>
      </c>
      <c r="H33" s="80" t="s">
        <v>294</v>
      </c>
      <c r="I33" s="80" t="s">
        <v>34</v>
      </c>
      <c r="J33" s="80" t="s">
        <v>377</v>
      </c>
      <c r="K33" s="80" t="s">
        <v>347</v>
      </c>
      <c r="L33" s="80" t="s">
        <v>343</v>
      </c>
      <c r="M33" s="81">
        <v>0.5</v>
      </c>
      <c r="N33" s="82">
        <v>37.5</v>
      </c>
    </row>
    <row r="34" spans="1:14" x14ac:dyDescent="0.25">
      <c r="A34" s="10" t="str">
        <f>_xlfn.IFNA(
    IF(J34=
        "PCB-0001",
        "CSS",
        IF(
            ISNUMBER(MATCH(_xlfn.TEXTBEFORE(J34,"-"), {"CSS","CSN","PCB","PCF","BEC","CSD","PCM"}, 0)),
            _xlfn.TEXTBEFORE(J34,"-"),
            "Other"
        )
    ),
"Add")</f>
        <v>PCB</v>
      </c>
      <c r="B34" s="10" t="str">
        <f t="shared" si="1"/>
        <v>0120</v>
      </c>
      <c r="C34" s="10" t="str">
        <f>_xlfn.LET(
    _xlpm.val, IF(Datadetails[[#This Row],[Activity]]="D02","C20",Datadetails[[#This Row],[Activity]]),
    IF(ISNUMBER(MATCH(_xlpm.val,{"D04","C30","c40","C20"},0)), _xlpm.val, "Other")
)</f>
        <v>C30</v>
      </c>
      <c r="D34" s="10" t="str">
        <f>IFERROR(VLOOKUP(Datadetails[[#This Row],[Taskcode]],Dashboard!A:A,1,FALSE),"00 Err Missing")</f>
        <v>0120</v>
      </c>
      <c r="E34" s="79">
        <v>45748</v>
      </c>
      <c r="F34" s="80" t="s">
        <v>325</v>
      </c>
      <c r="G34" s="60" t="s">
        <v>40</v>
      </c>
      <c r="H34" s="80" t="s">
        <v>287</v>
      </c>
      <c r="I34" s="80" t="s">
        <v>34</v>
      </c>
      <c r="J34" s="80" t="s">
        <v>378</v>
      </c>
      <c r="K34" s="80" t="s">
        <v>347</v>
      </c>
      <c r="L34" s="80" t="s">
        <v>343</v>
      </c>
      <c r="M34" s="81">
        <v>0.42</v>
      </c>
      <c r="N34" s="82">
        <v>31.5</v>
      </c>
    </row>
    <row r="35" spans="1:14" x14ac:dyDescent="0.25">
      <c r="A35" s="10" t="str">
        <f>_xlfn.IFNA(
    IF(J35=
        "PCB-0001",
        "CSS",
        IF(
            ISNUMBER(MATCH(_xlfn.TEXTBEFORE(J35,"-"), {"CSS","CSN","PCB","PCF","BEC","CSD","PCM"}, 0)),
            _xlfn.TEXTBEFORE(J35,"-"),
            "Other"
        )
    ),
"Add")</f>
        <v>PCB</v>
      </c>
      <c r="B35" s="10" t="str">
        <f t="shared" si="1"/>
        <v>0128</v>
      </c>
      <c r="C35" s="10" t="str">
        <f>_xlfn.LET(
    _xlpm.val, IF(Datadetails[[#This Row],[Activity]]="D02","C20",Datadetails[[#This Row],[Activity]]),
    IF(ISNUMBER(MATCH(_xlpm.val,{"D04","C30","c40","C20"},0)), _xlpm.val, "Other")
)</f>
        <v>C30</v>
      </c>
      <c r="D35" s="10" t="str">
        <f>IFERROR(VLOOKUP(Datadetails[[#This Row],[Taskcode]],Dashboard!A:A,1,FALSE),"00 Err Missing")</f>
        <v>0128</v>
      </c>
      <c r="E35" s="79">
        <v>45748</v>
      </c>
      <c r="F35" s="80" t="s">
        <v>329</v>
      </c>
      <c r="G35" s="60" t="s">
        <v>40</v>
      </c>
      <c r="H35" s="80" t="s">
        <v>295</v>
      </c>
      <c r="I35" s="80" t="s">
        <v>34</v>
      </c>
      <c r="J35" s="80" t="s">
        <v>379</v>
      </c>
      <c r="K35" s="80" t="s">
        <v>347</v>
      </c>
      <c r="L35" s="80" t="s">
        <v>343</v>
      </c>
      <c r="M35" s="81">
        <v>0.5</v>
      </c>
      <c r="N35" s="82">
        <v>37.5</v>
      </c>
    </row>
    <row r="36" spans="1:14" x14ac:dyDescent="0.25">
      <c r="A36" s="10" t="str">
        <f>_xlfn.IFNA(
    IF(J36=
        "PCB-0001",
        "CSS",
        IF(
            ISNUMBER(MATCH(_xlfn.TEXTBEFORE(J36,"-"), {"CSS","CSN","PCB","PCF","BEC","CSD","PCM"}, 0)),
            _xlfn.TEXTBEFORE(J36,"-"),
            "Other"
        )
    ),
"Add")</f>
        <v>PCB</v>
      </c>
      <c r="B36" s="10" t="str">
        <f t="shared" si="1"/>
        <v>0130</v>
      </c>
      <c r="C36" s="10" t="str">
        <f>_xlfn.LET(
    _xlpm.val, IF(Datadetails[[#This Row],[Activity]]="D02","C20",Datadetails[[#This Row],[Activity]]),
    IF(ISNUMBER(MATCH(_xlpm.val,{"D04","C30","c40","C20"},0)), _xlpm.val, "Other")
)</f>
        <v>C30</v>
      </c>
      <c r="D36" s="10" t="str">
        <f>IFERROR(VLOOKUP(Datadetails[[#This Row],[Taskcode]],Dashboard!A:A,1,FALSE),"00 Err Missing")</f>
        <v>0130</v>
      </c>
      <c r="E36" s="79">
        <v>45748</v>
      </c>
      <c r="F36" s="80" t="s">
        <v>330</v>
      </c>
      <c r="G36" s="60" t="s">
        <v>40</v>
      </c>
      <c r="H36" s="80" t="s">
        <v>297</v>
      </c>
      <c r="I36" s="80" t="s">
        <v>34</v>
      </c>
      <c r="J36" s="80" t="s">
        <v>380</v>
      </c>
      <c r="K36" s="80" t="s">
        <v>347</v>
      </c>
      <c r="L36" s="80" t="s">
        <v>343</v>
      </c>
      <c r="M36" s="81">
        <v>0.5</v>
      </c>
      <c r="N36" s="82">
        <v>30</v>
      </c>
    </row>
    <row r="37" spans="1:14" x14ac:dyDescent="0.25">
      <c r="A37" s="10" t="str">
        <f>_xlfn.IFNA(
    IF(J37=
        "PCB-0001",
        "CSS",
        IF(
            ISNUMBER(MATCH(_xlfn.TEXTBEFORE(J37,"-"), {"CSS","CSN","PCB","PCF","BEC","CSD","PCM"}, 0)),
            _xlfn.TEXTBEFORE(J37,"-"),
            "Other"
        )
    ),
"Add")</f>
        <v>PCB</v>
      </c>
      <c r="B37" s="10" t="str">
        <f t="shared" si="1"/>
        <v>0091</v>
      </c>
      <c r="C37" s="10" t="str">
        <f>_xlfn.LET(
    _xlpm.val, IF(Datadetails[[#This Row],[Activity]]="D02","C20",Datadetails[[#This Row],[Activity]]),
    IF(ISNUMBER(MATCH(_xlpm.val,{"D04","C30","c40","C20"},0)), _xlpm.val, "Other")
)</f>
        <v>C30</v>
      </c>
      <c r="D37" s="10" t="str">
        <f>IFERROR(VLOOKUP(Datadetails[[#This Row],[Taskcode]],Dashboard!A:A,1,FALSE),"00 Err Missing")</f>
        <v>0091</v>
      </c>
      <c r="E37" s="79">
        <v>45748</v>
      </c>
      <c r="F37" s="80" t="s">
        <v>329</v>
      </c>
      <c r="G37" s="60" t="s">
        <v>40</v>
      </c>
      <c r="H37" s="80" t="s">
        <v>258</v>
      </c>
      <c r="I37" s="80" t="s">
        <v>34</v>
      </c>
      <c r="J37" s="80" t="s">
        <v>381</v>
      </c>
      <c r="K37" s="80" t="s">
        <v>347</v>
      </c>
      <c r="L37" s="80" t="s">
        <v>343</v>
      </c>
      <c r="M37" s="81">
        <v>0.08</v>
      </c>
      <c r="N37" s="82">
        <v>6</v>
      </c>
    </row>
    <row r="38" spans="1:14" x14ac:dyDescent="0.25">
      <c r="A38" s="10" t="str">
        <f>_xlfn.IFNA(
    IF(J38=
        "PCB-0001",
        "CSS",
        IF(
            ISNUMBER(MATCH(_xlfn.TEXTBEFORE(J38,"-"), {"CSS","CSN","PCB","PCF","BEC","CSD","PCM"}, 0)),
            _xlfn.TEXTBEFORE(J38,"-"),
            "Other"
        )
    ),
"Add")</f>
        <v>PCB</v>
      </c>
      <c r="B38" s="10" t="str">
        <f t="shared" si="1"/>
        <v>0138</v>
      </c>
      <c r="C38" s="10" t="str">
        <f>_xlfn.LET(
    _xlpm.val, IF(Datadetails[[#This Row],[Activity]]="D02","C20",Datadetails[[#This Row],[Activity]]),
    IF(ISNUMBER(MATCH(_xlpm.val,{"D04","C30","c40","C20"},0)), _xlpm.val, "Other")
)</f>
        <v>C30</v>
      </c>
      <c r="D38" s="10" t="str">
        <f>IFERROR(VLOOKUP(Datadetails[[#This Row],[Taskcode]],Dashboard!A:A,1,FALSE),"00 Err Missing")</f>
        <v>0138</v>
      </c>
      <c r="E38" s="79">
        <v>45748</v>
      </c>
      <c r="F38" s="80" t="s">
        <v>325</v>
      </c>
      <c r="G38" s="60" t="s">
        <v>40</v>
      </c>
      <c r="H38" s="80" t="s">
        <v>305</v>
      </c>
      <c r="I38" s="80" t="s">
        <v>34</v>
      </c>
      <c r="J38" s="80" t="s">
        <v>382</v>
      </c>
      <c r="K38" s="80" t="s">
        <v>347</v>
      </c>
      <c r="L38" s="80" t="s">
        <v>343</v>
      </c>
      <c r="M38" s="81">
        <v>0.25</v>
      </c>
      <c r="N38" s="82">
        <v>18.75</v>
      </c>
    </row>
    <row r="39" spans="1:14" x14ac:dyDescent="0.25">
      <c r="A39" s="10" t="str">
        <f>_xlfn.IFNA(
    IF(J39=
        "PCB-0001",
        "CSS",
        IF(
            ISNUMBER(MATCH(_xlfn.TEXTBEFORE(J39,"-"), {"CSS","CSN","PCB","PCF","BEC","CSD","PCM"}, 0)),
            _xlfn.TEXTBEFORE(J39,"-"),
            "Other"
        )
    ),
"Add")</f>
        <v>PCB</v>
      </c>
      <c r="B39" s="10" t="str">
        <f t="shared" si="1"/>
        <v>0096</v>
      </c>
      <c r="C39" s="10" t="str">
        <f>_xlfn.LET(
    _xlpm.val, IF(Datadetails[[#This Row],[Activity]]="D02","C20",Datadetails[[#This Row],[Activity]]),
    IF(ISNUMBER(MATCH(_xlpm.val,{"D04","C30","c40","C20"},0)), _xlpm.val, "Other")
)</f>
        <v>C30</v>
      </c>
      <c r="D39" s="10" t="str">
        <f>IFERROR(VLOOKUP(Datadetails[[#This Row],[Taskcode]],Dashboard!A:A,1,FALSE),"00 Err Missing")</f>
        <v>0096</v>
      </c>
      <c r="E39" s="79">
        <v>45748</v>
      </c>
      <c r="F39" s="80" t="s">
        <v>330</v>
      </c>
      <c r="G39" s="60" t="s">
        <v>40</v>
      </c>
      <c r="H39" s="80" t="s">
        <v>263</v>
      </c>
      <c r="I39" s="80" t="s">
        <v>34</v>
      </c>
      <c r="J39" s="80" t="s">
        <v>383</v>
      </c>
      <c r="K39" s="80" t="s">
        <v>347</v>
      </c>
      <c r="L39" s="80" t="s">
        <v>343</v>
      </c>
      <c r="M39" s="81">
        <v>0.75</v>
      </c>
      <c r="N39" s="82">
        <v>45</v>
      </c>
    </row>
    <row r="40" spans="1:14" x14ac:dyDescent="0.25">
      <c r="A40" s="10" t="str">
        <f>_xlfn.IFNA(
    IF(J40=
        "PCB-0001",
        "CSS",
        IF(
            ISNUMBER(MATCH(_xlfn.TEXTBEFORE(J40,"-"), {"CSS","CSN","PCB","PCF","BEC","CSD","PCM"}, 0)),
            _xlfn.TEXTBEFORE(J40,"-"),
            "Other"
        )
    ),
"Add")</f>
        <v>PCB</v>
      </c>
      <c r="B40" s="10" t="str">
        <f t="shared" si="1"/>
        <v>0097</v>
      </c>
      <c r="C40" s="10" t="str">
        <f>_xlfn.LET(
    _xlpm.val, IF(Datadetails[[#This Row],[Activity]]="D02","C20",Datadetails[[#This Row],[Activity]]),
    IF(ISNUMBER(MATCH(_xlpm.val,{"D04","C30","c40","C20"},0)), _xlpm.val, "Other")
)</f>
        <v>C30</v>
      </c>
      <c r="D40" s="10" t="str">
        <f>IFERROR(VLOOKUP(Datadetails[[#This Row],[Taskcode]],Dashboard!A:A,1,FALSE),"00 Err Missing")</f>
        <v>0097</v>
      </c>
      <c r="E40" s="79">
        <v>45748</v>
      </c>
      <c r="F40" s="80" t="s">
        <v>325</v>
      </c>
      <c r="G40" s="60" t="s">
        <v>40</v>
      </c>
      <c r="H40" s="80" t="s">
        <v>264</v>
      </c>
      <c r="I40" s="80" t="s">
        <v>34</v>
      </c>
      <c r="J40" s="80" t="s">
        <v>384</v>
      </c>
      <c r="K40" s="80" t="s">
        <v>347</v>
      </c>
      <c r="L40" s="80" t="s">
        <v>343</v>
      </c>
      <c r="M40" s="81">
        <v>0.42</v>
      </c>
      <c r="N40" s="82">
        <v>31.5</v>
      </c>
    </row>
    <row r="41" spans="1:14" x14ac:dyDescent="0.25">
      <c r="A41" s="10" t="str">
        <f>_xlfn.IFNA(
    IF(J41=
        "PCB-0001",
        "CSS",
        IF(
            ISNUMBER(MATCH(_xlfn.TEXTBEFORE(J41,"-"), {"CSS","CSN","PCB","PCF","BEC","CSD","PCM"}, 0)),
            _xlfn.TEXTBEFORE(J41,"-"),
            "Other"
        )
    ),
"Add")</f>
        <v>PCB</v>
      </c>
      <c r="B41" s="10" t="str">
        <f t="shared" si="1"/>
        <v>0081</v>
      </c>
      <c r="C41" s="10" t="str">
        <f>_xlfn.LET(
    _xlpm.val, IF(Datadetails[[#This Row],[Activity]]="D02","C20",Datadetails[[#This Row],[Activity]]),
    IF(ISNUMBER(MATCH(_xlpm.val,{"D04","C30","c40","C20"},0)), _xlpm.val, "Other")
)</f>
        <v>C30</v>
      </c>
      <c r="D41" s="10" t="str">
        <f>IFERROR(VLOOKUP(Datadetails[[#This Row],[Taskcode]],Dashboard!A:A,1,FALSE),"00 Err Missing")</f>
        <v>0081</v>
      </c>
      <c r="E41" s="79">
        <v>45748</v>
      </c>
      <c r="F41" s="80" t="s">
        <v>329</v>
      </c>
      <c r="G41" s="60" t="s">
        <v>40</v>
      </c>
      <c r="H41" s="80" t="s">
        <v>248</v>
      </c>
      <c r="I41" s="80" t="s">
        <v>34</v>
      </c>
      <c r="J41" s="80" t="s">
        <v>385</v>
      </c>
      <c r="K41" s="80" t="s">
        <v>347</v>
      </c>
      <c r="L41" s="80" t="s">
        <v>343</v>
      </c>
      <c r="M41" s="81">
        <v>0.42</v>
      </c>
      <c r="N41" s="82">
        <v>31.5</v>
      </c>
    </row>
    <row r="42" spans="1:14" x14ac:dyDescent="0.25">
      <c r="A42" s="10" t="str">
        <f>_xlfn.IFNA(
    IF(J42=
        "PCB-0001",
        "CSS",
        IF(
            ISNUMBER(MATCH(_xlfn.TEXTBEFORE(J42,"-"), {"CSS","CSN","PCB","PCF","BEC","CSD","PCM"}, 0)),
            _xlfn.TEXTBEFORE(J42,"-"),
            "Other"
        )
    ),
"Add")</f>
        <v>PCB</v>
      </c>
      <c r="B42" s="10" t="str">
        <f t="shared" si="1"/>
        <v>0110</v>
      </c>
      <c r="C42" s="10" t="str">
        <f>_xlfn.LET(
    _xlpm.val, IF(Datadetails[[#This Row],[Activity]]="D02","C20",Datadetails[[#This Row],[Activity]]),
    IF(ISNUMBER(MATCH(_xlpm.val,{"D04","C30","c40","C20"},0)), _xlpm.val, "Other")
)</f>
        <v>C30</v>
      </c>
      <c r="D42" s="10" t="str">
        <f>IFERROR(VLOOKUP(Datadetails[[#This Row],[Taskcode]],Dashboard!A:A,1,FALSE),"00 Err Missing")</f>
        <v>0110</v>
      </c>
      <c r="E42" s="79">
        <v>45748</v>
      </c>
      <c r="F42" s="80" t="s">
        <v>325</v>
      </c>
      <c r="G42" s="60" t="s">
        <v>40</v>
      </c>
      <c r="H42" s="80" t="s">
        <v>277</v>
      </c>
      <c r="I42" s="80" t="s">
        <v>34</v>
      </c>
      <c r="J42" s="80" t="s">
        <v>353</v>
      </c>
      <c r="K42" s="80" t="s">
        <v>347</v>
      </c>
      <c r="L42" s="80" t="s">
        <v>343</v>
      </c>
      <c r="M42" s="81">
        <v>0.17</v>
      </c>
      <c r="N42" s="82">
        <v>12.750000000000002</v>
      </c>
    </row>
    <row r="43" spans="1:14" x14ac:dyDescent="0.25">
      <c r="A43" s="10" t="str">
        <f>_xlfn.IFNA(
    IF(J43=
        "PCB-0001",
        "CSS",
        IF(
            ISNUMBER(MATCH(_xlfn.TEXTBEFORE(J43,"-"), {"CSS","CSN","PCB","PCF","BEC","CSD","PCM"}, 0)),
            _xlfn.TEXTBEFORE(J43,"-"),
            "Other"
        )
    ),
"Add")</f>
        <v>PCB</v>
      </c>
      <c r="B43" s="10" t="str">
        <f t="shared" si="1"/>
        <v>0101</v>
      </c>
      <c r="C43" s="10" t="str">
        <f>_xlfn.LET(
    _xlpm.val, IF(Datadetails[[#This Row],[Activity]]="D02","C20",Datadetails[[#This Row],[Activity]]),
    IF(ISNUMBER(MATCH(_xlpm.val,{"D04","C30","c40","C20"},0)), _xlpm.val, "Other")
)</f>
        <v>C30</v>
      </c>
      <c r="D43" s="10" t="str">
        <f>IFERROR(VLOOKUP(Datadetails[[#This Row],[Taskcode]],Dashboard!A:A,1,FALSE),"00 Err Missing")</f>
        <v>0101</v>
      </c>
      <c r="E43" s="79">
        <v>45748</v>
      </c>
      <c r="F43" s="80" t="s">
        <v>329</v>
      </c>
      <c r="G43" s="60" t="s">
        <v>40</v>
      </c>
      <c r="H43" s="80" t="s">
        <v>268</v>
      </c>
      <c r="I43" s="80" t="s">
        <v>34</v>
      </c>
      <c r="J43" s="80" t="s">
        <v>386</v>
      </c>
      <c r="K43" s="80" t="s">
        <v>347</v>
      </c>
      <c r="L43" s="80" t="s">
        <v>343</v>
      </c>
      <c r="M43" s="81">
        <v>0.17</v>
      </c>
      <c r="N43" s="82">
        <v>12.750000000000002</v>
      </c>
    </row>
    <row r="44" spans="1:14" x14ac:dyDescent="0.25">
      <c r="A44" s="10" t="str">
        <f>_xlfn.IFNA(
    IF(J44=
        "PCB-0001",
        "CSS",
        IF(
            ISNUMBER(MATCH(_xlfn.TEXTBEFORE(J44,"-"), {"CSS","CSN","PCB","PCF","BEC","CSD","PCM"}, 0)),
            _xlfn.TEXTBEFORE(J44,"-"),
            "Other"
        )
    ),
"Add")</f>
        <v>PCF</v>
      </c>
      <c r="B44" s="10" t="str">
        <f t="shared" si="1"/>
        <v>0066</v>
      </c>
      <c r="C44" s="10" t="str">
        <f>_xlfn.LET(
    _xlpm.val, IF(Datadetails[[#This Row],[Activity]]="D02","C20",Datadetails[[#This Row],[Activity]]),
    IF(ISNUMBER(MATCH(_xlpm.val,{"D04","C30","c40","C20"},0)), _xlpm.val, "Other")
)</f>
        <v>C20</v>
      </c>
      <c r="D44" s="10" t="str">
        <f>IFERROR(VLOOKUP(Datadetails[[#This Row],[Taskcode]],Dashboard!A:A,1,FALSE),"00 Err Missing")</f>
        <v>0066</v>
      </c>
      <c r="E44" s="79">
        <v>45748</v>
      </c>
      <c r="F44" s="80" t="s">
        <v>326</v>
      </c>
      <c r="G44" s="60" t="s">
        <v>40</v>
      </c>
      <c r="H44" s="80" t="s">
        <v>233</v>
      </c>
      <c r="I44" s="80" t="s">
        <v>36</v>
      </c>
      <c r="J44" s="80" t="s">
        <v>387</v>
      </c>
      <c r="K44" s="80" t="s">
        <v>348</v>
      </c>
      <c r="L44" s="80" t="s">
        <v>342</v>
      </c>
      <c r="M44" s="81">
        <v>0.33</v>
      </c>
      <c r="N44" s="82">
        <v>19.8</v>
      </c>
    </row>
    <row r="45" spans="1:14" x14ac:dyDescent="0.25">
      <c r="A45" s="10" t="str">
        <f>_xlfn.IFNA(
    IF(J45=
        "PCB-0001",
        "CSS",
        IF(
            ISNUMBER(MATCH(_xlfn.TEXTBEFORE(J45,"-"), {"CSS","CSN","PCB","PCF","BEC","CSD","PCM"}, 0)),
            _xlfn.TEXTBEFORE(J45,"-"),
            "Other"
        )
    ),
"Add")</f>
        <v>PCF</v>
      </c>
      <c r="B45" s="10" t="str">
        <f t="shared" si="1"/>
        <v>0008</v>
      </c>
      <c r="C45" s="10" t="str">
        <f>_xlfn.LET(
    _xlpm.val, IF(Datadetails[[#This Row],[Activity]]="D02","C20",Datadetails[[#This Row],[Activity]]),
    IF(ISNUMBER(MATCH(_xlpm.val,{"D04","C30","c40","C20"},0)), _xlpm.val, "Other")
)</f>
        <v>C20</v>
      </c>
      <c r="D45" s="10" t="str">
        <f>IFERROR(VLOOKUP(Datadetails[[#This Row],[Taskcode]],Dashboard!A:A,1,FALSE),"00 Err Missing")</f>
        <v>0008</v>
      </c>
      <c r="E45" s="79">
        <v>45748</v>
      </c>
      <c r="F45" s="80" t="s">
        <v>326</v>
      </c>
      <c r="G45" s="60" t="s">
        <v>40</v>
      </c>
      <c r="H45" s="80" t="s">
        <v>175</v>
      </c>
      <c r="I45" s="80" t="s">
        <v>36</v>
      </c>
      <c r="J45" s="80" t="s">
        <v>388</v>
      </c>
      <c r="K45" s="80" t="s">
        <v>348</v>
      </c>
      <c r="L45" s="80" t="s">
        <v>342</v>
      </c>
      <c r="M45" s="81">
        <v>1</v>
      </c>
      <c r="N45" s="82">
        <v>60</v>
      </c>
    </row>
    <row r="46" spans="1:14" x14ac:dyDescent="0.25">
      <c r="A46" s="10" t="str">
        <f>_xlfn.IFNA(
    IF(J46=
        "PCB-0001",
        "CSS",
        IF(
            ISNUMBER(MATCH(_xlfn.TEXTBEFORE(J46,"-"), {"CSS","CSN","PCB","PCF","BEC","CSD","PCM"}, 0)),
            _xlfn.TEXTBEFORE(J46,"-"),
            "Other"
        )
    ),
"Add")</f>
        <v>PCF</v>
      </c>
      <c r="B46" s="10" t="str">
        <f t="shared" si="1"/>
        <v>0021</v>
      </c>
      <c r="C46" s="10" t="str">
        <f>_xlfn.LET(
    _xlpm.val, IF(Datadetails[[#This Row],[Activity]]="D02","C20",Datadetails[[#This Row],[Activity]]),
    IF(ISNUMBER(MATCH(_xlpm.val,{"D04","C30","c40","C20"},0)), _xlpm.val, "Other")
)</f>
        <v>C20</v>
      </c>
      <c r="D46" s="10" t="str">
        <f>IFERROR(VLOOKUP(Datadetails[[#This Row],[Taskcode]],Dashboard!A:A,1,FALSE),"00 Err Missing")</f>
        <v>0021</v>
      </c>
      <c r="E46" s="79">
        <v>45748</v>
      </c>
      <c r="F46" s="80" t="s">
        <v>326</v>
      </c>
      <c r="G46" s="60" t="s">
        <v>40</v>
      </c>
      <c r="H46" s="80" t="s">
        <v>188</v>
      </c>
      <c r="I46" s="80" t="s">
        <v>36</v>
      </c>
      <c r="J46" s="80" t="s">
        <v>356</v>
      </c>
      <c r="K46" s="80" t="s">
        <v>348</v>
      </c>
      <c r="L46" s="80" t="s">
        <v>342</v>
      </c>
      <c r="M46" s="81">
        <v>1.33</v>
      </c>
      <c r="N46" s="82">
        <v>79.800000000000011</v>
      </c>
    </row>
    <row r="47" spans="1:14" x14ac:dyDescent="0.25">
      <c r="A47" s="10" t="str">
        <f>_xlfn.IFNA(
    IF(J47=
        "PCB-0001",
        "CSS",
        IF(
            ISNUMBER(MATCH(_xlfn.TEXTBEFORE(J47,"-"), {"CSS","CSN","PCB","PCF","BEC","CSD","PCM"}, 0)),
            _xlfn.TEXTBEFORE(J47,"-"),
            "Other"
        )
    ),
"Add")</f>
        <v>PCF</v>
      </c>
      <c r="B47" s="10" t="str">
        <f t="shared" si="1"/>
        <v>0067</v>
      </c>
      <c r="C47" s="10" t="str">
        <f>_xlfn.LET(
    _xlpm.val, IF(Datadetails[[#This Row],[Activity]]="D02","C20",Datadetails[[#This Row],[Activity]]),
    IF(ISNUMBER(MATCH(_xlpm.val,{"D04","C30","c40","C20"},0)), _xlpm.val, "Other")
)</f>
        <v>C20</v>
      </c>
      <c r="D47" s="10" t="str">
        <f>IFERROR(VLOOKUP(Datadetails[[#This Row],[Taskcode]],Dashboard!A:A,1,FALSE),"00 Err Missing")</f>
        <v>0067</v>
      </c>
      <c r="E47" s="79">
        <v>45748</v>
      </c>
      <c r="F47" s="80" t="s">
        <v>326</v>
      </c>
      <c r="G47" s="60" t="s">
        <v>40</v>
      </c>
      <c r="H47" s="80" t="s">
        <v>234</v>
      </c>
      <c r="I47" s="80" t="s">
        <v>36</v>
      </c>
      <c r="J47" s="80" t="s">
        <v>389</v>
      </c>
      <c r="K47" s="80" t="s">
        <v>348</v>
      </c>
      <c r="L47" s="80" t="s">
        <v>342</v>
      </c>
      <c r="M47" s="81">
        <v>0.33</v>
      </c>
      <c r="N47" s="82">
        <v>19.8</v>
      </c>
    </row>
    <row r="48" spans="1:14" x14ac:dyDescent="0.25">
      <c r="A48" s="10" t="str">
        <f>_xlfn.IFNA(
    IF(J48=
        "PCB-0001",
        "CSS",
        IF(
            ISNUMBER(MATCH(_xlfn.TEXTBEFORE(J48,"-"), {"CSS","CSN","PCB","PCF","BEC","CSD","PCM"}, 0)),
            _xlfn.TEXTBEFORE(J48,"-"),
            "Other"
        )
    ),
"Add")</f>
        <v>PCF</v>
      </c>
      <c r="B48" s="10" t="str">
        <f t="shared" si="1"/>
        <v>0068</v>
      </c>
      <c r="C48" s="10" t="str">
        <f>_xlfn.LET(
    _xlpm.val, IF(Datadetails[[#This Row],[Activity]]="D02","C20",Datadetails[[#This Row],[Activity]]),
    IF(ISNUMBER(MATCH(_xlpm.val,{"D04","C30","c40","C20"},0)), _xlpm.val, "Other")
)</f>
        <v>C20</v>
      </c>
      <c r="D48" s="10" t="str">
        <f>IFERROR(VLOOKUP(Datadetails[[#This Row],[Taskcode]],Dashboard!A:A,1,FALSE),"00 Err Missing")</f>
        <v>0068</v>
      </c>
      <c r="E48" s="79">
        <v>45748</v>
      </c>
      <c r="F48" s="80" t="s">
        <v>326</v>
      </c>
      <c r="G48" s="60" t="s">
        <v>40</v>
      </c>
      <c r="H48" s="80" t="s">
        <v>235</v>
      </c>
      <c r="I48" s="80" t="s">
        <v>36</v>
      </c>
      <c r="J48" s="80" t="s">
        <v>355</v>
      </c>
      <c r="K48" s="80" t="s">
        <v>348</v>
      </c>
      <c r="L48" s="80" t="s">
        <v>342</v>
      </c>
      <c r="M48" s="81">
        <v>0.33</v>
      </c>
      <c r="N48" s="82">
        <v>19.8</v>
      </c>
    </row>
    <row r="49" spans="1:14" x14ac:dyDescent="0.25">
      <c r="A49" s="10" t="str">
        <f>_xlfn.IFNA(
    IF(J49=
        "PCB-0001",
        "CSS",
        IF(
            ISNUMBER(MATCH(_xlfn.TEXTBEFORE(J49,"-"), {"CSS","CSN","PCB","PCF","BEC","CSD","PCM"}, 0)),
            _xlfn.TEXTBEFORE(J49,"-"),
            "Other"
        )
    ),
"Add")</f>
        <v>PCF</v>
      </c>
      <c r="B49" s="10" t="str">
        <f t="shared" si="1"/>
        <v>0098</v>
      </c>
      <c r="C49" s="10" t="str">
        <f>_xlfn.LET(
    _xlpm.val, IF(Datadetails[[#This Row],[Activity]]="D02","C20",Datadetails[[#This Row],[Activity]]),
    IF(ISNUMBER(MATCH(_xlpm.val,{"D04","C30","c40","C20"},0)), _xlpm.val, "Other")
)</f>
        <v>C20</v>
      </c>
      <c r="D49" s="10" t="str">
        <f>IFERROR(VLOOKUP(Datadetails[[#This Row],[Taskcode]],Dashboard!A:A,1,FALSE),"00 Err Missing")</f>
        <v>0098</v>
      </c>
      <c r="E49" s="79">
        <v>45748</v>
      </c>
      <c r="F49" s="80" t="s">
        <v>326</v>
      </c>
      <c r="G49" s="60" t="s">
        <v>40</v>
      </c>
      <c r="H49" s="80" t="s">
        <v>265</v>
      </c>
      <c r="I49" s="80" t="s">
        <v>36</v>
      </c>
      <c r="J49" s="80" t="s">
        <v>358</v>
      </c>
      <c r="K49" s="80" t="s">
        <v>348</v>
      </c>
      <c r="L49" s="80" t="s">
        <v>342</v>
      </c>
      <c r="M49" s="81">
        <v>1</v>
      </c>
      <c r="N49" s="82">
        <v>60</v>
      </c>
    </row>
    <row r="50" spans="1:14" x14ac:dyDescent="0.25">
      <c r="A50" s="10" t="str">
        <f>_xlfn.IFNA(
    IF(J50=
        "PCB-0001",
        "CSS",
        IF(
            ISNUMBER(MATCH(_xlfn.TEXTBEFORE(J50,"-"), {"CSS","CSN","PCB","PCF","BEC","CSD","PCM"}, 0)),
            _xlfn.TEXTBEFORE(J50,"-"),
            "Other"
        )
    ),
"Add")</f>
        <v>BEC</v>
      </c>
      <c r="B50" s="10" t="str">
        <f t="shared" si="1"/>
        <v>0001</v>
      </c>
      <c r="C50" s="10" t="str">
        <f>_xlfn.LET(
    _xlpm.val, IF(Datadetails[[#This Row],[Activity]]="D02","C20",Datadetails[[#This Row],[Activity]]),
    IF(ISNUMBER(MATCH(_xlpm.val,{"D04","C30","c40","C20"},0)), _xlpm.val, "Other")
)</f>
        <v>D04</v>
      </c>
      <c r="D50" s="10" t="str">
        <f>IFERROR(VLOOKUP(Datadetails[[#This Row],[Taskcode]],Dashboard!A:A,1,FALSE),"00 Err Missing")</f>
        <v>0001</v>
      </c>
      <c r="E50" s="79">
        <v>45748</v>
      </c>
      <c r="F50" s="80" t="s">
        <v>332</v>
      </c>
      <c r="G50" s="60" t="s">
        <v>40</v>
      </c>
      <c r="H50" s="80" t="s">
        <v>314</v>
      </c>
      <c r="I50" s="80" t="s">
        <v>35</v>
      </c>
      <c r="J50" s="80" t="s">
        <v>359</v>
      </c>
      <c r="K50" s="80" t="s">
        <v>339</v>
      </c>
      <c r="L50" s="80" t="s">
        <v>352</v>
      </c>
      <c r="M50" s="81">
        <v>9.33</v>
      </c>
      <c r="N50" s="82">
        <v>373.2</v>
      </c>
    </row>
    <row r="51" spans="1:14" x14ac:dyDescent="0.25">
      <c r="A51" s="10" t="str">
        <f>_xlfn.IFNA(
    IF(J51=
        "PCB-0001",
        "CSS",
        IF(
            ISNUMBER(MATCH(_xlfn.TEXTBEFORE(J51,"-"), {"CSS","CSN","PCB","PCF","BEC","CSD","PCM"}, 0)),
            _xlfn.TEXTBEFORE(J51,"-"),
            "Other"
        )
    ),
"Add")</f>
        <v>BEC</v>
      </c>
      <c r="B51" s="10" t="str">
        <f t="shared" si="1"/>
        <v>0001</v>
      </c>
      <c r="C51" s="10" t="str">
        <f>_xlfn.LET(
    _xlpm.val, IF(Datadetails[[#This Row],[Activity]]="D02","C20",Datadetails[[#This Row],[Activity]]),
    IF(ISNUMBER(MATCH(_xlpm.val,{"D04","C30","c40","C20"},0)), _xlpm.val, "Other")
)</f>
        <v>D04</v>
      </c>
      <c r="D51" s="10" t="str">
        <f>IFERROR(VLOOKUP(Datadetails[[#This Row],[Taskcode]],Dashboard!A:A,1,FALSE),"00 Err Missing")</f>
        <v>0001</v>
      </c>
      <c r="E51" s="79">
        <v>45748</v>
      </c>
      <c r="F51" s="80" t="s">
        <v>324</v>
      </c>
      <c r="G51" s="60" t="s">
        <v>40</v>
      </c>
      <c r="H51" s="80" t="s">
        <v>314</v>
      </c>
      <c r="I51" s="80" t="s">
        <v>35</v>
      </c>
      <c r="J51" s="80" t="s">
        <v>359</v>
      </c>
      <c r="K51" s="80" t="s">
        <v>339</v>
      </c>
      <c r="L51" s="80" t="s">
        <v>352</v>
      </c>
      <c r="M51" s="81">
        <v>5</v>
      </c>
      <c r="N51" s="82">
        <v>375</v>
      </c>
    </row>
    <row r="52" spans="1:14" x14ac:dyDescent="0.25">
      <c r="A52" s="10" t="str">
        <f>_xlfn.IFNA(
    IF(J52=
        "PCB-0001",
        "CSS",
        IF(
            ISNUMBER(MATCH(_xlfn.TEXTBEFORE(J52,"-"), {"CSS","CSN","PCB","PCF","BEC","CSD","PCM"}, 0)),
            _xlfn.TEXTBEFORE(J52,"-"),
            "Other"
        )
    ),
"Add")</f>
        <v>PCB</v>
      </c>
      <c r="B52" s="10" t="str">
        <f t="shared" si="1"/>
        <v>0103</v>
      </c>
      <c r="C52" s="10" t="str">
        <f>_xlfn.LET(
    _xlpm.val, IF(Datadetails[[#This Row],[Activity]]="D02","C20",Datadetails[[#This Row],[Activity]]),
    IF(ISNUMBER(MATCH(_xlpm.val,{"D04","C30","c40","C20"},0)), _xlpm.val, "Other")
)</f>
        <v>C30</v>
      </c>
      <c r="D52" s="10" t="str">
        <f>IFERROR(VLOOKUP(Datadetails[[#This Row],[Taskcode]],Dashboard!A:A,1,FALSE),"00 Err Missing")</f>
        <v>0103</v>
      </c>
      <c r="E52" s="79">
        <v>45749</v>
      </c>
      <c r="F52" s="80" t="s">
        <v>329</v>
      </c>
      <c r="G52" s="60" t="s">
        <v>40</v>
      </c>
      <c r="H52" s="80" t="s">
        <v>270</v>
      </c>
      <c r="I52" s="80" t="s">
        <v>34</v>
      </c>
      <c r="J52" s="80" t="s">
        <v>360</v>
      </c>
      <c r="K52" s="80" t="s">
        <v>347</v>
      </c>
      <c r="L52" s="80" t="s">
        <v>343</v>
      </c>
      <c r="M52" s="81">
        <v>0.08</v>
      </c>
      <c r="N52" s="82">
        <v>6</v>
      </c>
    </row>
    <row r="53" spans="1:14" x14ac:dyDescent="0.25">
      <c r="A53" s="10" t="str">
        <f>_xlfn.IFNA(
    IF(J53=
        "PCB-0001",
        "CSS",
        IF(
            ISNUMBER(MATCH(_xlfn.TEXTBEFORE(J53,"-"), {"CSS","CSN","PCB","PCF","BEC","CSD","PCM"}, 0)),
            _xlfn.TEXTBEFORE(J53,"-"),
            "Other"
        )
    ),
"Add")</f>
        <v>PCB</v>
      </c>
      <c r="B53" s="10" t="str">
        <f t="shared" si="1"/>
        <v>0102</v>
      </c>
      <c r="C53" s="10" t="str">
        <f>_xlfn.LET(
    _xlpm.val, IF(Datadetails[[#This Row],[Activity]]="D02","C20",Datadetails[[#This Row],[Activity]]),
    IF(ISNUMBER(MATCH(_xlpm.val,{"D04","C30","c40","C20"},0)), _xlpm.val, "Other")
)</f>
        <v>C30</v>
      </c>
      <c r="D53" s="10" t="str">
        <f>IFERROR(VLOOKUP(Datadetails[[#This Row],[Taskcode]],Dashboard!A:A,1,FALSE),"00 Err Missing")</f>
        <v>0102</v>
      </c>
      <c r="E53" s="79">
        <v>45749</v>
      </c>
      <c r="F53" s="80" t="s">
        <v>329</v>
      </c>
      <c r="G53" s="60" t="s">
        <v>40</v>
      </c>
      <c r="H53" s="80" t="s">
        <v>269</v>
      </c>
      <c r="I53" s="80" t="s">
        <v>34</v>
      </c>
      <c r="J53" s="80" t="s">
        <v>361</v>
      </c>
      <c r="K53" s="80" t="s">
        <v>347</v>
      </c>
      <c r="L53" s="80" t="s">
        <v>343</v>
      </c>
      <c r="M53" s="81">
        <v>0.08</v>
      </c>
      <c r="N53" s="82">
        <v>6</v>
      </c>
    </row>
    <row r="54" spans="1:14" x14ac:dyDescent="0.25">
      <c r="A54" s="10" t="str">
        <f>_xlfn.IFNA(
    IF(J54=
        "PCB-0001",
        "CSS",
        IF(
            ISNUMBER(MATCH(_xlfn.TEXTBEFORE(J54,"-"), {"CSS","CSN","PCB","PCF","BEC","CSD","PCM"}, 0)),
            _xlfn.TEXTBEFORE(J54,"-"),
            "Other"
        )
    ),
"Add")</f>
        <v>PCB</v>
      </c>
      <c r="B54" s="10" t="str">
        <f t="shared" si="1"/>
        <v>0105</v>
      </c>
      <c r="C54" s="10" t="str">
        <f>_xlfn.LET(
    _xlpm.val, IF(Datadetails[[#This Row],[Activity]]="D02","C20",Datadetails[[#This Row],[Activity]]),
    IF(ISNUMBER(MATCH(_xlpm.val,{"D04","C30","c40","C20"},0)), _xlpm.val, "Other")
)</f>
        <v>C30</v>
      </c>
      <c r="D54" s="10" t="str">
        <f>IFERROR(VLOOKUP(Datadetails[[#This Row],[Taskcode]],Dashboard!A:A,1,FALSE),"00 Err Missing")</f>
        <v>0105</v>
      </c>
      <c r="E54" s="79">
        <v>45749</v>
      </c>
      <c r="F54" s="80" t="s">
        <v>329</v>
      </c>
      <c r="G54" s="60" t="s">
        <v>40</v>
      </c>
      <c r="H54" s="80" t="s">
        <v>272</v>
      </c>
      <c r="I54" s="80" t="s">
        <v>34</v>
      </c>
      <c r="J54" s="80" t="s">
        <v>362</v>
      </c>
      <c r="K54" s="80" t="s">
        <v>347</v>
      </c>
      <c r="L54" s="80" t="s">
        <v>343</v>
      </c>
      <c r="M54" s="81">
        <v>0.08</v>
      </c>
      <c r="N54" s="82">
        <v>6</v>
      </c>
    </row>
    <row r="55" spans="1:14" x14ac:dyDescent="0.25">
      <c r="A55" s="10" t="str">
        <f>_xlfn.IFNA(
    IF(J55=
        "PCB-0001",
        "CSS",
        IF(
            ISNUMBER(MATCH(_xlfn.TEXTBEFORE(J55,"-"), {"CSS","CSN","PCB","PCF","BEC","CSD","PCM"}, 0)),
            _xlfn.TEXTBEFORE(J55,"-"),
            "Other"
        )
    ),
"Add")</f>
        <v>PCB</v>
      </c>
      <c r="B55" s="10" t="str">
        <f t="shared" si="1"/>
        <v>0004</v>
      </c>
      <c r="C55" s="10" t="str">
        <f>_xlfn.LET(
    _xlpm.val, IF(Datadetails[[#This Row],[Activity]]="D02","C20",Datadetails[[#This Row],[Activity]]),
    IF(ISNUMBER(MATCH(_xlpm.val,{"D04","C30","c40","C20"},0)), _xlpm.val, "Other")
)</f>
        <v>C40</v>
      </c>
      <c r="D55" s="10" t="str">
        <f>IFERROR(VLOOKUP(Datadetails[[#This Row],[Taskcode]],Dashboard!A:A,1,FALSE),"00 Err Missing")</f>
        <v>0004</v>
      </c>
      <c r="E55" s="79">
        <v>45749</v>
      </c>
      <c r="F55" s="80" t="s">
        <v>330</v>
      </c>
      <c r="G55" s="60" t="s">
        <v>40</v>
      </c>
      <c r="H55" s="80" t="s">
        <v>171</v>
      </c>
      <c r="I55" s="80" t="s">
        <v>341</v>
      </c>
      <c r="J55" s="80" t="s">
        <v>390</v>
      </c>
      <c r="K55" s="80" t="s">
        <v>347</v>
      </c>
      <c r="L55" s="80" t="s">
        <v>344</v>
      </c>
      <c r="M55" s="81">
        <v>3</v>
      </c>
      <c r="N55" s="82">
        <v>180</v>
      </c>
    </row>
    <row r="56" spans="1:14" x14ac:dyDescent="0.25">
      <c r="A56" s="10" t="str">
        <f>_xlfn.IFNA(
    IF(J56=
        "PCB-0001",
        "CSS",
        IF(
            ISNUMBER(MATCH(_xlfn.TEXTBEFORE(J56,"-"), {"CSS","CSN","PCB","PCF","BEC","CSD","PCM"}, 0)),
            _xlfn.TEXTBEFORE(J56,"-"),
            "Other"
        )
    ),
"Add")</f>
        <v>PCM</v>
      </c>
      <c r="B56" s="10" t="str">
        <f t="shared" si="1"/>
        <v>0033</v>
      </c>
      <c r="C56" s="10" t="str">
        <f>_xlfn.LET(
    _xlpm.val, IF(Datadetails[[#This Row],[Activity]]="D02","C20",Datadetails[[#This Row],[Activity]]),
    IF(ISNUMBER(MATCH(_xlpm.val,{"D04","C30","c40","C20"},0)), _xlpm.val, "Other")
)</f>
        <v>C20</v>
      </c>
      <c r="D56" s="10" t="str">
        <f>IFERROR(VLOOKUP(Datadetails[[#This Row],[Taskcode]],Dashboard!A:A,1,FALSE),"00 Err Missing")</f>
        <v>0033</v>
      </c>
      <c r="E56" s="79">
        <v>45749</v>
      </c>
      <c r="F56" s="80" t="s">
        <v>323</v>
      </c>
      <c r="G56" s="60" t="s">
        <v>40</v>
      </c>
      <c r="H56" s="80" t="s">
        <v>200</v>
      </c>
      <c r="I56" s="80" t="s">
        <v>36</v>
      </c>
      <c r="J56" s="80" t="s">
        <v>391</v>
      </c>
      <c r="K56" s="80" t="s">
        <v>346</v>
      </c>
      <c r="L56" s="80" t="s">
        <v>342</v>
      </c>
      <c r="M56" s="81">
        <v>0.33</v>
      </c>
      <c r="N56" s="82">
        <v>19.8</v>
      </c>
    </row>
    <row r="57" spans="1:14" x14ac:dyDescent="0.25">
      <c r="A57" s="10" t="str">
        <f>_xlfn.IFNA(
    IF(J57=
        "PCB-0001",
        "CSS",
        IF(
            ISNUMBER(MATCH(_xlfn.TEXTBEFORE(J57,"-"), {"CSS","CSN","PCB","PCF","BEC","CSD","PCM"}, 0)),
            _xlfn.TEXTBEFORE(J57,"-"),
            "Other"
        )
    ),
"Add")</f>
        <v>PCM</v>
      </c>
      <c r="B57" s="10" t="str">
        <f t="shared" si="1"/>
        <v>0045</v>
      </c>
      <c r="C57" s="10" t="str">
        <f>_xlfn.LET(
    _xlpm.val, IF(Datadetails[[#This Row],[Activity]]="D02","C20",Datadetails[[#This Row],[Activity]]),
    IF(ISNUMBER(MATCH(_xlpm.val,{"D04","C30","c40","C20"},0)), _xlpm.val, "Other")
)</f>
        <v>C20</v>
      </c>
      <c r="D57" s="10" t="str">
        <f>IFERROR(VLOOKUP(Datadetails[[#This Row],[Taskcode]],Dashboard!A:A,1,FALSE),"00 Err Missing")</f>
        <v>0045</v>
      </c>
      <c r="E57" s="79">
        <v>45749</v>
      </c>
      <c r="F57" s="80" t="s">
        <v>323</v>
      </c>
      <c r="G57" s="60" t="s">
        <v>40</v>
      </c>
      <c r="H57" s="80" t="s">
        <v>212</v>
      </c>
      <c r="I57" s="80" t="s">
        <v>36</v>
      </c>
      <c r="J57" s="80" t="s">
        <v>392</v>
      </c>
      <c r="K57" s="80" t="s">
        <v>346</v>
      </c>
      <c r="L57" s="80" t="s">
        <v>342</v>
      </c>
      <c r="M57" s="81">
        <v>0.25</v>
      </c>
      <c r="N57" s="82">
        <v>15</v>
      </c>
    </row>
    <row r="58" spans="1:14" x14ac:dyDescent="0.25">
      <c r="A58" s="10" t="str">
        <f>_xlfn.IFNA(
    IF(J58=
        "PCB-0001",
        "CSS",
        IF(
            ISNUMBER(MATCH(_xlfn.TEXTBEFORE(J58,"-"), {"CSS","CSN","PCB","PCF","BEC","CSD","PCM"}, 0)),
            _xlfn.TEXTBEFORE(J58,"-"),
            "Other"
        )
    ),
"Add")</f>
        <v>CSN</v>
      </c>
      <c r="B58" s="10" t="str">
        <f t="shared" si="1"/>
        <v>0001</v>
      </c>
      <c r="C58" s="10" t="str">
        <f>_xlfn.LET(
    _xlpm.val, IF(Datadetails[[#This Row],[Activity]]="D02","C20",Datadetails[[#This Row],[Activity]]),
    IF(ISNUMBER(MATCH(_xlpm.val,{"D04","C30","c40","C20"},0)), _xlpm.val, "Other")
)</f>
        <v>D04</v>
      </c>
      <c r="D58" s="10" t="str">
        <f>IFERROR(VLOOKUP(Datadetails[[#This Row],[Taskcode]],Dashboard!A:A,1,FALSE),"00 Err Missing")</f>
        <v>0001</v>
      </c>
      <c r="E58" s="79">
        <v>45749</v>
      </c>
      <c r="F58" s="80" t="s">
        <v>329</v>
      </c>
      <c r="G58" s="60" t="s">
        <v>40</v>
      </c>
      <c r="H58" s="80" t="s">
        <v>316</v>
      </c>
      <c r="I58" s="80" t="s">
        <v>35</v>
      </c>
      <c r="J58" s="80" t="s">
        <v>338</v>
      </c>
      <c r="K58" s="80" t="s">
        <v>337</v>
      </c>
      <c r="L58" s="80" t="s">
        <v>352</v>
      </c>
      <c r="M58" s="81">
        <v>0.25</v>
      </c>
      <c r="N58" s="82">
        <v>18.75</v>
      </c>
    </row>
    <row r="59" spans="1:14" x14ac:dyDescent="0.25">
      <c r="A59" s="10" t="str">
        <f>_xlfn.IFNA(
    IF(J59=
        "PCB-0001",
        "CSS",
        IF(
            ISNUMBER(MATCH(_xlfn.TEXTBEFORE(J59,"-"), {"CSS","CSN","PCB","PCF","BEC","CSD","PCM"}, 0)),
            _xlfn.TEXTBEFORE(J59,"-"),
            "Other"
        )
    ),
"Add")</f>
        <v>CSD</v>
      </c>
      <c r="B59" s="10" t="str">
        <f t="shared" si="1"/>
        <v>0001</v>
      </c>
      <c r="C59" s="10" t="str">
        <f>_xlfn.LET(
    _xlpm.val, IF(Datadetails[[#This Row],[Activity]]="D02","C20",Datadetails[[#This Row],[Activity]]),
    IF(ISNUMBER(MATCH(_xlpm.val,{"D04","C30","c40","C20"},0)), _xlpm.val, "Other")
)</f>
        <v>D04</v>
      </c>
      <c r="D59" s="10" t="str">
        <f>IFERROR(VLOOKUP(Datadetails[[#This Row],[Taskcode]],Dashboard!A:A,1,FALSE),"00 Err Missing")</f>
        <v>0001</v>
      </c>
      <c r="E59" s="79">
        <v>45749</v>
      </c>
      <c r="F59" s="80" t="s">
        <v>333</v>
      </c>
      <c r="G59" s="60" t="s">
        <v>40</v>
      </c>
      <c r="H59" s="80" t="s">
        <v>320</v>
      </c>
      <c r="I59" s="80" t="s">
        <v>35</v>
      </c>
      <c r="J59" s="80" t="s">
        <v>322</v>
      </c>
      <c r="K59" s="80" t="s">
        <v>319</v>
      </c>
      <c r="L59" s="80" t="s">
        <v>352</v>
      </c>
      <c r="M59" s="81">
        <v>7.4</v>
      </c>
      <c r="N59" s="82">
        <v>236.8</v>
      </c>
    </row>
    <row r="60" spans="1:14" x14ac:dyDescent="0.25">
      <c r="A60" s="10" t="str">
        <f>_xlfn.IFNA(
    IF(J60=
        "PCB-0001",
        "CSS",
        IF(
            ISNUMBER(MATCH(_xlfn.TEXTBEFORE(J60,"-"), {"CSS","CSN","PCB","PCF","BEC","CSD","PCM"}, 0)),
            _xlfn.TEXTBEFORE(J60,"-"),
            "Other"
        )
    ),
"Add")</f>
        <v>CSD</v>
      </c>
      <c r="B60" s="10" t="str">
        <f t="shared" si="1"/>
        <v>0001</v>
      </c>
      <c r="C60" s="10" t="str">
        <f>_xlfn.LET(
    _xlpm.val, IF(Datadetails[[#This Row],[Activity]]="D02","C20",Datadetails[[#This Row],[Activity]]),
    IF(ISNUMBER(MATCH(_xlpm.val,{"D04","C30","c40","C20"},0)), _xlpm.val, "Other")
)</f>
        <v>D04</v>
      </c>
      <c r="D60" s="10" t="str">
        <f>IFERROR(VLOOKUP(Datadetails[[#This Row],[Taskcode]],Dashboard!A:A,1,FALSE),"00 Err Missing")</f>
        <v>0001</v>
      </c>
      <c r="E60" s="79">
        <v>45749</v>
      </c>
      <c r="F60" s="80" t="s">
        <v>327</v>
      </c>
      <c r="G60" s="60" t="s">
        <v>40</v>
      </c>
      <c r="H60" s="80" t="s">
        <v>320</v>
      </c>
      <c r="I60" s="80" t="s">
        <v>35</v>
      </c>
      <c r="J60" s="80" t="s">
        <v>322</v>
      </c>
      <c r="K60" s="80" t="s">
        <v>319</v>
      </c>
      <c r="L60" s="80" t="s">
        <v>352</v>
      </c>
      <c r="M60" s="81">
        <v>7.58</v>
      </c>
      <c r="N60" s="82">
        <v>242.56</v>
      </c>
    </row>
    <row r="61" spans="1:14" x14ac:dyDescent="0.25">
      <c r="A61" s="10" t="str">
        <f>_xlfn.IFNA(
    IF(J61=
        "PCB-0001",
        "CSS",
        IF(
            ISNUMBER(MATCH(_xlfn.TEXTBEFORE(J61,"-"), {"CSS","CSN","PCB","PCF","BEC","CSD","PCM"}, 0)),
            _xlfn.TEXTBEFORE(J61,"-"),
            "Other"
        )
    ),
"Add")</f>
        <v>PCM</v>
      </c>
      <c r="B61" s="10" t="str">
        <f t="shared" si="1"/>
        <v>0065</v>
      </c>
      <c r="C61" s="10" t="str">
        <f>_xlfn.LET(
    _xlpm.val, IF(Datadetails[[#This Row],[Activity]]="D02","C20",Datadetails[[#This Row],[Activity]]),
    IF(ISNUMBER(MATCH(_xlpm.val,{"D04","C30","c40","C20"},0)), _xlpm.val, "Other")
)</f>
        <v>C20</v>
      </c>
      <c r="D61" s="10" t="str">
        <f>IFERROR(VLOOKUP(Datadetails[[#This Row],[Taskcode]],Dashboard!A:A,1,FALSE),"00 Err Missing")</f>
        <v>0065</v>
      </c>
      <c r="E61" s="79">
        <v>45749</v>
      </c>
      <c r="F61" s="80" t="s">
        <v>323</v>
      </c>
      <c r="G61" s="60" t="s">
        <v>40</v>
      </c>
      <c r="H61" s="80" t="s">
        <v>232</v>
      </c>
      <c r="I61" s="80" t="s">
        <v>36</v>
      </c>
      <c r="J61" s="80" t="s">
        <v>393</v>
      </c>
      <c r="K61" s="80" t="s">
        <v>346</v>
      </c>
      <c r="L61" s="80" t="s">
        <v>342</v>
      </c>
      <c r="M61" s="81">
        <v>1</v>
      </c>
      <c r="N61" s="82">
        <v>60</v>
      </c>
    </row>
    <row r="62" spans="1:14" x14ac:dyDescent="0.25">
      <c r="A62" s="10" t="str">
        <f>_xlfn.IFNA(
    IF(J62=
        "PCB-0001",
        "CSS",
        IF(
            ISNUMBER(MATCH(_xlfn.TEXTBEFORE(J62,"-"), {"CSS","CSN","PCB","PCF","BEC","CSD","PCM"}, 0)),
            _xlfn.TEXTBEFORE(J62,"-"),
            "Other"
        )
    ),
"Add")</f>
        <v>PCM</v>
      </c>
      <c r="B62" s="10" t="str">
        <f t="shared" si="1"/>
        <v>0099</v>
      </c>
      <c r="C62" s="10" t="str">
        <f>_xlfn.LET(
    _xlpm.val, IF(Datadetails[[#This Row],[Activity]]="D02","C20",Datadetails[[#This Row],[Activity]]),
    IF(ISNUMBER(MATCH(_xlpm.val,{"D04","C30","c40","C20"},0)), _xlpm.val, "Other")
)</f>
        <v>C20</v>
      </c>
      <c r="D62" s="10" t="str">
        <f>IFERROR(VLOOKUP(Datadetails[[#This Row],[Taskcode]],Dashboard!A:A,1,FALSE),"00 Err Missing")</f>
        <v>0099</v>
      </c>
      <c r="E62" s="79">
        <v>45749</v>
      </c>
      <c r="F62" s="80" t="s">
        <v>323</v>
      </c>
      <c r="G62" s="60" t="s">
        <v>40</v>
      </c>
      <c r="H62" s="80" t="s">
        <v>266</v>
      </c>
      <c r="I62" s="80" t="s">
        <v>36</v>
      </c>
      <c r="J62" s="80" t="s">
        <v>394</v>
      </c>
      <c r="K62" s="80" t="s">
        <v>346</v>
      </c>
      <c r="L62" s="80" t="s">
        <v>342</v>
      </c>
      <c r="M62" s="81">
        <v>0.25</v>
      </c>
      <c r="N62" s="82">
        <v>15</v>
      </c>
    </row>
    <row r="63" spans="1:14" x14ac:dyDescent="0.25">
      <c r="A63" s="10" t="str">
        <f>_xlfn.IFNA(
    IF(J63=
        "PCB-0001",
        "CSS",
        IF(
            ISNUMBER(MATCH(_xlfn.TEXTBEFORE(J63,"-"), {"CSS","CSN","PCB","PCF","BEC","CSD","PCM"}, 0)),
            _xlfn.TEXTBEFORE(J63,"-"),
            "Other"
        )
    ),
"Add")</f>
        <v>PCM</v>
      </c>
      <c r="B63" s="10" t="str">
        <f t="shared" si="1"/>
        <v>0034</v>
      </c>
      <c r="C63" s="10" t="str">
        <f>_xlfn.LET(
    _xlpm.val, IF(Datadetails[[#This Row],[Activity]]="D02","C20",Datadetails[[#This Row],[Activity]]),
    IF(ISNUMBER(MATCH(_xlpm.val,{"D04","C30","c40","C20"},0)), _xlpm.val, "Other")
)</f>
        <v>C40</v>
      </c>
      <c r="D63" s="10" t="str">
        <f>IFERROR(VLOOKUP(Datadetails[[#This Row],[Taskcode]],Dashboard!A:A,1,FALSE),"00 Err Missing")</f>
        <v>0034</v>
      </c>
      <c r="E63" s="79">
        <v>45749</v>
      </c>
      <c r="F63" s="80" t="s">
        <v>323</v>
      </c>
      <c r="G63" s="60" t="s">
        <v>40</v>
      </c>
      <c r="H63" s="80" t="s">
        <v>201</v>
      </c>
      <c r="I63" s="80" t="s">
        <v>341</v>
      </c>
      <c r="J63" s="80" t="s">
        <v>395</v>
      </c>
      <c r="K63" s="80" t="s">
        <v>346</v>
      </c>
      <c r="L63" s="80" t="s">
        <v>344</v>
      </c>
      <c r="M63" s="81">
        <v>1</v>
      </c>
      <c r="N63" s="82">
        <v>60</v>
      </c>
    </row>
    <row r="64" spans="1:14" x14ac:dyDescent="0.25">
      <c r="A64" s="10" t="str">
        <f>_xlfn.IFNA(
    IF(J64=
        "PCB-0001",
        "CSS",
        IF(
            ISNUMBER(MATCH(_xlfn.TEXTBEFORE(J64,"-"), {"CSS","CSN","PCB","PCF","BEC","CSD","PCM"}, 0)),
            _xlfn.TEXTBEFORE(J64,"-"),
            "Other"
        )
    ),
"Add")</f>
        <v>PCB</v>
      </c>
      <c r="B64" s="10" t="str">
        <f t="shared" si="1"/>
        <v>0030</v>
      </c>
      <c r="C64" s="10" t="str">
        <f>_xlfn.LET(
    _xlpm.val, IF(Datadetails[[#This Row],[Activity]]="D02","C20",Datadetails[[#This Row],[Activity]]),
    IF(ISNUMBER(MATCH(_xlpm.val,{"D04","C30","c40","C20"},0)), _xlpm.val, "Other")
)</f>
        <v>C30</v>
      </c>
      <c r="D64" s="10" t="str">
        <f>IFERROR(VLOOKUP(Datadetails[[#This Row],[Taskcode]],Dashboard!A:A,1,FALSE),"00 Err Missing")</f>
        <v>0030</v>
      </c>
      <c r="E64" s="79">
        <v>45749</v>
      </c>
      <c r="F64" s="80" t="s">
        <v>329</v>
      </c>
      <c r="G64" s="60" t="s">
        <v>40</v>
      </c>
      <c r="H64" s="80" t="s">
        <v>197</v>
      </c>
      <c r="I64" s="80" t="s">
        <v>34</v>
      </c>
      <c r="J64" s="80" t="s">
        <v>366</v>
      </c>
      <c r="K64" s="80" t="s">
        <v>347</v>
      </c>
      <c r="L64" s="80" t="s">
        <v>343</v>
      </c>
      <c r="M64" s="81">
        <v>0.08</v>
      </c>
      <c r="N64" s="82">
        <v>6</v>
      </c>
    </row>
    <row r="65" spans="1:14" x14ac:dyDescent="0.25">
      <c r="A65" s="10" t="str">
        <f>_xlfn.IFNA(
    IF(J65=
        "PCB-0001",
        "CSS",
        IF(
            ISNUMBER(MATCH(_xlfn.TEXTBEFORE(J65,"-"), {"CSS","CSN","PCB","PCF","BEC","CSD","PCM"}, 0)),
            _xlfn.TEXTBEFORE(J65,"-"),
            "Other"
        )
    ),
"Add")</f>
        <v>PCB</v>
      </c>
      <c r="B65" s="10" t="str">
        <f t="shared" si="1"/>
        <v>0014</v>
      </c>
      <c r="C65" s="10" t="str">
        <f>_xlfn.LET(
    _xlpm.val, IF(Datadetails[[#This Row],[Activity]]="D02","C20",Datadetails[[#This Row],[Activity]]),
    IF(ISNUMBER(MATCH(_xlpm.val,{"D04","C30","c40","C20"},0)), _xlpm.val, "Other")
)</f>
        <v>C30</v>
      </c>
      <c r="D65" s="10" t="str">
        <f>IFERROR(VLOOKUP(Datadetails[[#This Row],[Taskcode]],Dashboard!A:A,1,FALSE),"00 Err Missing")</f>
        <v>0014</v>
      </c>
      <c r="E65" s="79">
        <v>45749</v>
      </c>
      <c r="F65" s="80" t="s">
        <v>329</v>
      </c>
      <c r="G65" s="60" t="s">
        <v>40</v>
      </c>
      <c r="H65" s="80" t="s">
        <v>181</v>
      </c>
      <c r="I65" s="80" t="s">
        <v>34</v>
      </c>
      <c r="J65" s="80" t="s">
        <v>396</v>
      </c>
      <c r="K65" s="80" t="s">
        <v>347</v>
      </c>
      <c r="L65" s="80" t="s">
        <v>343</v>
      </c>
      <c r="M65" s="81">
        <v>0.17</v>
      </c>
      <c r="N65" s="82">
        <v>12.750000000000002</v>
      </c>
    </row>
    <row r="66" spans="1:14" x14ac:dyDescent="0.25">
      <c r="A66" s="10" t="str">
        <f>_xlfn.IFNA(
    IF(J66=
        "PCB-0001",
        "CSS",
        IF(
            ISNUMBER(MATCH(_xlfn.TEXTBEFORE(J66,"-"), {"CSS","CSN","PCB","PCF","BEC","CSD","PCM"}, 0)),
            _xlfn.TEXTBEFORE(J66,"-"),
            "Other"
        )
    ),
"Add")</f>
        <v>PCB</v>
      </c>
      <c r="B66" s="10" t="str">
        <f t="shared" si="1"/>
        <v>0016</v>
      </c>
      <c r="C66" s="10" t="str">
        <f>_xlfn.LET(
    _xlpm.val, IF(Datadetails[[#This Row],[Activity]]="D02","C20",Datadetails[[#This Row],[Activity]]),
    IF(ISNUMBER(MATCH(_xlpm.val,{"D04","C30","c40","C20"},0)), _xlpm.val, "Other")
)</f>
        <v>C30</v>
      </c>
      <c r="D66" s="10" t="str">
        <f>IFERROR(VLOOKUP(Datadetails[[#This Row],[Taskcode]],Dashboard!A:A,1,FALSE),"00 Err Missing")</f>
        <v>0016</v>
      </c>
      <c r="E66" s="79">
        <v>45749</v>
      </c>
      <c r="F66" s="80" t="s">
        <v>329</v>
      </c>
      <c r="G66" s="60" t="s">
        <v>40</v>
      </c>
      <c r="H66" s="80" t="s">
        <v>183</v>
      </c>
      <c r="I66" s="80" t="s">
        <v>34</v>
      </c>
      <c r="J66" s="80" t="s">
        <v>368</v>
      </c>
      <c r="K66" s="80" t="s">
        <v>347</v>
      </c>
      <c r="L66" s="80" t="s">
        <v>343</v>
      </c>
      <c r="M66" s="81">
        <v>0.5</v>
      </c>
      <c r="N66" s="82">
        <v>37.5</v>
      </c>
    </row>
    <row r="67" spans="1:14" x14ac:dyDescent="0.25">
      <c r="A67" s="10" t="str">
        <f>_xlfn.IFNA(
    IF(J67=
        "PCB-0001",
        "CSS",
        IF(
            ISNUMBER(MATCH(_xlfn.TEXTBEFORE(J67,"-"), {"CSS","CSN","PCB","PCF","BEC","CSD","PCM"}, 0)),
            _xlfn.TEXTBEFORE(J67,"-"),
            "Other"
        )
    ),
"Add")</f>
        <v>PCB</v>
      </c>
      <c r="B67" s="10" t="str">
        <f t="shared" si="1"/>
        <v>0019</v>
      </c>
      <c r="C67" s="10" t="str">
        <f>_xlfn.LET(
    _xlpm.val, IF(Datadetails[[#This Row],[Activity]]="D02","C20",Datadetails[[#This Row],[Activity]]),
    IF(ISNUMBER(MATCH(_xlpm.val,{"D04","C30","c40","C20"},0)), _xlpm.val, "Other")
)</f>
        <v>C30</v>
      </c>
      <c r="D67" s="10" t="str">
        <f>IFERROR(VLOOKUP(Datadetails[[#This Row],[Taskcode]],Dashboard!A:A,1,FALSE),"00 Err Missing")</f>
        <v>0019</v>
      </c>
      <c r="E67" s="79">
        <v>45749</v>
      </c>
      <c r="F67" s="80" t="s">
        <v>329</v>
      </c>
      <c r="G67" s="60" t="s">
        <v>40</v>
      </c>
      <c r="H67" s="80" t="s">
        <v>186</v>
      </c>
      <c r="I67" s="80" t="s">
        <v>34</v>
      </c>
      <c r="J67" s="80" t="s">
        <v>397</v>
      </c>
      <c r="K67" s="80" t="s">
        <v>347</v>
      </c>
      <c r="L67" s="80" t="s">
        <v>343</v>
      </c>
      <c r="M67" s="81">
        <v>0.25</v>
      </c>
      <c r="N67" s="82">
        <v>18.75</v>
      </c>
    </row>
    <row r="68" spans="1:14" x14ac:dyDescent="0.25">
      <c r="A68" s="10" t="str">
        <f>_xlfn.IFNA(
    IF(J68=
        "PCB-0001",
        "CSS",
        IF(
            ISNUMBER(MATCH(_xlfn.TEXTBEFORE(J68,"-"), {"CSS","CSN","PCB","PCF","BEC","CSD","PCM"}, 0)),
            _xlfn.TEXTBEFORE(J68,"-"),
            "Other"
        )
    ),
"Add")</f>
        <v>PCB</v>
      </c>
      <c r="B68" s="10" t="str">
        <f t="shared" ref="B68:B131" si="2">_xlfn.IFNA(_xlfn.TEXTAFTER(J68,"-"),"Data to C2")</f>
        <v>0039</v>
      </c>
      <c r="C68" s="10" t="str">
        <f>_xlfn.LET(
    _xlpm.val, IF(Datadetails[[#This Row],[Activity]]="D02","C20",Datadetails[[#This Row],[Activity]]),
    IF(ISNUMBER(MATCH(_xlpm.val,{"D04","C30","c40","C20"},0)), _xlpm.val, "Other")
)</f>
        <v>C30</v>
      </c>
      <c r="D68" s="10" t="str">
        <f>IFERROR(VLOOKUP(Datadetails[[#This Row],[Taskcode]],Dashboard!A:A,1,FALSE),"00 Err Missing")</f>
        <v>0039</v>
      </c>
      <c r="E68" s="79">
        <v>45749</v>
      </c>
      <c r="F68" s="80" t="s">
        <v>329</v>
      </c>
      <c r="G68" s="60" t="s">
        <v>40</v>
      </c>
      <c r="H68" s="80" t="s">
        <v>206</v>
      </c>
      <c r="I68" s="80" t="s">
        <v>34</v>
      </c>
      <c r="J68" s="80" t="s">
        <v>367</v>
      </c>
      <c r="K68" s="80" t="s">
        <v>347</v>
      </c>
      <c r="L68" s="80" t="s">
        <v>343</v>
      </c>
      <c r="M68" s="81">
        <v>0.25</v>
      </c>
      <c r="N68" s="82">
        <v>18.75</v>
      </c>
    </row>
    <row r="69" spans="1:14" x14ac:dyDescent="0.25">
      <c r="A69" s="10" t="str">
        <f>_xlfn.IFNA(
    IF(J69=
        "PCB-0001",
        "CSS",
        IF(
            ISNUMBER(MATCH(_xlfn.TEXTBEFORE(J69,"-"), {"CSS","CSN","PCB","PCF","BEC","CSD","PCM"}, 0)),
            _xlfn.TEXTBEFORE(J69,"-"),
            "Other"
        )
    ),
"Add")</f>
        <v>PCB</v>
      </c>
      <c r="B69" s="10" t="str">
        <f t="shared" si="2"/>
        <v>0135</v>
      </c>
      <c r="C69" s="10" t="str">
        <f>_xlfn.LET(
    _xlpm.val, IF(Datadetails[[#This Row],[Activity]]="D02","C20",Datadetails[[#This Row],[Activity]]),
    IF(ISNUMBER(MATCH(_xlpm.val,{"D04","C30","c40","C20"},0)), _xlpm.val, "Other")
)</f>
        <v>C30</v>
      </c>
      <c r="D69" s="10" t="str">
        <f>IFERROR(VLOOKUP(Datadetails[[#This Row],[Taskcode]],Dashboard!A:A,1,FALSE),"00 Err Missing")</f>
        <v>0135</v>
      </c>
      <c r="E69" s="79">
        <v>45749</v>
      </c>
      <c r="F69" s="80" t="s">
        <v>329</v>
      </c>
      <c r="G69" s="60" t="s">
        <v>40</v>
      </c>
      <c r="H69" s="80" t="s">
        <v>302</v>
      </c>
      <c r="I69" s="80" t="s">
        <v>34</v>
      </c>
      <c r="J69" s="80" t="s">
        <v>398</v>
      </c>
      <c r="K69" s="80" t="s">
        <v>347</v>
      </c>
      <c r="L69" s="80" t="s">
        <v>343</v>
      </c>
      <c r="M69" s="81">
        <v>0.17</v>
      </c>
      <c r="N69" s="82">
        <v>12.750000000000002</v>
      </c>
    </row>
    <row r="70" spans="1:14" x14ac:dyDescent="0.25">
      <c r="A70" s="10" t="str">
        <f>_xlfn.IFNA(
    IF(J70=
        "PCB-0001",
        "CSS",
        IF(
            ISNUMBER(MATCH(_xlfn.TEXTBEFORE(J70,"-"), {"CSS","CSN","PCB","PCF","BEC","CSD","PCM"}, 0)),
            _xlfn.TEXTBEFORE(J70,"-"),
            "Other"
        )
    ),
"Add")</f>
        <v>PCB</v>
      </c>
      <c r="B70" s="10" t="str">
        <f t="shared" si="2"/>
        <v>0054</v>
      </c>
      <c r="C70" s="10" t="str">
        <f>_xlfn.LET(
    _xlpm.val, IF(Datadetails[[#This Row],[Activity]]="D02","C20",Datadetails[[#This Row],[Activity]]),
    IF(ISNUMBER(MATCH(_xlpm.val,{"D04","C30","c40","C20"},0)), _xlpm.val, "Other")
)</f>
        <v>C30</v>
      </c>
      <c r="D70" s="10" t="str">
        <f>IFERROR(VLOOKUP(Datadetails[[#This Row],[Taskcode]],Dashboard!A:A,1,FALSE),"00 Err Missing")</f>
        <v>0054</v>
      </c>
      <c r="E70" s="79">
        <v>45749</v>
      </c>
      <c r="F70" s="80" t="s">
        <v>329</v>
      </c>
      <c r="G70" s="60" t="s">
        <v>40</v>
      </c>
      <c r="H70" s="80" t="s">
        <v>221</v>
      </c>
      <c r="I70" s="80" t="s">
        <v>34</v>
      </c>
      <c r="J70" s="80" t="s">
        <v>369</v>
      </c>
      <c r="K70" s="80" t="s">
        <v>347</v>
      </c>
      <c r="L70" s="80" t="s">
        <v>343</v>
      </c>
      <c r="M70" s="81">
        <v>0.17</v>
      </c>
      <c r="N70" s="82">
        <v>12.750000000000002</v>
      </c>
    </row>
    <row r="71" spans="1:14" x14ac:dyDescent="0.25">
      <c r="A71" s="10" t="str">
        <f>_xlfn.IFNA(
    IF(J71=
        "PCB-0001",
        "CSS",
        IF(
            ISNUMBER(MATCH(_xlfn.TEXTBEFORE(J71,"-"), {"CSS","CSN","PCB","PCF","BEC","CSD","PCM"}, 0)),
            _xlfn.TEXTBEFORE(J71,"-"),
            "Other"
        )
    ),
"Add")</f>
        <v>PCB</v>
      </c>
      <c r="B71" s="10" t="str">
        <f t="shared" si="2"/>
        <v>0134</v>
      </c>
      <c r="C71" s="10" t="str">
        <f>_xlfn.LET(
    _xlpm.val, IF(Datadetails[[#This Row],[Activity]]="D02","C20",Datadetails[[#This Row],[Activity]]),
    IF(ISNUMBER(MATCH(_xlpm.val,{"D04","C30","c40","C20"},0)), _xlpm.val, "Other")
)</f>
        <v>C30</v>
      </c>
      <c r="D71" s="10" t="str">
        <f>IFERROR(VLOOKUP(Datadetails[[#This Row],[Taskcode]],Dashboard!A:A,1,FALSE),"00 Err Missing")</f>
        <v>0134</v>
      </c>
      <c r="E71" s="79">
        <v>45749</v>
      </c>
      <c r="F71" s="80" t="s">
        <v>329</v>
      </c>
      <c r="G71" s="60" t="s">
        <v>40</v>
      </c>
      <c r="H71" s="80" t="s">
        <v>301</v>
      </c>
      <c r="I71" s="80" t="s">
        <v>34</v>
      </c>
      <c r="J71" s="80" t="s">
        <v>371</v>
      </c>
      <c r="K71" s="80" t="s">
        <v>347</v>
      </c>
      <c r="L71" s="80" t="s">
        <v>343</v>
      </c>
      <c r="M71" s="81">
        <v>0.17</v>
      </c>
      <c r="N71" s="82">
        <v>12.750000000000002</v>
      </c>
    </row>
    <row r="72" spans="1:14" x14ac:dyDescent="0.25">
      <c r="A72" s="10" t="str">
        <f>_xlfn.IFNA(
    IF(J72=
        "PCB-0001",
        "CSS",
        IF(
            ISNUMBER(MATCH(_xlfn.TEXTBEFORE(J72,"-"), {"CSS","CSN","PCB","PCF","BEC","CSD","PCM"}, 0)),
            _xlfn.TEXTBEFORE(J72,"-"),
            "Other"
        )
    ),
"Add")</f>
        <v>PCB</v>
      </c>
      <c r="B72" s="10" t="str">
        <f t="shared" si="2"/>
        <v>0043</v>
      </c>
      <c r="C72" s="10" t="str">
        <f>_xlfn.LET(
    _xlpm.val, IF(Datadetails[[#This Row],[Activity]]="D02","C20",Datadetails[[#This Row],[Activity]]),
    IF(ISNUMBER(MATCH(_xlpm.val,{"D04","C30","c40","C20"},0)), _xlpm.val, "Other")
)</f>
        <v>C30</v>
      </c>
      <c r="D72" s="10" t="str">
        <f>IFERROR(VLOOKUP(Datadetails[[#This Row],[Taskcode]],Dashboard!A:A,1,FALSE),"00 Err Missing")</f>
        <v>0043</v>
      </c>
      <c r="E72" s="79">
        <v>45749</v>
      </c>
      <c r="F72" s="80" t="s">
        <v>325</v>
      </c>
      <c r="G72" s="60" t="s">
        <v>40</v>
      </c>
      <c r="H72" s="80" t="s">
        <v>210</v>
      </c>
      <c r="I72" s="80" t="s">
        <v>34</v>
      </c>
      <c r="J72" s="80" t="s">
        <v>399</v>
      </c>
      <c r="K72" s="80" t="s">
        <v>347</v>
      </c>
      <c r="L72" s="80" t="s">
        <v>343</v>
      </c>
      <c r="M72" s="81">
        <v>0.25</v>
      </c>
      <c r="N72" s="82">
        <v>18.75</v>
      </c>
    </row>
    <row r="73" spans="1:14" x14ac:dyDescent="0.25">
      <c r="A73" s="10" t="str">
        <f>_xlfn.IFNA(
    IF(J73=
        "PCB-0001",
        "CSS",
        IF(
            ISNUMBER(MATCH(_xlfn.TEXTBEFORE(J73,"-"), {"CSS","CSN","PCB","PCF","BEC","CSD","PCM"}, 0)),
            _xlfn.TEXTBEFORE(J73,"-"),
            "Other"
        )
    ),
"Add")</f>
        <v>PCB</v>
      </c>
      <c r="B73" s="10" t="str">
        <f t="shared" si="2"/>
        <v>0136</v>
      </c>
      <c r="C73" s="10" t="str">
        <f>_xlfn.LET(
    _xlpm.val, IF(Datadetails[[#This Row],[Activity]]="D02","C20",Datadetails[[#This Row],[Activity]]),
    IF(ISNUMBER(MATCH(_xlpm.val,{"D04","C30","c40","C20"},0)), _xlpm.val, "Other")
)</f>
        <v>C30</v>
      </c>
      <c r="D73" s="10" t="str">
        <f>IFERROR(VLOOKUP(Datadetails[[#This Row],[Taskcode]],Dashboard!A:A,1,FALSE),"00 Err Missing")</f>
        <v>0136</v>
      </c>
      <c r="E73" s="79">
        <v>45749</v>
      </c>
      <c r="F73" s="80" t="s">
        <v>329</v>
      </c>
      <c r="G73" s="60" t="s">
        <v>40</v>
      </c>
      <c r="H73" s="80" t="s">
        <v>303</v>
      </c>
      <c r="I73" s="80" t="s">
        <v>34</v>
      </c>
      <c r="J73" s="80" t="s">
        <v>400</v>
      </c>
      <c r="K73" s="80" t="s">
        <v>347</v>
      </c>
      <c r="L73" s="80" t="s">
        <v>343</v>
      </c>
      <c r="M73" s="81">
        <v>0.17</v>
      </c>
      <c r="N73" s="82">
        <v>12.750000000000002</v>
      </c>
    </row>
    <row r="74" spans="1:14" x14ac:dyDescent="0.25">
      <c r="A74" s="10" t="str">
        <f>_xlfn.IFNA(
    IF(J74=
        "PCB-0001",
        "CSS",
        IF(
            ISNUMBER(MATCH(_xlfn.TEXTBEFORE(J74,"-"), {"CSS","CSN","PCB","PCF","BEC","CSD","PCM"}, 0)),
            _xlfn.TEXTBEFORE(J74,"-"),
            "Other"
        )
    ),
"Add")</f>
        <v>PCB</v>
      </c>
      <c r="B74" s="10" t="str">
        <f t="shared" si="2"/>
        <v>0062</v>
      </c>
      <c r="C74" s="10" t="str">
        <f>_xlfn.LET(
    _xlpm.val, IF(Datadetails[[#This Row],[Activity]]="D02","C20",Datadetails[[#This Row],[Activity]]),
    IF(ISNUMBER(MATCH(_xlpm.val,{"D04","C30","c40","C20"},0)), _xlpm.val, "Other")
)</f>
        <v>C30</v>
      </c>
      <c r="D74" s="10" t="str">
        <f>IFERROR(VLOOKUP(Datadetails[[#This Row],[Taskcode]],Dashboard!A:A,1,FALSE),"00 Err Missing")</f>
        <v>0062</v>
      </c>
      <c r="E74" s="79">
        <v>45749</v>
      </c>
      <c r="F74" s="80" t="s">
        <v>329</v>
      </c>
      <c r="G74" s="60" t="s">
        <v>40</v>
      </c>
      <c r="H74" s="80" t="s">
        <v>229</v>
      </c>
      <c r="I74" s="80" t="s">
        <v>34</v>
      </c>
      <c r="J74" s="80" t="s">
        <v>373</v>
      </c>
      <c r="K74" s="80" t="s">
        <v>347</v>
      </c>
      <c r="L74" s="80" t="s">
        <v>343</v>
      </c>
      <c r="M74" s="81">
        <v>0.25</v>
      </c>
      <c r="N74" s="82">
        <v>18.75</v>
      </c>
    </row>
    <row r="75" spans="1:14" x14ac:dyDescent="0.25">
      <c r="A75" s="10" t="str">
        <f>_xlfn.IFNA(
    IF(J75=
        "PCB-0001",
        "CSS",
        IF(
            ISNUMBER(MATCH(_xlfn.TEXTBEFORE(J75,"-"), {"CSS","CSN","PCB","PCF","BEC","CSD","PCM"}, 0)),
            _xlfn.TEXTBEFORE(J75,"-"),
            "Other"
        )
    ),
"Add")</f>
        <v>PCB</v>
      </c>
      <c r="B75" s="10" t="str">
        <f t="shared" si="2"/>
        <v>0059</v>
      </c>
      <c r="C75" s="10" t="str">
        <f>_xlfn.LET(
    _xlpm.val, IF(Datadetails[[#This Row],[Activity]]="D02","C20",Datadetails[[#This Row],[Activity]]),
    IF(ISNUMBER(MATCH(_xlpm.val,{"D04","C30","c40","C20"},0)), _xlpm.val, "Other")
)</f>
        <v>C30</v>
      </c>
      <c r="D75" s="10" t="str">
        <f>IFERROR(VLOOKUP(Datadetails[[#This Row],[Taskcode]],Dashboard!A:A,1,FALSE),"00 Err Missing")</f>
        <v>0059</v>
      </c>
      <c r="E75" s="79">
        <v>45749</v>
      </c>
      <c r="F75" s="80" t="s">
        <v>325</v>
      </c>
      <c r="G75" s="60" t="s">
        <v>40</v>
      </c>
      <c r="H75" s="80" t="s">
        <v>226</v>
      </c>
      <c r="I75" s="80" t="s">
        <v>34</v>
      </c>
      <c r="J75" s="80" t="s">
        <v>401</v>
      </c>
      <c r="K75" s="80" t="s">
        <v>347</v>
      </c>
      <c r="L75" s="80" t="s">
        <v>343</v>
      </c>
      <c r="M75" s="81">
        <v>0.25</v>
      </c>
      <c r="N75" s="82">
        <v>18.75</v>
      </c>
    </row>
    <row r="76" spans="1:14" x14ac:dyDescent="0.25">
      <c r="A76" s="10" t="str">
        <f>_xlfn.IFNA(
    IF(J76=
        "PCB-0001",
        "CSS",
        IF(
            ISNUMBER(MATCH(_xlfn.TEXTBEFORE(J76,"-"), {"CSS","CSN","PCB","PCF","BEC","CSD","PCM"}, 0)),
            _xlfn.TEXTBEFORE(J76,"-"),
            "Other"
        )
    ),
"Add")</f>
        <v>PCB</v>
      </c>
      <c r="B76" s="10" t="str">
        <f t="shared" si="2"/>
        <v>0073</v>
      </c>
      <c r="C76" s="10" t="str">
        <f>_xlfn.LET(
    _xlpm.val, IF(Datadetails[[#This Row],[Activity]]="D02","C20",Datadetails[[#This Row],[Activity]]),
    IF(ISNUMBER(MATCH(_xlpm.val,{"D04","C30","c40","C20"},0)), _xlpm.val, "Other")
)</f>
        <v>C30</v>
      </c>
      <c r="D76" s="10" t="str">
        <f>IFERROR(VLOOKUP(Datadetails[[#This Row],[Taskcode]],Dashboard!A:A,1,FALSE),"00 Err Missing")</f>
        <v>0073</v>
      </c>
      <c r="E76" s="79">
        <v>45749</v>
      </c>
      <c r="F76" s="80" t="s">
        <v>329</v>
      </c>
      <c r="G76" s="60" t="s">
        <v>40</v>
      </c>
      <c r="H76" s="80" t="s">
        <v>240</v>
      </c>
      <c r="I76" s="80" t="s">
        <v>34</v>
      </c>
      <c r="J76" s="80" t="s">
        <v>402</v>
      </c>
      <c r="K76" s="80" t="s">
        <v>347</v>
      </c>
      <c r="L76" s="80" t="s">
        <v>343</v>
      </c>
      <c r="M76" s="81">
        <v>0.17</v>
      </c>
      <c r="N76" s="82">
        <v>12.750000000000002</v>
      </c>
    </row>
    <row r="77" spans="1:14" x14ac:dyDescent="0.25">
      <c r="A77" s="10" t="str">
        <f>_xlfn.IFNA(
    IF(J77=
        "PCB-0001",
        "CSS",
        IF(
            ISNUMBER(MATCH(_xlfn.TEXTBEFORE(J77,"-"), {"CSS","CSN","PCB","PCF","BEC","CSD","PCM"}, 0)),
            _xlfn.TEXTBEFORE(J77,"-"),
            "Other"
        )
    ),
"Add")</f>
        <v>PCB</v>
      </c>
      <c r="B77" s="10" t="str">
        <f t="shared" si="2"/>
        <v>0074</v>
      </c>
      <c r="C77" s="10" t="str">
        <f>_xlfn.LET(
    _xlpm.val, IF(Datadetails[[#This Row],[Activity]]="D02","C20",Datadetails[[#This Row],[Activity]]),
    IF(ISNUMBER(MATCH(_xlpm.val,{"D04","C30","c40","C20"},0)), _xlpm.val, "Other")
)</f>
        <v>C30</v>
      </c>
      <c r="D77" s="10" t="str">
        <f>IFERROR(VLOOKUP(Datadetails[[#This Row],[Taskcode]],Dashboard!A:A,1,FALSE),"00 Err Missing")</f>
        <v>0074</v>
      </c>
      <c r="E77" s="79">
        <v>45749</v>
      </c>
      <c r="F77" s="80" t="s">
        <v>329</v>
      </c>
      <c r="G77" s="60" t="s">
        <v>40</v>
      </c>
      <c r="H77" s="80" t="s">
        <v>241</v>
      </c>
      <c r="I77" s="80" t="s">
        <v>34</v>
      </c>
      <c r="J77" s="80" t="s">
        <v>403</v>
      </c>
      <c r="K77" s="80" t="s">
        <v>347</v>
      </c>
      <c r="L77" s="80" t="s">
        <v>343</v>
      </c>
      <c r="M77" s="81">
        <v>0.17</v>
      </c>
      <c r="N77" s="82">
        <v>12.750000000000002</v>
      </c>
    </row>
    <row r="78" spans="1:14" x14ac:dyDescent="0.25">
      <c r="A78" s="10" t="str">
        <f>_xlfn.IFNA(
    IF(J78=
        "PCB-0001",
        "CSS",
        IF(
            ISNUMBER(MATCH(_xlfn.TEXTBEFORE(J78,"-"), {"CSS","CSN","PCB","PCF","BEC","CSD","PCM"}, 0)),
            _xlfn.TEXTBEFORE(J78,"-"),
            "Other"
        )
    ),
"Add")</f>
        <v>PCB</v>
      </c>
      <c r="B78" s="10" t="str">
        <f t="shared" si="2"/>
        <v>0071</v>
      </c>
      <c r="C78" s="10" t="str">
        <f>_xlfn.LET(
    _xlpm.val, IF(Datadetails[[#This Row],[Activity]]="D02","C20",Datadetails[[#This Row],[Activity]]),
    IF(ISNUMBER(MATCH(_xlpm.val,{"D04","C30","c40","C20"},0)), _xlpm.val, "Other")
)</f>
        <v>C30</v>
      </c>
      <c r="D78" s="10" t="str">
        <f>IFERROR(VLOOKUP(Datadetails[[#This Row],[Taskcode]],Dashboard!A:A,1,FALSE),"00 Err Missing")</f>
        <v>0071</v>
      </c>
      <c r="E78" s="79">
        <v>45749</v>
      </c>
      <c r="F78" s="80" t="s">
        <v>329</v>
      </c>
      <c r="G78" s="60" t="s">
        <v>40</v>
      </c>
      <c r="H78" s="80" t="s">
        <v>238</v>
      </c>
      <c r="I78" s="80" t="s">
        <v>34</v>
      </c>
      <c r="J78" s="80" t="s">
        <v>374</v>
      </c>
      <c r="K78" s="80" t="s">
        <v>347</v>
      </c>
      <c r="L78" s="80" t="s">
        <v>343</v>
      </c>
      <c r="M78" s="81">
        <v>0.17</v>
      </c>
      <c r="N78" s="82">
        <v>12.750000000000002</v>
      </c>
    </row>
    <row r="79" spans="1:14" x14ac:dyDescent="0.25">
      <c r="A79" s="10" t="str">
        <f>_xlfn.IFNA(
    IF(J79=
        "PCB-0001",
        "CSS",
        IF(
            ISNUMBER(MATCH(_xlfn.TEXTBEFORE(J79,"-"), {"CSS","CSN","PCB","PCF","BEC","CSD","PCM"}, 0)),
            _xlfn.TEXTBEFORE(J79,"-"),
            "Other"
        )
    ),
"Add")</f>
        <v>PCB</v>
      </c>
      <c r="B79" s="10" t="str">
        <f t="shared" si="2"/>
        <v>0075</v>
      </c>
      <c r="C79" s="10" t="str">
        <f>_xlfn.LET(
    _xlpm.val, IF(Datadetails[[#This Row],[Activity]]="D02","C20",Datadetails[[#This Row],[Activity]]),
    IF(ISNUMBER(MATCH(_xlpm.val,{"D04","C30","c40","C20"},0)), _xlpm.val, "Other")
)</f>
        <v>C30</v>
      </c>
      <c r="D79" s="10" t="str">
        <f>IFERROR(VLOOKUP(Datadetails[[#This Row],[Taskcode]],Dashboard!A:A,1,FALSE),"00 Err Missing")</f>
        <v>0075</v>
      </c>
      <c r="E79" s="79">
        <v>45749</v>
      </c>
      <c r="F79" s="80" t="s">
        <v>329</v>
      </c>
      <c r="G79" s="60" t="s">
        <v>40</v>
      </c>
      <c r="H79" s="80" t="s">
        <v>242</v>
      </c>
      <c r="I79" s="80" t="s">
        <v>34</v>
      </c>
      <c r="J79" s="80" t="s">
        <v>404</v>
      </c>
      <c r="K79" s="80" t="s">
        <v>347</v>
      </c>
      <c r="L79" s="80" t="s">
        <v>343</v>
      </c>
      <c r="M79" s="81">
        <v>0.08</v>
      </c>
      <c r="N79" s="82">
        <v>6</v>
      </c>
    </row>
    <row r="80" spans="1:14" x14ac:dyDescent="0.25">
      <c r="A80" s="10" t="str">
        <f>_xlfn.IFNA(
    IF(J80=
        "PCB-0001",
        "CSS",
        IF(
            ISNUMBER(MATCH(_xlfn.TEXTBEFORE(J80,"-"), {"CSS","CSN","PCB","PCF","BEC","CSD","PCM"}, 0)),
            _xlfn.TEXTBEFORE(J80,"-"),
            "Other"
        )
    ),
"Add")</f>
        <v>PCB</v>
      </c>
      <c r="B80" s="10" t="str">
        <f t="shared" si="2"/>
        <v>0080</v>
      </c>
      <c r="C80" s="10" t="str">
        <f>_xlfn.LET(
    _xlpm.val, IF(Datadetails[[#This Row],[Activity]]="D02","C20",Datadetails[[#This Row],[Activity]]),
    IF(ISNUMBER(MATCH(_xlpm.val,{"D04","C30","c40","C20"},0)), _xlpm.val, "Other")
)</f>
        <v>C30</v>
      </c>
      <c r="D80" s="10" t="str">
        <f>IFERROR(VLOOKUP(Datadetails[[#This Row],[Taskcode]],Dashboard!A:A,1,FALSE),"00 Err Missing")</f>
        <v>0080</v>
      </c>
      <c r="E80" s="79">
        <v>45749</v>
      </c>
      <c r="F80" s="80" t="s">
        <v>329</v>
      </c>
      <c r="G80" s="60" t="s">
        <v>40</v>
      </c>
      <c r="H80" s="80" t="s">
        <v>247</v>
      </c>
      <c r="I80" s="80" t="s">
        <v>34</v>
      </c>
      <c r="J80" s="80" t="s">
        <v>375</v>
      </c>
      <c r="K80" s="80" t="s">
        <v>347</v>
      </c>
      <c r="L80" s="80" t="s">
        <v>343</v>
      </c>
      <c r="M80" s="81">
        <v>0.67</v>
      </c>
      <c r="N80" s="82">
        <v>50.25</v>
      </c>
    </row>
    <row r="81" spans="1:14" x14ac:dyDescent="0.25">
      <c r="A81" s="10" t="str">
        <f>_xlfn.IFNA(
    IF(J81=
        "PCB-0001",
        "CSS",
        IF(
            ISNUMBER(MATCH(_xlfn.TEXTBEFORE(J81,"-"), {"CSS","CSN","PCB","PCF","BEC","CSD","PCM"}, 0)),
            _xlfn.TEXTBEFORE(J81,"-"),
            "Other"
        )
    ),
"Add")</f>
        <v>PCB</v>
      </c>
      <c r="B81" s="10" t="str">
        <f t="shared" si="2"/>
        <v>0126</v>
      </c>
      <c r="C81" s="10" t="str">
        <f>_xlfn.LET(
    _xlpm.val, IF(Datadetails[[#This Row],[Activity]]="D02","C20",Datadetails[[#This Row],[Activity]]),
    IF(ISNUMBER(MATCH(_xlpm.val,{"D04","C30","c40","C20"},0)), _xlpm.val, "Other")
)</f>
        <v>C30</v>
      </c>
      <c r="D81" s="10" t="str">
        <f>IFERROR(VLOOKUP(Datadetails[[#This Row],[Taskcode]],Dashboard!A:A,1,FALSE),"00 Err Missing")</f>
        <v>0126</v>
      </c>
      <c r="E81" s="79">
        <v>45749</v>
      </c>
      <c r="F81" s="80" t="s">
        <v>329</v>
      </c>
      <c r="G81" s="60" t="s">
        <v>40</v>
      </c>
      <c r="H81" s="80" t="s">
        <v>293</v>
      </c>
      <c r="I81" s="80" t="s">
        <v>34</v>
      </c>
      <c r="J81" s="80" t="s">
        <v>376</v>
      </c>
      <c r="K81" s="80" t="s">
        <v>347</v>
      </c>
      <c r="L81" s="80" t="s">
        <v>343</v>
      </c>
      <c r="M81" s="81">
        <v>0.17</v>
      </c>
      <c r="N81" s="82">
        <v>12.750000000000002</v>
      </c>
    </row>
    <row r="82" spans="1:14" x14ac:dyDescent="0.25">
      <c r="A82" s="10" t="str">
        <f>_xlfn.IFNA(
    IF(J82=
        "PCB-0001",
        "CSS",
        IF(
            ISNUMBER(MATCH(_xlfn.TEXTBEFORE(J82,"-"), {"CSS","CSN","PCB","PCF","BEC","CSD","PCM"}, 0)),
            _xlfn.TEXTBEFORE(J82,"-"),
            "Other"
        )
    ),
"Add")</f>
        <v>PCB</v>
      </c>
      <c r="B82" s="10" t="str">
        <f t="shared" si="2"/>
        <v>0127</v>
      </c>
      <c r="C82" s="10" t="str">
        <f>_xlfn.LET(
    _xlpm.val, IF(Datadetails[[#This Row],[Activity]]="D02","C20",Datadetails[[#This Row],[Activity]]),
    IF(ISNUMBER(MATCH(_xlpm.val,{"D04","C30","c40","C20"},0)), _xlpm.val, "Other")
)</f>
        <v>C30</v>
      </c>
      <c r="D82" s="10" t="str">
        <f>IFERROR(VLOOKUP(Datadetails[[#This Row],[Taskcode]],Dashboard!A:A,1,FALSE),"00 Err Missing")</f>
        <v>0127</v>
      </c>
      <c r="E82" s="79">
        <v>45749</v>
      </c>
      <c r="F82" s="80" t="s">
        <v>329</v>
      </c>
      <c r="G82" s="60" t="s">
        <v>40</v>
      </c>
      <c r="H82" s="80" t="s">
        <v>294</v>
      </c>
      <c r="I82" s="80" t="s">
        <v>34</v>
      </c>
      <c r="J82" s="80" t="s">
        <v>377</v>
      </c>
      <c r="K82" s="80" t="s">
        <v>347</v>
      </c>
      <c r="L82" s="80" t="s">
        <v>343</v>
      </c>
      <c r="M82" s="81">
        <v>0.17</v>
      </c>
      <c r="N82" s="82">
        <v>12.750000000000002</v>
      </c>
    </row>
    <row r="83" spans="1:14" x14ac:dyDescent="0.25">
      <c r="A83" s="10" t="str">
        <f>_xlfn.IFNA(
    IF(J83=
        "PCB-0001",
        "CSS",
        IF(
            ISNUMBER(MATCH(_xlfn.TEXTBEFORE(J83,"-"), {"CSS","CSN","PCB","PCF","BEC","CSD","PCM"}, 0)),
            _xlfn.TEXTBEFORE(J83,"-"),
            "Other"
        )
    ),
"Add")</f>
        <v>PCB</v>
      </c>
      <c r="B83" s="10" t="str">
        <f t="shared" si="2"/>
        <v>0121</v>
      </c>
      <c r="C83" s="10" t="str">
        <f>_xlfn.LET(
    _xlpm.val, IF(Datadetails[[#This Row],[Activity]]="D02","C20",Datadetails[[#This Row],[Activity]]),
    IF(ISNUMBER(MATCH(_xlpm.val,{"D04","C30","c40","C20"},0)), _xlpm.val, "Other")
)</f>
        <v>C30</v>
      </c>
      <c r="D83" s="10" t="str">
        <f>IFERROR(VLOOKUP(Datadetails[[#This Row],[Taskcode]],Dashboard!A:A,1,FALSE),"00 Err Missing")</f>
        <v>0121</v>
      </c>
      <c r="E83" s="79">
        <v>45749</v>
      </c>
      <c r="F83" s="80" t="s">
        <v>329</v>
      </c>
      <c r="G83" s="60" t="s">
        <v>40</v>
      </c>
      <c r="H83" s="80" t="s">
        <v>288</v>
      </c>
      <c r="I83" s="80" t="s">
        <v>34</v>
      </c>
      <c r="J83" s="80" t="s">
        <v>405</v>
      </c>
      <c r="K83" s="80" t="s">
        <v>347</v>
      </c>
      <c r="L83" s="80" t="s">
        <v>343</v>
      </c>
      <c r="M83" s="81">
        <v>0.08</v>
      </c>
      <c r="N83" s="82">
        <v>6</v>
      </c>
    </row>
    <row r="84" spans="1:14" x14ac:dyDescent="0.25">
      <c r="A84" s="10" t="str">
        <f>_xlfn.IFNA(
    IF(J84=
        "PCB-0001",
        "CSS",
        IF(
            ISNUMBER(MATCH(_xlfn.TEXTBEFORE(J84,"-"), {"CSS","CSN","PCB","PCF","BEC","CSD","PCM"}, 0)),
            _xlfn.TEXTBEFORE(J84,"-"),
            "Other"
        )
    ),
"Add")</f>
        <v>PCB</v>
      </c>
      <c r="B84" s="10" t="str">
        <f t="shared" si="2"/>
        <v>0120</v>
      </c>
      <c r="C84" s="10" t="str">
        <f>_xlfn.LET(
    _xlpm.val, IF(Datadetails[[#This Row],[Activity]]="D02","C20",Datadetails[[#This Row],[Activity]]),
    IF(ISNUMBER(MATCH(_xlpm.val,{"D04","C30","c40","C20"},0)), _xlpm.val, "Other")
)</f>
        <v>C30</v>
      </c>
      <c r="D84" s="10" t="str">
        <f>IFERROR(VLOOKUP(Datadetails[[#This Row],[Taskcode]],Dashboard!A:A,1,FALSE),"00 Err Missing")</f>
        <v>0120</v>
      </c>
      <c r="E84" s="79">
        <v>45749</v>
      </c>
      <c r="F84" s="80" t="s">
        <v>325</v>
      </c>
      <c r="G84" s="60" t="s">
        <v>40</v>
      </c>
      <c r="H84" s="80" t="s">
        <v>287</v>
      </c>
      <c r="I84" s="80" t="s">
        <v>34</v>
      </c>
      <c r="J84" s="80" t="s">
        <v>378</v>
      </c>
      <c r="K84" s="80" t="s">
        <v>347</v>
      </c>
      <c r="L84" s="80" t="s">
        <v>343</v>
      </c>
      <c r="M84" s="81">
        <v>0.17</v>
      </c>
      <c r="N84" s="82">
        <v>12.750000000000002</v>
      </c>
    </row>
    <row r="85" spans="1:14" x14ac:dyDescent="0.25">
      <c r="A85" s="10" t="str">
        <f>_xlfn.IFNA(
    IF(J85=
        "PCB-0001",
        "CSS",
        IF(
            ISNUMBER(MATCH(_xlfn.TEXTBEFORE(J85,"-"), {"CSS","CSN","PCB","PCF","BEC","CSD","PCM"}, 0)),
            _xlfn.TEXTBEFORE(J85,"-"),
            "Other"
        )
    ),
"Add")</f>
        <v>PCB</v>
      </c>
      <c r="B85" s="10" t="str">
        <f t="shared" si="2"/>
        <v>0128</v>
      </c>
      <c r="C85" s="10" t="str">
        <f>_xlfn.LET(
    _xlpm.val, IF(Datadetails[[#This Row],[Activity]]="D02","C20",Datadetails[[#This Row],[Activity]]),
    IF(ISNUMBER(MATCH(_xlpm.val,{"D04","C30","c40","C20"},0)), _xlpm.val, "Other")
)</f>
        <v>C30</v>
      </c>
      <c r="D85" s="10" t="str">
        <f>IFERROR(VLOOKUP(Datadetails[[#This Row],[Taskcode]],Dashboard!A:A,1,FALSE),"00 Err Missing")</f>
        <v>0128</v>
      </c>
      <c r="E85" s="79">
        <v>45749</v>
      </c>
      <c r="F85" s="80" t="s">
        <v>329</v>
      </c>
      <c r="G85" s="60" t="s">
        <v>40</v>
      </c>
      <c r="H85" s="80" t="s">
        <v>295</v>
      </c>
      <c r="I85" s="80" t="s">
        <v>34</v>
      </c>
      <c r="J85" s="80" t="s">
        <v>379</v>
      </c>
      <c r="K85" s="80" t="s">
        <v>347</v>
      </c>
      <c r="L85" s="80" t="s">
        <v>343</v>
      </c>
      <c r="M85" s="81">
        <v>0.17</v>
      </c>
      <c r="N85" s="82">
        <v>12.750000000000002</v>
      </c>
    </row>
    <row r="86" spans="1:14" x14ac:dyDescent="0.25">
      <c r="A86" s="10" t="str">
        <f>_xlfn.IFNA(
    IF(J86=
        "PCB-0001",
        "CSS",
        IF(
            ISNUMBER(MATCH(_xlfn.TEXTBEFORE(J86,"-"), {"CSS","CSN","PCB","PCF","BEC","CSD","PCM"}, 0)),
            _xlfn.TEXTBEFORE(J86,"-"),
            "Other"
        )
    ),
"Add")</f>
        <v>PCB</v>
      </c>
      <c r="B86" s="10" t="str">
        <f t="shared" si="2"/>
        <v>0131</v>
      </c>
      <c r="C86" s="10" t="str">
        <f>_xlfn.LET(
    _xlpm.val, IF(Datadetails[[#This Row],[Activity]]="D02","C20",Datadetails[[#This Row],[Activity]]),
    IF(ISNUMBER(MATCH(_xlpm.val,{"D04","C30","c40","C20"},0)), _xlpm.val, "Other")
)</f>
        <v>C30</v>
      </c>
      <c r="D86" s="10" t="str">
        <f>IFERROR(VLOOKUP(Datadetails[[#This Row],[Taskcode]],Dashboard!A:A,1,FALSE),"00 Err Missing")</f>
        <v>0131</v>
      </c>
      <c r="E86" s="79">
        <v>45749</v>
      </c>
      <c r="F86" s="80" t="s">
        <v>325</v>
      </c>
      <c r="G86" s="60" t="s">
        <v>40</v>
      </c>
      <c r="H86" s="80" t="s">
        <v>298</v>
      </c>
      <c r="I86" s="80" t="s">
        <v>34</v>
      </c>
      <c r="J86" s="80" t="s">
        <v>406</v>
      </c>
      <c r="K86" s="80" t="s">
        <v>347</v>
      </c>
      <c r="L86" s="80" t="s">
        <v>343</v>
      </c>
      <c r="M86" s="81">
        <v>0.17</v>
      </c>
      <c r="N86" s="82">
        <v>12.750000000000002</v>
      </c>
    </row>
    <row r="87" spans="1:14" x14ac:dyDescent="0.25">
      <c r="A87" s="10" t="str">
        <f>_xlfn.IFNA(
    IF(J87=
        "PCB-0001",
        "CSS",
        IF(
            ISNUMBER(MATCH(_xlfn.TEXTBEFORE(J87,"-"), {"CSS","CSN","PCB","PCF","BEC","CSD","PCM"}, 0)),
            _xlfn.TEXTBEFORE(J87,"-"),
            "Other"
        )
    ),
"Add")</f>
        <v>PCB</v>
      </c>
      <c r="B87" s="10" t="str">
        <f t="shared" si="2"/>
        <v>0091</v>
      </c>
      <c r="C87" s="10" t="str">
        <f>_xlfn.LET(
    _xlpm.val, IF(Datadetails[[#This Row],[Activity]]="D02","C20",Datadetails[[#This Row],[Activity]]),
    IF(ISNUMBER(MATCH(_xlpm.val,{"D04","C30","c40","C20"},0)), _xlpm.val, "Other")
)</f>
        <v>C30</v>
      </c>
      <c r="D87" s="10" t="str">
        <f>IFERROR(VLOOKUP(Datadetails[[#This Row],[Taskcode]],Dashboard!A:A,1,FALSE),"00 Err Missing")</f>
        <v>0091</v>
      </c>
      <c r="E87" s="79">
        <v>45749</v>
      </c>
      <c r="F87" s="80" t="s">
        <v>329</v>
      </c>
      <c r="G87" s="60" t="s">
        <v>40</v>
      </c>
      <c r="H87" s="80" t="s">
        <v>258</v>
      </c>
      <c r="I87" s="80" t="s">
        <v>34</v>
      </c>
      <c r="J87" s="80" t="s">
        <v>381</v>
      </c>
      <c r="K87" s="80" t="s">
        <v>347</v>
      </c>
      <c r="L87" s="80" t="s">
        <v>343</v>
      </c>
      <c r="M87" s="81">
        <v>0.17</v>
      </c>
      <c r="N87" s="82">
        <v>12.750000000000002</v>
      </c>
    </row>
    <row r="88" spans="1:14" x14ac:dyDescent="0.25">
      <c r="A88" s="10" t="str">
        <f>_xlfn.IFNA(
    IF(J88=
        "PCB-0001",
        "CSS",
        IF(
            ISNUMBER(MATCH(_xlfn.TEXTBEFORE(J88,"-"), {"CSS","CSN","PCB","PCF","BEC","CSD","PCM"}, 0)),
            _xlfn.TEXTBEFORE(J88,"-"),
            "Other"
        )
    ),
"Add")</f>
        <v>PCB</v>
      </c>
      <c r="B88" s="10" t="str">
        <f t="shared" si="2"/>
        <v>0092</v>
      </c>
      <c r="C88" s="10" t="str">
        <f>_xlfn.LET(
    _xlpm.val, IF(Datadetails[[#This Row],[Activity]]="D02","C20",Datadetails[[#This Row],[Activity]]),
    IF(ISNUMBER(MATCH(_xlpm.val,{"D04","C30","c40","C20"},0)), _xlpm.val, "Other")
)</f>
        <v>C30</v>
      </c>
      <c r="D88" s="10" t="str">
        <f>IFERROR(VLOOKUP(Datadetails[[#This Row],[Taskcode]],Dashboard!A:A,1,FALSE),"00 Err Missing")</f>
        <v>0092</v>
      </c>
      <c r="E88" s="79">
        <v>45749</v>
      </c>
      <c r="F88" s="80" t="s">
        <v>329</v>
      </c>
      <c r="G88" s="60" t="s">
        <v>40</v>
      </c>
      <c r="H88" s="80" t="s">
        <v>259</v>
      </c>
      <c r="I88" s="80" t="s">
        <v>34</v>
      </c>
      <c r="J88" s="80" t="s">
        <v>407</v>
      </c>
      <c r="K88" s="80" t="s">
        <v>347</v>
      </c>
      <c r="L88" s="80" t="s">
        <v>343</v>
      </c>
      <c r="M88" s="81">
        <v>0.08</v>
      </c>
      <c r="N88" s="82">
        <v>6</v>
      </c>
    </row>
    <row r="89" spans="1:14" x14ac:dyDescent="0.25">
      <c r="A89" s="10" t="str">
        <f>_xlfn.IFNA(
    IF(J89=
        "PCB-0001",
        "CSS",
        IF(
            ISNUMBER(MATCH(_xlfn.TEXTBEFORE(J89,"-"), {"CSS","CSN","PCB","PCF","BEC","CSD","PCM"}, 0)),
            _xlfn.TEXTBEFORE(J89,"-"),
            "Other"
        )
    ),
"Add")</f>
        <v>PCB</v>
      </c>
      <c r="B89" s="10" t="str">
        <f t="shared" si="2"/>
        <v>0096</v>
      </c>
      <c r="C89" s="10" t="str">
        <f>_xlfn.LET(
    _xlpm.val, IF(Datadetails[[#This Row],[Activity]]="D02","C20",Datadetails[[#This Row],[Activity]]),
    IF(ISNUMBER(MATCH(_xlpm.val,{"D04","C30","c40","C20"},0)), _xlpm.val, "Other")
)</f>
        <v>C30</v>
      </c>
      <c r="D89" s="10" t="str">
        <f>IFERROR(VLOOKUP(Datadetails[[#This Row],[Taskcode]],Dashboard!A:A,1,FALSE),"00 Err Missing")</f>
        <v>0096</v>
      </c>
      <c r="E89" s="79">
        <v>45749</v>
      </c>
      <c r="F89" s="80" t="s">
        <v>330</v>
      </c>
      <c r="G89" s="60" t="s">
        <v>40</v>
      </c>
      <c r="H89" s="80" t="s">
        <v>263</v>
      </c>
      <c r="I89" s="80" t="s">
        <v>34</v>
      </c>
      <c r="J89" s="80" t="s">
        <v>383</v>
      </c>
      <c r="K89" s="80" t="s">
        <v>347</v>
      </c>
      <c r="L89" s="80" t="s">
        <v>343</v>
      </c>
      <c r="M89" s="81">
        <v>0.25</v>
      </c>
      <c r="N89" s="82">
        <v>15</v>
      </c>
    </row>
    <row r="90" spans="1:14" x14ac:dyDescent="0.25">
      <c r="A90" s="10" t="str">
        <f>_xlfn.IFNA(
    IF(J90=
        "PCB-0001",
        "CSS",
        IF(
            ISNUMBER(MATCH(_xlfn.TEXTBEFORE(J90,"-"), {"CSS","CSN","PCB","PCF","BEC","CSD","PCM"}, 0)),
            _xlfn.TEXTBEFORE(J90,"-"),
            "Other"
        )
    ),
"Add")</f>
        <v>PCB</v>
      </c>
      <c r="B90" s="10" t="str">
        <f t="shared" si="2"/>
        <v>0097</v>
      </c>
      <c r="C90" s="10" t="str">
        <f>_xlfn.LET(
    _xlpm.val, IF(Datadetails[[#This Row],[Activity]]="D02","C20",Datadetails[[#This Row],[Activity]]),
    IF(ISNUMBER(MATCH(_xlpm.val,{"D04","C30","c40","C20"},0)), _xlpm.val, "Other")
)</f>
        <v>C30</v>
      </c>
      <c r="D90" s="10" t="str">
        <f>IFERROR(VLOOKUP(Datadetails[[#This Row],[Taskcode]],Dashboard!A:A,1,FALSE),"00 Err Missing")</f>
        <v>0097</v>
      </c>
      <c r="E90" s="79">
        <v>45749</v>
      </c>
      <c r="F90" s="80" t="s">
        <v>325</v>
      </c>
      <c r="G90" s="60" t="s">
        <v>40</v>
      </c>
      <c r="H90" s="80" t="s">
        <v>264</v>
      </c>
      <c r="I90" s="80" t="s">
        <v>34</v>
      </c>
      <c r="J90" s="80" t="s">
        <v>384</v>
      </c>
      <c r="K90" s="80" t="s">
        <v>347</v>
      </c>
      <c r="L90" s="80" t="s">
        <v>343</v>
      </c>
      <c r="M90" s="81">
        <v>0.17</v>
      </c>
      <c r="N90" s="82">
        <v>12.750000000000002</v>
      </c>
    </row>
    <row r="91" spans="1:14" x14ac:dyDescent="0.25">
      <c r="A91" s="10" t="str">
        <f>_xlfn.IFNA(
    IF(J91=
        "PCB-0001",
        "CSS",
        IF(
            ISNUMBER(MATCH(_xlfn.TEXTBEFORE(J91,"-"), {"CSS","CSN","PCB","PCF","BEC","CSD","PCM"}, 0)),
            _xlfn.TEXTBEFORE(J91,"-"),
            "Other"
        )
    ),
"Add")</f>
        <v>PCB</v>
      </c>
      <c r="B91" s="10" t="str">
        <f t="shared" si="2"/>
        <v>0086</v>
      </c>
      <c r="C91" s="10" t="str">
        <f>_xlfn.LET(
    _xlpm.val, IF(Datadetails[[#This Row],[Activity]]="D02","C20",Datadetails[[#This Row],[Activity]]),
    IF(ISNUMBER(MATCH(_xlpm.val,{"D04","C30","c40","C20"},0)), _xlpm.val, "Other")
)</f>
        <v>C30</v>
      </c>
      <c r="D91" s="10" t="str">
        <f>IFERROR(VLOOKUP(Datadetails[[#This Row],[Taskcode]],Dashboard!A:A,1,FALSE),"00 Err Missing")</f>
        <v>0086</v>
      </c>
      <c r="E91" s="79">
        <v>45749</v>
      </c>
      <c r="F91" s="80" t="s">
        <v>325</v>
      </c>
      <c r="G91" s="60" t="s">
        <v>40</v>
      </c>
      <c r="H91" s="80" t="s">
        <v>253</v>
      </c>
      <c r="I91" s="80" t="s">
        <v>34</v>
      </c>
      <c r="J91" s="80" t="s">
        <v>408</v>
      </c>
      <c r="K91" s="80" t="s">
        <v>347</v>
      </c>
      <c r="L91" s="80" t="s">
        <v>343</v>
      </c>
      <c r="M91" s="81">
        <v>0.17</v>
      </c>
      <c r="N91" s="82">
        <v>12.750000000000002</v>
      </c>
    </row>
    <row r="92" spans="1:14" x14ac:dyDescent="0.25">
      <c r="A92" s="10" t="str">
        <f>_xlfn.IFNA(
    IF(J92=
        "PCB-0001",
        "CSS",
        IF(
            ISNUMBER(MATCH(_xlfn.TEXTBEFORE(J92,"-"), {"CSS","CSN","PCB","PCF","BEC","CSD","PCM"}, 0)),
            _xlfn.TEXTBEFORE(J92,"-"),
            "Other"
        )
    ),
"Add")</f>
        <v>PCB</v>
      </c>
      <c r="B92" s="10" t="str">
        <f t="shared" si="2"/>
        <v>0082</v>
      </c>
      <c r="C92" s="10" t="str">
        <f>_xlfn.LET(
    _xlpm.val, IF(Datadetails[[#This Row],[Activity]]="D02","C20",Datadetails[[#This Row],[Activity]]),
    IF(ISNUMBER(MATCH(_xlpm.val,{"D04","C30","c40","C20"},0)), _xlpm.val, "Other")
)</f>
        <v>C30</v>
      </c>
      <c r="D92" s="10" t="str">
        <f>IFERROR(VLOOKUP(Datadetails[[#This Row],[Taskcode]],Dashboard!A:A,1,FALSE),"00 Err Missing")</f>
        <v>0082</v>
      </c>
      <c r="E92" s="79">
        <v>45749</v>
      </c>
      <c r="F92" s="80" t="s">
        <v>325</v>
      </c>
      <c r="G92" s="60" t="s">
        <v>40</v>
      </c>
      <c r="H92" s="80" t="s">
        <v>249</v>
      </c>
      <c r="I92" s="80" t="s">
        <v>34</v>
      </c>
      <c r="J92" s="80" t="s">
        <v>409</v>
      </c>
      <c r="K92" s="80" t="s">
        <v>347</v>
      </c>
      <c r="L92" s="80" t="s">
        <v>343</v>
      </c>
      <c r="M92" s="81">
        <v>0.25</v>
      </c>
      <c r="N92" s="82">
        <v>18.75</v>
      </c>
    </row>
    <row r="93" spans="1:14" x14ac:dyDescent="0.25">
      <c r="A93" s="10" t="str">
        <f>_xlfn.IFNA(
    IF(J93=
        "PCB-0001",
        "CSS",
        IF(
            ISNUMBER(MATCH(_xlfn.TEXTBEFORE(J93,"-"), {"CSS","CSN","PCB","PCF","BEC","CSD","PCM"}, 0)),
            _xlfn.TEXTBEFORE(J93,"-"),
            "Other"
        )
    ),
"Add")</f>
        <v>PCB</v>
      </c>
      <c r="B93" s="10" t="str">
        <f t="shared" si="2"/>
        <v>0081</v>
      </c>
      <c r="C93" s="10" t="str">
        <f>_xlfn.LET(
    _xlpm.val, IF(Datadetails[[#This Row],[Activity]]="D02","C20",Datadetails[[#This Row],[Activity]]),
    IF(ISNUMBER(MATCH(_xlpm.val,{"D04","C30","c40","C20"},0)), _xlpm.val, "Other")
)</f>
        <v>C30</v>
      </c>
      <c r="D93" s="10" t="str">
        <f>IFERROR(VLOOKUP(Datadetails[[#This Row],[Taskcode]],Dashboard!A:A,1,FALSE),"00 Err Missing")</f>
        <v>0081</v>
      </c>
      <c r="E93" s="79">
        <v>45749</v>
      </c>
      <c r="F93" s="80" t="s">
        <v>329</v>
      </c>
      <c r="G93" s="60" t="s">
        <v>40</v>
      </c>
      <c r="H93" s="80" t="s">
        <v>248</v>
      </c>
      <c r="I93" s="80" t="s">
        <v>34</v>
      </c>
      <c r="J93" s="80" t="s">
        <v>385</v>
      </c>
      <c r="K93" s="80" t="s">
        <v>347</v>
      </c>
      <c r="L93" s="80" t="s">
        <v>343</v>
      </c>
      <c r="M93" s="81">
        <v>0.17</v>
      </c>
      <c r="N93" s="82">
        <v>12.750000000000002</v>
      </c>
    </row>
    <row r="94" spans="1:14" x14ac:dyDescent="0.25">
      <c r="A94" s="10" t="str">
        <f>_xlfn.IFNA(
    IF(J94=
        "PCB-0001",
        "CSS",
        IF(
            ISNUMBER(MATCH(_xlfn.TEXTBEFORE(J94,"-"), {"CSS","CSN","PCB","PCF","BEC","CSD","PCM"}, 0)),
            _xlfn.TEXTBEFORE(J94,"-"),
            "Other"
        )
    ),
"Add")</f>
        <v>PCB</v>
      </c>
      <c r="B94" s="10" t="str">
        <f t="shared" si="2"/>
        <v>0063</v>
      </c>
      <c r="C94" s="10" t="str">
        <f>_xlfn.LET(
    _xlpm.val, IF(Datadetails[[#This Row],[Activity]]="D02","C20",Datadetails[[#This Row],[Activity]]),
    IF(ISNUMBER(MATCH(_xlpm.val,{"D04","C30","c40","C20"},0)), _xlpm.val, "Other")
)</f>
        <v>C30</v>
      </c>
      <c r="D94" s="10" t="str">
        <f>IFERROR(VLOOKUP(Datadetails[[#This Row],[Taskcode]],Dashboard!A:A,1,FALSE),"00 Err Missing")</f>
        <v>0063</v>
      </c>
      <c r="E94" s="79">
        <v>45749</v>
      </c>
      <c r="F94" s="80" t="s">
        <v>329</v>
      </c>
      <c r="G94" s="60" t="s">
        <v>40</v>
      </c>
      <c r="H94" s="80" t="s">
        <v>230</v>
      </c>
      <c r="I94" s="80" t="s">
        <v>34</v>
      </c>
      <c r="J94" s="80" t="s">
        <v>410</v>
      </c>
      <c r="K94" s="80" t="s">
        <v>347</v>
      </c>
      <c r="L94" s="80" t="s">
        <v>343</v>
      </c>
      <c r="M94" s="81">
        <v>0.17</v>
      </c>
      <c r="N94" s="82">
        <v>12.750000000000002</v>
      </c>
    </row>
    <row r="95" spans="1:14" x14ac:dyDescent="0.25">
      <c r="A95" s="10" t="str">
        <f>_xlfn.IFNA(
    IF(J95=
        "PCB-0001",
        "CSS",
        IF(
            ISNUMBER(MATCH(_xlfn.TEXTBEFORE(J95,"-"), {"CSS","CSN","PCB","PCF","BEC","CSD","PCM"}, 0)),
            _xlfn.TEXTBEFORE(J95,"-"),
            "Other"
        )
    ),
"Add")</f>
        <v>PCB</v>
      </c>
      <c r="B95" s="10" t="str">
        <f t="shared" si="2"/>
        <v>0101</v>
      </c>
      <c r="C95" s="10" t="str">
        <f>_xlfn.LET(
    _xlpm.val, IF(Datadetails[[#This Row],[Activity]]="D02","C20",Datadetails[[#This Row],[Activity]]),
    IF(ISNUMBER(MATCH(_xlpm.val,{"D04","C30","c40","C20"},0)), _xlpm.val, "Other")
)</f>
        <v>C30</v>
      </c>
      <c r="D95" s="10" t="str">
        <f>IFERROR(VLOOKUP(Datadetails[[#This Row],[Taskcode]],Dashboard!A:A,1,FALSE),"00 Err Missing")</f>
        <v>0101</v>
      </c>
      <c r="E95" s="79">
        <v>45749</v>
      </c>
      <c r="F95" s="80" t="s">
        <v>329</v>
      </c>
      <c r="G95" s="60" t="s">
        <v>40</v>
      </c>
      <c r="H95" s="80" t="s">
        <v>268</v>
      </c>
      <c r="I95" s="80" t="s">
        <v>34</v>
      </c>
      <c r="J95" s="80" t="s">
        <v>386</v>
      </c>
      <c r="K95" s="80" t="s">
        <v>347</v>
      </c>
      <c r="L95" s="80" t="s">
        <v>343</v>
      </c>
      <c r="M95" s="81">
        <v>0.17</v>
      </c>
      <c r="N95" s="82">
        <v>12.750000000000002</v>
      </c>
    </row>
    <row r="96" spans="1:14" x14ac:dyDescent="0.25">
      <c r="A96" s="10" t="str">
        <f>_xlfn.IFNA(
    IF(J96=
        "PCB-0001",
        "CSS",
        IF(
            ISNUMBER(MATCH(_xlfn.TEXTBEFORE(J96,"-"), {"CSS","CSN","PCB","PCF","BEC","CSD","PCM"}, 0)),
            _xlfn.TEXTBEFORE(J96,"-"),
            "Other"
        )
    ),
"Add")</f>
        <v>PCB</v>
      </c>
      <c r="B96" s="10" t="str">
        <f t="shared" si="2"/>
        <v>0129</v>
      </c>
      <c r="C96" s="10" t="str">
        <f>_xlfn.LET(
    _xlpm.val, IF(Datadetails[[#This Row],[Activity]]="D02","C20",Datadetails[[#This Row],[Activity]]),
    IF(ISNUMBER(MATCH(_xlpm.val,{"D04","C30","c40","C20"},0)), _xlpm.val, "Other")
)</f>
        <v>C40</v>
      </c>
      <c r="D96" s="10" t="str">
        <f>IFERROR(VLOOKUP(Datadetails[[#This Row],[Taskcode]],Dashboard!A:A,1,FALSE),"00 Err Missing")</f>
        <v>0129</v>
      </c>
      <c r="E96" s="79">
        <v>45749</v>
      </c>
      <c r="F96" s="80" t="s">
        <v>329</v>
      </c>
      <c r="G96" s="60" t="s">
        <v>40</v>
      </c>
      <c r="H96" s="80" t="s">
        <v>296</v>
      </c>
      <c r="I96" s="80" t="s">
        <v>341</v>
      </c>
      <c r="J96" s="80" t="s">
        <v>411</v>
      </c>
      <c r="K96" s="80" t="s">
        <v>347</v>
      </c>
      <c r="L96" s="80" t="s">
        <v>344</v>
      </c>
      <c r="M96" s="81">
        <v>2</v>
      </c>
      <c r="N96" s="82">
        <v>150</v>
      </c>
    </row>
    <row r="97" spans="1:14" x14ac:dyDescent="0.25">
      <c r="A97" s="10" t="str">
        <f>_xlfn.IFNA(
    IF(J97=
        "PCB-0001",
        "CSS",
        IF(
            ISNUMBER(MATCH(_xlfn.TEXTBEFORE(J97,"-"), {"CSS","CSN","PCB","PCF","BEC","CSD","PCM"}, 0)),
            _xlfn.TEXTBEFORE(J97,"-"),
            "Other"
        )
    ),
"Add")</f>
        <v>PCB</v>
      </c>
      <c r="B97" s="10" t="str">
        <f t="shared" si="2"/>
        <v>0124</v>
      </c>
      <c r="C97" s="10" t="str">
        <f>_xlfn.LET(
    _xlpm.val, IF(Datadetails[[#This Row],[Activity]]="D02","C20",Datadetails[[#This Row],[Activity]]),
    IF(ISNUMBER(MATCH(_xlpm.val,{"D04","C30","c40","C20"},0)), _xlpm.val, "Other")
)</f>
        <v>C40</v>
      </c>
      <c r="D97" s="10" t="str">
        <f>IFERROR(VLOOKUP(Datadetails[[#This Row],[Taskcode]],Dashboard!A:A,1,FALSE),"00 Err Missing")</f>
        <v>0124</v>
      </c>
      <c r="E97" s="79">
        <v>45749</v>
      </c>
      <c r="F97" s="80" t="s">
        <v>325</v>
      </c>
      <c r="G97" s="60" t="s">
        <v>40</v>
      </c>
      <c r="H97" s="80" t="s">
        <v>291</v>
      </c>
      <c r="I97" s="80" t="s">
        <v>341</v>
      </c>
      <c r="J97" s="80" t="s">
        <v>412</v>
      </c>
      <c r="K97" s="80" t="s">
        <v>347</v>
      </c>
      <c r="L97" s="80" t="s">
        <v>344</v>
      </c>
      <c r="M97" s="81">
        <v>0.57999999999999996</v>
      </c>
      <c r="N97" s="82">
        <v>43.5</v>
      </c>
    </row>
    <row r="98" spans="1:14" x14ac:dyDescent="0.25">
      <c r="A98" s="10" t="str">
        <f>_xlfn.IFNA(
    IF(J98=
        "PCB-0001",
        "CSS",
        IF(
            ISNUMBER(MATCH(_xlfn.TEXTBEFORE(J98,"-"), {"CSS","CSN","PCB","PCF","BEC","CSD","PCM"}, 0)),
            _xlfn.TEXTBEFORE(J98,"-"),
            "Other"
        )
    ),
"Add")</f>
        <v>CSS</v>
      </c>
      <c r="B98" s="10" t="str">
        <f t="shared" si="2"/>
        <v>0001</v>
      </c>
      <c r="C98" s="10" t="str">
        <f>_xlfn.LET(
    _xlpm.val, IF(Datadetails[[#This Row],[Activity]]="D02","C20",Datadetails[[#This Row],[Activity]]),
    IF(ISNUMBER(MATCH(_xlpm.val,{"D04","C30","c40","C20"},0)), _xlpm.val, "Other")
)</f>
        <v>D04</v>
      </c>
      <c r="D98" s="10" t="str">
        <f>IFERROR(VLOOKUP(Datadetails[[#This Row],[Taskcode]],Dashboard!A:A,1,FALSE),"00 Err Missing")</f>
        <v>0001</v>
      </c>
      <c r="E98" s="79">
        <v>45749</v>
      </c>
      <c r="F98" s="80" t="s">
        <v>325</v>
      </c>
      <c r="G98" s="60" t="s">
        <v>40</v>
      </c>
      <c r="H98" s="80" t="s">
        <v>315</v>
      </c>
      <c r="I98" s="80" t="s">
        <v>35</v>
      </c>
      <c r="J98" s="80" t="s">
        <v>354</v>
      </c>
      <c r="K98" s="80" t="s">
        <v>347</v>
      </c>
      <c r="L98" s="80" t="s">
        <v>352</v>
      </c>
      <c r="M98" s="81">
        <v>0.5</v>
      </c>
      <c r="N98" s="82">
        <v>37.5</v>
      </c>
    </row>
    <row r="99" spans="1:14" x14ac:dyDescent="0.25">
      <c r="A99" s="10" t="str">
        <f>_xlfn.IFNA(
    IF(J99=
        "PCB-0001",
        "CSS",
        IF(
            ISNUMBER(MATCH(_xlfn.TEXTBEFORE(J99,"-"), {"CSS","CSN","PCB","PCF","BEC","CSD","PCM"}, 0)),
            _xlfn.TEXTBEFORE(J99,"-"),
            "Other"
        )
    ),
"Add")</f>
        <v>PCF</v>
      </c>
      <c r="B99" s="10" t="str">
        <f t="shared" si="2"/>
        <v>0021</v>
      </c>
      <c r="C99" s="10" t="str">
        <f>_xlfn.LET(
    _xlpm.val, IF(Datadetails[[#This Row],[Activity]]="D02","C20",Datadetails[[#This Row],[Activity]]),
    IF(ISNUMBER(MATCH(_xlpm.val,{"D04","C30","c40","C20"},0)), _xlpm.val, "Other")
)</f>
        <v>C30</v>
      </c>
      <c r="D99" s="10" t="str">
        <f>IFERROR(VLOOKUP(Datadetails[[#This Row],[Taskcode]],Dashboard!A:A,1,FALSE),"00 Err Missing")</f>
        <v>0021</v>
      </c>
      <c r="E99" s="79">
        <v>45749</v>
      </c>
      <c r="F99" s="80" t="s">
        <v>326</v>
      </c>
      <c r="G99" s="60" t="s">
        <v>40</v>
      </c>
      <c r="H99" s="80" t="s">
        <v>188</v>
      </c>
      <c r="I99" s="80" t="s">
        <v>34</v>
      </c>
      <c r="J99" s="80" t="s">
        <v>356</v>
      </c>
      <c r="K99" s="80" t="s">
        <v>348</v>
      </c>
      <c r="L99" s="80" t="s">
        <v>343</v>
      </c>
      <c r="M99" s="81">
        <v>1</v>
      </c>
      <c r="N99" s="82">
        <v>60</v>
      </c>
    </row>
    <row r="100" spans="1:14" x14ac:dyDescent="0.25">
      <c r="A100" s="10" t="str">
        <f>_xlfn.IFNA(
    IF(J100=
        "PCB-0001",
        "CSS",
        IF(
            ISNUMBER(MATCH(_xlfn.TEXTBEFORE(J100,"-"), {"CSS","CSN","PCB","PCF","BEC","CSD","PCM"}, 0)),
            _xlfn.TEXTBEFORE(J100,"-"),
            "Other"
        )
    ),
"Add")</f>
        <v>BEC</v>
      </c>
      <c r="B100" s="10" t="str">
        <f t="shared" si="2"/>
        <v>0001</v>
      </c>
      <c r="C100" s="10" t="str">
        <f>_xlfn.LET(
    _xlpm.val, IF(Datadetails[[#This Row],[Activity]]="D02","C20",Datadetails[[#This Row],[Activity]]),
    IF(ISNUMBER(MATCH(_xlpm.val,{"D04","C30","c40","C20"},0)), _xlpm.val, "Other")
)</f>
        <v>D04</v>
      </c>
      <c r="D100" s="10" t="str">
        <f>IFERROR(VLOOKUP(Datadetails[[#This Row],[Taskcode]],Dashboard!A:A,1,FALSE),"00 Err Missing")</f>
        <v>0001</v>
      </c>
      <c r="E100" s="79">
        <v>45749</v>
      </c>
      <c r="F100" s="80" t="s">
        <v>332</v>
      </c>
      <c r="G100" s="60" t="s">
        <v>40</v>
      </c>
      <c r="H100" s="80" t="s">
        <v>314</v>
      </c>
      <c r="I100" s="80" t="s">
        <v>35</v>
      </c>
      <c r="J100" s="80" t="s">
        <v>359</v>
      </c>
      <c r="K100" s="80" t="s">
        <v>339</v>
      </c>
      <c r="L100" s="80" t="s">
        <v>352</v>
      </c>
      <c r="M100" s="81">
        <v>9.17</v>
      </c>
      <c r="N100" s="82">
        <v>366.8</v>
      </c>
    </row>
    <row r="101" spans="1:14" x14ac:dyDescent="0.25">
      <c r="A101" s="10" t="str">
        <f>_xlfn.IFNA(
    IF(J101=
        "PCB-0001",
        "CSS",
        IF(
            ISNUMBER(MATCH(_xlfn.TEXTBEFORE(J101,"-"), {"CSS","CSN","PCB","PCF","BEC","CSD","PCM"}, 0)),
            _xlfn.TEXTBEFORE(J101,"-"),
            "Other"
        )
    ),
"Add")</f>
        <v>BEC</v>
      </c>
      <c r="B101" s="10" t="str">
        <f t="shared" si="2"/>
        <v>0001</v>
      </c>
      <c r="C101" s="10" t="str">
        <f>_xlfn.LET(
    _xlpm.val, IF(Datadetails[[#This Row],[Activity]]="D02","C20",Datadetails[[#This Row],[Activity]]),
    IF(ISNUMBER(MATCH(_xlpm.val,{"D04","C30","c40","C20"},0)), _xlpm.val, "Other")
)</f>
        <v>D04</v>
      </c>
      <c r="D101" s="10" t="str">
        <f>IFERROR(VLOOKUP(Datadetails[[#This Row],[Taskcode]],Dashboard!A:A,1,FALSE),"00 Err Missing")</f>
        <v>0001</v>
      </c>
      <c r="E101" s="79">
        <v>45749</v>
      </c>
      <c r="F101" s="80" t="s">
        <v>324</v>
      </c>
      <c r="G101" s="60" t="s">
        <v>40</v>
      </c>
      <c r="H101" s="80" t="s">
        <v>314</v>
      </c>
      <c r="I101" s="80" t="s">
        <v>35</v>
      </c>
      <c r="J101" s="80" t="s">
        <v>359</v>
      </c>
      <c r="K101" s="80" t="s">
        <v>339</v>
      </c>
      <c r="L101" s="80" t="s">
        <v>352</v>
      </c>
      <c r="M101" s="81">
        <v>5.5</v>
      </c>
      <c r="N101" s="82">
        <v>412.5</v>
      </c>
    </row>
    <row r="102" spans="1:14" x14ac:dyDescent="0.25">
      <c r="A102" s="10" t="str">
        <f>_xlfn.IFNA(
    IF(J102=
        "PCB-0001",
        "CSS",
        IF(
            ISNUMBER(MATCH(_xlfn.TEXTBEFORE(J102,"-"), {"CSS","CSN","PCB","PCF","BEC","CSD","PCM"}, 0)),
            _xlfn.TEXTBEFORE(J102,"-"),
            "Other"
        )
    ),
"Add")</f>
        <v>PCM</v>
      </c>
      <c r="B102" s="10" t="str">
        <f t="shared" si="2"/>
        <v>0034</v>
      </c>
      <c r="C102" s="10" t="str">
        <f>_xlfn.LET(
    _xlpm.val, IF(Datadetails[[#This Row],[Activity]]="D02","C20",Datadetails[[#This Row],[Activity]]),
    IF(ISNUMBER(MATCH(_xlpm.val,{"D04","C30","c40","C20"},0)), _xlpm.val, "Other")
)</f>
        <v>C20</v>
      </c>
      <c r="D102" s="10" t="str">
        <f>IFERROR(VLOOKUP(Datadetails[[#This Row],[Taskcode]],Dashboard!A:A,1,FALSE),"00 Err Missing")</f>
        <v>0034</v>
      </c>
      <c r="E102" s="79">
        <v>45750</v>
      </c>
      <c r="F102" s="80" t="s">
        <v>323</v>
      </c>
      <c r="G102" s="60" t="s">
        <v>40</v>
      </c>
      <c r="H102" s="80" t="s">
        <v>201</v>
      </c>
      <c r="I102" s="80" t="s">
        <v>36</v>
      </c>
      <c r="J102" s="80" t="s">
        <v>395</v>
      </c>
      <c r="K102" s="80" t="s">
        <v>346</v>
      </c>
      <c r="L102" s="80" t="s">
        <v>342</v>
      </c>
      <c r="M102" s="81">
        <v>0.33</v>
      </c>
      <c r="N102" s="82">
        <v>19.8</v>
      </c>
    </row>
    <row r="103" spans="1:14" x14ac:dyDescent="0.25">
      <c r="A103" s="10" t="str">
        <f>_xlfn.IFNA(
    IF(J103=
        "PCB-0001",
        "CSS",
        IF(
            ISNUMBER(MATCH(_xlfn.TEXTBEFORE(J103,"-"), {"CSS","CSN","PCB","PCF","BEC","CSD","PCM"}, 0)),
            _xlfn.TEXTBEFORE(J103,"-"),
            "Other"
        )
    ),
"Add")</f>
        <v>CSN</v>
      </c>
      <c r="B103" s="10" t="str">
        <f t="shared" si="2"/>
        <v>0001</v>
      </c>
      <c r="C103" s="10" t="str">
        <f>_xlfn.LET(
    _xlpm.val, IF(Datadetails[[#This Row],[Activity]]="D02","C20",Datadetails[[#This Row],[Activity]]),
    IF(ISNUMBER(MATCH(_xlpm.val,{"D04","C30","c40","C20"},0)), _xlpm.val, "Other")
)</f>
        <v>D04</v>
      </c>
      <c r="D103" s="10" t="str">
        <f>IFERROR(VLOOKUP(Datadetails[[#This Row],[Taskcode]],Dashboard!A:A,1,FALSE),"00 Err Missing")</f>
        <v>0001</v>
      </c>
      <c r="E103" s="79">
        <v>45750</v>
      </c>
      <c r="F103" s="80" t="s">
        <v>329</v>
      </c>
      <c r="G103" s="60" t="s">
        <v>40</v>
      </c>
      <c r="H103" s="80" t="s">
        <v>316</v>
      </c>
      <c r="I103" s="80" t="s">
        <v>35</v>
      </c>
      <c r="J103" s="80" t="s">
        <v>338</v>
      </c>
      <c r="K103" s="80" t="s">
        <v>337</v>
      </c>
      <c r="L103" s="80" t="s">
        <v>352</v>
      </c>
      <c r="M103" s="81">
        <v>1.75</v>
      </c>
      <c r="N103" s="82">
        <v>131.25</v>
      </c>
    </row>
    <row r="104" spans="1:14" x14ac:dyDescent="0.25">
      <c r="A104" s="10" t="str">
        <f>_xlfn.IFNA(
    IF(J104=
        "PCB-0001",
        "CSS",
        IF(
            ISNUMBER(MATCH(_xlfn.TEXTBEFORE(J104,"-"), {"CSS","CSN","PCB","PCF","BEC","CSD","PCM"}, 0)),
            _xlfn.TEXTBEFORE(J104,"-"),
            "Other"
        )
    ),
"Add")</f>
        <v>CSD</v>
      </c>
      <c r="B104" s="10" t="str">
        <f t="shared" si="2"/>
        <v>0001</v>
      </c>
      <c r="C104" s="10" t="str">
        <f>_xlfn.LET(
    _xlpm.val, IF(Datadetails[[#This Row],[Activity]]="D02","C20",Datadetails[[#This Row],[Activity]]),
    IF(ISNUMBER(MATCH(_xlpm.val,{"D04","C30","c40","C20"},0)), _xlpm.val, "Other")
)</f>
        <v>D04</v>
      </c>
      <c r="D104" s="10" t="str">
        <f>IFERROR(VLOOKUP(Datadetails[[#This Row],[Taskcode]],Dashboard!A:A,1,FALSE),"00 Err Missing")</f>
        <v>0001</v>
      </c>
      <c r="E104" s="79">
        <v>45750</v>
      </c>
      <c r="F104" s="80" t="s">
        <v>333</v>
      </c>
      <c r="G104" s="60" t="s">
        <v>40</v>
      </c>
      <c r="H104" s="80" t="s">
        <v>320</v>
      </c>
      <c r="I104" s="80" t="s">
        <v>35</v>
      </c>
      <c r="J104" s="80" t="s">
        <v>322</v>
      </c>
      <c r="K104" s="80" t="s">
        <v>319</v>
      </c>
      <c r="L104" s="80" t="s">
        <v>352</v>
      </c>
      <c r="M104" s="81">
        <v>7.58</v>
      </c>
      <c r="N104" s="82">
        <v>242.56</v>
      </c>
    </row>
    <row r="105" spans="1:14" x14ac:dyDescent="0.25">
      <c r="A105" s="10" t="str">
        <f>_xlfn.IFNA(
    IF(J105=
        "PCB-0001",
        "CSS",
        IF(
            ISNUMBER(MATCH(_xlfn.TEXTBEFORE(J105,"-"), {"CSS","CSN","PCB","PCF","BEC","CSD","PCM"}, 0)),
            _xlfn.TEXTBEFORE(J105,"-"),
            "Other"
        )
    ),
"Add")</f>
        <v>CSD</v>
      </c>
      <c r="B105" s="10" t="str">
        <f t="shared" si="2"/>
        <v>0001</v>
      </c>
      <c r="C105" s="10" t="str">
        <f>_xlfn.LET(
    _xlpm.val, IF(Datadetails[[#This Row],[Activity]]="D02","C20",Datadetails[[#This Row],[Activity]]),
    IF(ISNUMBER(MATCH(_xlpm.val,{"D04","C30","c40","C20"},0)), _xlpm.val, "Other")
)</f>
        <v>D04</v>
      </c>
      <c r="D105" s="10" t="str">
        <f>IFERROR(VLOOKUP(Datadetails[[#This Row],[Taskcode]],Dashboard!A:A,1,FALSE),"00 Err Missing")</f>
        <v>0001</v>
      </c>
      <c r="E105" s="79">
        <v>45750</v>
      </c>
      <c r="F105" s="80" t="s">
        <v>327</v>
      </c>
      <c r="G105" s="60" t="s">
        <v>40</v>
      </c>
      <c r="H105" s="80" t="s">
        <v>320</v>
      </c>
      <c r="I105" s="80" t="s">
        <v>35</v>
      </c>
      <c r="J105" s="80" t="s">
        <v>322</v>
      </c>
      <c r="K105" s="80" t="s">
        <v>319</v>
      </c>
      <c r="L105" s="80" t="s">
        <v>352</v>
      </c>
      <c r="M105" s="81">
        <v>7.42</v>
      </c>
      <c r="N105" s="82">
        <v>237.44</v>
      </c>
    </row>
    <row r="106" spans="1:14" x14ac:dyDescent="0.25">
      <c r="A106" s="10" t="str">
        <f>_xlfn.IFNA(
    IF(J106=
        "PCB-0001",
        "CSS",
        IF(
            ISNUMBER(MATCH(_xlfn.TEXTBEFORE(J106,"-"), {"CSS","CSN","PCB","PCF","BEC","CSD","PCM"}, 0)),
            _xlfn.TEXTBEFORE(J106,"-"),
            "Other"
        )
    ),
"Add")</f>
        <v>PCB</v>
      </c>
      <c r="B106" s="10" t="str">
        <f t="shared" si="2"/>
        <v>0031</v>
      </c>
      <c r="C106" s="10" t="str">
        <f>_xlfn.LET(
    _xlpm.val, IF(Datadetails[[#This Row],[Activity]]="D02","C20",Datadetails[[#This Row],[Activity]]),
    IF(ISNUMBER(MATCH(_xlpm.val,{"D04","C30","c40","C20"},0)), _xlpm.val, "Other")
)</f>
        <v>C30</v>
      </c>
      <c r="D106" s="10" t="str">
        <f>IFERROR(VLOOKUP(Datadetails[[#This Row],[Taskcode]],Dashboard!A:A,1,FALSE),"00 Err Missing")</f>
        <v>0031</v>
      </c>
      <c r="E106" s="79">
        <v>45750</v>
      </c>
      <c r="F106" s="80" t="s">
        <v>325</v>
      </c>
      <c r="G106" s="60" t="s">
        <v>40</v>
      </c>
      <c r="H106" s="80" t="s">
        <v>198</v>
      </c>
      <c r="I106" s="80" t="s">
        <v>34</v>
      </c>
      <c r="J106" s="80" t="s">
        <v>413</v>
      </c>
      <c r="K106" s="80" t="s">
        <v>347</v>
      </c>
      <c r="L106" s="80" t="s">
        <v>343</v>
      </c>
      <c r="M106" s="81">
        <v>0.17</v>
      </c>
      <c r="N106" s="82">
        <v>12.750000000000002</v>
      </c>
    </row>
    <row r="107" spans="1:14" x14ac:dyDescent="0.25">
      <c r="A107" s="10" t="str">
        <f>_xlfn.IFNA(
    IF(J107=
        "PCB-0001",
        "CSS",
        IF(
            ISNUMBER(MATCH(_xlfn.TEXTBEFORE(J107,"-"), {"CSS","CSN","PCB","PCF","BEC","CSD","PCM"}, 0)),
            _xlfn.TEXTBEFORE(J107,"-"),
            "Other"
        )
    ),
"Add")</f>
        <v>PCB</v>
      </c>
      <c r="B107" s="10" t="str">
        <f t="shared" si="2"/>
        <v>0032</v>
      </c>
      <c r="C107" s="10" t="str">
        <f>_xlfn.LET(
    _xlpm.val, IF(Datadetails[[#This Row],[Activity]]="D02","C20",Datadetails[[#This Row],[Activity]]),
    IF(ISNUMBER(MATCH(_xlpm.val,{"D04","C30","c40","C20"},0)), _xlpm.val, "Other")
)</f>
        <v>C30</v>
      </c>
      <c r="D107" s="10" t="str">
        <f>IFERROR(VLOOKUP(Datadetails[[#This Row],[Taskcode]],Dashboard!A:A,1,FALSE),"00 Err Missing")</f>
        <v>0032</v>
      </c>
      <c r="E107" s="79">
        <v>45750</v>
      </c>
      <c r="F107" s="80" t="s">
        <v>330</v>
      </c>
      <c r="G107" s="60" t="s">
        <v>40</v>
      </c>
      <c r="H107" s="80" t="s">
        <v>199</v>
      </c>
      <c r="I107" s="80" t="s">
        <v>34</v>
      </c>
      <c r="J107" s="80" t="s">
        <v>414</v>
      </c>
      <c r="K107" s="80" t="s">
        <v>347</v>
      </c>
      <c r="L107" s="80" t="s">
        <v>343</v>
      </c>
      <c r="M107" s="81">
        <v>1</v>
      </c>
      <c r="N107" s="82">
        <v>60</v>
      </c>
    </row>
    <row r="108" spans="1:14" x14ac:dyDescent="0.25">
      <c r="A108" s="10" t="str">
        <f>_xlfn.IFNA(
    IF(J108=
        "PCB-0001",
        "CSS",
        IF(
            ISNUMBER(MATCH(_xlfn.TEXTBEFORE(J108,"-"), {"CSS","CSN","PCB","PCF","BEC","CSD","PCM"}, 0)),
            _xlfn.TEXTBEFORE(J108,"-"),
            "Other"
        )
    ),
"Add")</f>
        <v>PCB</v>
      </c>
      <c r="B108" s="10" t="str">
        <f t="shared" si="2"/>
        <v>0117</v>
      </c>
      <c r="C108" s="10" t="str">
        <f>_xlfn.LET(
    _xlpm.val, IF(Datadetails[[#This Row],[Activity]]="D02","C20",Datadetails[[#This Row],[Activity]]),
    IF(ISNUMBER(MATCH(_xlpm.val,{"D04","C30","c40","C20"},0)), _xlpm.val, "Other")
)</f>
        <v>C20</v>
      </c>
      <c r="D108" s="10" t="str">
        <f>IFERROR(VLOOKUP(Datadetails[[#This Row],[Taskcode]],Dashboard!A:A,1,FALSE),"00 Err Missing")</f>
        <v>0117</v>
      </c>
      <c r="E108" s="79">
        <v>45750</v>
      </c>
      <c r="F108" s="80" t="s">
        <v>330</v>
      </c>
      <c r="G108" s="60" t="s">
        <v>40</v>
      </c>
      <c r="H108" s="80" t="s">
        <v>284</v>
      </c>
      <c r="I108" s="80" t="s">
        <v>36</v>
      </c>
      <c r="J108" s="80" t="s">
        <v>415</v>
      </c>
      <c r="K108" s="80" t="s">
        <v>347</v>
      </c>
      <c r="L108" s="80" t="s">
        <v>342</v>
      </c>
      <c r="M108" s="81">
        <v>0.5</v>
      </c>
      <c r="N108" s="82">
        <v>30</v>
      </c>
    </row>
    <row r="109" spans="1:14" x14ac:dyDescent="0.25">
      <c r="A109" s="10" t="str">
        <f>_xlfn.IFNA(
    IF(J109=
        "PCB-0001",
        "CSS",
        IF(
            ISNUMBER(MATCH(_xlfn.TEXTBEFORE(J109,"-"), {"CSS","CSN","PCB","PCF","BEC","CSD","PCM"}, 0)),
            _xlfn.TEXTBEFORE(J109,"-"),
            "Other"
        )
    ),
"Add")</f>
        <v>PCB</v>
      </c>
      <c r="B109" s="10" t="str">
        <f t="shared" si="2"/>
        <v>0085</v>
      </c>
      <c r="C109" s="10" t="str">
        <f>_xlfn.LET(
    _xlpm.val, IF(Datadetails[[#This Row],[Activity]]="D02","C20",Datadetails[[#This Row],[Activity]]),
    IF(ISNUMBER(MATCH(_xlpm.val,{"D04","C30","c40","C20"},0)), _xlpm.val, "Other")
)</f>
        <v>C20</v>
      </c>
      <c r="D109" s="10" t="str">
        <f>IFERROR(VLOOKUP(Datadetails[[#This Row],[Taskcode]],Dashboard!A:A,1,FALSE),"00 Err Missing")</f>
        <v>0085</v>
      </c>
      <c r="E109" s="79">
        <v>45750</v>
      </c>
      <c r="F109" s="80" t="s">
        <v>330</v>
      </c>
      <c r="G109" s="60" t="s">
        <v>40</v>
      </c>
      <c r="H109" s="80" t="s">
        <v>252</v>
      </c>
      <c r="I109" s="80" t="s">
        <v>36</v>
      </c>
      <c r="J109" s="80" t="s">
        <v>416</v>
      </c>
      <c r="K109" s="80" t="s">
        <v>347</v>
      </c>
      <c r="L109" s="80" t="s">
        <v>342</v>
      </c>
      <c r="M109" s="81">
        <v>1</v>
      </c>
      <c r="N109" s="82">
        <v>60</v>
      </c>
    </row>
    <row r="110" spans="1:14" x14ac:dyDescent="0.25">
      <c r="A110" s="10" t="str">
        <f>_xlfn.IFNA(
    IF(J110=
        "PCB-0001",
        "CSS",
        IF(
            ISNUMBER(MATCH(_xlfn.TEXTBEFORE(J110,"-"), {"CSS","CSN","PCB","PCF","BEC","CSD","PCM"}, 0)),
            _xlfn.TEXTBEFORE(J110,"-"),
            "Other"
        )
    ),
"Add")</f>
        <v>PCB</v>
      </c>
      <c r="B110" s="10" t="str">
        <f t="shared" si="2"/>
        <v>0004</v>
      </c>
      <c r="C110" s="10" t="str">
        <f>_xlfn.LET(
    _xlpm.val, IF(Datadetails[[#This Row],[Activity]]="D02","C20",Datadetails[[#This Row],[Activity]]),
    IF(ISNUMBER(MATCH(_xlpm.val,{"D04","C30","c40","C20"},0)), _xlpm.val, "Other")
)</f>
        <v>C30</v>
      </c>
      <c r="D110" s="10" t="str">
        <f>IFERROR(VLOOKUP(Datadetails[[#This Row],[Taskcode]],Dashboard!A:A,1,FALSE),"00 Err Missing")</f>
        <v>0004</v>
      </c>
      <c r="E110" s="79">
        <v>45750</v>
      </c>
      <c r="F110" s="80" t="s">
        <v>330</v>
      </c>
      <c r="G110" s="60" t="s">
        <v>40</v>
      </c>
      <c r="H110" s="80" t="s">
        <v>171</v>
      </c>
      <c r="I110" s="80" t="s">
        <v>34</v>
      </c>
      <c r="J110" s="80" t="s">
        <v>390</v>
      </c>
      <c r="K110" s="80" t="s">
        <v>347</v>
      </c>
      <c r="L110" s="80" t="s">
        <v>343</v>
      </c>
      <c r="M110" s="81">
        <v>0.5</v>
      </c>
      <c r="N110" s="82">
        <v>30</v>
      </c>
    </row>
    <row r="111" spans="1:14" x14ac:dyDescent="0.25">
      <c r="A111" s="10" t="str">
        <f>_xlfn.IFNA(
    IF(J111=
        "PCB-0001",
        "CSS",
        IF(
            ISNUMBER(MATCH(_xlfn.TEXTBEFORE(J111,"-"), {"CSS","CSN","PCB","PCF","BEC","CSD","PCM"}, 0)),
            _xlfn.TEXTBEFORE(J111,"-"),
            "Other"
        )
    ),
"Add")</f>
        <v>PCB</v>
      </c>
      <c r="B111" s="10" t="str">
        <f t="shared" si="2"/>
        <v>0016</v>
      </c>
      <c r="C111" s="10" t="str">
        <f>_xlfn.LET(
    _xlpm.val, IF(Datadetails[[#This Row],[Activity]]="D02","C20",Datadetails[[#This Row],[Activity]]),
    IF(ISNUMBER(MATCH(_xlpm.val,{"D04","C30","c40","C20"},0)), _xlpm.val, "Other")
)</f>
        <v>C30</v>
      </c>
      <c r="D111" s="10" t="str">
        <f>IFERROR(VLOOKUP(Datadetails[[#This Row],[Taskcode]],Dashboard!A:A,1,FALSE),"00 Err Missing")</f>
        <v>0016</v>
      </c>
      <c r="E111" s="79">
        <v>45750</v>
      </c>
      <c r="F111" s="80" t="s">
        <v>329</v>
      </c>
      <c r="G111" s="60" t="s">
        <v>40</v>
      </c>
      <c r="H111" s="80" t="s">
        <v>183</v>
      </c>
      <c r="I111" s="80" t="s">
        <v>34</v>
      </c>
      <c r="J111" s="80" t="s">
        <v>368</v>
      </c>
      <c r="K111" s="80" t="s">
        <v>347</v>
      </c>
      <c r="L111" s="80" t="s">
        <v>343</v>
      </c>
      <c r="M111" s="81">
        <v>0.17</v>
      </c>
      <c r="N111" s="82">
        <v>12.750000000000002</v>
      </c>
    </row>
    <row r="112" spans="1:14" x14ac:dyDescent="0.25">
      <c r="A112" s="10" t="str">
        <f>_xlfn.IFNA(
    IF(J112=
        "PCB-0001",
        "CSS",
        IF(
            ISNUMBER(MATCH(_xlfn.TEXTBEFORE(J112,"-"), {"CSS","CSN","PCB","PCF","BEC","CSD","PCM"}, 0)),
            _xlfn.TEXTBEFORE(J112,"-"),
            "Other"
        )
    ),
"Add")</f>
        <v>PCB</v>
      </c>
      <c r="B112" s="10" t="str">
        <f t="shared" si="2"/>
        <v>0054</v>
      </c>
      <c r="C112" s="10" t="str">
        <f>_xlfn.LET(
    _xlpm.val, IF(Datadetails[[#This Row],[Activity]]="D02","C20",Datadetails[[#This Row],[Activity]]),
    IF(ISNUMBER(MATCH(_xlpm.val,{"D04","C30","c40","C20"},0)), _xlpm.val, "Other")
)</f>
        <v>C30</v>
      </c>
      <c r="D112" s="10" t="str">
        <f>IFERROR(VLOOKUP(Datadetails[[#This Row],[Taskcode]],Dashboard!A:A,1,FALSE),"00 Err Missing")</f>
        <v>0054</v>
      </c>
      <c r="E112" s="79">
        <v>45750</v>
      </c>
      <c r="F112" s="80" t="s">
        <v>329</v>
      </c>
      <c r="G112" s="60" t="s">
        <v>40</v>
      </c>
      <c r="H112" s="80" t="s">
        <v>221</v>
      </c>
      <c r="I112" s="80" t="s">
        <v>34</v>
      </c>
      <c r="J112" s="80" t="s">
        <v>369</v>
      </c>
      <c r="K112" s="80" t="s">
        <v>347</v>
      </c>
      <c r="L112" s="80" t="s">
        <v>343</v>
      </c>
      <c r="M112" s="81">
        <v>1</v>
      </c>
      <c r="N112" s="82">
        <v>75</v>
      </c>
    </row>
    <row r="113" spans="1:14" x14ac:dyDescent="0.25">
      <c r="A113" s="10" t="str">
        <f>_xlfn.IFNA(
    IF(J113=
        "PCB-0001",
        "CSS",
        IF(
            ISNUMBER(MATCH(_xlfn.TEXTBEFORE(J113,"-"), {"CSS","CSN","PCB","PCF","BEC","CSD","PCM"}, 0)),
            _xlfn.TEXTBEFORE(J113,"-"),
            "Other"
        )
    ),
"Add")</f>
        <v>PCB</v>
      </c>
      <c r="B113" s="10" t="str">
        <f t="shared" si="2"/>
        <v>0062</v>
      </c>
      <c r="C113" s="10" t="str">
        <f>_xlfn.LET(
    _xlpm.val, IF(Datadetails[[#This Row],[Activity]]="D02","C20",Datadetails[[#This Row],[Activity]]),
    IF(ISNUMBER(MATCH(_xlpm.val,{"D04","C30","c40","C20"},0)), _xlpm.val, "Other")
)</f>
        <v>C30</v>
      </c>
      <c r="D113" s="10" t="str">
        <f>IFERROR(VLOOKUP(Datadetails[[#This Row],[Taskcode]],Dashboard!A:A,1,FALSE),"00 Err Missing")</f>
        <v>0062</v>
      </c>
      <c r="E113" s="79">
        <v>45750</v>
      </c>
      <c r="F113" s="80" t="s">
        <v>329</v>
      </c>
      <c r="G113" s="60" t="s">
        <v>40</v>
      </c>
      <c r="H113" s="80" t="s">
        <v>229</v>
      </c>
      <c r="I113" s="80" t="s">
        <v>34</v>
      </c>
      <c r="J113" s="80" t="s">
        <v>373</v>
      </c>
      <c r="K113" s="80" t="s">
        <v>347</v>
      </c>
      <c r="L113" s="80" t="s">
        <v>343</v>
      </c>
      <c r="M113" s="81">
        <v>0.17</v>
      </c>
      <c r="N113" s="82">
        <v>12.750000000000002</v>
      </c>
    </row>
    <row r="114" spans="1:14" x14ac:dyDescent="0.25">
      <c r="A114" s="10" t="str">
        <f>_xlfn.IFNA(
    IF(J114=
        "PCB-0001",
        "CSS",
        IF(
            ISNUMBER(MATCH(_xlfn.TEXTBEFORE(J114,"-"), {"CSS","CSN","PCB","PCF","BEC","CSD","PCM"}, 0)),
            _xlfn.TEXTBEFORE(J114,"-"),
            "Other"
        )
    ),
"Add")</f>
        <v>PCB</v>
      </c>
      <c r="B114" s="10" t="str">
        <f t="shared" si="2"/>
        <v>0059</v>
      </c>
      <c r="C114" s="10" t="str">
        <f>_xlfn.LET(
    _xlpm.val, IF(Datadetails[[#This Row],[Activity]]="D02","C20",Datadetails[[#This Row],[Activity]]),
    IF(ISNUMBER(MATCH(_xlpm.val,{"D04","C30","c40","C20"},0)), _xlpm.val, "Other")
)</f>
        <v>C30</v>
      </c>
      <c r="D114" s="10" t="str">
        <f>IFERROR(VLOOKUP(Datadetails[[#This Row],[Taskcode]],Dashboard!A:A,1,FALSE),"00 Err Missing")</f>
        <v>0059</v>
      </c>
      <c r="E114" s="79">
        <v>45750</v>
      </c>
      <c r="F114" s="80" t="s">
        <v>325</v>
      </c>
      <c r="G114" s="60" t="s">
        <v>40</v>
      </c>
      <c r="H114" s="80" t="s">
        <v>226</v>
      </c>
      <c r="I114" s="80" t="s">
        <v>34</v>
      </c>
      <c r="J114" s="80" t="s">
        <v>401</v>
      </c>
      <c r="K114" s="80" t="s">
        <v>347</v>
      </c>
      <c r="L114" s="80" t="s">
        <v>343</v>
      </c>
      <c r="M114" s="81">
        <v>0.17</v>
      </c>
      <c r="N114" s="82">
        <v>12.750000000000002</v>
      </c>
    </row>
    <row r="115" spans="1:14" x14ac:dyDescent="0.25">
      <c r="A115" s="10" t="str">
        <f>_xlfn.IFNA(
    IF(J115=
        "PCB-0001",
        "CSS",
        IF(
            ISNUMBER(MATCH(_xlfn.TEXTBEFORE(J115,"-"), {"CSS","CSN","PCB","PCF","BEC","CSD","PCM"}, 0)),
            _xlfn.TEXTBEFORE(J115,"-"),
            "Other"
        )
    ),
"Add")</f>
        <v>PCB</v>
      </c>
      <c r="B115" s="10" t="str">
        <f t="shared" si="2"/>
        <v>0074</v>
      </c>
      <c r="C115" s="10" t="str">
        <f>_xlfn.LET(
    _xlpm.val, IF(Datadetails[[#This Row],[Activity]]="D02","C20",Datadetails[[#This Row],[Activity]]),
    IF(ISNUMBER(MATCH(_xlpm.val,{"D04","C30","c40","C20"},0)), _xlpm.val, "Other")
)</f>
        <v>C30</v>
      </c>
      <c r="D115" s="10" t="str">
        <f>IFERROR(VLOOKUP(Datadetails[[#This Row],[Taskcode]],Dashboard!A:A,1,FALSE),"00 Err Missing")</f>
        <v>0074</v>
      </c>
      <c r="E115" s="79">
        <v>45750</v>
      </c>
      <c r="F115" s="80" t="s">
        <v>329</v>
      </c>
      <c r="G115" s="60" t="s">
        <v>40</v>
      </c>
      <c r="H115" s="80" t="s">
        <v>241</v>
      </c>
      <c r="I115" s="80" t="s">
        <v>34</v>
      </c>
      <c r="J115" s="80" t="s">
        <v>403</v>
      </c>
      <c r="K115" s="80" t="s">
        <v>347</v>
      </c>
      <c r="L115" s="80" t="s">
        <v>343</v>
      </c>
      <c r="M115" s="81">
        <v>0.25</v>
      </c>
      <c r="N115" s="82">
        <v>18.75</v>
      </c>
    </row>
    <row r="116" spans="1:14" x14ac:dyDescent="0.25">
      <c r="A116" s="10" t="str">
        <f>_xlfn.IFNA(
    IF(J116=
        "PCB-0001",
        "CSS",
        IF(
            ISNUMBER(MATCH(_xlfn.TEXTBEFORE(J116,"-"), {"CSS","CSN","PCB","PCF","BEC","CSD","PCM"}, 0)),
            _xlfn.TEXTBEFORE(J116,"-"),
            "Other"
        )
    ),
"Add")</f>
        <v>PCB</v>
      </c>
      <c r="B116" s="10" t="str">
        <f t="shared" si="2"/>
        <v>0071</v>
      </c>
      <c r="C116" s="10" t="str">
        <f>_xlfn.LET(
    _xlpm.val, IF(Datadetails[[#This Row],[Activity]]="D02","C20",Datadetails[[#This Row],[Activity]]),
    IF(ISNUMBER(MATCH(_xlpm.val,{"D04","C30","c40","C20"},0)), _xlpm.val, "Other")
)</f>
        <v>C30</v>
      </c>
      <c r="D116" s="10" t="str">
        <f>IFERROR(VLOOKUP(Datadetails[[#This Row],[Taskcode]],Dashboard!A:A,1,FALSE),"00 Err Missing")</f>
        <v>0071</v>
      </c>
      <c r="E116" s="79">
        <v>45750</v>
      </c>
      <c r="F116" s="80" t="s">
        <v>329</v>
      </c>
      <c r="G116" s="60" t="s">
        <v>40</v>
      </c>
      <c r="H116" s="80" t="s">
        <v>238</v>
      </c>
      <c r="I116" s="80" t="s">
        <v>34</v>
      </c>
      <c r="J116" s="80" t="s">
        <v>374</v>
      </c>
      <c r="K116" s="80" t="s">
        <v>347</v>
      </c>
      <c r="L116" s="80" t="s">
        <v>343</v>
      </c>
      <c r="M116" s="81">
        <v>0.08</v>
      </c>
      <c r="N116" s="82">
        <v>6</v>
      </c>
    </row>
    <row r="117" spans="1:14" x14ac:dyDescent="0.25">
      <c r="A117" s="10" t="str">
        <f>_xlfn.IFNA(
    IF(J117=
        "PCB-0001",
        "CSS",
        IF(
            ISNUMBER(MATCH(_xlfn.TEXTBEFORE(J117,"-"), {"CSS","CSN","PCB","PCF","BEC","CSD","PCM"}, 0)),
            _xlfn.TEXTBEFORE(J117,"-"),
            "Other"
        )
    ),
"Add")</f>
        <v>PCB</v>
      </c>
      <c r="B117" s="10" t="str">
        <f t="shared" si="2"/>
        <v>0131</v>
      </c>
      <c r="C117" s="10" t="str">
        <f>_xlfn.LET(
    _xlpm.val, IF(Datadetails[[#This Row],[Activity]]="D02","C20",Datadetails[[#This Row],[Activity]]),
    IF(ISNUMBER(MATCH(_xlpm.val,{"D04","C30","c40","C20"},0)), _xlpm.val, "Other")
)</f>
        <v>C30</v>
      </c>
      <c r="D117" s="10" t="str">
        <f>IFERROR(VLOOKUP(Datadetails[[#This Row],[Taskcode]],Dashboard!A:A,1,FALSE),"00 Err Missing")</f>
        <v>0131</v>
      </c>
      <c r="E117" s="79">
        <v>45750</v>
      </c>
      <c r="F117" s="80" t="s">
        <v>325</v>
      </c>
      <c r="G117" s="60" t="s">
        <v>40</v>
      </c>
      <c r="H117" s="80" t="s">
        <v>298</v>
      </c>
      <c r="I117" s="80" t="s">
        <v>34</v>
      </c>
      <c r="J117" s="80" t="s">
        <v>406</v>
      </c>
      <c r="K117" s="80" t="s">
        <v>347</v>
      </c>
      <c r="L117" s="80" t="s">
        <v>343</v>
      </c>
      <c r="M117" s="81">
        <v>0.17</v>
      </c>
      <c r="N117" s="82">
        <v>12.750000000000002</v>
      </c>
    </row>
    <row r="118" spans="1:14" x14ac:dyDescent="0.25">
      <c r="A118" s="10" t="str">
        <f>_xlfn.IFNA(
    IF(J118=
        "PCB-0001",
        "CSS",
        IF(
            ISNUMBER(MATCH(_xlfn.TEXTBEFORE(J118,"-"), {"CSS","CSN","PCB","PCF","BEC","CSD","PCM"}, 0)),
            _xlfn.TEXTBEFORE(J118,"-"),
            "Other"
        )
    ),
"Add")</f>
        <v>PCB</v>
      </c>
      <c r="B118" s="10" t="str">
        <f t="shared" si="2"/>
        <v>0063</v>
      </c>
      <c r="C118" s="10" t="str">
        <f>_xlfn.LET(
    _xlpm.val, IF(Datadetails[[#This Row],[Activity]]="D02","C20",Datadetails[[#This Row],[Activity]]),
    IF(ISNUMBER(MATCH(_xlpm.val,{"D04","C30","c40","C20"},0)), _xlpm.val, "Other")
)</f>
        <v>C30</v>
      </c>
      <c r="D118" s="10" t="str">
        <f>IFERROR(VLOOKUP(Datadetails[[#This Row],[Taskcode]],Dashboard!A:A,1,FALSE),"00 Err Missing")</f>
        <v>0063</v>
      </c>
      <c r="E118" s="79">
        <v>45750</v>
      </c>
      <c r="F118" s="80" t="s">
        <v>329</v>
      </c>
      <c r="G118" s="60" t="s">
        <v>40</v>
      </c>
      <c r="H118" s="80" t="s">
        <v>230</v>
      </c>
      <c r="I118" s="80" t="s">
        <v>34</v>
      </c>
      <c r="J118" s="80" t="s">
        <v>410</v>
      </c>
      <c r="K118" s="80" t="s">
        <v>347</v>
      </c>
      <c r="L118" s="80" t="s">
        <v>343</v>
      </c>
      <c r="M118" s="81">
        <v>0.08</v>
      </c>
      <c r="N118" s="82">
        <v>6</v>
      </c>
    </row>
    <row r="119" spans="1:14" x14ac:dyDescent="0.25">
      <c r="A119" s="10" t="str">
        <f>_xlfn.IFNA(
    IF(J119=
        "PCB-0001",
        "CSS",
        IF(
            ISNUMBER(MATCH(_xlfn.TEXTBEFORE(J119,"-"), {"CSS","CSN","PCB","PCF","BEC","CSD","PCM"}, 0)),
            _xlfn.TEXTBEFORE(J119,"-"),
            "Other"
        )
    ),
"Add")</f>
        <v>PCB</v>
      </c>
      <c r="B119" s="10" t="str">
        <f t="shared" si="2"/>
        <v>0101</v>
      </c>
      <c r="C119" s="10" t="str">
        <f>_xlfn.LET(
    _xlpm.val, IF(Datadetails[[#This Row],[Activity]]="D02","C20",Datadetails[[#This Row],[Activity]]),
    IF(ISNUMBER(MATCH(_xlpm.val,{"D04","C30","c40","C20"},0)), _xlpm.val, "Other")
)</f>
        <v>C30</v>
      </c>
      <c r="D119" s="10" t="str">
        <f>IFERROR(VLOOKUP(Datadetails[[#This Row],[Taskcode]],Dashboard!A:A,1,FALSE),"00 Err Missing")</f>
        <v>0101</v>
      </c>
      <c r="E119" s="79">
        <v>45750</v>
      </c>
      <c r="F119" s="80" t="s">
        <v>329</v>
      </c>
      <c r="G119" s="60" t="s">
        <v>40</v>
      </c>
      <c r="H119" s="80" t="s">
        <v>268</v>
      </c>
      <c r="I119" s="80" t="s">
        <v>34</v>
      </c>
      <c r="J119" s="80" t="s">
        <v>386</v>
      </c>
      <c r="K119" s="80" t="s">
        <v>347</v>
      </c>
      <c r="L119" s="80" t="s">
        <v>343</v>
      </c>
      <c r="M119" s="81">
        <v>1.75</v>
      </c>
      <c r="N119" s="82">
        <v>131.25</v>
      </c>
    </row>
    <row r="120" spans="1:14" x14ac:dyDescent="0.25">
      <c r="A120" s="10" t="str">
        <f>_xlfn.IFNA(
    IF(J120=
        "PCB-0001",
        "CSS",
        IF(
            ISNUMBER(MATCH(_xlfn.TEXTBEFORE(J120,"-"), {"CSS","CSN","PCB","PCF","BEC","CSD","PCM"}, 0)),
            _xlfn.TEXTBEFORE(J120,"-"),
            "Other"
        )
    ),
"Add")</f>
        <v>PCF</v>
      </c>
      <c r="B120" s="10" t="str">
        <f t="shared" si="2"/>
        <v>0040</v>
      </c>
      <c r="C120" s="10" t="str">
        <f>_xlfn.LET(
    _xlpm.val, IF(Datadetails[[#This Row],[Activity]]="D02","C20",Datadetails[[#This Row],[Activity]]),
    IF(ISNUMBER(MATCH(_xlpm.val,{"D04","C30","c40","C20"},0)), _xlpm.val, "Other")
)</f>
        <v>C20</v>
      </c>
      <c r="D120" s="10" t="str">
        <f>IFERROR(VLOOKUP(Datadetails[[#This Row],[Taskcode]],Dashboard!A:A,1,FALSE),"00 Err Missing")</f>
        <v>0040</v>
      </c>
      <c r="E120" s="79">
        <v>45750</v>
      </c>
      <c r="F120" s="80" t="s">
        <v>326</v>
      </c>
      <c r="G120" s="60" t="s">
        <v>40</v>
      </c>
      <c r="H120" s="80" t="s">
        <v>207</v>
      </c>
      <c r="I120" s="80" t="s">
        <v>36</v>
      </c>
      <c r="J120" s="80" t="s">
        <v>417</v>
      </c>
      <c r="K120" s="80" t="s">
        <v>348</v>
      </c>
      <c r="L120" s="80" t="s">
        <v>342</v>
      </c>
      <c r="M120" s="81">
        <v>0.75</v>
      </c>
      <c r="N120" s="82">
        <v>45</v>
      </c>
    </row>
    <row r="121" spans="1:14" x14ac:dyDescent="0.25">
      <c r="A121" s="10" t="str">
        <f>_xlfn.IFNA(
    IF(J121=
        "PCB-0001",
        "CSS",
        IF(
            ISNUMBER(MATCH(_xlfn.TEXTBEFORE(J121,"-"), {"CSS","CSN","PCB","PCF","BEC","CSD","PCM"}, 0)),
            _xlfn.TEXTBEFORE(J121,"-"),
            "Other"
        )
    ),
"Add")</f>
        <v>PCF</v>
      </c>
      <c r="B121" s="10" t="str">
        <f t="shared" si="2"/>
        <v>0101</v>
      </c>
      <c r="C121" s="10" t="str">
        <f>_xlfn.LET(
    _xlpm.val, IF(Datadetails[[#This Row],[Activity]]="D02","C20",Datadetails[[#This Row],[Activity]]),
    IF(ISNUMBER(MATCH(_xlpm.val,{"D04","C30","c40","C20"},0)), _xlpm.val, "Other")
)</f>
        <v>C20</v>
      </c>
      <c r="D121" s="10" t="str">
        <f>IFERROR(VLOOKUP(Datadetails[[#This Row],[Taskcode]],Dashboard!A:A,1,FALSE),"00 Err Missing")</f>
        <v>0101</v>
      </c>
      <c r="E121" s="79">
        <v>45750</v>
      </c>
      <c r="F121" s="80" t="s">
        <v>326</v>
      </c>
      <c r="G121" s="60" t="s">
        <v>40</v>
      </c>
      <c r="H121" s="80" t="s">
        <v>268</v>
      </c>
      <c r="I121" s="80" t="s">
        <v>36</v>
      </c>
      <c r="J121" s="80" t="s">
        <v>418</v>
      </c>
      <c r="K121" s="80" t="s">
        <v>348</v>
      </c>
      <c r="L121" s="80" t="s">
        <v>342</v>
      </c>
      <c r="M121" s="81">
        <v>1</v>
      </c>
      <c r="N121" s="82">
        <v>60</v>
      </c>
    </row>
    <row r="122" spans="1:14" x14ac:dyDescent="0.25">
      <c r="A122" s="10" t="str">
        <f>_xlfn.IFNA(
    IF(J122=
        "PCB-0001",
        "CSS",
        IF(
            ISNUMBER(MATCH(_xlfn.TEXTBEFORE(J122,"-"), {"CSS","CSN","PCB","PCF","BEC","CSD","PCM"}, 0)),
            _xlfn.TEXTBEFORE(J122,"-"),
            "Other"
        )
    ),
"Add")</f>
        <v>BEC</v>
      </c>
      <c r="B122" s="10" t="str">
        <f t="shared" si="2"/>
        <v>0001</v>
      </c>
      <c r="C122" s="10" t="str">
        <f>_xlfn.LET(
    _xlpm.val, IF(Datadetails[[#This Row],[Activity]]="D02","C20",Datadetails[[#This Row],[Activity]]),
    IF(ISNUMBER(MATCH(_xlpm.val,{"D04","C30","c40","C20"},0)), _xlpm.val, "Other")
)</f>
        <v>D04</v>
      </c>
      <c r="D122" s="10" t="str">
        <f>IFERROR(VLOOKUP(Datadetails[[#This Row],[Taskcode]],Dashboard!A:A,1,FALSE),"00 Err Missing")</f>
        <v>0001</v>
      </c>
      <c r="E122" s="79">
        <v>45750</v>
      </c>
      <c r="F122" s="80" t="s">
        <v>332</v>
      </c>
      <c r="G122" s="60" t="s">
        <v>40</v>
      </c>
      <c r="H122" s="80" t="s">
        <v>314</v>
      </c>
      <c r="I122" s="80" t="s">
        <v>35</v>
      </c>
      <c r="J122" s="80" t="s">
        <v>359</v>
      </c>
      <c r="K122" s="80" t="s">
        <v>339</v>
      </c>
      <c r="L122" s="80" t="s">
        <v>352</v>
      </c>
      <c r="M122" s="81">
        <v>8.5</v>
      </c>
      <c r="N122" s="82">
        <v>340</v>
      </c>
    </row>
    <row r="123" spans="1:14" x14ac:dyDescent="0.25">
      <c r="A123" s="10" t="str">
        <f>_xlfn.IFNA(
    IF(J123=
        "PCB-0001",
        "CSS",
        IF(
            ISNUMBER(MATCH(_xlfn.TEXTBEFORE(J123,"-"), {"CSS","CSN","PCB","PCF","BEC","CSD","PCM"}, 0)),
            _xlfn.TEXTBEFORE(J123,"-"),
            "Other"
        )
    ),
"Add")</f>
        <v>BEC</v>
      </c>
      <c r="B123" s="10" t="str">
        <f t="shared" si="2"/>
        <v>0001</v>
      </c>
      <c r="C123" s="10" t="str">
        <f>_xlfn.LET(
    _xlpm.val, IF(Datadetails[[#This Row],[Activity]]="D02","C20",Datadetails[[#This Row],[Activity]]),
    IF(ISNUMBER(MATCH(_xlpm.val,{"D04","C30","c40","C20"},0)), _xlpm.val, "Other")
)</f>
        <v>D04</v>
      </c>
      <c r="D123" s="10" t="str">
        <f>IFERROR(VLOOKUP(Datadetails[[#This Row],[Taskcode]],Dashboard!A:A,1,FALSE),"00 Err Missing")</f>
        <v>0001</v>
      </c>
      <c r="E123" s="79">
        <v>45750</v>
      </c>
      <c r="F123" s="80" t="s">
        <v>324</v>
      </c>
      <c r="G123" s="60" t="s">
        <v>40</v>
      </c>
      <c r="H123" s="80" t="s">
        <v>314</v>
      </c>
      <c r="I123" s="80" t="s">
        <v>35</v>
      </c>
      <c r="J123" s="80" t="s">
        <v>359</v>
      </c>
      <c r="K123" s="80" t="s">
        <v>339</v>
      </c>
      <c r="L123" s="80" t="s">
        <v>352</v>
      </c>
      <c r="M123" s="81">
        <v>5.25</v>
      </c>
      <c r="N123" s="82">
        <v>393.75</v>
      </c>
    </row>
    <row r="124" spans="1:14" x14ac:dyDescent="0.25">
      <c r="A124" s="10" t="str">
        <f>_xlfn.IFNA(
    IF(J124=
        "PCB-0001",
        "CSS",
        IF(
            ISNUMBER(MATCH(_xlfn.TEXTBEFORE(J124,"-"), {"CSS","CSN","PCB","PCF","BEC","CSD","PCM"}, 0)),
            _xlfn.TEXTBEFORE(J124,"-"),
            "Other"
        )
    ),
"Add")</f>
        <v>PCM</v>
      </c>
      <c r="B124" s="10" t="str">
        <f t="shared" si="2"/>
        <v>0001</v>
      </c>
      <c r="C124" s="10" t="str">
        <f>_xlfn.LET(
    _xlpm.val, IF(Datadetails[[#This Row],[Activity]]="D02","C20",Datadetails[[#This Row],[Activity]]),
    IF(ISNUMBER(MATCH(_xlpm.val,{"D04","C30","c40","C20"},0)), _xlpm.val, "Other")
)</f>
        <v>C20</v>
      </c>
      <c r="D124" s="10" t="str">
        <f>IFERROR(VLOOKUP(Datadetails[[#This Row],[Taskcode]],Dashboard!A:A,1,FALSE),"00 Err Missing")</f>
        <v>0001</v>
      </c>
      <c r="E124" s="79">
        <v>45751</v>
      </c>
      <c r="F124" s="80" t="s">
        <v>323</v>
      </c>
      <c r="G124" s="60" t="s">
        <v>40</v>
      </c>
      <c r="H124" s="80" t="s">
        <v>168</v>
      </c>
      <c r="I124" s="80" t="s">
        <v>36</v>
      </c>
      <c r="J124" s="80" t="s">
        <v>419</v>
      </c>
      <c r="K124" s="80" t="s">
        <v>346</v>
      </c>
      <c r="L124" s="80" t="s">
        <v>342</v>
      </c>
      <c r="M124" s="81">
        <v>0.5</v>
      </c>
      <c r="N124" s="82">
        <v>30</v>
      </c>
    </row>
    <row r="125" spans="1:14" x14ac:dyDescent="0.25">
      <c r="A125" s="10" t="str">
        <f>_xlfn.IFNA(
    IF(J125=
        "PCB-0001",
        "CSS",
        IF(
            ISNUMBER(MATCH(_xlfn.TEXTBEFORE(J125,"-"), {"CSS","CSN","PCB","PCF","BEC","CSD","PCM"}, 0)),
            _xlfn.TEXTBEFORE(J125,"-"),
            "Other"
        )
    ),
"Add")</f>
        <v>PCM</v>
      </c>
      <c r="B125" s="10" t="str">
        <f t="shared" si="2"/>
        <v>0034</v>
      </c>
      <c r="C125" s="10" t="str">
        <f>_xlfn.LET(
    _xlpm.val, IF(Datadetails[[#This Row],[Activity]]="D02","C20",Datadetails[[#This Row],[Activity]]),
    IF(ISNUMBER(MATCH(_xlpm.val,{"D04","C30","c40","C20"},0)), _xlpm.val, "Other")
)</f>
        <v>C20</v>
      </c>
      <c r="D125" s="10" t="str">
        <f>IFERROR(VLOOKUP(Datadetails[[#This Row],[Taskcode]],Dashboard!A:A,1,FALSE),"00 Err Missing")</f>
        <v>0034</v>
      </c>
      <c r="E125" s="79">
        <v>45751</v>
      </c>
      <c r="F125" s="80" t="s">
        <v>323</v>
      </c>
      <c r="G125" s="60" t="s">
        <v>40</v>
      </c>
      <c r="H125" s="80" t="s">
        <v>201</v>
      </c>
      <c r="I125" s="80" t="s">
        <v>36</v>
      </c>
      <c r="J125" s="80" t="s">
        <v>395</v>
      </c>
      <c r="K125" s="80" t="s">
        <v>346</v>
      </c>
      <c r="L125" s="80" t="s">
        <v>342</v>
      </c>
      <c r="M125" s="81">
        <v>0.17</v>
      </c>
      <c r="N125" s="82">
        <v>10.200000000000001</v>
      </c>
    </row>
    <row r="126" spans="1:14" x14ac:dyDescent="0.25">
      <c r="A126" s="10" t="str">
        <f>_xlfn.IFNA(
    IF(J126=
        "PCB-0001",
        "CSS",
        IF(
            ISNUMBER(MATCH(_xlfn.TEXTBEFORE(J126,"-"), {"CSS","CSN","PCB","PCF","BEC","CSD","PCM"}, 0)),
            _xlfn.TEXTBEFORE(J126,"-"),
            "Other"
        )
    ),
"Add")</f>
        <v>CSN</v>
      </c>
      <c r="B126" s="10" t="str">
        <f t="shared" si="2"/>
        <v>0001</v>
      </c>
      <c r="C126" s="10" t="str">
        <f>_xlfn.LET(
    _xlpm.val, IF(Datadetails[[#This Row],[Activity]]="D02","C20",Datadetails[[#This Row],[Activity]]),
    IF(ISNUMBER(MATCH(_xlpm.val,{"D04","C30","c40","C20"},0)), _xlpm.val, "Other")
)</f>
        <v>D04</v>
      </c>
      <c r="D126" s="10" t="str">
        <f>IFERROR(VLOOKUP(Datadetails[[#This Row],[Taskcode]],Dashboard!A:A,1,FALSE),"00 Err Missing")</f>
        <v>0001</v>
      </c>
      <c r="E126" s="79">
        <v>45751</v>
      </c>
      <c r="F126" s="80" t="s">
        <v>329</v>
      </c>
      <c r="G126" s="60" t="s">
        <v>40</v>
      </c>
      <c r="H126" s="80" t="s">
        <v>316</v>
      </c>
      <c r="I126" s="80" t="s">
        <v>35</v>
      </c>
      <c r="J126" s="80" t="s">
        <v>338</v>
      </c>
      <c r="K126" s="80" t="s">
        <v>337</v>
      </c>
      <c r="L126" s="80" t="s">
        <v>352</v>
      </c>
      <c r="M126" s="81">
        <v>1</v>
      </c>
      <c r="N126" s="82">
        <v>75</v>
      </c>
    </row>
    <row r="127" spans="1:14" x14ac:dyDescent="0.25">
      <c r="A127" s="10" t="str">
        <f>_xlfn.IFNA(
    IF(J127=
        "PCB-0001",
        "CSS",
        IF(
            ISNUMBER(MATCH(_xlfn.TEXTBEFORE(J127,"-"), {"CSS","CSN","PCB","PCF","BEC","CSD","PCM"}, 0)),
            _xlfn.TEXTBEFORE(J127,"-"),
            "Other"
        )
    ),
"Add")</f>
        <v>CSD</v>
      </c>
      <c r="B127" s="10" t="str">
        <f t="shared" si="2"/>
        <v>0001</v>
      </c>
      <c r="C127" s="10" t="str">
        <f>_xlfn.LET(
    _xlpm.val, IF(Datadetails[[#This Row],[Activity]]="D02","C20",Datadetails[[#This Row],[Activity]]),
    IF(ISNUMBER(MATCH(_xlpm.val,{"D04","C30","c40","C20"},0)), _xlpm.val, "Other")
)</f>
        <v>D04</v>
      </c>
      <c r="D127" s="10" t="str">
        <f>IFERROR(VLOOKUP(Datadetails[[#This Row],[Taskcode]],Dashboard!A:A,1,FALSE),"00 Err Missing")</f>
        <v>0001</v>
      </c>
      <c r="E127" s="79">
        <v>45751</v>
      </c>
      <c r="F127" s="80" t="s">
        <v>333</v>
      </c>
      <c r="G127" s="60" t="s">
        <v>40</v>
      </c>
      <c r="H127" s="80" t="s">
        <v>320</v>
      </c>
      <c r="I127" s="80" t="s">
        <v>35</v>
      </c>
      <c r="J127" s="80" t="s">
        <v>322</v>
      </c>
      <c r="K127" s="80" t="s">
        <v>319</v>
      </c>
      <c r="L127" s="80" t="s">
        <v>352</v>
      </c>
      <c r="M127" s="81">
        <v>7.67</v>
      </c>
      <c r="N127" s="82">
        <v>245.44</v>
      </c>
    </row>
    <row r="128" spans="1:14" x14ac:dyDescent="0.25">
      <c r="A128" s="10" t="str">
        <f>_xlfn.IFNA(
    IF(J128=
        "PCB-0001",
        "CSS",
        IF(
            ISNUMBER(MATCH(_xlfn.TEXTBEFORE(J128,"-"), {"CSS","CSN","PCB","PCF","BEC","CSD","PCM"}, 0)),
            _xlfn.TEXTBEFORE(J128,"-"),
            "Other"
        )
    ),
"Add")</f>
        <v>CSD</v>
      </c>
      <c r="B128" s="10" t="str">
        <f t="shared" si="2"/>
        <v>0001</v>
      </c>
      <c r="C128" s="10" t="str">
        <f>_xlfn.LET(
    _xlpm.val, IF(Datadetails[[#This Row],[Activity]]="D02","C20",Datadetails[[#This Row],[Activity]]),
    IF(ISNUMBER(MATCH(_xlpm.val,{"D04","C30","c40","C20"},0)), _xlpm.val, "Other")
)</f>
        <v>D04</v>
      </c>
      <c r="D128" s="10" t="str">
        <f>IFERROR(VLOOKUP(Datadetails[[#This Row],[Taskcode]],Dashboard!A:A,1,FALSE),"00 Err Missing")</f>
        <v>0001</v>
      </c>
      <c r="E128" s="79">
        <v>45751</v>
      </c>
      <c r="F128" s="80" t="s">
        <v>327</v>
      </c>
      <c r="G128" s="60" t="s">
        <v>40</v>
      </c>
      <c r="H128" s="80" t="s">
        <v>320</v>
      </c>
      <c r="I128" s="80" t="s">
        <v>35</v>
      </c>
      <c r="J128" s="80" t="s">
        <v>322</v>
      </c>
      <c r="K128" s="80" t="s">
        <v>319</v>
      </c>
      <c r="L128" s="80" t="s">
        <v>352</v>
      </c>
      <c r="M128" s="81">
        <v>7.25</v>
      </c>
      <c r="N128" s="82">
        <v>232</v>
      </c>
    </row>
    <row r="129" spans="1:14" x14ac:dyDescent="0.25">
      <c r="A129" s="10" t="str">
        <f>_xlfn.IFNA(
    IF(J129=
        "PCB-0001",
        "CSS",
        IF(
            ISNUMBER(MATCH(_xlfn.TEXTBEFORE(J129,"-"), {"CSS","CSN","PCB","PCF","BEC","CSD","PCM"}, 0)),
            _xlfn.TEXTBEFORE(J129,"-"),
            "Other"
        )
    ),
"Add")</f>
        <v>PCM</v>
      </c>
      <c r="B129" s="10" t="str">
        <f t="shared" si="2"/>
        <v>0064</v>
      </c>
      <c r="C129" s="10" t="str">
        <f>_xlfn.LET(
    _xlpm.val, IF(Datadetails[[#This Row],[Activity]]="D02","C20",Datadetails[[#This Row],[Activity]]),
    IF(ISNUMBER(MATCH(_xlpm.val,{"D04","C30","c40","C20"},0)), _xlpm.val, "Other")
)</f>
        <v>C20</v>
      </c>
      <c r="D129" s="10" t="str">
        <f>IFERROR(VLOOKUP(Datadetails[[#This Row],[Taskcode]],Dashboard!A:A,1,FALSE),"00 Err Missing")</f>
        <v>0064</v>
      </c>
      <c r="E129" s="79">
        <v>45751</v>
      </c>
      <c r="F129" s="80" t="s">
        <v>323</v>
      </c>
      <c r="G129" s="60" t="s">
        <v>40</v>
      </c>
      <c r="H129" s="80" t="s">
        <v>231</v>
      </c>
      <c r="I129" s="80" t="s">
        <v>36</v>
      </c>
      <c r="J129" s="80" t="s">
        <v>420</v>
      </c>
      <c r="K129" s="80" t="s">
        <v>346</v>
      </c>
      <c r="L129" s="80" t="s">
        <v>342</v>
      </c>
      <c r="M129" s="81">
        <v>0.25</v>
      </c>
      <c r="N129" s="82">
        <v>15</v>
      </c>
    </row>
    <row r="130" spans="1:14" x14ac:dyDescent="0.25">
      <c r="A130" s="10" t="str">
        <f>_xlfn.IFNA(
    IF(J130=
        "PCB-0001",
        "CSS",
        IF(
            ISNUMBER(MATCH(_xlfn.TEXTBEFORE(J130,"-"), {"CSS","CSN","PCB","PCF","BEC","CSD","PCM"}, 0)),
            _xlfn.TEXTBEFORE(J130,"-"),
            "Other"
        )
    ),
"Add")</f>
        <v>PCM</v>
      </c>
      <c r="B130" s="10" t="str">
        <f t="shared" si="2"/>
        <v>0065</v>
      </c>
      <c r="C130" s="10" t="str">
        <f>_xlfn.LET(
    _xlpm.val, IF(Datadetails[[#This Row],[Activity]]="D02","C20",Datadetails[[#This Row],[Activity]]),
    IF(ISNUMBER(MATCH(_xlpm.val,{"D04","C30","c40","C20"},0)), _xlpm.val, "Other")
)</f>
        <v>C20</v>
      </c>
      <c r="D130" s="10" t="str">
        <f>IFERROR(VLOOKUP(Datadetails[[#This Row],[Taskcode]],Dashboard!A:A,1,FALSE),"00 Err Missing")</f>
        <v>0065</v>
      </c>
      <c r="E130" s="79">
        <v>45751</v>
      </c>
      <c r="F130" s="80" t="s">
        <v>323</v>
      </c>
      <c r="G130" s="60" t="s">
        <v>40</v>
      </c>
      <c r="H130" s="80" t="s">
        <v>232</v>
      </c>
      <c r="I130" s="80" t="s">
        <v>36</v>
      </c>
      <c r="J130" s="80" t="s">
        <v>393</v>
      </c>
      <c r="K130" s="80" t="s">
        <v>346</v>
      </c>
      <c r="L130" s="80" t="s">
        <v>342</v>
      </c>
      <c r="M130" s="81">
        <v>0.25</v>
      </c>
      <c r="N130" s="82">
        <v>15</v>
      </c>
    </row>
    <row r="131" spans="1:14" x14ac:dyDescent="0.25">
      <c r="A131" s="10" t="str">
        <f>_xlfn.IFNA(
    IF(J131=
        "PCB-0001",
        "CSS",
        IF(
            ISNUMBER(MATCH(_xlfn.TEXTBEFORE(J131,"-"), {"CSS","CSN","PCB","PCF","BEC","CSD","PCM"}, 0)),
            _xlfn.TEXTBEFORE(J131,"-"),
            "Other"
        )
    ),
"Add")</f>
        <v>PCM</v>
      </c>
      <c r="B131" s="10" t="str">
        <f t="shared" si="2"/>
        <v>0099</v>
      </c>
      <c r="C131" s="10" t="str">
        <f>_xlfn.LET(
    _xlpm.val, IF(Datadetails[[#This Row],[Activity]]="D02","C20",Datadetails[[#This Row],[Activity]]),
    IF(ISNUMBER(MATCH(_xlpm.val,{"D04","C30","c40","C20"},0)), _xlpm.val, "Other")
)</f>
        <v>C20</v>
      </c>
      <c r="D131" s="10" t="str">
        <f>IFERROR(VLOOKUP(Datadetails[[#This Row],[Taskcode]],Dashboard!A:A,1,FALSE),"00 Err Missing")</f>
        <v>0099</v>
      </c>
      <c r="E131" s="79">
        <v>45751</v>
      </c>
      <c r="F131" s="80" t="s">
        <v>323</v>
      </c>
      <c r="G131" s="60" t="s">
        <v>40</v>
      </c>
      <c r="H131" s="80" t="s">
        <v>266</v>
      </c>
      <c r="I131" s="80" t="s">
        <v>36</v>
      </c>
      <c r="J131" s="80" t="s">
        <v>394</v>
      </c>
      <c r="K131" s="80" t="s">
        <v>346</v>
      </c>
      <c r="L131" s="80" t="s">
        <v>342</v>
      </c>
      <c r="M131" s="81">
        <v>0.33</v>
      </c>
      <c r="N131" s="82">
        <v>19.8</v>
      </c>
    </row>
    <row r="132" spans="1:14" x14ac:dyDescent="0.25">
      <c r="A132" s="10" t="str">
        <f>_xlfn.IFNA(
    IF(J132=
        "PCB-0001",
        "CSS",
        IF(
            ISNUMBER(MATCH(_xlfn.TEXTBEFORE(J132,"-"), {"CSS","CSN","PCB","PCF","BEC","CSD","PCM"}, 0)),
            _xlfn.TEXTBEFORE(J132,"-"),
            "Other"
        )
    ),
"Add")</f>
        <v>PCM</v>
      </c>
      <c r="B132" s="10" t="str">
        <f t="shared" ref="B132:B195" si="3">_xlfn.IFNA(_xlfn.TEXTAFTER(J132,"-"),"Data to C2")</f>
        <v>0107</v>
      </c>
      <c r="C132" s="10" t="str">
        <f>_xlfn.LET(
    _xlpm.val, IF(Datadetails[[#This Row],[Activity]]="D02","C20",Datadetails[[#This Row],[Activity]]),
    IF(ISNUMBER(MATCH(_xlpm.val,{"D04","C30","c40","C20"},0)), _xlpm.val, "Other")
)</f>
        <v>C20</v>
      </c>
      <c r="D132" s="10" t="str">
        <f>IFERROR(VLOOKUP(Datadetails[[#This Row],[Taskcode]],Dashboard!A:A,1,FALSE),"00 Err Missing")</f>
        <v>0107</v>
      </c>
      <c r="E132" s="79">
        <v>45751</v>
      </c>
      <c r="F132" s="80" t="s">
        <v>323</v>
      </c>
      <c r="G132" s="60" t="s">
        <v>40</v>
      </c>
      <c r="H132" s="80" t="s">
        <v>274</v>
      </c>
      <c r="I132" s="80" t="s">
        <v>36</v>
      </c>
      <c r="J132" s="80" t="s">
        <v>421</v>
      </c>
      <c r="K132" s="80" t="s">
        <v>346</v>
      </c>
      <c r="L132" s="80" t="s">
        <v>342</v>
      </c>
      <c r="M132" s="81">
        <v>0.5</v>
      </c>
      <c r="N132" s="82">
        <v>30</v>
      </c>
    </row>
    <row r="133" spans="1:14" x14ac:dyDescent="0.25">
      <c r="A133" s="10" t="str">
        <f>_xlfn.IFNA(
    IF(J133=
        "PCB-0001",
        "CSS",
        IF(
            ISNUMBER(MATCH(_xlfn.TEXTBEFORE(J133,"-"), {"CSS","CSN","PCB","PCF","BEC","CSD","PCM"}, 0)),
            _xlfn.TEXTBEFORE(J133,"-"),
            "Other"
        )
    ),
"Add")</f>
        <v>PCB</v>
      </c>
      <c r="B133" s="10" t="str">
        <f t="shared" si="3"/>
        <v>0031</v>
      </c>
      <c r="C133" s="10" t="str">
        <f>_xlfn.LET(
    _xlpm.val, IF(Datadetails[[#This Row],[Activity]]="D02","C20",Datadetails[[#This Row],[Activity]]),
    IF(ISNUMBER(MATCH(_xlpm.val,{"D04","C30","c40","C20"},0)), _xlpm.val, "Other")
)</f>
        <v>C30</v>
      </c>
      <c r="D133" s="10" t="str">
        <f>IFERROR(VLOOKUP(Datadetails[[#This Row],[Taskcode]],Dashboard!A:A,1,FALSE),"00 Err Missing")</f>
        <v>0031</v>
      </c>
      <c r="E133" s="79">
        <v>45751</v>
      </c>
      <c r="F133" s="80" t="s">
        <v>325</v>
      </c>
      <c r="G133" s="60" t="s">
        <v>40</v>
      </c>
      <c r="H133" s="80" t="s">
        <v>198</v>
      </c>
      <c r="I133" s="80" t="s">
        <v>34</v>
      </c>
      <c r="J133" s="80" t="s">
        <v>413</v>
      </c>
      <c r="K133" s="80" t="s">
        <v>347</v>
      </c>
      <c r="L133" s="80" t="s">
        <v>343</v>
      </c>
      <c r="M133" s="81">
        <v>0.17</v>
      </c>
      <c r="N133" s="82">
        <v>12.750000000000002</v>
      </c>
    </row>
    <row r="134" spans="1:14" x14ac:dyDescent="0.25">
      <c r="A134" s="10" t="str">
        <f>_xlfn.IFNA(
    IF(J134=
        "PCB-0001",
        "CSS",
        IF(
            ISNUMBER(MATCH(_xlfn.TEXTBEFORE(J134,"-"), {"CSS","CSN","PCB","PCF","BEC","CSD","PCM"}, 0)),
            _xlfn.TEXTBEFORE(J134,"-"),
            "Other"
        )
    ),
"Add")</f>
        <v>PCB</v>
      </c>
      <c r="B134" s="10" t="str">
        <f t="shared" si="3"/>
        <v>0085</v>
      </c>
      <c r="C134" s="10" t="str">
        <f>_xlfn.LET(
    _xlpm.val, IF(Datadetails[[#This Row],[Activity]]="D02","C20",Datadetails[[#This Row],[Activity]]),
    IF(ISNUMBER(MATCH(_xlpm.val,{"D04","C30","c40","C20"},0)), _xlpm.val, "Other")
)</f>
        <v>C20</v>
      </c>
      <c r="D134" s="10" t="str">
        <f>IFERROR(VLOOKUP(Datadetails[[#This Row],[Taskcode]],Dashboard!A:A,1,FALSE),"00 Err Missing")</f>
        <v>0085</v>
      </c>
      <c r="E134" s="79">
        <v>45751</v>
      </c>
      <c r="F134" s="80" t="s">
        <v>330</v>
      </c>
      <c r="G134" s="60" t="s">
        <v>40</v>
      </c>
      <c r="H134" s="80" t="s">
        <v>252</v>
      </c>
      <c r="I134" s="80" t="s">
        <v>36</v>
      </c>
      <c r="J134" s="80" t="s">
        <v>416</v>
      </c>
      <c r="K134" s="80" t="s">
        <v>347</v>
      </c>
      <c r="L134" s="80" t="s">
        <v>342</v>
      </c>
      <c r="M134" s="81">
        <v>3</v>
      </c>
      <c r="N134" s="82">
        <v>180</v>
      </c>
    </row>
    <row r="135" spans="1:14" x14ac:dyDescent="0.25">
      <c r="A135" s="10" t="str">
        <f>_xlfn.IFNA(
    IF(J135=
        "PCB-0001",
        "CSS",
        IF(
            ISNUMBER(MATCH(_xlfn.TEXTBEFORE(J135,"-"), {"CSS","CSN","PCB","PCF","BEC","CSD","PCM"}, 0)),
            _xlfn.TEXTBEFORE(J135,"-"),
            "Other"
        )
    ),
"Add")</f>
        <v>PCB</v>
      </c>
      <c r="B135" s="10" t="str">
        <f t="shared" si="3"/>
        <v>0012</v>
      </c>
      <c r="C135" s="10" t="str">
        <f>_xlfn.LET(
    _xlpm.val, IF(Datadetails[[#This Row],[Activity]]="D02","C20",Datadetails[[#This Row],[Activity]]),
    IF(ISNUMBER(MATCH(_xlpm.val,{"D04","C30","c40","C20"},0)), _xlpm.val, "Other")
)</f>
        <v>C30</v>
      </c>
      <c r="D135" s="10" t="str">
        <f>IFERROR(VLOOKUP(Datadetails[[#This Row],[Taskcode]],Dashboard!A:A,1,FALSE),"00 Err Missing")</f>
        <v>0012</v>
      </c>
      <c r="E135" s="79">
        <v>45751</v>
      </c>
      <c r="F135" s="80" t="s">
        <v>325</v>
      </c>
      <c r="G135" s="60" t="s">
        <v>40</v>
      </c>
      <c r="H135" s="80" t="s">
        <v>179</v>
      </c>
      <c r="I135" s="80" t="s">
        <v>34</v>
      </c>
      <c r="J135" s="80" t="s">
        <v>422</v>
      </c>
      <c r="K135" s="80" t="s">
        <v>347</v>
      </c>
      <c r="L135" s="80" t="s">
        <v>343</v>
      </c>
      <c r="M135" s="81">
        <v>0.25</v>
      </c>
      <c r="N135" s="82">
        <v>18.75</v>
      </c>
    </row>
    <row r="136" spans="1:14" x14ac:dyDescent="0.25">
      <c r="A136" s="10" t="str">
        <f>_xlfn.IFNA(
    IF(J136=
        "PCB-0001",
        "CSS",
        IF(
            ISNUMBER(MATCH(_xlfn.TEXTBEFORE(J136,"-"), {"CSS","CSN","PCB","PCF","BEC","CSD","PCM"}, 0)),
            _xlfn.TEXTBEFORE(J136,"-"),
            "Other"
        )
    ),
"Add")</f>
        <v>PCB</v>
      </c>
      <c r="B136" s="10" t="str">
        <f t="shared" si="3"/>
        <v>0054</v>
      </c>
      <c r="C136" s="10" t="str">
        <f>_xlfn.LET(
    _xlpm.val, IF(Datadetails[[#This Row],[Activity]]="D02","C20",Datadetails[[#This Row],[Activity]]),
    IF(ISNUMBER(MATCH(_xlpm.val,{"D04","C30","c40","C20"},0)), _xlpm.val, "Other")
)</f>
        <v>C30</v>
      </c>
      <c r="D136" s="10" t="str">
        <f>IFERROR(VLOOKUP(Datadetails[[#This Row],[Taskcode]],Dashboard!A:A,1,FALSE),"00 Err Missing")</f>
        <v>0054</v>
      </c>
      <c r="E136" s="79">
        <v>45751</v>
      </c>
      <c r="F136" s="80" t="s">
        <v>329</v>
      </c>
      <c r="G136" s="60" t="s">
        <v>40</v>
      </c>
      <c r="H136" s="80" t="s">
        <v>221</v>
      </c>
      <c r="I136" s="80" t="s">
        <v>34</v>
      </c>
      <c r="J136" s="80" t="s">
        <v>369</v>
      </c>
      <c r="K136" s="80" t="s">
        <v>347</v>
      </c>
      <c r="L136" s="80" t="s">
        <v>343</v>
      </c>
      <c r="M136" s="81">
        <v>0.17</v>
      </c>
      <c r="N136" s="82">
        <v>12.750000000000002</v>
      </c>
    </row>
    <row r="137" spans="1:14" x14ac:dyDescent="0.25">
      <c r="A137" s="10" t="str">
        <f>_xlfn.IFNA(
    IF(J137=
        "PCB-0001",
        "CSS",
        IF(
            ISNUMBER(MATCH(_xlfn.TEXTBEFORE(J137,"-"), {"CSS","CSN","PCB","PCF","BEC","CSD","PCM"}, 0)),
            _xlfn.TEXTBEFORE(J137,"-"),
            "Other"
        )
    ),
"Add")</f>
        <v>PCB</v>
      </c>
      <c r="B137" s="10" t="str">
        <f t="shared" si="3"/>
        <v>0057</v>
      </c>
      <c r="C137" s="10" t="str">
        <f>_xlfn.LET(
    _xlpm.val, IF(Datadetails[[#This Row],[Activity]]="D02","C20",Datadetails[[#This Row],[Activity]]),
    IF(ISNUMBER(MATCH(_xlpm.val,{"D04","C30","c40","C20"},0)), _xlpm.val, "Other")
)</f>
        <v>C30</v>
      </c>
      <c r="D137" s="10" t="str">
        <f>IFERROR(VLOOKUP(Datadetails[[#This Row],[Taskcode]],Dashboard!A:A,1,FALSE),"00 Err Missing")</f>
        <v>0057</v>
      </c>
      <c r="E137" s="79">
        <v>45751</v>
      </c>
      <c r="F137" s="80" t="s">
        <v>325</v>
      </c>
      <c r="G137" s="60" t="s">
        <v>40</v>
      </c>
      <c r="H137" s="80" t="s">
        <v>224</v>
      </c>
      <c r="I137" s="80" t="s">
        <v>34</v>
      </c>
      <c r="J137" s="80" t="s">
        <v>423</v>
      </c>
      <c r="K137" s="80" t="s">
        <v>347</v>
      </c>
      <c r="L137" s="80" t="s">
        <v>343</v>
      </c>
      <c r="M137" s="81">
        <v>0.17</v>
      </c>
      <c r="N137" s="82">
        <v>12.750000000000002</v>
      </c>
    </row>
    <row r="138" spans="1:14" x14ac:dyDescent="0.25">
      <c r="A138" s="10" t="str">
        <f>_xlfn.IFNA(
    IF(J138=
        "PCB-0001",
        "CSS",
        IF(
            ISNUMBER(MATCH(_xlfn.TEXTBEFORE(J138,"-"), {"CSS","CSN","PCB","PCF","BEC","CSD","PCM"}, 0)),
            _xlfn.TEXTBEFORE(J138,"-"),
            "Other"
        )
    ),
"Add")</f>
        <v>PCB</v>
      </c>
      <c r="B138" s="10" t="str">
        <f t="shared" si="3"/>
        <v>0101</v>
      </c>
      <c r="C138" s="10" t="str">
        <f>_xlfn.LET(
    _xlpm.val, IF(Datadetails[[#This Row],[Activity]]="D02","C20",Datadetails[[#This Row],[Activity]]),
    IF(ISNUMBER(MATCH(_xlpm.val,{"D04","C30","c40","C20"},0)), _xlpm.val, "Other")
)</f>
        <v>C30</v>
      </c>
      <c r="D138" s="10" t="str">
        <f>IFERROR(VLOOKUP(Datadetails[[#This Row],[Taskcode]],Dashboard!A:A,1,FALSE),"00 Err Missing")</f>
        <v>0101</v>
      </c>
      <c r="E138" s="79">
        <v>45751</v>
      </c>
      <c r="F138" s="80" t="s">
        <v>329</v>
      </c>
      <c r="G138" s="60" t="s">
        <v>40</v>
      </c>
      <c r="H138" s="80" t="s">
        <v>268</v>
      </c>
      <c r="I138" s="80" t="s">
        <v>34</v>
      </c>
      <c r="J138" s="80" t="s">
        <v>386</v>
      </c>
      <c r="K138" s="80" t="s">
        <v>347</v>
      </c>
      <c r="L138" s="80" t="s">
        <v>343</v>
      </c>
      <c r="M138" s="81">
        <v>1</v>
      </c>
      <c r="N138" s="82">
        <v>75</v>
      </c>
    </row>
    <row r="139" spans="1:14" x14ac:dyDescent="0.25">
      <c r="A139" s="10" t="str">
        <f>_xlfn.IFNA(
    IF(J139=
        "PCB-0001",
        "CSS",
        IF(
            ISNUMBER(MATCH(_xlfn.TEXTBEFORE(J139,"-"), {"CSS","CSN","PCB","PCF","BEC","CSD","PCM"}, 0)),
            _xlfn.TEXTBEFORE(J139,"-"),
            "Other"
        )
    ),
"Add")</f>
        <v>PCF</v>
      </c>
      <c r="B139" s="10" t="str">
        <f t="shared" si="3"/>
        <v>0021</v>
      </c>
      <c r="C139" s="10" t="str">
        <f>_xlfn.LET(
    _xlpm.val, IF(Datadetails[[#This Row],[Activity]]="D02","C20",Datadetails[[#This Row],[Activity]]),
    IF(ISNUMBER(MATCH(_xlpm.val,{"D04","C30","c40","C20"},0)), _xlpm.val, "Other")
)</f>
        <v>C30</v>
      </c>
      <c r="D139" s="10" t="str">
        <f>IFERROR(VLOOKUP(Datadetails[[#This Row],[Taskcode]],Dashboard!A:A,1,FALSE),"00 Err Missing")</f>
        <v>0021</v>
      </c>
      <c r="E139" s="79">
        <v>45751</v>
      </c>
      <c r="F139" s="80" t="s">
        <v>326</v>
      </c>
      <c r="G139" s="60" t="s">
        <v>40</v>
      </c>
      <c r="H139" s="80" t="s">
        <v>188</v>
      </c>
      <c r="I139" s="80" t="s">
        <v>34</v>
      </c>
      <c r="J139" s="80" t="s">
        <v>356</v>
      </c>
      <c r="K139" s="80" t="s">
        <v>348</v>
      </c>
      <c r="L139" s="80" t="s">
        <v>343</v>
      </c>
      <c r="M139" s="81">
        <v>1.33</v>
      </c>
      <c r="N139" s="82">
        <v>79.800000000000011</v>
      </c>
    </row>
    <row r="140" spans="1:14" x14ac:dyDescent="0.25">
      <c r="A140" s="10" t="str">
        <f>_xlfn.IFNA(
    IF(J140=
        "PCB-0001",
        "CSS",
        IF(
            ISNUMBER(MATCH(_xlfn.TEXTBEFORE(J140,"-"), {"CSS","CSN","PCB","PCF","BEC","CSD","PCM"}, 0)),
            _xlfn.TEXTBEFORE(J140,"-"),
            "Other"
        )
    ),
"Add")</f>
        <v>PCF</v>
      </c>
      <c r="B140" s="10" t="str">
        <f t="shared" si="3"/>
        <v>0069</v>
      </c>
      <c r="C140" s="10" t="str">
        <f>_xlfn.LET(
    _xlpm.val, IF(Datadetails[[#This Row],[Activity]]="D02","C20",Datadetails[[#This Row],[Activity]]),
    IF(ISNUMBER(MATCH(_xlpm.val,{"D04","C30","c40","C20"},0)), _xlpm.val, "Other")
)</f>
        <v>C30</v>
      </c>
      <c r="D140" s="10" t="str">
        <f>IFERROR(VLOOKUP(Datadetails[[#This Row],[Taskcode]],Dashboard!A:A,1,FALSE),"00 Err Missing")</f>
        <v>0069</v>
      </c>
      <c r="E140" s="79">
        <v>45751</v>
      </c>
      <c r="F140" s="80" t="s">
        <v>326</v>
      </c>
      <c r="G140" s="60" t="s">
        <v>40</v>
      </c>
      <c r="H140" s="80" t="s">
        <v>236</v>
      </c>
      <c r="I140" s="80" t="s">
        <v>34</v>
      </c>
      <c r="J140" s="80" t="s">
        <v>357</v>
      </c>
      <c r="K140" s="80" t="s">
        <v>348</v>
      </c>
      <c r="L140" s="80" t="s">
        <v>343</v>
      </c>
      <c r="M140" s="81">
        <v>0.67</v>
      </c>
      <c r="N140" s="82">
        <v>40.200000000000003</v>
      </c>
    </row>
    <row r="141" spans="1:14" x14ac:dyDescent="0.25">
      <c r="A141" s="10" t="str">
        <f>_xlfn.IFNA(
    IF(J141=
        "PCB-0001",
        "CSS",
        IF(
            ISNUMBER(MATCH(_xlfn.TEXTBEFORE(J141,"-"), {"CSS","CSN","PCB","PCF","BEC","CSD","PCM"}, 0)),
            _xlfn.TEXTBEFORE(J141,"-"),
            "Other"
        )
    ),
"Add")</f>
        <v>BEC</v>
      </c>
      <c r="B141" s="10" t="str">
        <f t="shared" si="3"/>
        <v>0001</v>
      </c>
      <c r="C141" s="10" t="str">
        <f>_xlfn.LET(
    _xlpm.val, IF(Datadetails[[#This Row],[Activity]]="D02","C20",Datadetails[[#This Row],[Activity]]),
    IF(ISNUMBER(MATCH(_xlpm.val,{"D04","C30","c40","C20"},0)), _xlpm.val, "Other")
)</f>
        <v>D04</v>
      </c>
      <c r="D141" s="10" t="str">
        <f>IFERROR(VLOOKUP(Datadetails[[#This Row],[Taskcode]],Dashboard!A:A,1,FALSE),"00 Err Missing")</f>
        <v>0001</v>
      </c>
      <c r="E141" s="79">
        <v>45751</v>
      </c>
      <c r="F141" s="80" t="s">
        <v>332</v>
      </c>
      <c r="G141" s="60" t="s">
        <v>40</v>
      </c>
      <c r="H141" s="80" t="s">
        <v>314</v>
      </c>
      <c r="I141" s="80" t="s">
        <v>35</v>
      </c>
      <c r="J141" s="80" t="s">
        <v>359</v>
      </c>
      <c r="K141" s="80" t="s">
        <v>339</v>
      </c>
      <c r="L141" s="80" t="s">
        <v>352</v>
      </c>
      <c r="M141" s="81">
        <v>8</v>
      </c>
      <c r="N141" s="82">
        <v>320</v>
      </c>
    </row>
    <row r="142" spans="1:14" x14ac:dyDescent="0.25">
      <c r="A142" s="10" t="str">
        <f>_xlfn.IFNA(
    IF(J142=
        "PCB-0001",
        "CSS",
        IF(
            ISNUMBER(MATCH(_xlfn.TEXTBEFORE(J142,"-"), {"CSS","CSN","PCB","PCF","BEC","CSD","PCM"}, 0)),
            _xlfn.TEXTBEFORE(J142,"-"),
            "Other"
        )
    ),
"Add")</f>
        <v>BEC</v>
      </c>
      <c r="B142" s="10" t="str">
        <f t="shared" si="3"/>
        <v>0001</v>
      </c>
      <c r="C142" s="10" t="str">
        <f>_xlfn.LET(
    _xlpm.val, IF(Datadetails[[#This Row],[Activity]]="D02","C20",Datadetails[[#This Row],[Activity]]),
    IF(ISNUMBER(MATCH(_xlpm.val,{"D04","C30","c40","C20"},0)), _xlpm.val, "Other")
)</f>
        <v>D04</v>
      </c>
      <c r="D142" s="10" t="str">
        <f>IFERROR(VLOOKUP(Datadetails[[#This Row],[Taskcode]],Dashboard!A:A,1,FALSE),"00 Err Missing")</f>
        <v>0001</v>
      </c>
      <c r="E142" s="79">
        <v>45751</v>
      </c>
      <c r="F142" s="80" t="s">
        <v>324</v>
      </c>
      <c r="G142" s="60" t="s">
        <v>40</v>
      </c>
      <c r="H142" s="80" t="s">
        <v>314</v>
      </c>
      <c r="I142" s="80" t="s">
        <v>35</v>
      </c>
      <c r="J142" s="80" t="s">
        <v>359</v>
      </c>
      <c r="K142" s="80" t="s">
        <v>339</v>
      </c>
      <c r="L142" s="80" t="s">
        <v>352</v>
      </c>
      <c r="M142" s="81">
        <v>6.75</v>
      </c>
      <c r="N142" s="82">
        <v>506.25</v>
      </c>
    </row>
    <row r="143" spans="1:14" x14ac:dyDescent="0.25">
      <c r="A143" s="10" t="str">
        <f>_xlfn.IFNA(
    IF(J143=
        "PCB-0001",
        "CSS",
        IF(
            ISNUMBER(MATCH(_xlfn.TEXTBEFORE(J143,"-"), {"CSS","CSN","PCB","PCF","BEC","CSD","PCM"}, 0)),
            _xlfn.TEXTBEFORE(J143,"-"),
            "Other"
        )
    ),
"Add")</f>
        <v>BEC</v>
      </c>
      <c r="B143" s="10" t="str">
        <f t="shared" si="3"/>
        <v>0001</v>
      </c>
      <c r="C143" s="10" t="str">
        <f>_xlfn.LET(
    _xlpm.val, IF(Datadetails[[#This Row],[Activity]]="D02","C20",Datadetails[[#This Row],[Activity]]),
    IF(ISNUMBER(MATCH(_xlpm.val,{"D04","C30","c40","C20"},0)), _xlpm.val, "Other")
)</f>
        <v>D04</v>
      </c>
      <c r="D143" s="10" t="str">
        <f>IFERROR(VLOOKUP(Datadetails[[#This Row],[Taskcode]],Dashboard!A:A,1,FALSE),"00 Err Missing")</f>
        <v>0001</v>
      </c>
      <c r="E143" s="79">
        <v>45752</v>
      </c>
      <c r="F143" s="80" t="s">
        <v>332</v>
      </c>
      <c r="G143" s="60" t="s">
        <v>40</v>
      </c>
      <c r="H143" s="80" t="s">
        <v>314</v>
      </c>
      <c r="I143" s="80" t="s">
        <v>35</v>
      </c>
      <c r="J143" s="80" t="s">
        <v>359</v>
      </c>
      <c r="K143" s="80" t="s">
        <v>339</v>
      </c>
      <c r="L143" s="80" t="s">
        <v>352</v>
      </c>
      <c r="M143" s="81">
        <v>4</v>
      </c>
      <c r="N143" s="82">
        <v>160</v>
      </c>
    </row>
    <row r="144" spans="1:14" x14ac:dyDescent="0.25">
      <c r="A144" s="10" t="str">
        <f>_xlfn.IFNA(
    IF(J144=
        "PCB-0001",
        "CSS",
        IF(
            ISNUMBER(MATCH(_xlfn.TEXTBEFORE(J144,"-"), {"CSS","CSN","PCB","PCF","BEC","CSD","PCM"}, 0)),
            _xlfn.TEXTBEFORE(J144,"-"),
            "Other"
        )
    ),
"Add")</f>
        <v>CSD</v>
      </c>
      <c r="B144" s="10" t="str">
        <f t="shared" si="3"/>
        <v>0001</v>
      </c>
      <c r="C144" s="10" t="str">
        <f>_xlfn.LET(
    _xlpm.val, IF(Datadetails[[#This Row],[Activity]]="D02","C20",Datadetails[[#This Row],[Activity]]),
    IF(ISNUMBER(MATCH(_xlpm.val,{"D04","C30","c40","C20"},0)), _xlpm.val, "Other")
)</f>
        <v>D04</v>
      </c>
      <c r="D144" s="10" t="str">
        <f>IFERROR(VLOOKUP(Datadetails[[#This Row],[Taskcode]],Dashboard!A:A,1,FALSE),"00 Err Missing")</f>
        <v>0001</v>
      </c>
      <c r="E144" s="79">
        <v>45754</v>
      </c>
      <c r="F144" s="80" t="s">
        <v>333</v>
      </c>
      <c r="G144" s="60" t="s">
        <v>40</v>
      </c>
      <c r="H144" s="80" t="s">
        <v>320</v>
      </c>
      <c r="I144" s="80" t="s">
        <v>35</v>
      </c>
      <c r="J144" s="80" t="s">
        <v>322</v>
      </c>
      <c r="K144" s="80" t="s">
        <v>319</v>
      </c>
      <c r="L144" s="80" t="s">
        <v>352</v>
      </c>
      <c r="M144" s="81">
        <v>3.35</v>
      </c>
      <c r="N144" s="82">
        <v>107.2</v>
      </c>
    </row>
    <row r="145" spans="1:14" x14ac:dyDescent="0.25">
      <c r="A145" s="10" t="str">
        <f>_xlfn.IFNA(
    IF(J145=
        "PCB-0001",
        "CSS",
        IF(
            ISNUMBER(MATCH(_xlfn.TEXTBEFORE(J145,"-"), {"CSS","CSN","PCB","PCF","BEC","CSD","PCM"}, 0)),
            _xlfn.TEXTBEFORE(J145,"-"),
            "Other"
        )
    ),
"Add")</f>
        <v>CSD</v>
      </c>
      <c r="B145" s="10" t="str">
        <f t="shared" si="3"/>
        <v>0001</v>
      </c>
      <c r="C145" s="10" t="str">
        <f>_xlfn.LET(
    _xlpm.val, IF(Datadetails[[#This Row],[Activity]]="D02","C20",Datadetails[[#This Row],[Activity]]),
    IF(ISNUMBER(MATCH(_xlpm.val,{"D04","C30","c40","C20"},0)), _xlpm.val, "Other")
)</f>
        <v>D04</v>
      </c>
      <c r="D145" s="10" t="str">
        <f>IFERROR(VLOOKUP(Datadetails[[#This Row],[Taskcode]],Dashboard!A:A,1,FALSE),"00 Err Missing")</f>
        <v>0001</v>
      </c>
      <c r="E145" s="79">
        <v>45754</v>
      </c>
      <c r="F145" s="80" t="s">
        <v>327</v>
      </c>
      <c r="G145" s="60" t="s">
        <v>40</v>
      </c>
      <c r="H145" s="80" t="s">
        <v>320</v>
      </c>
      <c r="I145" s="80" t="s">
        <v>35</v>
      </c>
      <c r="J145" s="80" t="s">
        <v>322</v>
      </c>
      <c r="K145" s="80" t="s">
        <v>319</v>
      </c>
      <c r="L145" s="80" t="s">
        <v>352</v>
      </c>
      <c r="M145" s="81">
        <v>7.5</v>
      </c>
      <c r="N145" s="82">
        <v>240</v>
      </c>
    </row>
    <row r="146" spans="1:14" x14ac:dyDescent="0.25">
      <c r="A146" s="10" t="str">
        <f>_xlfn.IFNA(
    IF(J146=
        "PCB-0001",
        "CSS",
        IF(
            ISNUMBER(MATCH(_xlfn.TEXTBEFORE(J146,"-"), {"CSS","CSN","PCB","PCF","BEC","CSD","PCM"}, 0)),
            _xlfn.TEXTBEFORE(J146,"-"),
            "Other"
        )
    ),
"Add")</f>
        <v>PCB</v>
      </c>
      <c r="B146" s="10" t="str">
        <f t="shared" si="3"/>
        <v>0003</v>
      </c>
      <c r="C146" s="10" t="str">
        <f>_xlfn.LET(
    _xlpm.val, IF(Datadetails[[#This Row],[Activity]]="D02","C20",Datadetails[[#This Row],[Activity]]),
    IF(ISNUMBER(MATCH(_xlpm.val,{"D04","C30","c40","C20"},0)), _xlpm.val, "Other")
)</f>
        <v>C30</v>
      </c>
      <c r="D146" s="10" t="str">
        <f>IFERROR(VLOOKUP(Datadetails[[#This Row],[Taskcode]],Dashboard!A:A,1,FALSE),"00 Err Missing")</f>
        <v>0003</v>
      </c>
      <c r="E146" s="79">
        <v>45754</v>
      </c>
      <c r="F146" s="80" t="s">
        <v>325</v>
      </c>
      <c r="G146" s="60" t="s">
        <v>40</v>
      </c>
      <c r="H146" s="80" t="s">
        <v>170</v>
      </c>
      <c r="I146" s="80" t="s">
        <v>34</v>
      </c>
      <c r="J146" s="80" t="s">
        <v>424</v>
      </c>
      <c r="K146" s="80" t="s">
        <v>347</v>
      </c>
      <c r="L146" s="80" t="s">
        <v>343</v>
      </c>
      <c r="M146" s="81">
        <v>0.17</v>
      </c>
      <c r="N146" s="82">
        <v>12.750000000000002</v>
      </c>
    </row>
    <row r="147" spans="1:14" x14ac:dyDescent="0.25">
      <c r="A147" s="10" t="str">
        <f>_xlfn.IFNA(
    IF(J147=
        "PCB-0001",
        "CSS",
        IF(
            ISNUMBER(MATCH(_xlfn.TEXTBEFORE(J147,"-"), {"CSS","CSN","PCB","PCF","BEC","CSD","PCM"}, 0)),
            _xlfn.TEXTBEFORE(J147,"-"),
            "Other"
        )
    ),
"Add")</f>
        <v>PCB</v>
      </c>
      <c r="B147" s="10" t="str">
        <f t="shared" si="3"/>
        <v>0109</v>
      </c>
      <c r="C147" s="10" t="str">
        <f>_xlfn.LET(
    _xlpm.val, IF(Datadetails[[#This Row],[Activity]]="D02","C20",Datadetails[[#This Row],[Activity]]),
    IF(ISNUMBER(MATCH(_xlpm.val,{"D04","C30","c40","C20"},0)), _xlpm.val, "Other")
)</f>
        <v>C30</v>
      </c>
      <c r="D147" s="10" t="str">
        <f>IFERROR(VLOOKUP(Datadetails[[#This Row],[Taskcode]],Dashboard!A:A,1,FALSE),"00 Err Missing")</f>
        <v>0109</v>
      </c>
      <c r="E147" s="79">
        <v>45754</v>
      </c>
      <c r="F147" s="80" t="s">
        <v>325</v>
      </c>
      <c r="G147" s="60" t="s">
        <v>40</v>
      </c>
      <c r="H147" s="80" t="s">
        <v>276</v>
      </c>
      <c r="I147" s="80" t="s">
        <v>34</v>
      </c>
      <c r="J147" s="80" t="s">
        <v>425</v>
      </c>
      <c r="K147" s="80" t="s">
        <v>347</v>
      </c>
      <c r="L147" s="80" t="s">
        <v>343</v>
      </c>
      <c r="M147" s="81">
        <v>0.17</v>
      </c>
      <c r="N147" s="82">
        <v>12.750000000000002</v>
      </c>
    </row>
    <row r="148" spans="1:14" x14ac:dyDescent="0.25">
      <c r="A148" s="10" t="str">
        <f>_xlfn.IFNA(
    IF(J148=
        "PCB-0001",
        "CSS",
        IF(
            ISNUMBER(MATCH(_xlfn.TEXTBEFORE(J148,"-"), {"CSS","CSN","PCB","PCF","BEC","CSD","PCM"}, 0)),
            _xlfn.TEXTBEFORE(J148,"-"),
            "Other"
        )
    ),
"Add")</f>
        <v>PCF</v>
      </c>
      <c r="B148" s="10" t="str">
        <f t="shared" si="3"/>
        <v>0008</v>
      </c>
      <c r="C148" s="10" t="str">
        <f>_xlfn.LET(
    _xlpm.val, IF(Datadetails[[#This Row],[Activity]]="D02","C20",Datadetails[[#This Row],[Activity]]),
    IF(ISNUMBER(MATCH(_xlpm.val,{"D04","C30","c40","C20"},0)), _xlpm.val, "Other")
)</f>
        <v>C30</v>
      </c>
      <c r="D148" s="10" t="str">
        <f>IFERROR(VLOOKUP(Datadetails[[#This Row],[Taskcode]],Dashboard!A:A,1,FALSE),"00 Err Missing")</f>
        <v>0008</v>
      </c>
      <c r="E148" s="79">
        <v>45754</v>
      </c>
      <c r="F148" s="80" t="s">
        <v>326</v>
      </c>
      <c r="G148" s="60" t="s">
        <v>40</v>
      </c>
      <c r="H148" s="80" t="s">
        <v>175</v>
      </c>
      <c r="I148" s="80" t="s">
        <v>34</v>
      </c>
      <c r="J148" s="80" t="s">
        <v>388</v>
      </c>
      <c r="K148" s="80" t="s">
        <v>348</v>
      </c>
      <c r="L148" s="80" t="s">
        <v>343</v>
      </c>
      <c r="M148" s="81">
        <v>0.33</v>
      </c>
      <c r="N148" s="82">
        <v>19.8</v>
      </c>
    </row>
    <row r="149" spans="1:14" x14ac:dyDescent="0.25">
      <c r="A149" s="10" t="str">
        <f>_xlfn.IFNA(
    IF(J149=
        "PCB-0001",
        "CSS",
        IF(
            ISNUMBER(MATCH(_xlfn.TEXTBEFORE(J149,"-"), {"CSS","CSN","PCB","PCF","BEC","CSD","PCM"}, 0)),
            _xlfn.TEXTBEFORE(J149,"-"),
            "Other"
        )
    ),
"Add")</f>
        <v>PCF</v>
      </c>
      <c r="B149" s="10" t="str">
        <f t="shared" si="3"/>
        <v>0098</v>
      </c>
      <c r="C149" s="10" t="str">
        <f>_xlfn.LET(
    _xlpm.val, IF(Datadetails[[#This Row],[Activity]]="D02","C20",Datadetails[[#This Row],[Activity]]),
    IF(ISNUMBER(MATCH(_xlpm.val,{"D04","C30","c40","C20"},0)), _xlpm.val, "Other")
)</f>
        <v>C30</v>
      </c>
      <c r="D149" s="10" t="str">
        <f>IFERROR(VLOOKUP(Datadetails[[#This Row],[Taskcode]],Dashboard!A:A,1,FALSE),"00 Err Missing")</f>
        <v>0098</v>
      </c>
      <c r="E149" s="79">
        <v>45754</v>
      </c>
      <c r="F149" s="80" t="s">
        <v>326</v>
      </c>
      <c r="G149" s="60" t="s">
        <v>40</v>
      </c>
      <c r="H149" s="80" t="s">
        <v>265</v>
      </c>
      <c r="I149" s="80" t="s">
        <v>34</v>
      </c>
      <c r="J149" s="80" t="s">
        <v>358</v>
      </c>
      <c r="K149" s="80" t="s">
        <v>348</v>
      </c>
      <c r="L149" s="80" t="s">
        <v>343</v>
      </c>
      <c r="M149" s="81">
        <v>0.33</v>
      </c>
      <c r="N149" s="82">
        <v>19.8</v>
      </c>
    </row>
    <row r="150" spans="1:14" x14ac:dyDescent="0.25">
      <c r="A150" s="10" t="str">
        <f>_xlfn.IFNA(
    IF(J150=
        "PCB-0001",
        "CSS",
        IF(
            ISNUMBER(MATCH(_xlfn.TEXTBEFORE(J150,"-"), {"CSS","CSN","PCB","PCF","BEC","CSD","PCM"}, 0)),
            _xlfn.TEXTBEFORE(J150,"-"),
            "Other"
        )
    ),
"Add")</f>
        <v>PCF</v>
      </c>
      <c r="B150" s="10" t="str">
        <f t="shared" si="3"/>
        <v>0021</v>
      </c>
      <c r="C150" s="10" t="str">
        <f>_xlfn.LET(
    _xlpm.val, IF(Datadetails[[#This Row],[Activity]]="D02","C20",Datadetails[[#This Row],[Activity]]),
    IF(ISNUMBER(MATCH(_xlpm.val,{"D04","C30","c40","C20"},0)), _xlpm.val, "Other")
)</f>
        <v>C40</v>
      </c>
      <c r="D150" s="10" t="str">
        <f>IFERROR(VLOOKUP(Datadetails[[#This Row],[Taskcode]],Dashboard!A:A,1,FALSE),"00 Err Missing")</f>
        <v>0021</v>
      </c>
      <c r="E150" s="79">
        <v>45754</v>
      </c>
      <c r="F150" s="80" t="s">
        <v>326</v>
      </c>
      <c r="G150" s="60" t="s">
        <v>40</v>
      </c>
      <c r="H150" s="80" t="s">
        <v>188</v>
      </c>
      <c r="I150" s="80" t="s">
        <v>341</v>
      </c>
      <c r="J150" s="80" t="s">
        <v>356</v>
      </c>
      <c r="K150" s="80" t="s">
        <v>348</v>
      </c>
      <c r="L150" s="80" t="s">
        <v>344</v>
      </c>
      <c r="M150" s="81">
        <v>1.17</v>
      </c>
      <c r="N150" s="82">
        <v>70.199999999999989</v>
      </c>
    </row>
    <row r="151" spans="1:14" x14ac:dyDescent="0.25">
      <c r="A151" s="10" t="str">
        <f>_xlfn.IFNA(
    IF(J151=
        "PCB-0001",
        "CSS",
        IF(
            ISNUMBER(MATCH(_xlfn.TEXTBEFORE(J151,"-"), {"CSS","CSN","PCB","PCF","BEC","CSD","PCM"}, 0)),
            _xlfn.TEXTBEFORE(J151,"-"),
            "Other"
        )
    ),
"Add")</f>
        <v>PCB</v>
      </c>
      <c r="B151" s="10" t="str">
        <f t="shared" si="3"/>
        <v>0102</v>
      </c>
      <c r="C151" s="10" t="str">
        <f>_xlfn.LET(
    _xlpm.val, IF(Datadetails[[#This Row],[Activity]]="D02","C20",Datadetails[[#This Row],[Activity]]),
    IF(ISNUMBER(MATCH(_xlpm.val,{"D04","C30","c40","C20"},0)), _xlpm.val, "Other")
)</f>
        <v>C30</v>
      </c>
      <c r="D151" s="10" t="str">
        <f>IFERROR(VLOOKUP(Datadetails[[#This Row],[Taskcode]],Dashboard!A:A,1,FALSE),"00 Err Missing")</f>
        <v>0102</v>
      </c>
      <c r="E151" s="79">
        <v>45755</v>
      </c>
      <c r="F151" s="80" t="s">
        <v>329</v>
      </c>
      <c r="G151" s="60" t="s">
        <v>40</v>
      </c>
      <c r="H151" s="80" t="s">
        <v>269</v>
      </c>
      <c r="I151" s="80" t="s">
        <v>34</v>
      </c>
      <c r="J151" s="80" t="s">
        <v>361</v>
      </c>
      <c r="K151" s="80" t="s">
        <v>347</v>
      </c>
      <c r="L151" s="80" t="s">
        <v>343</v>
      </c>
      <c r="M151" s="81">
        <v>0.17</v>
      </c>
      <c r="N151" s="82">
        <v>12.750000000000002</v>
      </c>
    </row>
    <row r="152" spans="1:14" x14ac:dyDescent="0.25">
      <c r="A152" s="10" t="str">
        <f>_xlfn.IFNA(
    IF(J152=
        "PCB-0001",
        "CSS",
        IF(
            ISNUMBER(MATCH(_xlfn.TEXTBEFORE(J152,"-"), {"CSS","CSN","PCB","PCF","BEC","CSD","PCM"}, 0)),
            _xlfn.TEXTBEFORE(J152,"-"),
            "Other"
        )
    ),
"Add")</f>
        <v>PCB</v>
      </c>
      <c r="B152" s="10" t="str">
        <f t="shared" si="3"/>
        <v>0080</v>
      </c>
      <c r="C152" s="10" t="str">
        <f>_xlfn.LET(
    _xlpm.val, IF(Datadetails[[#This Row],[Activity]]="D02","C20",Datadetails[[#This Row],[Activity]]),
    IF(ISNUMBER(MATCH(_xlpm.val,{"D04","C30","c40","C20"},0)), _xlpm.val, "Other")
)</f>
        <v>C40</v>
      </c>
      <c r="D152" s="10" t="str">
        <f>IFERROR(VLOOKUP(Datadetails[[#This Row],[Taskcode]],Dashboard!A:A,1,FALSE),"00 Err Missing")</f>
        <v>0080</v>
      </c>
      <c r="E152" s="79">
        <v>45755</v>
      </c>
      <c r="F152" s="80" t="s">
        <v>329</v>
      </c>
      <c r="G152" s="60" t="s">
        <v>40</v>
      </c>
      <c r="H152" s="80" t="s">
        <v>247</v>
      </c>
      <c r="I152" s="80" t="s">
        <v>341</v>
      </c>
      <c r="J152" s="80" t="s">
        <v>375</v>
      </c>
      <c r="K152" s="80" t="s">
        <v>347</v>
      </c>
      <c r="L152" s="80" t="s">
        <v>344</v>
      </c>
      <c r="M152" s="81">
        <v>2</v>
      </c>
      <c r="N152" s="82">
        <v>150</v>
      </c>
    </row>
    <row r="153" spans="1:14" x14ac:dyDescent="0.25">
      <c r="A153" s="10" t="str">
        <f>_xlfn.IFNA(
    IF(J153=
        "PCB-0001",
        "CSS",
        IF(
            ISNUMBER(MATCH(_xlfn.TEXTBEFORE(J153,"-"), {"CSS","CSN","PCB","PCF","BEC","CSD","PCM"}, 0)),
            _xlfn.TEXTBEFORE(J153,"-"),
            "Other"
        )
    ),
"Add")</f>
        <v>PCM</v>
      </c>
      <c r="B153" s="10" t="str">
        <f t="shared" si="3"/>
        <v>0001</v>
      </c>
      <c r="C153" s="10" t="str">
        <f>_xlfn.LET(
    _xlpm.val, IF(Datadetails[[#This Row],[Activity]]="D02","C20",Datadetails[[#This Row],[Activity]]),
    IF(ISNUMBER(MATCH(_xlpm.val,{"D04","C30","c40","C20"},0)), _xlpm.val, "Other")
)</f>
        <v>C20</v>
      </c>
      <c r="D153" s="10" t="str">
        <f>IFERROR(VLOOKUP(Datadetails[[#This Row],[Taskcode]],Dashboard!A:A,1,FALSE),"00 Err Missing")</f>
        <v>0001</v>
      </c>
      <c r="E153" s="79">
        <v>45755</v>
      </c>
      <c r="F153" s="80" t="s">
        <v>323</v>
      </c>
      <c r="G153" s="60" t="s">
        <v>40</v>
      </c>
      <c r="H153" s="80" t="s">
        <v>168</v>
      </c>
      <c r="I153" s="80" t="s">
        <v>36</v>
      </c>
      <c r="J153" s="80" t="s">
        <v>419</v>
      </c>
      <c r="K153" s="80" t="s">
        <v>346</v>
      </c>
      <c r="L153" s="80" t="s">
        <v>342</v>
      </c>
      <c r="M153" s="81">
        <v>0.5</v>
      </c>
      <c r="N153" s="82">
        <v>30</v>
      </c>
    </row>
    <row r="154" spans="1:14" x14ac:dyDescent="0.25">
      <c r="A154" s="10" t="str">
        <f>_xlfn.IFNA(
    IF(J154=
        "PCB-0001",
        "CSS",
        IF(
            ISNUMBER(MATCH(_xlfn.TEXTBEFORE(J154,"-"), {"CSS","CSN","PCB","PCF","BEC","CSD","PCM"}, 0)),
            _xlfn.TEXTBEFORE(J154,"-"),
            "Other"
        )
    ),
"Add")</f>
        <v>CSN</v>
      </c>
      <c r="B154" s="10" t="str">
        <f t="shared" si="3"/>
        <v>0001</v>
      </c>
      <c r="C154" s="10" t="str">
        <f>_xlfn.LET(
    _xlpm.val, IF(Datadetails[[#This Row],[Activity]]="D02","C20",Datadetails[[#This Row],[Activity]]),
    IF(ISNUMBER(MATCH(_xlpm.val,{"D04","C30","c40","C20"},0)), _xlpm.val, "Other")
)</f>
        <v>D04</v>
      </c>
      <c r="D154" s="10" t="str">
        <f>IFERROR(VLOOKUP(Datadetails[[#This Row],[Taskcode]],Dashboard!A:A,1,FALSE),"00 Err Missing")</f>
        <v>0001</v>
      </c>
      <c r="E154" s="79">
        <v>45755</v>
      </c>
      <c r="F154" s="80" t="s">
        <v>329</v>
      </c>
      <c r="G154" s="60" t="s">
        <v>40</v>
      </c>
      <c r="H154" s="80" t="s">
        <v>316</v>
      </c>
      <c r="I154" s="80" t="s">
        <v>35</v>
      </c>
      <c r="J154" s="80" t="s">
        <v>338</v>
      </c>
      <c r="K154" s="80" t="s">
        <v>337</v>
      </c>
      <c r="L154" s="80" t="s">
        <v>352</v>
      </c>
      <c r="M154" s="81">
        <v>1.33</v>
      </c>
      <c r="N154" s="82">
        <v>99.75</v>
      </c>
    </row>
    <row r="155" spans="1:14" x14ac:dyDescent="0.25">
      <c r="A155" s="10" t="str">
        <f>_xlfn.IFNA(
    IF(J155=
        "PCB-0001",
        "CSS",
        IF(
            ISNUMBER(MATCH(_xlfn.TEXTBEFORE(J155,"-"), {"CSS","CSN","PCB","PCF","BEC","CSD","PCM"}, 0)),
            _xlfn.TEXTBEFORE(J155,"-"),
            "Other"
        )
    ),
"Add")</f>
        <v>CSD</v>
      </c>
      <c r="B155" s="10" t="str">
        <f t="shared" si="3"/>
        <v>0001</v>
      </c>
      <c r="C155" s="10" t="str">
        <f>_xlfn.LET(
    _xlpm.val, IF(Datadetails[[#This Row],[Activity]]="D02","C20",Datadetails[[#This Row],[Activity]]),
    IF(ISNUMBER(MATCH(_xlpm.val,{"D04","C30","c40","C20"},0)), _xlpm.val, "Other")
)</f>
        <v>D04</v>
      </c>
      <c r="D155" s="10" t="str">
        <f>IFERROR(VLOOKUP(Datadetails[[#This Row],[Taskcode]],Dashboard!A:A,1,FALSE),"00 Err Missing")</f>
        <v>0001</v>
      </c>
      <c r="E155" s="79">
        <v>45755</v>
      </c>
      <c r="F155" s="80" t="s">
        <v>333</v>
      </c>
      <c r="G155" s="60" t="s">
        <v>40</v>
      </c>
      <c r="H155" s="80" t="s">
        <v>320</v>
      </c>
      <c r="I155" s="80" t="s">
        <v>35</v>
      </c>
      <c r="J155" s="80" t="s">
        <v>322</v>
      </c>
      <c r="K155" s="80" t="s">
        <v>319</v>
      </c>
      <c r="L155" s="80" t="s">
        <v>352</v>
      </c>
      <c r="M155" s="81">
        <v>6.6</v>
      </c>
      <c r="N155" s="82">
        <v>211.2</v>
      </c>
    </row>
    <row r="156" spans="1:14" x14ac:dyDescent="0.25">
      <c r="A156" s="10" t="str">
        <f>_xlfn.IFNA(
    IF(J156=
        "PCB-0001",
        "CSS",
        IF(
            ISNUMBER(MATCH(_xlfn.TEXTBEFORE(J156,"-"), {"CSS","CSN","PCB","PCF","BEC","CSD","PCM"}, 0)),
            _xlfn.TEXTBEFORE(J156,"-"),
            "Other"
        )
    ),
"Add")</f>
        <v>CSD</v>
      </c>
      <c r="B156" s="10" t="str">
        <f t="shared" si="3"/>
        <v>0001</v>
      </c>
      <c r="C156" s="10" t="str">
        <f>_xlfn.LET(
    _xlpm.val, IF(Datadetails[[#This Row],[Activity]]="D02","C20",Datadetails[[#This Row],[Activity]]),
    IF(ISNUMBER(MATCH(_xlpm.val,{"D04","C30","c40","C20"},0)), _xlpm.val, "Other")
)</f>
        <v>D04</v>
      </c>
      <c r="D156" s="10" t="str">
        <f>IFERROR(VLOOKUP(Datadetails[[#This Row],[Taskcode]],Dashboard!A:A,1,FALSE),"00 Err Missing")</f>
        <v>0001</v>
      </c>
      <c r="E156" s="79">
        <v>45755</v>
      </c>
      <c r="F156" s="80" t="s">
        <v>327</v>
      </c>
      <c r="G156" s="60" t="s">
        <v>40</v>
      </c>
      <c r="H156" s="80" t="s">
        <v>320</v>
      </c>
      <c r="I156" s="80" t="s">
        <v>35</v>
      </c>
      <c r="J156" s="80" t="s">
        <v>322</v>
      </c>
      <c r="K156" s="80" t="s">
        <v>319</v>
      </c>
      <c r="L156" s="80" t="s">
        <v>352</v>
      </c>
      <c r="M156" s="81">
        <v>7.25</v>
      </c>
      <c r="N156" s="82">
        <v>232</v>
      </c>
    </row>
    <row r="157" spans="1:14" x14ac:dyDescent="0.25">
      <c r="A157" s="10" t="str">
        <f>_xlfn.IFNA(
    IF(J157=
        "PCB-0001",
        "CSS",
        IF(
            ISNUMBER(MATCH(_xlfn.TEXTBEFORE(J157,"-"), {"CSS","CSN","PCB","PCF","BEC","CSD","PCM"}, 0)),
            _xlfn.TEXTBEFORE(J157,"-"),
            "Other"
        )
    ),
"Add")</f>
        <v>PCM</v>
      </c>
      <c r="B157" s="10" t="str">
        <f t="shared" si="3"/>
        <v>0065</v>
      </c>
      <c r="C157" s="10" t="str">
        <f>_xlfn.LET(
    _xlpm.val, IF(Datadetails[[#This Row],[Activity]]="D02","C20",Datadetails[[#This Row],[Activity]]),
    IF(ISNUMBER(MATCH(_xlpm.val,{"D04","C30","c40","C20"},0)), _xlpm.val, "Other")
)</f>
        <v>C20</v>
      </c>
      <c r="D157" s="10" t="str">
        <f>IFERROR(VLOOKUP(Datadetails[[#This Row],[Taskcode]],Dashboard!A:A,1,FALSE),"00 Err Missing")</f>
        <v>0065</v>
      </c>
      <c r="E157" s="79">
        <v>45755</v>
      </c>
      <c r="F157" s="80" t="s">
        <v>323</v>
      </c>
      <c r="G157" s="60" t="s">
        <v>40</v>
      </c>
      <c r="H157" s="80" t="s">
        <v>232</v>
      </c>
      <c r="I157" s="80" t="s">
        <v>36</v>
      </c>
      <c r="J157" s="80" t="s">
        <v>393</v>
      </c>
      <c r="K157" s="80" t="s">
        <v>346</v>
      </c>
      <c r="L157" s="80" t="s">
        <v>342</v>
      </c>
      <c r="M157" s="81">
        <v>0.25</v>
      </c>
      <c r="N157" s="82">
        <v>15</v>
      </c>
    </row>
    <row r="158" spans="1:14" x14ac:dyDescent="0.25">
      <c r="A158" s="10" t="str">
        <f>_xlfn.IFNA(
    IF(J158=
        "PCB-0001",
        "CSS",
        IF(
            ISNUMBER(MATCH(_xlfn.TEXTBEFORE(J158,"-"), {"CSS","CSN","PCB","PCF","BEC","CSD","PCM"}, 0)),
            _xlfn.TEXTBEFORE(J158,"-"),
            "Other"
        )
    ),
"Add")</f>
        <v>PCB</v>
      </c>
      <c r="B158" s="10" t="str">
        <f t="shared" si="3"/>
        <v>0058</v>
      </c>
      <c r="C158" s="10" t="str">
        <f>_xlfn.LET(
    _xlpm.val, IF(Datadetails[[#This Row],[Activity]]="D02","C20",Datadetails[[#This Row],[Activity]]),
    IF(ISNUMBER(MATCH(_xlpm.val,{"D04","C30","c40","C20"},0)), _xlpm.val, "Other")
)</f>
        <v>C20</v>
      </c>
      <c r="D158" s="10" t="str">
        <f>IFERROR(VLOOKUP(Datadetails[[#This Row],[Taskcode]],Dashboard!A:A,1,FALSE),"00 Err Missing")</f>
        <v>0058</v>
      </c>
      <c r="E158" s="79">
        <v>45755</v>
      </c>
      <c r="F158" s="80" t="s">
        <v>330</v>
      </c>
      <c r="G158" s="60" t="s">
        <v>40</v>
      </c>
      <c r="H158" s="80" t="s">
        <v>225</v>
      </c>
      <c r="I158" s="80" t="s">
        <v>36</v>
      </c>
      <c r="J158" s="80" t="s">
        <v>365</v>
      </c>
      <c r="K158" s="80" t="s">
        <v>347</v>
      </c>
      <c r="L158" s="80" t="s">
        <v>342</v>
      </c>
      <c r="M158" s="81">
        <v>1.42</v>
      </c>
      <c r="N158" s="82">
        <v>85.199999999999989</v>
      </c>
    </row>
    <row r="159" spans="1:14" x14ac:dyDescent="0.25">
      <c r="A159" s="10" t="str">
        <f>_xlfn.IFNA(
    IF(J159=
        "PCB-0001",
        "CSS",
        IF(
            ISNUMBER(MATCH(_xlfn.TEXTBEFORE(J159,"-"), {"CSS","CSN","PCB","PCF","BEC","CSD","PCM"}, 0)),
            _xlfn.TEXTBEFORE(J159,"-"),
            "Other"
        )
    ),
"Add")</f>
        <v>PCB</v>
      </c>
      <c r="B159" s="10" t="str">
        <f t="shared" si="3"/>
        <v>0030</v>
      </c>
      <c r="C159" s="10" t="str">
        <f>_xlfn.LET(
    _xlpm.val, IF(Datadetails[[#This Row],[Activity]]="D02","C20",Datadetails[[#This Row],[Activity]]),
    IF(ISNUMBER(MATCH(_xlpm.val,{"D04","C30","c40","C20"},0)), _xlpm.val, "Other")
)</f>
        <v>C30</v>
      </c>
      <c r="D159" s="10" t="str">
        <f>IFERROR(VLOOKUP(Datadetails[[#This Row],[Taskcode]],Dashboard!A:A,1,FALSE),"00 Err Missing")</f>
        <v>0030</v>
      </c>
      <c r="E159" s="79">
        <v>45755</v>
      </c>
      <c r="F159" s="80" t="s">
        <v>329</v>
      </c>
      <c r="G159" s="60" t="s">
        <v>40</v>
      </c>
      <c r="H159" s="80" t="s">
        <v>197</v>
      </c>
      <c r="I159" s="80" t="s">
        <v>34</v>
      </c>
      <c r="J159" s="80" t="s">
        <v>366</v>
      </c>
      <c r="K159" s="80" t="s">
        <v>347</v>
      </c>
      <c r="L159" s="80" t="s">
        <v>343</v>
      </c>
      <c r="M159" s="81">
        <v>0.25</v>
      </c>
      <c r="N159" s="82">
        <v>18.75</v>
      </c>
    </row>
    <row r="160" spans="1:14" x14ac:dyDescent="0.25">
      <c r="A160" s="10" t="str">
        <f>_xlfn.IFNA(
    IF(J160=
        "PCB-0001",
        "CSS",
        IF(
            ISNUMBER(MATCH(_xlfn.TEXTBEFORE(J160,"-"), {"CSS","CSN","PCB","PCF","BEC","CSD","PCM"}, 0)),
            _xlfn.TEXTBEFORE(J160,"-"),
            "Other"
        )
    ),
"Add")</f>
        <v>PCB</v>
      </c>
      <c r="B160" s="10" t="str">
        <f t="shared" si="3"/>
        <v>0085</v>
      </c>
      <c r="C160" s="10" t="str">
        <f>_xlfn.LET(
    _xlpm.val, IF(Datadetails[[#This Row],[Activity]]="D02","C20",Datadetails[[#This Row],[Activity]]),
    IF(ISNUMBER(MATCH(_xlpm.val,{"D04","C30","c40","C20"},0)), _xlpm.val, "Other")
)</f>
        <v>C20</v>
      </c>
      <c r="D160" s="10" t="str">
        <f>IFERROR(VLOOKUP(Datadetails[[#This Row],[Taskcode]],Dashboard!A:A,1,FALSE),"00 Err Missing")</f>
        <v>0085</v>
      </c>
      <c r="E160" s="79">
        <v>45755</v>
      </c>
      <c r="F160" s="80" t="s">
        <v>330</v>
      </c>
      <c r="G160" s="60" t="s">
        <v>40</v>
      </c>
      <c r="H160" s="80" t="s">
        <v>252</v>
      </c>
      <c r="I160" s="80" t="s">
        <v>36</v>
      </c>
      <c r="J160" s="80" t="s">
        <v>416</v>
      </c>
      <c r="K160" s="80" t="s">
        <v>347</v>
      </c>
      <c r="L160" s="80" t="s">
        <v>342</v>
      </c>
      <c r="M160" s="81">
        <v>3.5</v>
      </c>
      <c r="N160" s="82">
        <v>210</v>
      </c>
    </row>
    <row r="161" spans="1:14" x14ac:dyDescent="0.25">
      <c r="A161" s="10" t="str">
        <f>_xlfn.IFNA(
    IF(J161=
        "PCB-0001",
        "CSS",
        IF(
            ISNUMBER(MATCH(_xlfn.TEXTBEFORE(J161,"-"), {"CSS","CSN","PCB","PCF","BEC","CSD","PCM"}, 0)),
            _xlfn.TEXTBEFORE(J161,"-"),
            "Other"
        )
    ),
"Add")</f>
        <v>PCB</v>
      </c>
      <c r="B161" s="10" t="str">
        <f t="shared" si="3"/>
        <v>0012</v>
      </c>
      <c r="C161" s="10" t="str">
        <f>_xlfn.LET(
    _xlpm.val, IF(Datadetails[[#This Row],[Activity]]="D02","C20",Datadetails[[#This Row],[Activity]]),
    IF(ISNUMBER(MATCH(_xlpm.val,{"D04","C30","c40","C20"},0)), _xlpm.val, "Other")
)</f>
        <v>C30</v>
      </c>
      <c r="D161" s="10" t="str">
        <f>IFERROR(VLOOKUP(Datadetails[[#This Row],[Taskcode]],Dashboard!A:A,1,FALSE),"00 Err Missing")</f>
        <v>0012</v>
      </c>
      <c r="E161" s="79">
        <v>45755</v>
      </c>
      <c r="F161" s="80" t="s">
        <v>325</v>
      </c>
      <c r="G161" s="60" t="s">
        <v>40</v>
      </c>
      <c r="H161" s="80" t="s">
        <v>179</v>
      </c>
      <c r="I161" s="80" t="s">
        <v>34</v>
      </c>
      <c r="J161" s="80" t="s">
        <v>422</v>
      </c>
      <c r="K161" s="80" t="s">
        <v>347</v>
      </c>
      <c r="L161" s="80" t="s">
        <v>343</v>
      </c>
      <c r="M161" s="81">
        <v>0.25</v>
      </c>
      <c r="N161" s="82">
        <v>18.75</v>
      </c>
    </row>
    <row r="162" spans="1:14" x14ac:dyDescent="0.25">
      <c r="A162" s="10" t="str">
        <f>_xlfn.IFNA(
    IF(J162=
        "PCB-0001",
        "CSS",
        IF(
            ISNUMBER(MATCH(_xlfn.TEXTBEFORE(J162,"-"), {"CSS","CSN","PCB","PCF","BEC","CSD","PCM"}, 0)),
            _xlfn.TEXTBEFORE(J162,"-"),
            "Other"
        )
    ),
"Add")</f>
        <v>PCB</v>
      </c>
      <c r="B162" s="10" t="str">
        <f t="shared" si="3"/>
        <v>0016</v>
      </c>
      <c r="C162" s="10" t="str">
        <f>_xlfn.LET(
    _xlpm.val, IF(Datadetails[[#This Row],[Activity]]="D02","C20",Datadetails[[#This Row],[Activity]]),
    IF(ISNUMBER(MATCH(_xlpm.val,{"D04","C30","c40","C20"},0)), _xlpm.val, "Other")
)</f>
        <v>C30</v>
      </c>
      <c r="D162" s="10" t="str">
        <f>IFERROR(VLOOKUP(Datadetails[[#This Row],[Taskcode]],Dashboard!A:A,1,FALSE),"00 Err Missing")</f>
        <v>0016</v>
      </c>
      <c r="E162" s="79">
        <v>45755</v>
      </c>
      <c r="F162" s="80" t="s">
        <v>329</v>
      </c>
      <c r="G162" s="60" t="s">
        <v>40</v>
      </c>
      <c r="H162" s="80" t="s">
        <v>183</v>
      </c>
      <c r="I162" s="80" t="s">
        <v>34</v>
      </c>
      <c r="J162" s="80" t="s">
        <v>368</v>
      </c>
      <c r="K162" s="80" t="s">
        <v>347</v>
      </c>
      <c r="L162" s="80" t="s">
        <v>343</v>
      </c>
      <c r="M162" s="81">
        <v>0.08</v>
      </c>
      <c r="N162" s="82">
        <v>6</v>
      </c>
    </row>
    <row r="163" spans="1:14" x14ac:dyDescent="0.25">
      <c r="A163" s="10" t="str">
        <f>_xlfn.IFNA(
    IF(J163=
        "PCB-0001",
        "CSS",
        IF(
            ISNUMBER(MATCH(_xlfn.TEXTBEFORE(J163,"-"), {"CSS","CSN","PCB","PCF","BEC","CSD","PCM"}, 0)),
            _xlfn.TEXTBEFORE(J163,"-"),
            "Other"
        )
    ),
"Add")</f>
        <v>PCB</v>
      </c>
      <c r="B163" s="10" t="str">
        <f t="shared" si="3"/>
        <v>0039</v>
      </c>
      <c r="C163" s="10" t="str">
        <f>_xlfn.LET(
    _xlpm.val, IF(Datadetails[[#This Row],[Activity]]="D02","C20",Datadetails[[#This Row],[Activity]]),
    IF(ISNUMBER(MATCH(_xlpm.val,{"D04","C30","c40","C20"},0)), _xlpm.val, "Other")
)</f>
        <v>C30</v>
      </c>
      <c r="D163" s="10" t="str">
        <f>IFERROR(VLOOKUP(Datadetails[[#This Row],[Taskcode]],Dashboard!A:A,1,FALSE),"00 Err Missing")</f>
        <v>0039</v>
      </c>
      <c r="E163" s="79">
        <v>45755</v>
      </c>
      <c r="F163" s="80" t="s">
        <v>329</v>
      </c>
      <c r="G163" s="60" t="s">
        <v>40</v>
      </c>
      <c r="H163" s="80" t="s">
        <v>206</v>
      </c>
      <c r="I163" s="80" t="s">
        <v>34</v>
      </c>
      <c r="J163" s="80" t="s">
        <v>367</v>
      </c>
      <c r="K163" s="80" t="s">
        <v>347</v>
      </c>
      <c r="L163" s="80" t="s">
        <v>343</v>
      </c>
      <c r="M163" s="81">
        <v>0.08</v>
      </c>
      <c r="N163" s="82">
        <v>6</v>
      </c>
    </row>
    <row r="164" spans="1:14" x14ac:dyDescent="0.25">
      <c r="A164" s="10" t="str">
        <f>_xlfn.IFNA(
    IF(J164=
        "PCB-0001",
        "CSS",
        IF(
            ISNUMBER(MATCH(_xlfn.TEXTBEFORE(J164,"-"), {"CSS","CSN","PCB","PCF","BEC","CSD","PCM"}, 0)),
            _xlfn.TEXTBEFORE(J164,"-"),
            "Other"
        )
    ),
"Add")</f>
        <v>PCB</v>
      </c>
      <c r="B164" s="10" t="str">
        <f t="shared" si="3"/>
        <v>0134</v>
      </c>
      <c r="C164" s="10" t="str">
        <f>_xlfn.LET(
    _xlpm.val, IF(Datadetails[[#This Row],[Activity]]="D02","C20",Datadetails[[#This Row],[Activity]]),
    IF(ISNUMBER(MATCH(_xlpm.val,{"D04","C30","c40","C20"},0)), _xlpm.val, "Other")
)</f>
        <v>C30</v>
      </c>
      <c r="D164" s="10" t="str">
        <f>IFERROR(VLOOKUP(Datadetails[[#This Row],[Taskcode]],Dashboard!A:A,1,FALSE),"00 Err Missing")</f>
        <v>0134</v>
      </c>
      <c r="E164" s="79">
        <v>45755</v>
      </c>
      <c r="F164" s="80" t="s">
        <v>329</v>
      </c>
      <c r="G164" s="60" t="s">
        <v>40</v>
      </c>
      <c r="H164" s="80" t="s">
        <v>301</v>
      </c>
      <c r="I164" s="80" t="s">
        <v>34</v>
      </c>
      <c r="J164" s="80" t="s">
        <v>371</v>
      </c>
      <c r="K164" s="80" t="s">
        <v>347</v>
      </c>
      <c r="L164" s="80" t="s">
        <v>343</v>
      </c>
      <c r="M164" s="81">
        <v>0.17</v>
      </c>
      <c r="N164" s="82">
        <v>12.750000000000002</v>
      </c>
    </row>
    <row r="165" spans="1:14" x14ac:dyDescent="0.25">
      <c r="A165" s="10" t="str">
        <f>_xlfn.IFNA(
    IF(J165=
        "PCB-0001",
        "CSS",
        IF(
            ISNUMBER(MATCH(_xlfn.TEXTBEFORE(J165,"-"), {"CSS","CSN","PCB","PCF","BEC","CSD","PCM"}, 0)),
            _xlfn.TEXTBEFORE(J165,"-"),
            "Other"
        )
    ),
"Add")</f>
        <v>PCB</v>
      </c>
      <c r="B165" s="10" t="str">
        <f t="shared" si="3"/>
        <v>0136</v>
      </c>
      <c r="C165" s="10" t="str">
        <f>_xlfn.LET(
    _xlpm.val, IF(Datadetails[[#This Row],[Activity]]="D02","C20",Datadetails[[#This Row],[Activity]]),
    IF(ISNUMBER(MATCH(_xlpm.val,{"D04","C30","c40","C20"},0)), _xlpm.val, "Other")
)</f>
        <v>C30</v>
      </c>
      <c r="D165" s="10" t="str">
        <f>IFERROR(VLOOKUP(Datadetails[[#This Row],[Taskcode]],Dashboard!A:A,1,FALSE),"00 Err Missing")</f>
        <v>0136</v>
      </c>
      <c r="E165" s="79">
        <v>45755</v>
      </c>
      <c r="F165" s="80" t="s">
        <v>329</v>
      </c>
      <c r="G165" s="60" t="s">
        <v>40</v>
      </c>
      <c r="H165" s="80" t="s">
        <v>303</v>
      </c>
      <c r="I165" s="80" t="s">
        <v>34</v>
      </c>
      <c r="J165" s="80" t="s">
        <v>400</v>
      </c>
      <c r="K165" s="80" t="s">
        <v>347</v>
      </c>
      <c r="L165" s="80" t="s">
        <v>343</v>
      </c>
      <c r="M165" s="81">
        <v>0.17</v>
      </c>
      <c r="N165" s="82">
        <v>12.750000000000002</v>
      </c>
    </row>
    <row r="166" spans="1:14" x14ac:dyDescent="0.25">
      <c r="A166" s="10" t="str">
        <f>_xlfn.IFNA(
    IF(J166=
        "PCB-0001",
        "CSS",
        IF(
            ISNUMBER(MATCH(_xlfn.TEXTBEFORE(J166,"-"), {"CSS","CSN","PCB","PCF","BEC","CSD","PCM"}, 0)),
            _xlfn.TEXTBEFORE(J166,"-"),
            "Other"
        )
    ),
"Add")</f>
        <v>PCB</v>
      </c>
      <c r="B166" s="10" t="str">
        <f t="shared" si="3"/>
        <v>0062</v>
      </c>
      <c r="C166" s="10" t="str">
        <f>_xlfn.LET(
    _xlpm.val, IF(Datadetails[[#This Row],[Activity]]="D02","C20",Datadetails[[#This Row],[Activity]]),
    IF(ISNUMBER(MATCH(_xlpm.val,{"D04","C30","c40","C20"},0)), _xlpm.val, "Other")
)</f>
        <v>C30</v>
      </c>
      <c r="D166" s="10" t="str">
        <f>IFERROR(VLOOKUP(Datadetails[[#This Row],[Taskcode]],Dashboard!A:A,1,FALSE),"00 Err Missing")</f>
        <v>0062</v>
      </c>
      <c r="E166" s="79">
        <v>45755</v>
      </c>
      <c r="F166" s="80" t="s">
        <v>329</v>
      </c>
      <c r="G166" s="60" t="s">
        <v>40</v>
      </c>
      <c r="H166" s="80" t="s">
        <v>229</v>
      </c>
      <c r="I166" s="80" t="s">
        <v>34</v>
      </c>
      <c r="J166" s="80" t="s">
        <v>373</v>
      </c>
      <c r="K166" s="80" t="s">
        <v>347</v>
      </c>
      <c r="L166" s="80" t="s">
        <v>343</v>
      </c>
      <c r="M166" s="81">
        <v>0.08</v>
      </c>
      <c r="N166" s="82">
        <v>6</v>
      </c>
    </row>
    <row r="167" spans="1:14" x14ac:dyDescent="0.25">
      <c r="A167" s="10" t="str">
        <f>_xlfn.IFNA(
    IF(J167=
        "PCB-0001",
        "CSS",
        IF(
            ISNUMBER(MATCH(_xlfn.TEXTBEFORE(J167,"-"), {"CSS","CSN","PCB","PCF","BEC","CSD","PCM"}, 0)),
            _xlfn.TEXTBEFORE(J167,"-"),
            "Other"
        )
    ),
"Add")</f>
        <v>PCB</v>
      </c>
      <c r="B167" s="10" t="str">
        <f t="shared" si="3"/>
        <v>0073</v>
      </c>
      <c r="C167" s="10" t="str">
        <f>_xlfn.LET(
    _xlpm.val, IF(Datadetails[[#This Row],[Activity]]="D02","C20",Datadetails[[#This Row],[Activity]]),
    IF(ISNUMBER(MATCH(_xlpm.val,{"D04","C30","c40","C20"},0)), _xlpm.val, "Other")
)</f>
        <v>C30</v>
      </c>
      <c r="D167" s="10" t="str">
        <f>IFERROR(VLOOKUP(Datadetails[[#This Row],[Taskcode]],Dashboard!A:A,1,FALSE),"00 Err Missing")</f>
        <v>0073</v>
      </c>
      <c r="E167" s="79">
        <v>45755</v>
      </c>
      <c r="F167" s="80" t="s">
        <v>329</v>
      </c>
      <c r="G167" s="60" t="s">
        <v>40</v>
      </c>
      <c r="H167" s="80" t="s">
        <v>240</v>
      </c>
      <c r="I167" s="80" t="s">
        <v>34</v>
      </c>
      <c r="J167" s="80" t="s">
        <v>402</v>
      </c>
      <c r="K167" s="80" t="s">
        <v>347</v>
      </c>
      <c r="L167" s="80" t="s">
        <v>343</v>
      </c>
      <c r="M167" s="81">
        <v>0.17</v>
      </c>
      <c r="N167" s="82">
        <v>12.750000000000002</v>
      </c>
    </row>
    <row r="168" spans="1:14" x14ac:dyDescent="0.25">
      <c r="A168" s="10" t="str">
        <f>_xlfn.IFNA(
    IF(J168=
        "PCB-0001",
        "CSS",
        IF(
            ISNUMBER(MATCH(_xlfn.TEXTBEFORE(J168,"-"), {"CSS","CSN","PCB","PCF","BEC","CSD","PCM"}, 0)),
            _xlfn.TEXTBEFORE(J168,"-"),
            "Other"
        )
    ),
"Add")</f>
        <v>PCB</v>
      </c>
      <c r="B168" s="10" t="str">
        <f t="shared" si="3"/>
        <v>0071</v>
      </c>
      <c r="C168" s="10" t="str">
        <f>_xlfn.LET(
    _xlpm.val, IF(Datadetails[[#This Row],[Activity]]="D02","C20",Datadetails[[#This Row],[Activity]]),
    IF(ISNUMBER(MATCH(_xlpm.val,{"D04","C30","c40","C20"},0)), _xlpm.val, "Other")
)</f>
        <v>C30</v>
      </c>
      <c r="D168" s="10" t="str">
        <f>IFERROR(VLOOKUP(Datadetails[[#This Row],[Taskcode]],Dashboard!A:A,1,FALSE),"00 Err Missing")</f>
        <v>0071</v>
      </c>
      <c r="E168" s="79">
        <v>45755</v>
      </c>
      <c r="F168" s="80" t="s">
        <v>329</v>
      </c>
      <c r="G168" s="60" t="s">
        <v>40</v>
      </c>
      <c r="H168" s="80" t="s">
        <v>238</v>
      </c>
      <c r="I168" s="80" t="s">
        <v>34</v>
      </c>
      <c r="J168" s="80" t="s">
        <v>374</v>
      </c>
      <c r="K168" s="80" t="s">
        <v>347</v>
      </c>
      <c r="L168" s="80" t="s">
        <v>343</v>
      </c>
      <c r="M168" s="81">
        <v>0.17</v>
      </c>
      <c r="N168" s="82">
        <v>12.750000000000002</v>
      </c>
    </row>
    <row r="169" spans="1:14" x14ac:dyDescent="0.25">
      <c r="A169" s="10" t="str">
        <f>_xlfn.IFNA(
    IF(J169=
        "PCB-0001",
        "CSS",
        IF(
            ISNUMBER(MATCH(_xlfn.TEXTBEFORE(J169,"-"), {"CSS","CSN","PCB","PCF","BEC","CSD","PCM"}, 0)),
            _xlfn.TEXTBEFORE(J169,"-"),
            "Other"
        )
    ),
"Add")</f>
        <v>PCB</v>
      </c>
      <c r="B169" s="10" t="str">
        <f t="shared" si="3"/>
        <v>0080</v>
      </c>
      <c r="C169" s="10" t="str">
        <f>_xlfn.LET(
    _xlpm.val, IF(Datadetails[[#This Row],[Activity]]="D02","C20",Datadetails[[#This Row],[Activity]]),
    IF(ISNUMBER(MATCH(_xlpm.val,{"D04","C30","c40","C20"},0)), _xlpm.val, "Other")
)</f>
        <v>C30</v>
      </c>
      <c r="D169" s="10" t="str">
        <f>IFERROR(VLOOKUP(Datadetails[[#This Row],[Taskcode]],Dashboard!A:A,1,FALSE),"00 Err Missing")</f>
        <v>0080</v>
      </c>
      <c r="E169" s="79">
        <v>45755</v>
      </c>
      <c r="F169" s="80" t="s">
        <v>329</v>
      </c>
      <c r="G169" s="60" t="s">
        <v>40</v>
      </c>
      <c r="H169" s="80" t="s">
        <v>247</v>
      </c>
      <c r="I169" s="80" t="s">
        <v>34</v>
      </c>
      <c r="J169" s="80" t="s">
        <v>375</v>
      </c>
      <c r="K169" s="80" t="s">
        <v>347</v>
      </c>
      <c r="L169" s="80" t="s">
        <v>343</v>
      </c>
      <c r="M169" s="81">
        <v>0.5</v>
      </c>
      <c r="N169" s="82">
        <v>37.5</v>
      </c>
    </row>
    <row r="170" spans="1:14" x14ac:dyDescent="0.25">
      <c r="A170" s="10" t="str">
        <f>_xlfn.IFNA(
    IF(J170=
        "PCB-0001",
        "CSS",
        IF(
            ISNUMBER(MATCH(_xlfn.TEXTBEFORE(J170,"-"), {"CSS","CSN","PCB","PCF","BEC","CSD","PCM"}, 0)),
            _xlfn.TEXTBEFORE(J170,"-"),
            "Other"
        )
    ),
"Add")</f>
        <v>PCB</v>
      </c>
      <c r="B170" s="10" t="str">
        <f t="shared" si="3"/>
        <v>0126</v>
      </c>
      <c r="C170" s="10" t="str">
        <f>_xlfn.LET(
    _xlpm.val, IF(Datadetails[[#This Row],[Activity]]="D02","C20",Datadetails[[#This Row],[Activity]]),
    IF(ISNUMBER(MATCH(_xlpm.val,{"D04","C30","c40","C20"},0)), _xlpm.val, "Other")
)</f>
        <v>C30</v>
      </c>
      <c r="D170" s="10" t="str">
        <f>IFERROR(VLOOKUP(Datadetails[[#This Row],[Taskcode]],Dashboard!A:A,1,FALSE),"00 Err Missing")</f>
        <v>0126</v>
      </c>
      <c r="E170" s="79">
        <v>45755</v>
      </c>
      <c r="F170" s="80" t="s">
        <v>329</v>
      </c>
      <c r="G170" s="60" t="s">
        <v>40</v>
      </c>
      <c r="H170" s="80" t="s">
        <v>293</v>
      </c>
      <c r="I170" s="80" t="s">
        <v>34</v>
      </c>
      <c r="J170" s="80" t="s">
        <v>376</v>
      </c>
      <c r="K170" s="80" t="s">
        <v>347</v>
      </c>
      <c r="L170" s="80" t="s">
        <v>343</v>
      </c>
      <c r="M170" s="81">
        <v>0.17</v>
      </c>
      <c r="N170" s="82">
        <v>12.750000000000002</v>
      </c>
    </row>
    <row r="171" spans="1:14" x14ac:dyDescent="0.25">
      <c r="A171" s="10" t="str">
        <f>_xlfn.IFNA(
    IF(J171=
        "PCB-0001",
        "CSS",
        IF(
            ISNUMBER(MATCH(_xlfn.TEXTBEFORE(J171,"-"), {"CSS","CSN","PCB","PCF","BEC","CSD","PCM"}, 0)),
            _xlfn.TEXTBEFORE(J171,"-"),
            "Other"
        )
    ),
"Add")</f>
        <v>PCB</v>
      </c>
      <c r="B171" s="10" t="str">
        <f t="shared" si="3"/>
        <v>0081</v>
      </c>
      <c r="C171" s="10" t="str">
        <f>_xlfn.LET(
    _xlpm.val, IF(Datadetails[[#This Row],[Activity]]="D02","C20",Datadetails[[#This Row],[Activity]]),
    IF(ISNUMBER(MATCH(_xlpm.val,{"D04","C30","c40","C20"},0)), _xlpm.val, "Other")
)</f>
        <v>C30</v>
      </c>
      <c r="D171" s="10" t="str">
        <f>IFERROR(VLOOKUP(Datadetails[[#This Row],[Taskcode]],Dashboard!A:A,1,FALSE),"00 Err Missing")</f>
        <v>0081</v>
      </c>
      <c r="E171" s="79">
        <v>45755</v>
      </c>
      <c r="F171" s="80" t="s">
        <v>329</v>
      </c>
      <c r="G171" s="60" t="s">
        <v>40</v>
      </c>
      <c r="H171" s="80" t="s">
        <v>248</v>
      </c>
      <c r="I171" s="80" t="s">
        <v>34</v>
      </c>
      <c r="J171" s="80" t="s">
        <v>385</v>
      </c>
      <c r="K171" s="80" t="s">
        <v>347</v>
      </c>
      <c r="L171" s="80" t="s">
        <v>343</v>
      </c>
      <c r="M171" s="81">
        <v>0.75</v>
      </c>
      <c r="N171" s="82">
        <v>56.25</v>
      </c>
    </row>
    <row r="172" spans="1:14" x14ac:dyDescent="0.25">
      <c r="A172" s="10" t="str">
        <f>_xlfn.IFNA(
    IF(J172=
        "PCB-0001",
        "CSS",
        IF(
            ISNUMBER(MATCH(_xlfn.TEXTBEFORE(J172,"-"), {"CSS","CSN","PCB","PCF","BEC","CSD","PCM"}, 0)),
            _xlfn.TEXTBEFORE(J172,"-"),
            "Other"
        )
    ),
"Add")</f>
        <v>PCB</v>
      </c>
      <c r="B172" s="10" t="str">
        <f t="shared" si="3"/>
        <v>0110</v>
      </c>
      <c r="C172" s="10" t="str">
        <f>_xlfn.LET(
    _xlpm.val, IF(Datadetails[[#This Row],[Activity]]="D02","C20",Datadetails[[#This Row],[Activity]]),
    IF(ISNUMBER(MATCH(_xlpm.val,{"D04","C30","c40","C20"},0)), _xlpm.val, "Other")
)</f>
        <v>C30</v>
      </c>
      <c r="D172" s="10" t="str">
        <f>IFERROR(VLOOKUP(Datadetails[[#This Row],[Taskcode]],Dashboard!A:A,1,FALSE),"00 Err Missing")</f>
        <v>0110</v>
      </c>
      <c r="E172" s="79">
        <v>45755</v>
      </c>
      <c r="F172" s="80" t="s">
        <v>325</v>
      </c>
      <c r="G172" s="60" t="s">
        <v>40</v>
      </c>
      <c r="H172" s="80" t="s">
        <v>277</v>
      </c>
      <c r="I172" s="80" t="s">
        <v>34</v>
      </c>
      <c r="J172" s="80" t="s">
        <v>353</v>
      </c>
      <c r="K172" s="80" t="s">
        <v>347</v>
      </c>
      <c r="L172" s="80" t="s">
        <v>343</v>
      </c>
      <c r="M172" s="81">
        <v>0.17</v>
      </c>
      <c r="N172" s="82">
        <v>12.750000000000002</v>
      </c>
    </row>
    <row r="173" spans="1:14" x14ac:dyDescent="0.25">
      <c r="A173" s="10" t="str">
        <f>_xlfn.IFNA(
    IF(J173=
        "PCB-0001",
        "CSS",
        IF(
            ISNUMBER(MATCH(_xlfn.TEXTBEFORE(J173,"-"), {"CSS","CSN","PCB","PCF","BEC","CSD","PCM"}, 0)),
            _xlfn.TEXTBEFORE(J173,"-"),
            "Other"
        )
    ),
"Add")</f>
        <v>PCB</v>
      </c>
      <c r="B173" s="10" t="str">
        <f t="shared" si="3"/>
        <v>0101</v>
      </c>
      <c r="C173" s="10" t="str">
        <f>_xlfn.LET(
    _xlpm.val, IF(Datadetails[[#This Row],[Activity]]="D02","C20",Datadetails[[#This Row],[Activity]]),
    IF(ISNUMBER(MATCH(_xlpm.val,{"D04","C30","c40","C20"},0)), _xlpm.val, "Other")
)</f>
        <v>C30</v>
      </c>
      <c r="D173" s="10" t="str">
        <f>IFERROR(VLOOKUP(Datadetails[[#This Row],[Taskcode]],Dashboard!A:A,1,FALSE),"00 Err Missing")</f>
        <v>0101</v>
      </c>
      <c r="E173" s="79">
        <v>45755</v>
      </c>
      <c r="F173" s="80" t="s">
        <v>329</v>
      </c>
      <c r="G173" s="60" t="s">
        <v>40</v>
      </c>
      <c r="H173" s="80" t="s">
        <v>268</v>
      </c>
      <c r="I173" s="80" t="s">
        <v>34</v>
      </c>
      <c r="J173" s="80" t="s">
        <v>386</v>
      </c>
      <c r="K173" s="80" t="s">
        <v>347</v>
      </c>
      <c r="L173" s="80" t="s">
        <v>343</v>
      </c>
      <c r="M173" s="81">
        <v>0.17</v>
      </c>
      <c r="N173" s="82">
        <v>12.750000000000002</v>
      </c>
    </row>
    <row r="174" spans="1:14" x14ac:dyDescent="0.25">
      <c r="A174" s="10" t="str">
        <f>_xlfn.IFNA(
    IF(J174=
        "PCB-0001",
        "CSS",
        IF(
            ISNUMBER(MATCH(_xlfn.TEXTBEFORE(J174,"-"), {"CSS","CSN","PCB","PCF","BEC","CSD","PCM"}, 0)),
            _xlfn.TEXTBEFORE(J174,"-"),
            "Other"
        )
    ),
"Add")</f>
        <v>PCB</v>
      </c>
      <c r="B174" s="10" t="str">
        <f t="shared" si="3"/>
        <v>0081</v>
      </c>
      <c r="C174" s="10" t="str">
        <f>_xlfn.LET(
    _xlpm.val, IF(Datadetails[[#This Row],[Activity]]="D02","C20",Datadetails[[#This Row],[Activity]]),
    IF(ISNUMBER(MATCH(_xlpm.val,{"D04","C30","c40","C20"},0)), _xlpm.val, "Other")
)</f>
        <v>C40</v>
      </c>
      <c r="D174" s="10" t="str">
        <f>IFERROR(VLOOKUP(Datadetails[[#This Row],[Taskcode]],Dashboard!A:A,1,FALSE),"00 Err Missing")</f>
        <v>0081</v>
      </c>
      <c r="E174" s="79">
        <v>45755</v>
      </c>
      <c r="F174" s="80" t="s">
        <v>329</v>
      </c>
      <c r="G174" s="60" t="s">
        <v>40</v>
      </c>
      <c r="H174" s="80" t="s">
        <v>248</v>
      </c>
      <c r="I174" s="80" t="s">
        <v>341</v>
      </c>
      <c r="J174" s="80" t="s">
        <v>385</v>
      </c>
      <c r="K174" s="80" t="s">
        <v>347</v>
      </c>
      <c r="L174" s="80" t="s">
        <v>344</v>
      </c>
      <c r="M174" s="81">
        <v>1.5</v>
      </c>
      <c r="N174" s="82">
        <v>112.5</v>
      </c>
    </row>
    <row r="175" spans="1:14" x14ac:dyDescent="0.25">
      <c r="A175" s="10" t="str">
        <f>_xlfn.IFNA(
    IF(J175=
        "PCB-0001",
        "CSS",
        IF(
            ISNUMBER(MATCH(_xlfn.TEXTBEFORE(J175,"-"), {"CSS","CSN","PCB","PCF","BEC","CSD","PCM"}, 0)),
            _xlfn.TEXTBEFORE(J175,"-"),
            "Other"
        )
    ),
"Add")</f>
        <v>BEC</v>
      </c>
      <c r="B175" s="10" t="str">
        <f t="shared" si="3"/>
        <v>0001</v>
      </c>
      <c r="C175" s="10" t="str">
        <f>_xlfn.LET(
    _xlpm.val, IF(Datadetails[[#This Row],[Activity]]="D02","C20",Datadetails[[#This Row],[Activity]]),
    IF(ISNUMBER(MATCH(_xlpm.val,{"D04","C30","c40","C20"},0)), _xlpm.val, "Other")
)</f>
        <v>D04</v>
      </c>
      <c r="D175" s="10" t="str">
        <f>IFERROR(VLOOKUP(Datadetails[[#This Row],[Taskcode]],Dashboard!A:A,1,FALSE),"00 Err Missing")</f>
        <v>0001</v>
      </c>
      <c r="E175" s="79">
        <v>45755</v>
      </c>
      <c r="F175" s="80" t="s">
        <v>332</v>
      </c>
      <c r="G175" s="60" t="s">
        <v>40</v>
      </c>
      <c r="H175" s="80" t="s">
        <v>314</v>
      </c>
      <c r="I175" s="80" t="s">
        <v>35</v>
      </c>
      <c r="J175" s="80" t="s">
        <v>359</v>
      </c>
      <c r="K175" s="80" t="s">
        <v>339</v>
      </c>
      <c r="L175" s="80" t="s">
        <v>352</v>
      </c>
      <c r="M175" s="81">
        <v>1.33</v>
      </c>
      <c r="N175" s="82">
        <v>53.2</v>
      </c>
    </row>
    <row r="176" spans="1:14" x14ac:dyDescent="0.25">
      <c r="A176" s="10" t="str">
        <f>_xlfn.IFNA(
    IF(J176=
        "PCB-0001",
        "CSS",
        IF(
            ISNUMBER(MATCH(_xlfn.TEXTBEFORE(J176,"-"), {"CSS","CSN","PCB","PCF","BEC","CSD","PCM"}, 0)),
            _xlfn.TEXTBEFORE(J176,"-"),
            "Other"
        )
    ),
"Add")</f>
        <v>PCB</v>
      </c>
      <c r="B176" s="10" t="str">
        <f t="shared" si="3"/>
        <v>0103</v>
      </c>
      <c r="C176" s="10" t="str">
        <f>_xlfn.LET(
    _xlpm.val, IF(Datadetails[[#This Row],[Activity]]="D02","C20",Datadetails[[#This Row],[Activity]]),
    IF(ISNUMBER(MATCH(_xlpm.val,{"D04","C30","c40","C20"},0)), _xlpm.val, "Other")
)</f>
        <v>C30</v>
      </c>
      <c r="D176" s="10" t="str">
        <f>IFERROR(VLOOKUP(Datadetails[[#This Row],[Taskcode]],Dashboard!A:A,1,FALSE),"00 Err Missing")</f>
        <v>0103</v>
      </c>
      <c r="E176" s="79">
        <v>45756</v>
      </c>
      <c r="F176" s="80" t="s">
        <v>329</v>
      </c>
      <c r="G176" s="60" t="s">
        <v>40</v>
      </c>
      <c r="H176" s="80" t="s">
        <v>270</v>
      </c>
      <c r="I176" s="80" t="s">
        <v>34</v>
      </c>
      <c r="J176" s="80" t="s">
        <v>360</v>
      </c>
      <c r="K176" s="80" t="s">
        <v>347</v>
      </c>
      <c r="L176" s="80" t="s">
        <v>343</v>
      </c>
      <c r="M176" s="81">
        <v>0.08</v>
      </c>
      <c r="N176" s="82">
        <v>6</v>
      </c>
    </row>
    <row r="177" spans="1:14" x14ac:dyDescent="0.25">
      <c r="A177" s="10" t="str">
        <f>_xlfn.IFNA(
    IF(J177=
        "PCB-0001",
        "CSS",
        IF(
            ISNUMBER(MATCH(_xlfn.TEXTBEFORE(J177,"-"), {"CSS","CSN","PCB","PCF","BEC","CSD","PCM"}, 0)),
            _xlfn.TEXTBEFORE(J177,"-"),
            "Other"
        )
    ),
"Add")</f>
        <v>PCB</v>
      </c>
      <c r="B177" s="10" t="str">
        <f t="shared" si="3"/>
        <v>0058</v>
      </c>
      <c r="C177" s="10" t="str">
        <f>_xlfn.LET(
    _xlpm.val, IF(Datadetails[[#This Row],[Activity]]="D02","C20",Datadetails[[#This Row],[Activity]]),
    IF(ISNUMBER(MATCH(_xlpm.val,{"D04","C30","c40","C20"},0)), _xlpm.val, "Other")
)</f>
        <v>C40</v>
      </c>
      <c r="D177" s="10" t="str">
        <f>IFERROR(VLOOKUP(Datadetails[[#This Row],[Taskcode]],Dashboard!A:A,1,FALSE),"00 Err Missing")</f>
        <v>0058</v>
      </c>
      <c r="E177" s="79">
        <v>45756</v>
      </c>
      <c r="F177" s="80" t="s">
        <v>330</v>
      </c>
      <c r="G177" s="60" t="s">
        <v>40</v>
      </c>
      <c r="H177" s="80" t="s">
        <v>225</v>
      </c>
      <c r="I177" s="80" t="s">
        <v>341</v>
      </c>
      <c r="J177" s="80" t="s">
        <v>365</v>
      </c>
      <c r="K177" s="80" t="s">
        <v>347</v>
      </c>
      <c r="L177" s="80" t="s">
        <v>344</v>
      </c>
      <c r="M177" s="81">
        <v>1.25</v>
      </c>
      <c r="N177" s="82">
        <v>75</v>
      </c>
    </row>
    <row r="178" spans="1:14" x14ac:dyDescent="0.25">
      <c r="A178" s="10" t="str">
        <f>_xlfn.IFNA(
    IF(J178=
        "PCB-0001",
        "CSS",
        IF(
            ISNUMBER(MATCH(_xlfn.TEXTBEFORE(J178,"-"), {"CSS","CSN","PCB","PCF","BEC","CSD","PCM"}, 0)),
            _xlfn.TEXTBEFORE(J178,"-"),
            "Other"
        )
    ),
"Add")</f>
        <v>CSN</v>
      </c>
      <c r="B178" s="10" t="str">
        <f t="shared" si="3"/>
        <v>0001</v>
      </c>
      <c r="C178" s="10" t="str">
        <f>_xlfn.LET(
    _xlpm.val, IF(Datadetails[[#This Row],[Activity]]="D02","C20",Datadetails[[#This Row],[Activity]]),
    IF(ISNUMBER(MATCH(_xlpm.val,{"D04","C30","c40","C20"},0)), _xlpm.val, "Other")
)</f>
        <v>D04</v>
      </c>
      <c r="D178" s="10" t="str">
        <f>IFERROR(VLOOKUP(Datadetails[[#This Row],[Taskcode]],Dashboard!A:A,1,FALSE),"00 Err Missing")</f>
        <v>0001</v>
      </c>
      <c r="E178" s="79">
        <v>45756</v>
      </c>
      <c r="F178" s="80" t="s">
        <v>329</v>
      </c>
      <c r="G178" s="60" t="s">
        <v>40</v>
      </c>
      <c r="H178" s="80" t="s">
        <v>316</v>
      </c>
      <c r="I178" s="80" t="s">
        <v>35</v>
      </c>
      <c r="J178" s="80" t="s">
        <v>338</v>
      </c>
      <c r="K178" s="80" t="s">
        <v>337</v>
      </c>
      <c r="L178" s="80" t="s">
        <v>352</v>
      </c>
      <c r="M178" s="81">
        <v>2</v>
      </c>
      <c r="N178" s="82">
        <v>150</v>
      </c>
    </row>
    <row r="179" spans="1:14" x14ac:dyDescent="0.25">
      <c r="A179" s="10" t="str">
        <f>_xlfn.IFNA(
    IF(J179=
        "PCB-0001",
        "CSS",
        IF(
            ISNUMBER(MATCH(_xlfn.TEXTBEFORE(J179,"-"), {"CSS","CSN","PCB","PCF","BEC","CSD","PCM"}, 0)),
            _xlfn.TEXTBEFORE(J179,"-"),
            "Other"
        )
    ),
"Add")</f>
        <v>CSD</v>
      </c>
      <c r="B179" s="10" t="str">
        <f t="shared" si="3"/>
        <v>0001</v>
      </c>
      <c r="C179" s="10" t="str">
        <f>_xlfn.LET(
    _xlpm.val, IF(Datadetails[[#This Row],[Activity]]="D02","C20",Datadetails[[#This Row],[Activity]]),
    IF(ISNUMBER(MATCH(_xlpm.val,{"D04","C30","c40","C20"},0)), _xlpm.val, "Other")
)</f>
        <v>D04</v>
      </c>
      <c r="D179" s="10" t="str">
        <f>IFERROR(VLOOKUP(Datadetails[[#This Row],[Taskcode]],Dashboard!A:A,1,FALSE),"00 Err Missing")</f>
        <v>0001</v>
      </c>
      <c r="E179" s="79">
        <v>45756</v>
      </c>
      <c r="F179" s="80" t="s">
        <v>333</v>
      </c>
      <c r="G179" s="60" t="s">
        <v>40</v>
      </c>
      <c r="H179" s="80" t="s">
        <v>320</v>
      </c>
      <c r="I179" s="80" t="s">
        <v>35</v>
      </c>
      <c r="J179" s="80" t="s">
        <v>322</v>
      </c>
      <c r="K179" s="80" t="s">
        <v>319</v>
      </c>
      <c r="L179" s="80" t="s">
        <v>352</v>
      </c>
      <c r="M179" s="81">
        <v>7.43</v>
      </c>
      <c r="N179" s="82">
        <v>237.76</v>
      </c>
    </row>
    <row r="180" spans="1:14" x14ac:dyDescent="0.25">
      <c r="A180" s="10" t="str">
        <f>_xlfn.IFNA(
    IF(J180=
        "PCB-0001",
        "CSS",
        IF(
            ISNUMBER(MATCH(_xlfn.TEXTBEFORE(J180,"-"), {"CSS","CSN","PCB","PCF","BEC","CSD","PCM"}, 0)),
            _xlfn.TEXTBEFORE(J180,"-"),
            "Other"
        )
    ),
"Add")</f>
        <v>CSD</v>
      </c>
      <c r="B180" s="10" t="str">
        <f t="shared" si="3"/>
        <v>0001</v>
      </c>
      <c r="C180" s="10" t="str">
        <f>_xlfn.LET(
    _xlpm.val, IF(Datadetails[[#This Row],[Activity]]="D02","C20",Datadetails[[#This Row],[Activity]]),
    IF(ISNUMBER(MATCH(_xlpm.val,{"D04","C30","c40","C20"},0)), _xlpm.val, "Other")
)</f>
        <v>D04</v>
      </c>
      <c r="D180" s="10" t="str">
        <f>IFERROR(VLOOKUP(Datadetails[[#This Row],[Taskcode]],Dashboard!A:A,1,FALSE),"00 Err Missing")</f>
        <v>0001</v>
      </c>
      <c r="E180" s="79">
        <v>45756</v>
      </c>
      <c r="F180" s="80" t="s">
        <v>327</v>
      </c>
      <c r="G180" s="60" t="s">
        <v>40</v>
      </c>
      <c r="H180" s="80" t="s">
        <v>320</v>
      </c>
      <c r="I180" s="80" t="s">
        <v>35</v>
      </c>
      <c r="J180" s="80" t="s">
        <v>322</v>
      </c>
      <c r="K180" s="80" t="s">
        <v>319</v>
      </c>
      <c r="L180" s="80" t="s">
        <v>352</v>
      </c>
      <c r="M180" s="81">
        <v>7.42</v>
      </c>
      <c r="N180" s="82">
        <v>237.44</v>
      </c>
    </row>
    <row r="181" spans="1:14" x14ac:dyDescent="0.25">
      <c r="A181" s="10" t="str">
        <f>_xlfn.IFNA(
    IF(J181=
        "PCB-0001",
        "CSS",
        IF(
            ISNUMBER(MATCH(_xlfn.TEXTBEFORE(J181,"-"), {"CSS","CSN","PCB","PCF","BEC","CSD","PCM"}, 0)),
            _xlfn.TEXTBEFORE(J181,"-"),
            "Other"
        )
    ),
"Add")</f>
        <v>PCB</v>
      </c>
      <c r="B181" s="10" t="str">
        <f t="shared" si="3"/>
        <v>0085</v>
      </c>
      <c r="C181" s="10" t="str">
        <f>_xlfn.LET(
    _xlpm.val, IF(Datadetails[[#This Row],[Activity]]="D02","C20",Datadetails[[#This Row],[Activity]]),
    IF(ISNUMBER(MATCH(_xlpm.val,{"D04","C30","c40","C20"},0)), _xlpm.val, "Other")
)</f>
        <v>C20</v>
      </c>
      <c r="D181" s="10" t="str">
        <f>IFERROR(VLOOKUP(Datadetails[[#This Row],[Taskcode]],Dashboard!A:A,1,FALSE),"00 Err Missing")</f>
        <v>0085</v>
      </c>
      <c r="E181" s="79">
        <v>45756</v>
      </c>
      <c r="F181" s="80" t="s">
        <v>330</v>
      </c>
      <c r="G181" s="60" t="s">
        <v>40</v>
      </c>
      <c r="H181" s="80" t="s">
        <v>252</v>
      </c>
      <c r="I181" s="80" t="s">
        <v>36</v>
      </c>
      <c r="J181" s="80" t="s">
        <v>416</v>
      </c>
      <c r="K181" s="80" t="s">
        <v>347</v>
      </c>
      <c r="L181" s="80" t="s">
        <v>342</v>
      </c>
      <c r="M181" s="81">
        <v>1</v>
      </c>
      <c r="N181" s="82">
        <v>60</v>
      </c>
    </row>
    <row r="182" spans="1:14" x14ac:dyDescent="0.25">
      <c r="A182" s="10" t="str">
        <f>_xlfn.IFNA(
    IF(J182=
        "PCB-0001",
        "CSS",
        IF(
            ISNUMBER(MATCH(_xlfn.TEXTBEFORE(J182,"-"), {"CSS","CSN","PCB","PCF","BEC","CSD","PCM"}, 0)),
            _xlfn.TEXTBEFORE(J182,"-"),
            "Other"
        )
    ),
"Add")</f>
        <v>PCB</v>
      </c>
      <c r="B182" s="10" t="str">
        <f t="shared" si="3"/>
        <v>0014</v>
      </c>
      <c r="C182" s="10" t="str">
        <f>_xlfn.LET(
    _xlpm.val, IF(Datadetails[[#This Row],[Activity]]="D02","C20",Datadetails[[#This Row],[Activity]]),
    IF(ISNUMBER(MATCH(_xlpm.val,{"D04","C30","c40","C20"},0)), _xlpm.val, "Other")
)</f>
        <v>C30</v>
      </c>
      <c r="D182" s="10" t="str">
        <f>IFERROR(VLOOKUP(Datadetails[[#This Row],[Taskcode]],Dashboard!A:A,1,FALSE),"00 Err Missing")</f>
        <v>0014</v>
      </c>
      <c r="E182" s="79">
        <v>45756</v>
      </c>
      <c r="F182" s="80" t="s">
        <v>329</v>
      </c>
      <c r="G182" s="60" t="s">
        <v>40</v>
      </c>
      <c r="H182" s="80" t="s">
        <v>181</v>
      </c>
      <c r="I182" s="80" t="s">
        <v>34</v>
      </c>
      <c r="J182" s="80" t="s">
        <v>396</v>
      </c>
      <c r="K182" s="80" t="s">
        <v>347</v>
      </c>
      <c r="L182" s="80" t="s">
        <v>343</v>
      </c>
      <c r="M182" s="81">
        <v>0.17</v>
      </c>
      <c r="N182" s="82">
        <v>12.750000000000002</v>
      </c>
    </row>
    <row r="183" spans="1:14" x14ac:dyDescent="0.25">
      <c r="A183" s="10" t="str">
        <f>_xlfn.IFNA(
    IF(J183=
        "PCB-0001",
        "CSS",
        IF(
            ISNUMBER(MATCH(_xlfn.TEXTBEFORE(J183,"-"), {"CSS","CSN","PCB","PCF","BEC","CSD","PCM"}, 0)),
            _xlfn.TEXTBEFORE(J183,"-"),
            "Other"
        )
    ),
"Add")</f>
        <v>PCB</v>
      </c>
      <c r="B183" s="10" t="str">
        <f t="shared" si="3"/>
        <v>0135</v>
      </c>
      <c r="C183" s="10" t="str">
        <f>_xlfn.LET(
    _xlpm.val, IF(Datadetails[[#This Row],[Activity]]="D02","C20",Datadetails[[#This Row],[Activity]]),
    IF(ISNUMBER(MATCH(_xlpm.val,{"D04","C30","c40","C20"},0)), _xlpm.val, "Other")
)</f>
        <v>C30</v>
      </c>
      <c r="D183" s="10" t="str">
        <f>IFERROR(VLOOKUP(Datadetails[[#This Row],[Taskcode]],Dashboard!A:A,1,FALSE),"00 Err Missing")</f>
        <v>0135</v>
      </c>
      <c r="E183" s="79">
        <v>45756</v>
      </c>
      <c r="F183" s="80" t="s">
        <v>329</v>
      </c>
      <c r="G183" s="60" t="s">
        <v>40</v>
      </c>
      <c r="H183" s="80" t="s">
        <v>302</v>
      </c>
      <c r="I183" s="80" t="s">
        <v>34</v>
      </c>
      <c r="J183" s="80" t="s">
        <v>398</v>
      </c>
      <c r="K183" s="80" t="s">
        <v>347</v>
      </c>
      <c r="L183" s="80" t="s">
        <v>343</v>
      </c>
      <c r="M183" s="81">
        <v>0.08</v>
      </c>
      <c r="N183" s="82">
        <v>6</v>
      </c>
    </row>
    <row r="184" spans="1:14" x14ac:dyDescent="0.25">
      <c r="A184" s="10" t="str">
        <f>_xlfn.IFNA(
    IF(J184=
        "PCB-0001",
        "CSS",
        IF(
            ISNUMBER(MATCH(_xlfn.TEXTBEFORE(J184,"-"), {"CSS","CSN","PCB","PCF","BEC","CSD","PCM"}, 0)),
            _xlfn.TEXTBEFORE(J184,"-"),
            "Other"
        )
    ),
"Add")</f>
        <v>PCB</v>
      </c>
      <c r="B184" s="10" t="str">
        <f t="shared" si="3"/>
        <v>0136</v>
      </c>
      <c r="C184" s="10" t="str">
        <f>_xlfn.LET(
    _xlpm.val, IF(Datadetails[[#This Row],[Activity]]="D02","C20",Datadetails[[#This Row],[Activity]]),
    IF(ISNUMBER(MATCH(_xlpm.val,{"D04","C30","c40","C20"},0)), _xlpm.val, "Other")
)</f>
        <v>C30</v>
      </c>
      <c r="D184" s="10" t="str">
        <f>IFERROR(VLOOKUP(Datadetails[[#This Row],[Taskcode]],Dashboard!A:A,1,FALSE),"00 Err Missing")</f>
        <v>0136</v>
      </c>
      <c r="E184" s="79">
        <v>45756</v>
      </c>
      <c r="F184" s="80" t="s">
        <v>329</v>
      </c>
      <c r="G184" s="60" t="s">
        <v>40</v>
      </c>
      <c r="H184" s="80" t="s">
        <v>303</v>
      </c>
      <c r="I184" s="80" t="s">
        <v>34</v>
      </c>
      <c r="J184" s="80" t="s">
        <v>400</v>
      </c>
      <c r="K184" s="80" t="s">
        <v>347</v>
      </c>
      <c r="L184" s="80" t="s">
        <v>343</v>
      </c>
      <c r="M184" s="81">
        <v>0.08</v>
      </c>
      <c r="N184" s="82">
        <v>6</v>
      </c>
    </row>
    <row r="185" spans="1:14" x14ac:dyDescent="0.25">
      <c r="A185" s="10" t="str">
        <f>_xlfn.IFNA(
    IF(J185=
        "PCB-0001",
        "CSS",
        IF(
            ISNUMBER(MATCH(_xlfn.TEXTBEFORE(J185,"-"), {"CSS","CSN","PCB","PCF","BEC","CSD","PCM"}, 0)),
            _xlfn.TEXTBEFORE(J185,"-"),
            "Other"
        )
    ),
"Add")</f>
        <v>PCB</v>
      </c>
      <c r="B185" s="10" t="str">
        <f t="shared" si="3"/>
        <v>0062</v>
      </c>
      <c r="C185" s="10" t="str">
        <f>_xlfn.LET(
    _xlpm.val, IF(Datadetails[[#This Row],[Activity]]="D02","C20",Datadetails[[#This Row],[Activity]]),
    IF(ISNUMBER(MATCH(_xlpm.val,{"D04","C30","c40","C20"},0)), _xlpm.val, "Other")
)</f>
        <v>C30</v>
      </c>
      <c r="D185" s="10" t="str">
        <f>IFERROR(VLOOKUP(Datadetails[[#This Row],[Taskcode]],Dashboard!A:A,1,FALSE),"00 Err Missing")</f>
        <v>0062</v>
      </c>
      <c r="E185" s="79">
        <v>45756</v>
      </c>
      <c r="F185" s="80" t="s">
        <v>329</v>
      </c>
      <c r="G185" s="60" t="s">
        <v>40</v>
      </c>
      <c r="H185" s="80" t="s">
        <v>229</v>
      </c>
      <c r="I185" s="80" t="s">
        <v>34</v>
      </c>
      <c r="J185" s="80" t="s">
        <v>373</v>
      </c>
      <c r="K185" s="80" t="s">
        <v>347</v>
      </c>
      <c r="L185" s="80" t="s">
        <v>343</v>
      </c>
      <c r="M185" s="81">
        <v>0.17</v>
      </c>
      <c r="N185" s="82">
        <v>12.750000000000002</v>
      </c>
    </row>
    <row r="186" spans="1:14" x14ac:dyDescent="0.25">
      <c r="A186" s="10" t="str">
        <f>_xlfn.IFNA(
    IF(J186=
        "PCB-0001",
        "CSS",
        IF(
            ISNUMBER(MATCH(_xlfn.TEXTBEFORE(J186,"-"), {"CSS","CSN","PCB","PCF","BEC","CSD","PCM"}, 0)),
            _xlfn.TEXTBEFORE(J186,"-"),
            "Other"
        )
    ),
"Add")</f>
        <v>PCB</v>
      </c>
      <c r="B186" s="10" t="str">
        <f t="shared" si="3"/>
        <v>0058</v>
      </c>
      <c r="C186" s="10" t="str">
        <f>_xlfn.LET(
    _xlpm.val, IF(Datadetails[[#This Row],[Activity]]="D02","C20",Datadetails[[#This Row],[Activity]]),
    IF(ISNUMBER(MATCH(_xlpm.val,{"D04","C30","c40","C20"},0)), _xlpm.val, "Other")
)</f>
        <v>C30</v>
      </c>
      <c r="D186" s="10" t="str">
        <f>IFERROR(VLOOKUP(Datadetails[[#This Row],[Taskcode]],Dashboard!A:A,1,FALSE),"00 Err Missing")</f>
        <v>0058</v>
      </c>
      <c r="E186" s="79">
        <v>45756</v>
      </c>
      <c r="F186" s="80" t="s">
        <v>330</v>
      </c>
      <c r="G186" s="60" t="s">
        <v>40</v>
      </c>
      <c r="H186" s="80" t="s">
        <v>225</v>
      </c>
      <c r="I186" s="80" t="s">
        <v>34</v>
      </c>
      <c r="J186" s="80" t="s">
        <v>365</v>
      </c>
      <c r="K186" s="80" t="s">
        <v>347</v>
      </c>
      <c r="L186" s="80" t="s">
        <v>343</v>
      </c>
      <c r="M186" s="81">
        <v>1.5</v>
      </c>
      <c r="N186" s="82">
        <v>90</v>
      </c>
    </row>
    <row r="187" spans="1:14" x14ac:dyDescent="0.25">
      <c r="A187" s="10" t="str">
        <f>_xlfn.IFNA(
    IF(J187=
        "PCB-0001",
        "CSS",
        IF(
            ISNUMBER(MATCH(_xlfn.TEXTBEFORE(J187,"-"), {"CSS","CSN","PCB","PCF","BEC","CSD","PCM"}, 0)),
            _xlfn.TEXTBEFORE(J187,"-"),
            "Other"
        )
    ),
"Add")</f>
        <v>PCB</v>
      </c>
      <c r="B187" s="10" t="str">
        <f t="shared" si="3"/>
        <v>0073</v>
      </c>
      <c r="C187" s="10" t="str">
        <f>_xlfn.LET(
    _xlpm.val, IF(Datadetails[[#This Row],[Activity]]="D02","C20",Datadetails[[#This Row],[Activity]]),
    IF(ISNUMBER(MATCH(_xlpm.val,{"D04","C30","c40","C20"},0)), _xlpm.val, "Other")
)</f>
        <v>C30</v>
      </c>
      <c r="D187" s="10" t="str">
        <f>IFERROR(VLOOKUP(Datadetails[[#This Row],[Taskcode]],Dashboard!A:A,1,FALSE),"00 Err Missing")</f>
        <v>0073</v>
      </c>
      <c r="E187" s="79">
        <v>45756</v>
      </c>
      <c r="F187" s="80" t="s">
        <v>329</v>
      </c>
      <c r="G187" s="60" t="s">
        <v>40</v>
      </c>
      <c r="H187" s="80" t="s">
        <v>240</v>
      </c>
      <c r="I187" s="80" t="s">
        <v>34</v>
      </c>
      <c r="J187" s="80" t="s">
        <v>402</v>
      </c>
      <c r="K187" s="80" t="s">
        <v>347</v>
      </c>
      <c r="L187" s="80" t="s">
        <v>343</v>
      </c>
      <c r="M187" s="81">
        <v>0.08</v>
      </c>
      <c r="N187" s="82">
        <v>6</v>
      </c>
    </row>
    <row r="188" spans="1:14" x14ac:dyDescent="0.25">
      <c r="A188" s="10" t="str">
        <f>_xlfn.IFNA(
    IF(J188=
        "PCB-0001",
        "CSS",
        IF(
            ISNUMBER(MATCH(_xlfn.TEXTBEFORE(J188,"-"), {"CSS","CSN","PCB","PCF","BEC","CSD","PCM"}, 0)),
            _xlfn.TEXTBEFORE(J188,"-"),
            "Other"
        )
    ),
"Add")</f>
        <v>PCB</v>
      </c>
      <c r="B188" s="10" t="str">
        <f t="shared" si="3"/>
        <v>0075</v>
      </c>
      <c r="C188" s="10" t="str">
        <f>_xlfn.LET(
    _xlpm.val, IF(Datadetails[[#This Row],[Activity]]="D02","C20",Datadetails[[#This Row],[Activity]]),
    IF(ISNUMBER(MATCH(_xlpm.val,{"D04","C30","c40","C20"},0)), _xlpm.val, "Other")
)</f>
        <v>C30</v>
      </c>
      <c r="D188" s="10" t="str">
        <f>IFERROR(VLOOKUP(Datadetails[[#This Row],[Taskcode]],Dashboard!A:A,1,FALSE),"00 Err Missing")</f>
        <v>0075</v>
      </c>
      <c r="E188" s="79">
        <v>45756</v>
      </c>
      <c r="F188" s="80" t="s">
        <v>329</v>
      </c>
      <c r="G188" s="60" t="s">
        <v>40</v>
      </c>
      <c r="H188" s="80" t="s">
        <v>242</v>
      </c>
      <c r="I188" s="80" t="s">
        <v>34</v>
      </c>
      <c r="J188" s="80" t="s">
        <v>404</v>
      </c>
      <c r="K188" s="80" t="s">
        <v>347</v>
      </c>
      <c r="L188" s="80" t="s">
        <v>343</v>
      </c>
      <c r="M188" s="81">
        <v>0.08</v>
      </c>
      <c r="N188" s="82">
        <v>6</v>
      </c>
    </row>
    <row r="189" spans="1:14" x14ac:dyDescent="0.25">
      <c r="A189" s="10" t="str">
        <f>_xlfn.IFNA(
    IF(J189=
        "PCB-0001",
        "CSS",
        IF(
            ISNUMBER(MATCH(_xlfn.TEXTBEFORE(J189,"-"), {"CSS","CSN","PCB","PCF","BEC","CSD","PCM"}, 0)),
            _xlfn.TEXTBEFORE(J189,"-"),
            "Other"
        )
    ),
"Add")</f>
        <v>PCB</v>
      </c>
      <c r="B189" s="10" t="str">
        <f t="shared" si="3"/>
        <v>0080</v>
      </c>
      <c r="C189" s="10" t="str">
        <f>_xlfn.LET(
    _xlpm.val, IF(Datadetails[[#This Row],[Activity]]="D02","C20",Datadetails[[#This Row],[Activity]]),
    IF(ISNUMBER(MATCH(_xlpm.val,{"D04","C30","c40","C20"},0)), _xlpm.val, "Other")
)</f>
        <v>C30</v>
      </c>
      <c r="D189" s="10" t="str">
        <f>IFERROR(VLOOKUP(Datadetails[[#This Row],[Taskcode]],Dashboard!A:A,1,FALSE),"00 Err Missing")</f>
        <v>0080</v>
      </c>
      <c r="E189" s="79">
        <v>45756</v>
      </c>
      <c r="F189" s="80" t="s">
        <v>329</v>
      </c>
      <c r="G189" s="60" t="s">
        <v>40</v>
      </c>
      <c r="H189" s="80" t="s">
        <v>247</v>
      </c>
      <c r="I189" s="80" t="s">
        <v>34</v>
      </c>
      <c r="J189" s="80" t="s">
        <v>375</v>
      </c>
      <c r="K189" s="80" t="s">
        <v>347</v>
      </c>
      <c r="L189" s="80" t="s">
        <v>343</v>
      </c>
      <c r="M189" s="81">
        <v>0.17</v>
      </c>
      <c r="N189" s="82">
        <v>12.750000000000002</v>
      </c>
    </row>
    <row r="190" spans="1:14" x14ac:dyDescent="0.25">
      <c r="A190" s="10" t="str">
        <f>_xlfn.IFNA(
    IF(J190=
        "PCB-0001",
        "CSS",
        IF(
            ISNUMBER(MATCH(_xlfn.TEXTBEFORE(J190,"-"), {"CSS","CSN","PCB","PCF","BEC","CSD","PCM"}, 0)),
            _xlfn.TEXTBEFORE(J190,"-"),
            "Other"
        )
    ),
"Add")</f>
        <v>PCB</v>
      </c>
      <c r="B190" s="10" t="str">
        <f t="shared" si="3"/>
        <v>0127</v>
      </c>
      <c r="C190" s="10" t="str">
        <f>_xlfn.LET(
    _xlpm.val, IF(Datadetails[[#This Row],[Activity]]="D02","C20",Datadetails[[#This Row],[Activity]]),
    IF(ISNUMBER(MATCH(_xlpm.val,{"D04","C30","c40","C20"},0)), _xlpm.val, "Other")
)</f>
        <v>C30</v>
      </c>
      <c r="D190" s="10" t="str">
        <f>IFERROR(VLOOKUP(Datadetails[[#This Row],[Taskcode]],Dashboard!A:A,1,FALSE),"00 Err Missing")</f>
        <v>0127</v>
      </c>
      <c r="E190" s="79">
        <v>45756</v>
      </c>
      <c r="F190" s="80" t="s">
        <v>329</v>
      </c>
      <c r="G190" s="60" t="s">
        <v>40</v>
      </c>
      <c r="H190" s="80" t="s">
        <v>294</v>
      </c>
      <c r="I190" s="80" t="s">
        <v>34</v>
      </c>
      <c r="J190" s="80" t="s">
        <v>377</v>
      </c>
      <c r="K190" s="80" t="s">
        <v>347</v>
      </c>
      <c r="L190" s="80" t="s">
        <v>343</v>
      </c>
      <c r="M190" s="81">
        <v>0.17</v>
      </c>
      <c r="N190" s="82">
        <v>12.750000000000002</v>
      </c>
    </row>
    <row r="191" spans="1:14" x14ac:dyDescent="0.25">
      <c r="A191" s="10" t="str">
        <f>_xlfn.IFNA(
    IF(J191=
        "PCB-0001",
        "CSS",
        IF(
            ISNUMBER(MATCH(_xlfn.TEXTBEFORE(J191,"-"), {"CSS","CSN","PCB","PCF","BEC","CSD","PCM"}, 0)),
            _xlfn.TEXTBEFORE(J191,"-"),
            "Other"
        )
    ),
"Add")</f>
        <v>PCB</v>
      </c>
      <c r="B191" s="10" t="str">
        <f t="shared" si="3"/>
        <v>0129</v>
      </c>
      <c r="C191" s="10" t="str">
        <f>_xlfn.LET(
    _xlpm.val, IF(Datadetails[[#This Row],[Activity]]="D02","C20",Datadetails[[#This Row],[Activity]]),
    IF(ISNUMBER(MATCH(_xlpm.val,{"D04","C30","c40","C20"},0)), _xlpm.val, "Other")
)</f>
        <v>C30</v>
      </c>
      <c r="D191" s="10" t="str">
        <f>IFERROR(VLOOKUP(Datadetails[[#This Row],[Taskcode]],Dashboard!A:A,1,FALSE),"00 Err Missing")</f>
        <v>0129</v>
      </c>
      <c r="E191" s="79">
        <v>45756</v>
      </c>
      <c r="F191" s="80" t="s">
        <v>329</v>
      </c>
      <c r="G191" s="60" t="s">
        <v>40</v>
      </c>
      <c r="H191" s="80" t="s">
        <v>296</v>
      </c>
      <c r="I191" s="80" t="s">
        <v>34</v>
      </c>
      <c r="J191" s="80" t="s">
        <v>411</v>
      </c>
      <c r="K191" s="80" t="s">
        <v>347</v>
      </c>
      <c r="L191" s="80" t="s">
        <v>343</v>
      </c>
      <c r="M191" s="81">
        <v>0.17</v>
      </c>
      <c r="N191" s="82">
        <v>12.750000000000002</v>
      </c>
    </row>
    <row r="192" spans="1:14" x14ac:dyDescent="0.25">
      <c r="A192" s="10" t="str">
        <f>_xlfn.IFNA(
    IF(J192=
        "PCB-0001",
        "CSS",
        IF(
            ISNUMBER(MATCH(_xlfn.TEXTBEFORE(J192,"-"), {"CSS","CSN","PCB","PCF","BEC","CSD","PCM"}, 0)),
            _xlfn.TEXTBEFORE(J192,"-"),
            "Other"
        )
    ),
"Add")</f>
        <v>PCB</v>
      </c>
      <c r="B192" s="10" t="str">
        <f t="shared" si="3"/>
        <v>0091</v>
      </c>
      <c r="C192" s="10" t="str">
        <f>_xlfn.LET(
    _xlpm.val, IF(Datadetails[[#This Row],[Activity]]="D02","C20",Datadetails[[#This Row],[Activity]]),
    IF(ISNUMBER(MATCH(_xlpm.val,{"D04","C30","c40","C20"},0)), _xlpm.val, "Other")
)</f>
        <v>C30</v>
      </c>
      <c r="D192" s="10" t="str">
        <f>IFERROR(VLOOKUP(Datadetails[[#This Row],[Taskcode]],Dashboard!A:A,1,FALSE),"00 Err Missing")</f>
        <v>0091</v>
      </c>
      <c r="E192" s="79">
        <v>45756</v>
      </c>
      <c r="F192" s="80" t="s">
        <v>329</v>
      </c>
      <c r="G192" s="60" t="s">
        <v>40</v>
      </c>
      <c r="H192" s="80" t="s">
        <v>258</v>
      </c>
      <c r="I192" s="80" t="s">
        <v>34</v>
      </c>
      <c r="J192" s="80" t="s">
        <v>381</v>
      </c>
      <c r="K192" s="80" t="s">
        <v>347</v>
      </c>
      <c r="L192" s="80" t="s">
        <v>343</v>
      </c>
      <c r="M192" s="81">
        <v>0.08</v>
      </c>
      <c r="N192" s="82">
        <v>6</v>
      </c>
    </row>
    <row r="193" spans="1:14" x14ac:dyDescent="0.25">
      <c r="A193" s="10" t="str">
        <f>_xlfn.IFNA(
    IF(J193=
        "PCB-0001",
        "CSS",
        IF(
            ISNUMBER(MATCH(_xlfn.TEXTBEFORE(J193,"-"), {"CSS","CSN","PCB","PCF","BEC","CSD","PCM"}, 0)),
            _xlfn.TEXTBEFORE(J193,"-"),
            "Other"
        )
    ),
"Add")</f>
        <v>PCB</v>
      </c>
      <c r="B193" s="10" t="str">
        <f t="shared" si="3"/>
        <v>0081</v>
      </c>
      <c r="C193" s="10" t="str">
        <f>_xlfn.LET(
    _xlpm.val, IF(Datadetails[[#This Row],[Activity]]="D02","C20",Datadetails[[#This Row],[Activity]]),
    IF(ISNUMBER(MATCH(_xlpm.val,{"D04","C30","c40","C20"},0)), _xlpm.val, "Other")
)</f>
        <v>C30</v>
      </c>
      <c r="D193" s="10" t="str">
        <f>IFERROR(VLOOKUP(Datadetails[[#This Row],[Taskcode]],Dashboard!A:A,1,FALSE),"00 Err Missing")</f>
        <v>0081</v>
      </c>
      <c r="E193" s="79">
        <v>45756</v>
      </c>
      <c r="F193" s="80" t="s">
        <v>329</v>
      </c>
      <c r="G193" s="60" t="s">
        <v>40</v>
      </c>
      <c r="H193" s="80" t="s">
        <v>248</v>
      </c>
      <c r="I193" s="80" t="s">
        <v>34</v>
      </c>
      <c r="J193" s="80" t="s">
        <v>385</v>
      </c>
      <c r="K193" s="80" t="s">
        <v>347</v>
      </c>
      <c r="L193" s="80" t="s">
        <v>343</v>
      </c>
      <c r="M193" s="81">
        <v>0.25</v>
      </c>
      <c r="N193" s="82">
        <v>18.75</v>
      </c>
    </row>
    <row r="194" spans="1:14" x14ac:dyDescent="0.25">
      <c r="A194" s="10" t="str">
        <f>_xlfn.IFNA(
    IF(J194=
        "PCB-0001",
        "CSS",
        IF(
            ISNUMBER(MATCH(_xlfn.TEXTBEFORE(J194,"-"), {"CSS","CSN","PCB","PCF","BEC","CSD","PCM"}, 0)),
            _xlfn.TEXTBEFORE(J194,"-"),
            "Other"
        )
    ),
"Add")</f>
        <v>PCB</v>
      </c>
      <c r="B194" s="10" t="str">
        <f t="shared" si="3"/>
        <v>0063</v>
      </c>
      <c r="C194" s="10" t="str">
        <f>_xlfn.LET(
    _xlpm.val, IF(Datadetails[[#This Row],[Activity]]="D02","C20",Datadetails[[#This Row],[Activity]]),
    IF(ISNUMBER(MATCH(_xlpm.val,{"D04","C30","c40","C20"},0)), _xlpm.val, "Other")
)</f>
        <v>C30</v>
      </c>
      <c r="D194" s="10" t="str">
        <f>IFERROR(VLOOKUP(Datadetails[[#This Row],[Taskcode]],Dashboard!A:A,1,FALSE),"00 Err Missing")</f>
        <v>0063</v>
      </c>
      <c r="E194" s="79">
        <v>45756</v>
      </c>
      <c r="F194" s="80" t="s">
        <v>329</v>
      </c>
      <c r="G194" s="60" t="s">
        <v>40</v>
      </c>
      <c r="H194" s="80" t="s">
        <v>230</v>
      </c>
      <c r="I194" s="80" t="s">
        <v>34</v>
      </c>
      <c r="J194" s="80" t="s">
        <v>410</v>
      </c>
      <c r="K194" s="80" t="s">
        <v>347</v>
      </c>
      <c r="L194" s="80" t="s">
        <v>343</v>
      </c>
      <c r="M194" s="81">
        <v>0.17</v>
      </c>
      <c r="N194" s="82">
        <v>12.750000000000002</v>
      </c>
    </row>
    <row r="195" spans="1:14" x14ac:dyDescent="0.25">
      <c r="A195" s="10" t="str">
        <f>_xlfn.IFNA(
    IF(J195=
        "PCB-0001",
        "CSS",
        IF(
            ISNUMBER(MATCH(_xlfn.TEXTBEFORE(J195,"-"), {"CSS","CSN","PCB","PCF","BEC","CSD","PCM"}, 0)),
            _xlfn.TEXTBEFORE(J195,"-"),
            "Other"
        )
    ),
"Add")</f>
        <v>PCB</v>
      </c>
      <c r="B195" s="10" t="str">
        <f t="shared" si="3"/>
        <v>0101</v>
      </c>
      <c r="C195" s="10" t="str">
        <f>_xlfn.LET(
    _xlpm.val, IF(Datadetails[[#This Row],[Activity]]="D02","C20",Datadetails[[#This Row],[Activity]]),
    IF(ISNUMBER(MATCH(_xlpm.val,{"D04","C30","c40","C20"},0)), _xlpm.val, "Other")
)</f>
        <v>C30</v>
      </c>
      <c r="D195" s="10" t="str">
        <f>IFERROR(VLOOKUP(Datadetails[[#This Row],[Taskcode]],Dashboard!A:A,1,FALSE),"00 Err Missing")</f>
        <v>0101</v>
      </c>
      <c r="E195" s="79">
        <v>45756</v>
      </c>
      <c r="F195" s="80" t="s">
        <v>329</v>
      </c>
      <c r="G195" s="60" t="s">
        <v>40</v>
      </c>
      <c r="H195" s="80" t="s">
        <v>268</v>
      </c>
      <c r="I195" s="80" t="s">
        <v>34</v>
      </c>
      <c r="J195" s="80" t="s">
        <v>386</v>
      </c>
      <c r="K195" s="80" t="s">
        <v>347</v>
      </c>
      <c r="L195" s="80" t="s">
        <v>343</v>
      </c>
      <c r="M195" s="81">
        <v>0.08</v>
      </c>
      <c r="N195" s="82">
        <v>6</v>
      </c>
    </row>
    <row r="196" spans="1:14" x14ac:dyDescent="0.25">
      <c r="A196" s="10" t="str">
        <f>_xlfn.IFNA(
    IF(J196=
        "PCB-0001",
        "CSS",
        IF(
            ISNUMBER(MATCH(_xlfn.TEXTBEFORE(J196,"-"), {"CSS","CSN","PCB","PCF","BEC","CSD","PCM"}, 0)),
            _xlfn.TEXTBEFORE(J196,"-"),
            "Other"
        )
    ),
"Add")</f>
        <v>PCB</v>
      </c>
      <c r="B196" s="10" t="str">
        <f t="shared" ref="B196:B259" si="4">_xlfn.IFNA(_xlfn.TEXTAFTER(J196,"-"),"Data to C2")</f>
        <v>0096</v>
      </c>
      <c r="C196" s="10" t="str">
        <f>_xlfn.LET(
    _xlpm.val, IF(Datadetails[[#This Row],[Activity]]="D02","C20",Datadetails[[#This Row],[Activity]]),
    IF(ISNUMBER(MATCH(_xlpm.val,{"D04","C30","c40","C20"},0)), _xlpm.val, "Other")
)</f>
        <v>C40</v>
      </c>
      <c r="D196" s="10" t="str">
        <f>IFERROR(VLOOKUP(Datadetails[[#This Row],[Taskcode]],Dashboard!A:A,1,FALSE),"00 Err Missing")</f>
        <v>0096</v>
      </c>
      <c r="E196" s="79">
        <v>45756</v>
      </c>
      <c r="F196" s="80" t="s">
        <v>330</v>
      </c>
      <c r="G196" s="60" t="s">
        <v>40</v>
      </c>
      <c r="H196" s="80" t="s">
        <v>263</v>
      </c>
      <c r="I196" s="80" t="s">
        <v>341</v>
      </c>
      <c r="J196" s="80" t="s">
        <v>383</v>
      </c>
      <c r="K196" s="80" t="s">
        <v>347</v>
      </c>
      <c r="L196" s="80" t="s">
        <v>344</v>
      </c>
      <c r="M196" s="81">
        <v>0.5</v>
      </c>
      <c r="N196" s="82">
        <v>30</v>
      </c>
    </row>
    <row r="197" spans="1:14" x14ac:dyDescent="0.25">
      <c r="A197" s="10" t="str">
        <f>_xlfn.IFNA(
    IF(J197=
        "PCB-0001",
        "CSS",
        IF(
            ISNUMBER(MATCH(_xlfn.TEXTBEFORE(J197,"-"), {"CSS","CSN","PCB","PCF","BEC","CSD","PCM"}, 0)),
            _xlfn.TEXTBEFORE(J197,"-"),
            "Other"
        )
    ),
"Add")</f>
        <v>BEC</v>
      </c>
      <c r="B197" s="10" t="str">
        <f t="shared" si="4"/>
        <v>0001</v>
      </c>
      <c r="C197" s="10" t="str">
        <f>_xlfn.LET(
    _xlpm.val, IF(Datadetails[[#This Row],[Activity]]="D02","C20",Datadetails[[#This Row],[Activity]]),
    IF(ISNUMBER(MATCH(_xlpm.val,{"D04","C30","c40","C20"},0)), _xlpm.val, "Other")
)</f>
        <v>D04</v>
      </c>
      <c r="D197" s="10" t="str">
        <f>IFERROR(VLOOKUP(Datadetails[[#This Row],[Taskcode]],Dashboard!A:A,1,FALSE),"00 Err Missing")</f>
        <v>0001</v>
      </c>
      <c r="E197" s="79">
        <v>45756</v>
      </c>
      <c r="F197" s="80" t="s">
        <v>332</v>
      </c>
      <c r="G197" s="60" t="s">
        <v>40</v>
      </c>
      <c r="H197" s="80" t="s">
        <v>314</v>
      </c>
      <c r="I197" s="80" t="s">
        <v>35</v>
      </c>
      <c r="J197" s="80" t="s">
        <v>359</v>
      </c>
      <c r="K197" s="80" t="s">
        <v>339</v>
      </c>
      <c r="L197" s="80" t="s">
        <v>352</v>
      </c>
      <c r="M197" s="81">
        <v>8.17</v>
      </c>
      <c r="N197" s="82">
        <v>326.8</v>
      </c>
    </row>
    <row r="198" spans="1:14" x14ac:dyDescent="0.25">
      <c r="A198" s="10" t="str">
        <f>_xlfn.IFNA(
    IF(J198=
        "PCB-0001",
        "CSS",
        IF(
            ISNUMBER(MATCH(_xlfn.TEXTBEFORE(J198,"-"), {"CSS","CSN","PCB","PCF","BEC","CSD","PCM"}, 0)),
            _xlfn.TEXTBEFORE(J198,"-"),
            "Other"
        )
    ),
"Add")</f>
        <v>BEC</v>
      </c>
      <c r="B198" s="10" t="str">
        <f t="shared" si="4"/>
        <v>0001</v>
      </c>
      <c r="C198" s="10" t="str">
        <f>_xlfn.LET(
    _xlpm.val, IF(Datadetails[[#This Row],[Activity]]="D02","C20",Datadetails[[#This Row],[Activity]]),
    IF(ISNUMBER(MATCH(_xlpm.val,{"D04","C30","c40","C20"},0)), _xlpm.val, "Other")
)</f>
        <v>D04</v>
      </c>
      <c r="D198" s="10" t="str">
        <f>IFERROR(VLOOKUP(Datadetails[[#This Row],[Taskcode]],Dashboard!A:A,1,FALSE),"00 Err Missing")</f>
        <v>0001</v>
      </c>
      <c r="E198" s="79">
        <v>45756</v>
      </c>
      <c r="F198" s="80" t="s">
        <v>324</v>
      </c>
      <c r="G198" s="60" t="s">
        <v>40</v>
      </c>
      <c r="H198" s="80" t="s">
        <v>314</v>
      </c>
      <c r="I198" s="80" t="s">
        <v>35</v>
      </c>
      <c r="J198" s="80" t="s">
        <v>359</v>
      </c>
      <c r="K198" s="80" t="s">
        <v>339</v>
      </c>
      <c r="L198" s="80" t="s">
        <v>352</v>
      </c>
      <c r="M198" s="81">
        <v>4.5</v>
      </c>
      <c r="N198" s="82">
        <v>337.5</v>
      </c>
    </row>
    <row r="199" spans="1:14" x14ac:dyDescent="0.25">
      <c r="A199" s="10" t="str">
        <f>_xlfn.IFNA(
    IF(J199=
        "PCB-0001",
        "CSS",
        IF(
            ISNUMBER(MATCH(_xlfn.TEXTBEFORE(J199,"-"), {"CSS","CSN","PCB","PCF","BEC","CSD","PCM"}, 0)),
            _xlfn.TEXTBEFORE(J199,"-"),
            "Other"
        )
    ),
"Add")</f>
        <v>PCB</v>
      </c>
      <c r="B199" s="10" t="str">
        <f t="shared" si="4"/>
        <v>0102</v>
      </c>
      <c r="C199" s="10" t="str">
        <f>_xlfn.LET(
    _xlpm.val, IF(Datadetails[[#This Row],[Activity]]="D02","C20",Datadetails[[#This Row],[Activity]]),
    IF(ISNUMBER(MATCH(_xlpm.val,{"D04","C30","c40","C20"},0)), _xlpm.val, "Other")
)</f>
        <v>C30</v>
      </c>
      <c r="D199" s="10" t="str">
        <f>IFERROR(VLOOKUP(Datadetails[[#This Row],[Taskcode]],Dashboard!A:A,1,FALSE),"00 Err Missing")</f>
        <v>0102</v>
      </c>
      <c r="E199" s="79">
        <v>45757</v>
      </c>
      <c r="F199" s="80" t="s">
        <v>329</v>
      </c>
      <c r="G199" s="60" t="s">
        <v>40</v>
      </c>
      <c r="H199" s="80" t="s">
        <v>269</v>
      </c>
      <c r="I199" s="80" t="s">
        <v>34</v>
      </c>
      <c r="J199" s="80" t="s">
        <v>361</v>
      </c>
      <c r="K199" s="80" t="s">
        <v>347</v>
      </c>
      <c r="L199" s="80" t="s">
        <v>343</v>
      </c>
      <c r="M199" s="81">
        <v>0.17</v>
      </c>
      <c r="N199" s="82">
        <v>12.750000000000002</v>
      </c>
    </row>
    <row r="200" spans="1:14" x14ac:dyDescent="0.25">
      <c r="A200" s="10" t="str">
        <f>_xlfn.IFNA(
    IF(J200=
        "PCB-0001",
        "CSS",
        IF(
            ISNUMBER(MATCH(_xlfn.TEXTBEFORE(J200,"-"), {"CSS","CSN","PCB","PCF","BEC","CSD","PCM"}, 0)),
            _xlfn.TEXTBEFORE(J200,"-"),
            "Other"
        )
    ),
"Add")</f>
        <v>CSN</v>
      </c>
      <c r="B200" s="10" t="str">
        <f t="shared" si="4"/>
        <v>0001</v>
      </c>
      <c r="C200" s="10" t="str">
        <f>_xlfn.LET(
    _xlpm.val, IF(Datadetails[[#This Row],[Activity]]="D02","C20",Datadetails[[#This Row],[Activity]]),
    IF(ISNUMBER(MATCH(_xlpm.val,{"D04","C30","c40","C20"},0)), _xlpm.val, "Other")
)</f>
        <v>D04</v>
      </c>
      <c r="D200" s="10" t="str">
        <f>IFERROR(VLOOKUP(Datadetails[[#This Row],[Taskcode]],Dashboard!A:A,1,FALSE),"00 Err Missing")</f>
        <v>0001</v>
      </c>
      <c r="E200" s="79">
        <v>45757</v>
      </c>
      <c r="F200" s="80" t="s">
        <v>329</v>
      </c>
      <c r="G200" s="60" t="s">
        <v>40</v>
      </c>
      <c r="H200" s="80" t="s">
        <v>316</v>
      </c>
      <c r="I200" s="80" t="s">
        <v>35</v>
      </c>
      <c r="J200" s="80" t="s">
        <v>338</v>
      </c>
      <c r="K200" s="80" t="s">
        <v>337</v>
      </c>
      <c r="L200" s="80" t="s">
        <v>352</v>
      </c>
      <c r="M200" s="81">
        <v>0.67</v>
      </c>
      <c r="N200" s="82">
        <v>50.25</v>
      </c>
    </row>
    <row r="201" spans="1:14" x14ac:dyDescent="0.25">
      <c r="A201" s="10" t="str">
        <f>_xlfn.IFNA(
    IF(J201=
        "PCB-0001",
        "CSS",
        IF(
            ISNUMBER(MATCH(_xlfn.TEXTBEFORE(J201,"-"), {"CSS","CSN","PCB","PCF","BEC","CSD","PCM"}, 0)),
            _xlfn.TEXTBEFORE(J201,"-"),
            "Other"
        )
    ),
"Add")</f>
        <v>CSD</v>
      </c>
      <c r="B201" s="10" t="str">
        <f t="shared" si="4"/>
        <v>0001</v>
      </c>
      <c r="C201" s="10" t="str">
        <f>_xlfn.LET(
    _xlpm.val, IF(Datadetails[[#This Row],[Activity]]="D02","C20",Datadetails[[#This Row],[Activity]]),
    IF(ISNUMBER(MATCH(_xlpm.val,{"D04","C30","c40","C20"},0)), _xlpm.val, "Other")
)</f>
        <v>D04</v>
      </c>
      <c r="D201" s="10" t="str">
        <f>IFERROR(VLOOKUP(Datadetails[[#This Row],[Taskcode]],Dashboard!A:A,1,FALSE),"00 Err Missing")</f>
        <v>0001</v>
      </c>
      <c r="E201" s="79">
        <v>45757</v>
      </c>
      <c r="F201" s="80" t="s">
        <v>333</v>
      </c>
      <c r="G201" s="60" t="s">
        <v>40</v>
      </c>
      <c r="H201" s="80" t="s">
        <v>320</v>
      </c>
      <c r="I201" s="80" t="s">
        <v>35</v>
      </c>
      <c r="J201" s="80" t="s">
        <v>322</v>
      </c>
      <c r="K201" s="80" t="s">
        <v>319</v>
      </c>
      <c r="L201" s="80" t="s">
        <v>352</v>
      </c>
      <c r="M201" s="81">
        <v>7.35</v>
      </c>
      <c r="N201" s="82">
        <v>235.2</v>
      </c>
    </row>
    <row r="202" spans="1:14" x14ac:dyDescent="0.25">
      <c r="A202" s="10" t="str">
        <f>_xlfn.IFNA(
    IF(J202=
        "PCB-0001",
        "CSS",
        IF(
            ISNUMBER(MATCH(_xlfn.TEXTBEFORE(J202,"-"), {"CSS","CSN","PCB","PCF","BEC","CSD","PCM"}, 0)),
            _xlfn.TEXTBEFORE(J202,"-"),
            "Other"
        )
    ),
"Add")</f>
        <v>CSD</v>
      </c>
      <c r="B202" s="10" t="str">
        <f t="shared" si="4"/>
        <v>0001</v>
      </c>
      <c r="C202" s="10" t="str">
        <f>_xlfn.LET(
    _xlpm.val, IF(Datadetails[[#This Row],[Activity]]="D02","C20",Datadetails[[#This Row],[Activity]]),
    IF(ISNUMBER(MATCH(_xlpm.val,{"D04","C30","c40","C20"},0)), _xlpm.val, "Other")
)</f>
        <v>D04</v>
      </c>
      <c r="D202" s="10" t="str">
        <f>IFERROR(VLOOKUP(Datadetails[[#This Row],[Taskcode]],Dashboard!A:A,1,FALSE),"00 Err Missing")</f>
        <v>0001</v>
      </c>
      <c r="E202" s="79">
        <v>45757</v>
      </c>
      <c r="F202" s="80" t="s">
        <v>327</v>
      </c>
      <c r="G202" s="60" t="s">
        <v>40</v>
      </c>
      <c r="H202" s="80" t="s">
        <v>320</v>
      </c>
      <c r="I202" s="80" t="s">
        <v>35</v>
      </c>
      <c r="J202" s="80" t="s">
        <v>322</v>
      </c>
      <c r="K202" s="80" t="s">
        <v>319</v>
      </c>
      <c r="L202" s="80" t="s">
        <v>352</v>
      </c>
      <c r="M202" s="81">
        <v>7.17</v>
      </c>
      <c r="N202" s="82">
        <v>229.44</v>
      </c>
    </row>
    <row r="203" spans="1:14" x14ac:dyDescent="0.25">
      <c r="A203" s="10" t="str">
        <f>_xlfn.IFNA(
    IF(J203=
        "PCB-0001",
        "CSS",
        IF(
            ISNUMBER(MATCH(_xlfn.TEXTBEFORE(J203,"-"), {"CSS","CSN","PCB","PCF","BEC","CSD","PCM"}, 0)),
            _xlfn.TEXTBEFORE(J203,"-"),
            "Other"
        )
    ),
"Add")</f>
        <v>PCM</v>
      </c>
      <c r="B203" s="10" t="str">
        <f t="shared" si="4"/>
        <v>0034</v>
      </c>
      <c r="C203" s="10" t="str">
        <f>_xlfn.LET(
    _xlpm.val, IF(Datadetails[[#This Row],[Activity]]="D02","C20",Datadetails[[#This Row],[Activity]]),
    IF(ISNUMBER(MATCH(_xlpm.val,{"D04","C30","c40","C20"},0)), _xlpm.val, "Other")
)</f>
        <v>C40</v>
      </c>
      <c r="D203" s="10" t="str">
        <f>IFERROR(VLOOKUP(Datadetails[[#This Row],[Taskcode]],Dashboard!A:A,1,FALSE),"00 Err Missing")</f>
        <v>0034</v>
      </c>
      <c r="E203" s="79">
        <v>45757</v>
      </c>
      <c r="F203" s="80" t="s">
        <v>323</v>
      </c>
      <c r="G203" s="60" t="s">
        <v>40</v>
      </c>
      <c r="H203" s="80" t="s">
        <v>201</v>
      </c>
      <c r="I203" s="80" t="s">
        <v>341</v>
      </c>
      <c r="J203" s="80" t="s">
        <v>395</v>
      </c>
      <c r="K203" s="80" t="s">
        <v>346</v>
      </c>
      <c r="L203" s="80" t="s">
        <v>344</v>
      </c>
      <c r="M203" s="81">
        <v>1</v>
      </c>
      <c r="N203" s="82">
        <v>60</v>
      </c>
    </row>
    <row r="204" spans="1:14" x14ac:dyDescent="0.25">
      <c r="A204" s="10" t="str">
        <f>_xlfn.IFNA(
    IF(J204=
        "PCB-0001",
        "CSS",
        IF(
            ISNUMBER(MATCH(_xlfn.TEXTBEFORE(J204,"-"), {"CSS","CSN","PCB","PCF","BEC","CSD","PCM"}, 0)),
            _xlfn.TEXTBEFORE(J204,"-"),
            "Other"
        )
    ),
"Add")</f>
        <v>PCB</v>
      </c>
      <c r="B204" s="10" t="str">
        <f t="shared" si="4"/>
        <v>0080</v>
      </c>
      <c r="C204" s="10" t="str">
        <f>_xlfn.LET(
    _xlpm.val, IF(Datadetails[[#This Row],[Activity]]="D02","C20",Datadetails[[#This Row],[Activity]]),
    IF(ISNUMBER(MATCH(_xlpm.val,{"D04","C30","c40","C20"},0)), _xlpm.val, "Other")
)</f>
        <v>C30</v>
      </c>
      <c r="D204" s="10" t="str">
        <f>IFERROR(VLOOKUP(Datadetails[[#This Row],[Taskcode]],Dashboard!A:A,1,FALSE),"00 Err Missing")</f>
        <v>0080</v>
      </c>
      <c r="E204" s="79">
        <v>45757</v>
      </c>
      <c r="F204" s="80" t="s">
        <v>329</v>
      </c>
      <c r="G204" s="60" t="s">
        <v>40</v>
      </c>
      <c r="H204" s="80" t="s">
        <v>247</v>
      </c>
      <c r="I204" s="80" t="s">
        <v>34</v>
      </c>
      <c r="J204" s="80" t="s">
        <v>375</v>
      </c>
      <c r="K204" s="80" t="s">
        <v>347</v>
      </c>
      <c r="L204" s="80" t="s">
        <v>343</v>
      </c>
      <c r="M204" s="81">
        <v>0.25</v>
      </c>
      <c r="N204" s="82">
        <v>18.75</v>
      </c>
    </row>
    <row r="205" spans="1:14" x14ac:dyDescent="0.25">
      <c r="A205" s="10" t="str">
        <f>_xlfn.IFNA(
    IF(J205=
        "PCB-0001",
        "CSS",
        IF(
            ISNUMBER(MATCH(_xlfn.TEXTBEFORE(J205,"-"), {"CSS","CSN","PCB","PCF","BEC","CSD","PCM"}, 0)),
            _xlfn.TEXTBEFORE(J205,"-"),
            "Other"
        )
    ),
"Add")</f>
        <v>PCB</v>
      </c>
      <c r="B205" s="10" t="str">
        <f t="shared" si="4"/>
        <v>0126</v>
      </c>
      <c r="C205" s="10" t="str">
        <f>_xlfn.LET(
    _xlpm.val, IF(Datadetails[[#This Row],[Activity]]="D02","C20",Datadetails[[#This Row],[Activity]]),
    IF(ISNUMBER(MATCH(_xlpm.val,{"D04","C30","c40","C20"},0)), _xlpm.val, "Other")
)</f>
        <v>C30</v>
      </c>
      <c r="D205" s="10" t="str">
        <f>IFERROR(VLOOKUP(Datadetails[[#This Row],[Taskcode]],Dashboard!A:A,1,FALSE),"00 Err Missing")</f>
        <v>0126</v>
      </c>
      <c r="E205" s="79">
        <v>45757</v>
      </c>
      <c r="F205" s="80" t="s">
        <v>329</v>
      </c>
      <c r="G205" s="60" t="s">
        <v>40</v>
      </c>
      <c r="H205" s="80" t="s">
        <v>293</v>
      </c>
      <c r="I205" s="80" t="s">
        <v>34</v>
      </c>
      <c r="J205" s="80" t="s">
        <v>376</v>
      </c>
      <c r="K205" s="80" t="s">
        <v>347</v>
      </c>
      <c r="L205" s="80" t="s">
        <v>343</v>
      </c>
      <c r="M205" s="81">
        <v>0.17</v>
      </c>
      <c r="N205" s="82">
        <v>12.750000000000002</v>
      </c>
    </row>
    <row r="206" spans="1:14" x14ac:dyDescent="0.25">
      <c r="A206" s="10" t="str">
        <f>_xlfn.IFNA(
    IF(J206=
        "PCB-0001",
        "CSS",
        IF(
            ISNUMBER(MATCH(_xlfn.TEXTBEFORE(J206,"-"), {"CSS","CSN","PCB","PCF","BEC","CSD","PCM"}, 0)),
            _xlfn.TEXTBEFORE(J206,"-"),
            "Other"
        )
    ),
"Add")</f>
        <v>PCB</v>
      </c>
      <c r="B206" s="10" t="str">
        <f t="shared" si="4"/>
        <v>0128</v>
      </c>
      <c r="C206" s="10" t="str">
        <f>_xlfn.LET(
    _xlpm.val, IF(Datadetails[[#This Row],[Activity]]="D02","C20",Datadetails[[#This Row],[Activity]]),
    IF(ISNUMBER(MATCH(_xlpm.val,{"D04","C30","c40","C20"},0)), _xlpm.val, "Other")
)</f>
        <v>C30</v>
      </c>
      <c r="D206" s="10" t="str">
        <f>IFERROR(VLOOKUP(Datadetails[[#This Row],[Taskcode]],Dashboard!A:A,1,FALSE),"00 Err Missing")</f>
        <v>0128</v>
      </c>
      <c r="E206" s="79">
        <v>45757</v>
      </c>
      <c r="F206" s="80" t="s">
        <v>329</v>
      </c>
      <c r="G206" s="60" t="s">
        <v>40</v>
      </c>
      <c r="H206" s="80" t="s">
        <v>295</v>
      </c>
      <c r="I206" s="80" t="s">
        <v>34</v>
      </c>
      <c r="J206" s="80" t="s">
        <v>379</v>
      </c>
      <c r="K206" s="80" t="s">
        <v>347</v>
      </c>
      <c r="L206" s="80" t="s">
        <v>343</v>
      </c>
      <c r="M206" s="81">
        <v>0.75</v>
      </c>
      <c r="N206" s="82">
        <v>56.25</v>
      </c>
    </row>
    <row r="207" spans="1:14" x14ac:dyDescent="0.25">
      <c r="A207" s="10" t="str">
        <f>_xlfn.IFNA(
    IF(J207=
        "PCB-0001",
        "CSS",
        IF(
            ISNUMBER(MATCH(_xlfn.TEXTBEFORE(J207,"-"), {"CSS","CSN","PCB","PCF","BEC","CSD","PCM"}, 0)),
            _xlfn.TEXTBEFORE(J207,"-"),
            "Other"
        )
    ),
"Add")</f>
        <v>PCB</v>
      </c>
      <c r="B207" s="10" t="str">
        <f t="shared" si="4"/>
        <v>0081</v>
      </c>
      <c r="C207" s="10" t="str">
        <f>_xlfn.LET(
    _xlpm.val, IF(Datadetails[[#This Row],[Activity]]="D02","C20",Datadetails[[#This Row],[Activity]]),
    IF(ISNUMBER(MATCH(_xlpm.val,{"D04","C30","c40","C20"},0)), _xlpm.val, "Other")
)</f>
        <v>C30</v>
      </c>
      <c r="D207" s="10" t="str">
        <f>IFERROR(VLOOKUP(Datadetails[[#This Row],[Taskcode]],Dashboard!A:A,1,FALSE),"00 Err Missing")</f>
        <v>0081</v>
      </c>
      <c r="E207" s="79">
        <v>45757</v>
      </c>
      <c r="F207" s="80" t="s">
        <v>329</v>
      </c>
      <c r="G207" s="60" t="s">
        <v>40</v>
      </c>
      <c r="H207" s="80" t="s">
        <v>248</v>
      </c>
      <c r="I207" s="80" t="s">
        <v>34</v>
      </c>
      <c r="J207" s="80" t="s">
        <v>385</v>
      </c>
      <c r="K207" s="80" t="s">
        <v>347</v>
      </c>
      <c r="L207" s="80" t="s">
        <v>343</v>
      </c>
      <c r="M207" s="81">
        <v>0.17</v>
      </c>
      <c r="N207" s="82">
        <v>12.750000000000002</v>
      </c>
    </row>
    <row r="208" spans="1:14" x14ac:dyDescent="0.25">
      <c r="A208" s="10" t="str">
        <f>_xlfn.IFNA(
    IF(J208=
        "PCB-0001",
        "CSS",
        IF(
            ISNUMBER(MATCH(_xlfn.TEXTBEFORE(J208,"-"), {"CSS","CSN","PCB","PCF","BEC","CSD","PCM"}, 0)),
            _xlfn.TEXTBEFORE(J208,"-"),
            "Other"
        )
    ),
"Add")</f>
        <v>BEC</v>
      </c>
      <c r="B208" s="10" t="str">
        <f t="shared" si="4"/>
        <v>0001</v>
      </c>
      <c r="C208" s="10" t="str">
        <f>_xlfn.LET(
    _xlpm.val, IF(Datadetails[[#This Row],[Activity]]="D02","C20",Datadetails[[#This Row],[Activity]]),
    IF(ISNUMBER(MATCH(_xlpm.val,{"D04","C30","c40","C20"},0)), _xlpm.val, "Other")
)</f>
        <v>D04</v>
      </c>
      <c r="D208" s="10" t="str">
        <f>IFERROR(VLOOKUP(Datadetails[[#This Row],[Taskcode]],Dashboard!A:A,1,FALSE),"00 Err Missing")</f>
        <v>0001</v>
      </c>
      <c r="E208" s="79">
        <v>45757</v>
      </c>
      <c r="F208" s="80" t="s">
        <v>332</v>
      </c>
      <c r="G208" s="60" t="s">
        <v>40</v>
      </c>
      <c r="H208" s="80" t="s">
        <v>314</v>
      </c>
      <c r="I208" s="80" t="s">
        <v>35</v>
      </c>
      <c r="J208" s="80" t="s">
        <v>359</v>
      </c>
      <c r="K208" s="80" t="s">
        <v>339</v>
      </c>
      <c r="L208" s="80" t="s">
        <v>352</v>
      </c>
      <c r="M208" s="81">
        <v>10</v>
      </c>
      <c r="N208" s="82">
        <v>400</v>
      </c>
    </row>
    <row r="209" spans="1:14" x14ac:dyDescent="0.25">
      <c r="A209" s="10" t="str">
        <f>_xlfn.IFNA(
    IF(J209=
        "PCB-0001",
        "CSS",
        IF(
            ISNUMBER(MATCH(_xlfn.TEXTBEFORE(J209,"-"), {"CSS","CSN","PCB","PCF","BEC","CSD","PCM"}, 0)),
            _xlfn.TEXTBEFORE(J209,"-"),
            "Other"
        )
    ),
"Add")</f>
        <v>BEC</v>
      </c>
      <c r="B209" s="10" t="str">
        <f t="shared" si="4"/>
        <v>0001</v>
      </c>
      <c r="C209" s="10" t="str">
        <f>_xlfn.LET(
    _xlpm.val, IF(Datadetails[[#This Row],[Activity]]="D02","C20",Datadetails[[#This Row],[Activity]]),
    IF(ISNUMBER(MATCH(_xlpm.val,{"D04","C30","c40","C20"},0)), _xlpm.val, "Other")
)</f>
        <v>D04</v>
      </c>
      <c r="D209" s="10" t="str">
        <f>IFERROR(VLOOKUP(Datadetails[[#This Row],[Taskcode]],Dashboard!A:A,1,FALSE),"00 Err Missing")</f>
        <v>0001</v>
      </c>
      <c r="E209" s="79">
        <v>45757</v>
      </c>
      <c r="F209" s="80" t="s">
        <v>324</v>
      </c>
      <c r="G209" s="60" t="s">
        <v>40</v>
      </c>
      <c r="H209" s="80" t="s">
        <v>314</v>
      </c>
      <c r="I209" s="80" t="s">
        <v>35</v>
      </c>
      <c r="J209" s="80" t="s">
        <v>359</v>
      </c>
      <c r="K209" s="80" t="s">
        <v>339</v>
      </c>
      <c r="L209" s="80" t="s">
        <v>352</v>
      </c>
      <c r="M209" s="81">
        <v>6</v>
      </c>
      <c r="N209" s="82">
        <v>450</v>
      </c>
    </row>
    <row r="210" spans="1:14" x14ac:dyDescent="0.25">
      <c r="A210" s="10" t="str">
        <f>_xlfn.IFNA(
    IF(J210=
        "PCB-0001",
        "CSS",
        IF(
            ISNUMBER(MATCH(_xlfn.TEXTBEFORE(J210,"-"), {"CSS","CSN","PCB","PCF","BEC","CSD","PCM"}, 0)),
            _xlfn.TEXTBEFORE(J210,"-"),
            "Other"
        )
    ),
"Add")</f>
        <v>PCM</v>
      </c>
      <c r="B210" s="10" t="str">
        <f t="shared" si="4"/>
        <v>0005</v>
      </c>
      <c r="C210" s="10" t="str">
        <f>_xlfn.LET(
    _xlpm.val, IF(Datadetails[[#This Row],[Activity]]="D02","C20",Datadetails[[#This Row],[Activity]]),
    IF(ISNUMBER(MATCH(_xlpm.val,{"D04","C30","c40","C20"},0)), _xlpm.val, "Other")
)</f>
        <v>C20</v>
      </c>
      <c r="D210" s="10" t="str">
        <f>IFERROR(VLOOKUP(Datadetails[[#This Row],[Taskcode]],Dashboard!A:A,1,FALSE),"00 Err Missing")</f>
        <v>0005</v>
      </c>
      <c r="E210" s="79">
        <v>45758</v>
      </c>
      <c r="F210" s="80" t="s">
        <v>323</v>
      </c>
      <c r="G210" s="60" t="s">
        <v>40</v>
      </c>
      <c r="H210" s="80" t="s">
        <v>172</v>
      </c>
      <c r="I210" s="80" t="s">
        <v>36</v>
      </c>
      <c r="J210" s="80" t="s">
        <v>426</v>
      </c>
      <c r="K210" s="80" t="s">
        <v>346</v>
      </c>
      <c r="L210" s="80" t="s">
        <v>342</v>
      </c>
      <c r="M210" s="81">
        <v>0.33</v>
      </c>
      <c r="N210" s="82">
        <v>19.8</v>
      </c>
    </row>
    <row r="211" spans="1:14" x14ac:dyDescent="0.25">
      <c r="A211" s="10" t="str">
        <f>_xlfn.IFNA(
    IF(J211=
        "PCB-0001",
        "CSS",
        IF(
            ISNUMBER(MATCH(_xlfn.TEXTBEFORE(J211,"-"), {"CSS","CSN","PCB","PCF","BEC","CSD","PCM"}, 0)),
            _xlfn.TEXTBEFORE(J211,"-"),
            "Other"
        )
    ),
"Add")</f>
        <v>CSN</v>
      </c>
      <c r="B211" s="10" t="str">
        <f t="shared" si="4"/>
        <v>0001</v>
      </c>
      <c r="C211" s="10" t="str">
        <f>_xlfn.LET(
    _xlpm.val, IF(Datadetails[[#This Row],[Activity]]="D02","C20",Datadetails[[#This Row],[Activity]]),
    IF(ISNUMBER(MATCH(_xlpm.val,{"D04","C30","c40","C20"},0)), _xlpm.val, "Other")
)</f>
        <v>D04</v>
      </c>
      <c r="D211" s="10" t="str">
        <f>IFERROR(VLOOKUP(Datadetails[[#This Row],[Taskcode]],Dashboard!A:A,1,FALSE),"00 Err Missing")</f>
        <v>0001</v>
      </c>
      <c r="E211" s="79">
        <v>45758</v>
      </c>
      <c r="F211" s="80" t="s">
        <v>329</v>
      </c>
      <c r="G211" s="60" t="s">
        <v>40</v>
      </c>
      <c r="H211" s="80" t="s">
        <v>316</v>
      </c>
      <c r="I211" s="80" t="s">
        <v>35</v>
      </c>
      <c r="J211" s="80" t="s">
        <v>338</v>
      </c>
      <c r="K211" s="80" t="s">
        <v>337</v>
      </c>
      <c r="L211" s="80" t="s">
        <v>352</v>
      </c>
      <c r="M211" s="81">
        <v>0.17</v>
      </c>
      <c r="N211" s="82">
        <v>12.750000000000002</v>
      </c>
    </row>
    <row r="212" spans="1:14" x14ac:dyDescent="0.25">
      <c r="A212" s="10" t="str">
        <f>_xlfn.IFNA(
    IF(J212=
        "PCB-0001",
        "CSS",
        IF(
            ISNUMBER(MATCH(_xlfn.TEXTBEFORE(J212,"-"), {"CSS","CSN","PCB","PCF","BEC","CSD","PCM"}, 0)),
            _xlfn.TEXTBEFORE(J212,"-"),
            "Other"
        )
    ),
"Add")</f>
        <v>CSD</v>
      </c>
      <c r="B212" s="10" t="str">
        <f t="shared" si="4"/>
        <v>0001</v>
      </c>
      <c r="C212" s="10" t="str">
        <f>_xlfn.LET(
    _xlpm.val, IF(Datadetails[[#This Row],[Activity]]="D02","C20",Datadetails[[#This Row],[Activity]]),
    IF(ISNUMBER(MATCH(_xlpm.val,{"D04","C30","c40","C20"},0)), _xlpm.val, "Other")
)</f>
        <v>D04</v>
      </c>
      <c r="D212" s="10" t="str">
        <f>IFERROR(VLOOKUP(Datadetails[[#This Row],[Taskcode]],Dashboard!A:A,1,FALSE),"00 Err Missing")</f>
        <v>0001</v>
      </c>
      <c r="E212" s="79">
        <v>45758</v>
      </c>
      <c r="F212" s="80" t="s">
        <v>327</v>
      </c>
      <c r="G212" s="60" t="s">
        <v>40</v>
      </c>
      <c r="H212" s="80" t="s">
        <v>320</v>
      </c>
      <c r="I212" s="80" t="s">
        <v>35</v>
      </c>
      <c r="J212" s="80" t="s">
        <v>322</v>
      </c>
      <c r="K212" s="80" t="s">
        <v>319</v>
      </c>
      <c r="L212" s="80" t="s">
        <v>352</v>
      </c>
      <c r="M212" s="81">
        <v>8.42</v>
      </c>
      <c r="N212" s="82">
        <v>269.44</v>
      </c>
    </row>
    <row r="213" spans="1:14" x14ac:dyDescent="0.25">
      <c r="A213" s="10" t="str">
        <f>_xlfn.IFNA(
    IF(J213=
        "PCB-0001",
        "CSS",
        IF(
            ISNUMBER(MATCH(_xlfn.TEXTBEFORE(J213,"-"), {"CSS","CSN","PCB","PCF","BEC","CSD","PCM"}, 0)),
            _xlfn.TEXTBEFORE(J213,"-"),
            "Other"
        )
    ),
"Add")</f>
        <v>PCB</v>
      </c>
      <c r="B213" s="10" t="str">
        <f t="shared" si="4"/>
        <v>0012</v>
      </c>
      <c r="C213" s="10" t="str">
        <f>_xlfn.LET(
    _xlpm.val, IF(Datadetails[[#This Row],[Activity]]="D02","C20",Datadetails[[#This Row],[Activity]]),
    IF(ISNUMBER(MATCH(_xlpm.val,{"D04","C30","c40","C20"},0)), _xlpm.val, "Other")
)</f>
        <v>C30</v>
      </c>
      <c r="D213" s="10" t="str">
        <f>IFERROR(VLOOKUP(Datadetails[[#This Row],[Taskcode]],Dashboard!A:A,1,FALSE),"00 Err Missing")</f>
        <v>0012</v>
      </c>
      <c r="E213" s="79">
        <v>45758</v>
      </c>
      <c r="F213" s="80" t="s">
        <v>325</v>
      </c>
      <c r="G213" s="60" t="s">
        <v>40</v>
      </c>
      <c r="H213" s="80" t="s">
        <v>179</v>
      </c>
      <c r="I213" s="80" t="s">
        <v>34</v>
      </c>
      <c r="J213" s="80" t="s">
        <v>422</v>
      </c>
      <c r="K213" s="80" t="s">
        <v>347</v>
      </c>
      <c r="L213" s="80" t="s">
        <v>343</v>
      </c>
      <c r="M213" s="81">
        <v>0.17</v>
      </c>
      <c r="N213" s="82">
        <v>12.750000000000002</v>
      </c>
    </row>
    <row r="214" spans="1:14" x14ac:dyDescent="0.25">
      <c r="A214" s="10" t="str">
        <f>_xlfn.IFNA(
    IF(J214=
        "PCB-0001",
        "CSS",
        IF(
            ISNUMBER(MATCH(_xlfn.TEXTBEFORE(J214,"-"), {"CSS","CSN","PCB","PCF","BEC","CSD","PCM"}, 0)),
            _xlfn.TEXTBEFORE(J214,"-"),
            "Other"
        )
    ),
"Add")</f>
        <v>PCB</v>
      </c>
      <c r="B214" s="10" t="str">
        <f t="shared" si="4"/>
        <v>0126</v>
      </c>
      <c r="C214" s="10" t="str">
        <f>_xlfn.LET(
    _xlpm.val, IF(Datadetails[[#This Row],[Activity]]="D02","C20",Datadetails[[#This Row],[Activity]]),
    IF(ISNUMBER(MATCH(_xlpm.val,{"D04","C30","c40","C20"},0)), _xlpm.val, "Other")
)</f>
        <v>C30</v>
      </c>
      <c r="D214" s="10" t="str">
        <f>IFERROR(VLOOKUP(Datadetails[[#This Row],[Taskcode]],Dashboard!A:A,1,FALSE),"00 Err Missing")</f>
        <v>0126</v>
      </c>
      <c r="E214" s="79">
        <v>45758</v>
      </c>
      <c r="F214" s="80" t="s">
        <v>329</v>
      </c>
      <c r="G214" s="60" t="s">
        <v>40</v>
      </c>
      <c r="H214" s="80" t="s">
        <v>293</v>
      </c>
      <c r="I214" s="80" t="s">
        <v>34</v>
      </c>
      <c r="J214" s="80" t="s">
        <v>376</v>
      </c>
      <c r="K214" s="80" t="s">
        <v>347</v>
      </c>
      <c r="L214" s="80" t="s">
        <v>343</v>
      </c>
      <c r="M214" s="81">
        <v>0.08</v>
      </c>
      <c r="N214" s="82">
        <v>6</v>
      </c>
    </row>
    <row r="215" spans="1:14" x14ac:dyDescent="0.25">
      <c r="A215" s="10" t="str">
        <f>_xlfn.IFNA(
    IF(J215=
        "PCB-0001",
        "CSS",
        IF(
            ISNUMBER(MATCH(_xlfn.TEXTBEFORE(J215,"-"), {"CSS","CSN","PCB","PCF","BEC","CSD","PCM"}, 0)),
            _xlfn.TEXTBEFORE(J215,"-"),
            "Other"
        )
    ),
"Add")</f>
        <v>PCF</v>
      </c>
      <c r="B215" s="10" t="str">
        <f t="shared" si="4"/>
        <v>0069</v>
      </c>
      <c r="C215" s="10" t="str">
        <f>_xlfn.LET(
    _xlpm.val, IF(Datadetails[[#This Row],[Activity]]="D02","C20",Datadetails[[#This Row],[Activity]]),
    IF(ISNUMBER(MATCH(_xlpm.val,{"D04","C30","c40","C20"},0)), _xlpm.val, "Other")
)</f>
        <v>C30</v>
      </c>
      <c r="D215" s="10" t="str">
        <f>IFERROR(VLOOKUP(Datadetails[[#This Row],[Taskcode]],Dashboard!A:A,1,FALSE),"00 Err Missing")</f>
        <v>0069</v>
      </c>
      <c r="E215" s="79">
        <v>45758</v>
      </c>
      <c r="F215" s="80" t="s">
        <v>326</v>
      </c>
      <c r="G215" s="60" t="s">
        <v>40</v>
      </c>
      <c r="H215" s="80" t="s">
        <v>236</v>
      </c>
      <c r="I215" s="80" t="s">
        <v>34</v>
      </c>
      <c r="J215" s="80" t="s">
        <v>357</v>
      </c>
      <c r="K215" s="80" t="s">
        <v>348</v>
      </c>
      <c r="L215" s="80" t="s">
        <v>343</v>
      </c>
      <c r="M215" s="81">
        <v>0.57999999999999996</v>
      </c>
      <c r="N215" s="82">
        <v>34.799999999999997</v>
      </c>
    </row>
    <row r="216" spans="1:14" x14ac:dyDescent="0.25">
      <c r="A216" s="10" t="str">
        <f>_xlfn.IFNA(
    IF(J216=
        "PCB-0001",
        "CSS",
        IF(
            ISNUMBER(MATCH(_xlfn.TEXTBEFORE(J216,"-"), {"CSS","CSN","PCB","PCF","BEC","CSD","PCM"}, 0)),
            _xlfn.TEXTBEFORE(J216,"-"),
            "Other"
        )
    ),
"Add")</f>
        <v>PCF</v>
      </c>
      <c r="B216" s="10" t="str">
        <f t="shared" si="4"/>
        <v>0098</v>
      </c>
      <c r="C216" s="10" t="str">
        <f>_xlfn.LET(
    _xlpm.val, IF(Datadetails[[#This Row],[Activity]]="D02","C20",Datadetails[[#This Row],[Activity]]),
    IF(ISNUMBER(MATCH(_xlpm.val,{"D04","C30","c40","C20"},0)), _xlpm.val, "Other")
)</f>
        <v>C30</v>
      </c>
      <c r="D216" s="10" t="str">
        <f>IFERROR(VLOOKUP(Datadetails[[#This Row],[Taskcode]],Dashboard!A:A,1,FALSE),"00 Err Missing")</f>
        <v>0098</v>
      </c>
      <c r="E216" s="79">
        <v>45758</v>
      </c>
      <c r="F216" s="80" t="s">
        <v>326</v>
      </c>
      <c r="G216" s="60" t="s">
        <v>40</v>
      </c>
      <c r="H216" s="80" t="s">
        <v>265</v>
      </c>
      <c r="I216" s="80" t="s">
        <v>34</v>
      </c>
      <c r="J216" s="80" t="s">
        <v>358</v>
      </c>
      <c r="K216" s="80" t="s">
        <v>348</v>
      </c>
      <c r="L216" s="80" t="s">
        <v>343</v>
      </c>
      <c r="M216" s="81">
        <v>0.33</v>
      </c>
      <c r="N216" s="82">
        <v>19.8</v>
      </c>
    </row>
    <row r="217" spans="1:14" x14ac:dyDescent="0.25">
      <c r="A217" s="10" t="str">
        <f>_xlfn.IFNA(
    IF(J217=
        "PCB-0001",
        "CSS",
        IF(
            ISNUMBER(MATCH(_xlfn.TEXTBEFORE(J217,"-"), {"CSS","CSN","PCB","PCF","BEC","CSD","PCM"}, 0)),
            _xlfn.TEXTBEFORE(J217,"-"),
            "Other"
        )
    ),
"Add")</f>
        <v>BEC</v>
      </c>
      <c r="B217" s="10" t="str">
        <f t="shared" si="4"/>
        <v>0001</v>
      </c>
      <c r="C217" s="10" t="str">
        <f>_xlfn.LET(
    _xlpm.val, IF(Datadetails[[#This Row],[Activity]]="D02","C20",Datadetails[[#This Row],[Activity]]),
    IF(ISNUMBER(MATCH(_xlpm.val,{"D04","C30","c40","C20"},0)), _xlpm.val, "Other")
)</f>
        <v>D04</v>
      </c>
      <c r="D217" s="10" t="str">
        <f>IFERROR(VLOOKUP(Datadetails[[#This Row],[Taskcode]],Dashboard!A:A,1,FALSE),"00 Err Missing")</f>
        <v>0001</v>
      </c>
      <c r="E217" s="79">
        <v>45758</v>
      </c>
      <c r="F217" s="80" t="s">
        <v>332</v>
      </c>
      <c r="G217" s="60" t="s">
        <v>40</v>
      </c>
      <c r="H217" s="80" t="s">
        <v>314</v>
      </c>
      <c r="I217" s="80" t="s">
        <v>35</v>
      </c>
      <c r="J217" s="80" t="s">
        <v>359</v>
      </c>
      <c r="K217" s="80" t="s">
        <v>339</v>
      </c>
      <c r="L217" s="80" t="s">
        <v>352</v>
      </c>
      <c r="M217" s="81">
        <v>9.33</v>
      </c>
      <c r="N217" s="82">
        <v>373.2</v>
      </c>
    </row>
    <row r="218" spans="1:14" x14ac:dyDescent="0.25">
      <c r="A218" s="10" t="str">
        <f>_xlfn.IFNA(
    IF(J218=
        "PCB-0001",
        "CSS",
        IF(
            ISNUMBER(MATCH(_xlfn.TEXTBEFORE(J218,"-"), {"CSS","CSN","PCB","PCF","BEC","CSD","PCM"}, 0)),
            _xlfn.TEXTBEFORE(J218,"-"),
            "Other"
        )
    ),
"Add")</f>
        <v>BEC</v>
      </c>
      <c r="B218" s="10" t="str">
        <f t="shared" si="4"/>
        <v>0001</v>
      </c>
      <c r="C218" s="10" t="str">
        <f>_xlfn.LET(
    _xlpm.val, IF(Datadetails[[#This Row],[Activity]]="D02","C20",Datadetails[[#This Row],[Activity]]),
    IF(ISNUMBER(MATCH(_xlpm.val,{"D04","C30","c40","C20"},0)), _xlpm.val, "Other")
)</f>
        <v>D04</v>
      </c>
      <c r="D218" s="10" t="str">
        <f>IFERROR(VLOOKUP(Datadetails[[#This Row],[Taskcode]],Dashboard!A:A,1,FALSE),"00 Err Missing")</f>
        <v>0001</v>
      </c>
      <c r="E218" s="79">
        <v>45758</v>
      </c>
      <c r="F218" s="80" t="s">
        <v>324</v>
      </c>
      <c r="G218" s="60" t="s">
        <v>40</v>
      </c>
      <c r="H218" s="80" t="s">
        <v>314</v>
      </c>
      <c r="I218" s="80" t="s">
        <v>35</v>
      </c>
      <c r="J218" s="80" t="s">
        <v>359</v>
      </c>
      <c r="K218" s="80" t="s">
        <v>339</v>
      </c>
      <c r="L218" s="80" t="s">
        <v>352</v>
      </c>
      <c r="M218" s="81">
        <v>2</v>
      </c>
      <c r="N218" s="82">
        <v>150</v>
      </c>
    </row>
    <row r="219" spans="1:14" x14ac:dyDescent="0.25">
      <c r="A219" s="10" t="str">
        <f>_xlfn.IFNA(
    IF(J219=
        "PCB-0001",
        "CSS",
        IF(
            ISNUMBER(MATCH(_xlfn.TEXTBEFORE(J219,"-"), {"CSS","CSN","PCB","PCF","BEC","CSD","PCM"}, 0)),
            _xlfn.TEXTBEFORE(J219,"-"),
            "Other"
        )
    ),
"Add")</f>
        <v>BEC</v>
      </c>
      <c r="B219" s="10" t="str">
        <f t="shared" si="4"/>
        <v>0001</v>
      </c>
      <c r="C219" s="10" t="str">
        <f>_xlfn.LET(
    _xlpm.val, IF(Datadetails[[#This Row],[Activity]]="D02","C20",Datadetails[[#This Row],[Activity]]),
    IF(ISNUMBER(MATCH(_xlpm.val,{"D04","C30","c40","C20"},0)), _xlpm.val, "Other")
)</f>
        <v>D04</v>
      </c>
      <c r="D219" s="10" t="str">
        <f>IFERROR(VLOOKUP(Datadetails[[#This Row],[Taskcode]],Dashboard!A:A,1,FALSE),"00 Err Missing")</f>
        <v>0001</v>
      </c>
      <c r="E219" s="79">
        <v>45759</v>
      </c>
      <c r="F219" s="80" t="s">
        <v>332</v>
      </c>
      <c r="G219" s="60" t="s">
        <v>40</v>
      </c>
      <c r="H219" s="80" t="s">
        <v>314</v>
      </c>
      <c r="I219" s="80" t="s">
        <v>35</v>
      </c>
      <c r="J219" s="80" t="s">
        <v>359</v>
      </c>
      <c r="K219" s="80" t="s">
        <v>339</v>
      </c>
      <c r="L219" s="80" t="s">
        <v>352</v>
      </c>
      <c r="M219" s="81">
        <v>4</v>
      </c>
      <c r="N219" s="82">
        <v>160</v>
      </c>
    </row>
    <row r="220" spans="1:14" x14ac:dyDescent="0.25">
      <c r="A220" s="10" t="str">
        <f>_xlfn.IFNA(
    IF(J220=
        "PCB-0001",
        "CSS",
        IF(
            ISNUMBER(MATCH(_xlfn.TEXTBEFORE(J220,"-"), {"CSS","CSN","PCB","PCF","BEC","CSD","PCM"}, 0)),
            _xlfn.TEXTBEFORE(J220,"-"),
            "Other"
        )
    ),
"Add")</f>
        <v>CSN</v>
      </c>
      <c r="B220" s="10" t="str">
        <f t="shared" si="4"/>
        <v>0001</v>
      </c>
      <c r="C220" s="10" t="str">
        <f>_xlfn.LET(
    _xlpm.val, IF(Datadetails[[#This Row],[Activity]]="D02","C20",Datadetails[[#This Row],[Activity]]),
    IF(ISNUMBER(MATCH(_xlpm.val,{"D04","C30","c40","C20"},0)), _xlpm.val, "Other")
)</f>
        <v>D04</v>
      </c>
      <c r="D220" s="10" t="str">
        <f>IFERROR(VLOOKUP(Datadetails[[#This Row],[Taskcode]],Dashboard!A:A,1,FALSE),"00 Err Missing")</f>
        <v>0001</v>
      </c>
      <c r="E220" s="79">
        <v>45761</v>
      </c>
      <c r="F220" s="80" t="s">
        <v>331</v>
      </c>
      <c r="G220" s="60" t="s">
        <v>40</v>
      </c>
      <c r="H220" s="80" t="s">
        <v>316</v>
      </c>
      <c r="I220" s="80" t="s">
        <v>35</v>
      </c>
      <c r="J220" s="80" t="s">
        <v>338</v>
      </c>
      <c r="K220" s="80" t="s">
        <v>337</v>
      </c>
      <c r="L220" s="80" t="s">
        <v>352</v>
      </c>
      <c r="M220" s="81">
        <v>2.17</v>
      </c>
      <c r="N220" s="82">
        <v>69.44</v>
      </c>
    </row>
    <row r="221" spans="1:14" x14ac:dyDescent="0.25">
      <c r="A221" s="10" t="str">
        <f>_xlfn.IFNA(
    IF(J221=
        "PCB-0001",
        "CSS",
        IF(
            ISNUMBER(MATCH(_xlfn.TEXTBEFORE(J221,"-"), {"CSS","CSN","PCB","PCF","BEC","CSD","PCM"}, 0)),
            _xlfn.TEXTBEFORE(J221,"-"),
            "Other"
        )
    ),
"Add")</f>
        <v>CSD</v>
      </c>
      <c r="B221" s="10" t="str">
        <f t="shared" si="4"/>
        <v>0001</v>
      </c>
      <c r="C221" s="10" t="str">
        <f>_xlfn.LET(
    _xlpm.val, IF(Datadetails[[#This Row],[Activity]]="D02","C20",Datadetails[[#This Row],[Activity]]),
    IF(ISNUMBER(MATCH(_xlpm.val,{"D04","C30","c40","C20"},0)), _xlpm.val, "Other")
)</f>
        <v>D04</v>
      </c>
      <c r="D221" s="10" t="str">
        <f>IFERROR(VLOOKUP(Datadetails[[#This Row],[Taskcode]],Dashboard!A:A,1,FALSE),"00 Err Missing")</f>
        <v>0001</v>
      </c>
      <c r="E221" s="79">
        <v>45761</v>
      </c>
      <c r="F221" s="80" t="s">
        <v>333</v>
      </c>
      <c r="G221" s="60" t="s">
        <v>40</v>
      </c>
      <c r="H221" s="80" t="s">
        <v>320</v>
      </c>
      <c r="I221" s="80" t="s">
        <v>35</v>
      </c>
      <c r="J221" s="80" t="s">
        <v>322</v>
      </c>
      <c r="K221" s="80" t="s">
        <v>319</v>
      </c>
      <c r="L221" s="80" t="s">
        <v>352</v>
      </c>
      <c r="M221" s="81">
        <v>4.13</v>
      </c>
      <c r="N221" s="82">
        <v>132.16</v>
      </c>
    </row>
    <row r="222" spans="1:14" x14ac:dyDescent="0.25">
      <c r="A222" s="10" t="str">
        <f>_xlfn.IFNA(
    IF(J222=
        "PCB-0001",
        "CSS",
        IF(
            ISNUMBER(MATCH(_xlfn.TEXTBEFORE(J222,"-"), {"CSS","CSN","PCB","PCF","BEC","CSD","PCM"}, 0)),
            _xlfn.TEXTBEFORE(J222,"-"),
            "Other"
        )
    ),
"Add")</f>
        <v>CSD</v>
      </c>
      <c r="B222" s="10" t="str">
        <f t="shared" si="4"/>
        <v>0001</v>
      </c>
      <c r="C222" s="10" t="str">
        <f>_xlfn.LET(
    _xlpm.val, IF(Datadetails[[#This Row],[Activity]]="D02","C20",Datadetails[[#This Row],[Activity]]),
    IF(ISNUMBER(MATCH(_xlpm.val,{"D04","C30","c40","C20"},0)), _xlpm.val, "Other")
)</f>
        <v>D04</v>
      </c>
      <c r="D222" s="10" t="str">
        <f>IFERROR(VLOOKUP(Datadetails[[#This Row],[Taskcode]],Dashboard!A:A,1,FALSE),"00 Err Missing")</f>
        <v>0001</v>
      </c>
      <c r="E222" s="79">
        <v>45761</v>
      </c>
      <c r="F222" s="80" t="s">
        <v>327</v>
      </c>
      <c r="G222" s="60" t="s">
        <v>40</v>
      </c>
      <c r="H222" s="80" t="s">
        <v>320</v>
      </c>
      <c r="I222" s="80" t="s">
        <v>35</v>
      </c>
      <c r="J222" s="80" t="s">
        <v>322</v>
      </c>
      <c r="K222" s="80" t="s">
        <v>319</v>
      </c>
      <c r="L222" s="80" t="s">
        <v>352</v>
      </c>
      <c r="M222" s="81">
        <v>7.5</v>
      </c>
      <c r="N222" s="82">
        <v>240</v>
      </c>
    </row>
    <row r="223" spans="1:14" x14ac:dyDescent="0.25">
      <c r="A223" s="10" t="str">
        <f>_xlfn.IFNA(
    IF(J223=
        "PCB-0001",
        "CSS",
        IF(
            ISNUMBER(MATCH(_xlfn.TEXTBEFORE(J223,"-"), {"CSS","CSN","PCB","PCF","BEC","CSD","PCM"}, 0)),
            _xlfn.TEXTBEFORE(J223,"-"),
            "Other"
        )
    ),
"Add")</f>
        <v>PCF</v>
      </c>
      <c r="B223" s="10" t="str">
        <f t="shared" si="4"/>
        <v>0101</v>
      </c>
      <c r="C223" s="10" t="str">
        <f>_xlfn.LET(
    _xlpm.val, IF(Datadetails[[#This Row],[Activity]]="D02","C20",Datadetails[[#This Row],[Activity]]),
    IF(ISNUMBER(MATCH(_xlpm.val,{"D04","C30","c40","C20"},0)), _xlpm.val, "Other")
)</f>
        <v>C20</v>
      </c>
      <c r="D223" s="10" t="str">
        <f>IFERROR(VLOOKUP(Datadetails[[#This Row],[Taskcode]],Dashboard!A:A,1,FALSE),"00 Err Missing")</f>
        <v>0101</v>
      </c>
      <c r="E223" s="79">
        <v>45761</v>
      </c>
      <c r="F223" s="80" t="s">
        <v>326</v>
      </c>
      <c r="G223" s="60" t="s">
        <v>40</v>
      </c>
      <c r="H223" s="80" t="s">
        <v>268</v>
      </c>
      <c r="I223" s="80" t="s">
        <v>36</v>
      </c>
      <c r="J223" s="80" t="s">
        <v>418</v>
      </c>
      <c r="K223" s="80" t="s">
        <v>348</v>
      </c>
      <c r="L223" s="80" t="s">
        <v>342</v>
      </c>
      <c r="M223" s="81">
        <v>0.75</v>
      </c>
      <c r="N223" s="82">
        <v>45</v>
      </c>
    </row>
    <row r="224" spans="1:14" x14ac:dyDescent="0.25">
      <c r="A224" s="10" t="str">
        <f>_xlfn.IFNA(
    IF(J224=
        "PCB-0001",
        "CSS",
        IF(
            ISNUMBER(MATCH(_xlfn.TEXTBEFORE(J224,"-"), {"CSS","CSN","PCB","PCF","BEC","CSD","PCM"}, 0)),
            _xlfn.TEXTBEFORE(J224,"-"),
            "Other"
        )
    ),
"Add")</f>
        <v>PCF</v>
      </c>
      <c r="B224" s="10" t="str">
        <f t="shared" si="4"/>
        <v>0070</v>
      </c>
      <c r="C224" s="10" t="str">
        <f>_xlfn.LET(
    _xlpm.val, IF(Datadetails[[#This Row],[Activity]]="D02","C20",Datadetails[[#This Row],[Activity]]),
    IF(ISNUMBER(MATCH(_xlpm.val,{"D04","C30","c40","C20"},0)), _xlpm.val, "Other")
)</f>
        <v>C30</v>
      </c>
      <c r="D224" s="10" t="str">
        <f>IFERROR(VLOOKUP(Datadetails[[#This Row],[Taskcode]],Dashboard!A:A,1,FALSE),"00 Err Missing")</f>
        <v>0070</v>
      </c>
      <c r="E224" s="79">
        <v>45761</v>
      </c>
      <c r="F224" s="80" t="s">
        <v>326</v>
      </c>
      <c r="G224" s="60" t="s">
        <v>40</v>
      </c>
      <c r="H224" s="80" t="s">
        <v>237</v>
      </c>
      <c r="I224" s="80" t="s">
        <v>34</v>
      </c>
      <c r="J224" s="80" t="s">
        <v>427</v>
      </c>
      <c r="K224" s="80" t="s">
        <v>348</v>
      </c>
      <c r="L224" s="80" t="s">
        <v>343</v>
      </c>
      <c r="M224" s="81">
        <v>0.83</v>
      </c>
      <c r="N224" s="82">
        <v>49.8</v>
      </c>
    </row>
    <row r="225" spans="1:14" x14ac:dyDescent="0.25">
      <c r="A225" s="10" t="str">
        <f>_xlfn.IFNA(
    IF(J225=
        "PCB-0001",
        "CSS",
        IF(
            ISNUMBER(MATCH(_xlfn.TEXTBEFORE(J225,"-"), {"CSS","CSN","PCB","PCF","BEC","CSD","PCM"}, 0)),
            _xlfn.TEXTBEFORE(J225,"-"),
            "Other"
        )
    ),
"Add")</f>
        <v>BEC</v>
      </c>
      <c r="B225" s="10" t="str">
        <f t="shared" si="4"/>
        <v>0001</v>
      </c>
      <c r="C225" s="10" t="str">
        <f>_xlfn.LET(
    _xlpm.val, IF(Datadetails[[#This Row],[Activity]]="D02","C20",Datadetails[[#This Row],[Activity]]),
    IF(ISNUMBER(MATCH(_xlpm.val,{"D04","C30","c40","C20"},0)), _xlpm.val, "Other")
)</f>
        <v>D04</v>
      </c>
      <c r="D225" s="10" t="str">
        <f>IFERROR(VLOOKUP(Datadetails[[#This Row],[Taskcode]],Dashboard!A:A,1,FALSE),"00 Err Missing")</f>
        <v>0001</v>
      </c>
      <c r="E225" s="79">
        <v>45761</v>
      </c>
      <c r="F225" s="80" t="s">
        <v>332</v>
      </c>
      <c r="G225" s="60" t="s">
        <v>40</v>
      </c>
      <c r="H225" s="80" t="s">
        <v>314</v>
      </c>
      <c r="I225" s="80" t="s">
        <v>35</v>
      </c>
      <c r="J225" s="80" t="s">
        <v>359</v>
      </c>
      <c r="K225" s="80" t="s">
        <v>339</v>
      </c>
      <c r="L225" s="80" t="s">
        <v>352</v>
      </c>
      <c r="M225" s="81">
        <v>8.83</v>
      </c>
      <c r="N225" s="82">
        <v>353.2</v>
      </c>
    </row>
    <row r="226" spans="1:14" x14ac:dyDescent="0.25">
      <c r="A226" s="10" t="str">
        <f>_xlfn.IFNA(
    IF(J226=
        "PCB-0001",
        "CSS",
        IF(
            ISNUMBER(MATCH(_xlfn.TEXTBEFORE(J226,"-"), {"CSS","CSN","PCB","PCF","BEC","CSD","PCM"}, 0)),
            _xlfn.TEXTBEFORE(J226,"-"),
            "Other"
        )
    ),
"Add")</f>
        <v>BEC</v>
      </c>
      <c r="B226" s="10" t="str">
        <f t="shared" si="4"/>
        <v>0001</v>
      </c>
      <c r="C226" s="10" t="str">
        <f>_xlfn.LET(
    _xlpm.val, IF(Datadetails[[#This Row],[Activity]]="D02","C20",Datadetails[[#This Row],[Activity]]),
    IF(ISNUMBER(MATCH(_xlpm.val,{"D04","C30","c40","C20"},0)), _xlpm.val, "Other")
)</f>
        <v>D04</v>
      </c>
      <c r="D226" s="10" t="str">
        <f>IFERROR(VLOOKUP(Datadetails[[#This Row],[Taskcode]],Dashboard!A:A,1,FALSE),"00 Err Missing")</f>
        <v>0001</v>
      </c>
      <c r="E226" s="79">
        <v>45761</v>
      </c>
      <c r="F226" s="80" t="s">
        <v>324</v>
      </c>
      <c r="G226" s="60" t="s">
        <v>40</v>
      </c>
      <c r="H226" s="80" t="s">
        <v>314</v>
      </c>
      <c r="I226" s="80" t="s">
        <v>35</v>
      </c>
      <c r="J226" s="80" t="s">
        <v>359</v>
      </c>
      <c r="K226" s="80" t="s">
        <v>339</v>
      </c>
      <c r="L226" s="80" t="s">
        <v>352</v>
      </c>
      <c r="M226" s="81">
        <v>3.75</v>
      </c>
      <c r="N226" s="82">
        <v>281.25</v>
      </c>
    </row>
    <row r="227" spans="1:14" x14ac:dyDescent="0.25">
      <c r="A227" s="10" t="str">
        <f>_xlfn.IFNA(
    IF(J227=
        "PCB-0001",
        "CSS",
        IF(
            ISNUMBER(MATCH(_xlfn.TEXTBEFORE(J227,"-"), {"CSS","CSN","PCB","PCF","BEC","CSD","PCM"}, 0)),
            _xlfn.TEXTBEFORE(J227,"-"),
            "Other"
        )
    ),
"Add")</f>
        <v>CSD</v>
      </c>
      <c r="B227" s="10" t="str">
        <f t="shared" si="4"/>
        <v>0001</v>
      </c>
      <c r="C227" s="10" t="str">
        <f>_xlfn.LET(
    _xlpm.val, IF(Datadetails[[#This Row],[Activity]]="D02","C20",Datadetails[[#This Row],[Activity]]),
    IF(ISNUMBER(MATCH(_xlpm.val,{"D04","C30","c40","C20"},0)), _xlpm.val, "Other")
)</f>
        <v>D04</v>
      </c>
      <c r="D227" s="10" t="str">
        <f>IFERROR(VLOOKUP(Datadetails[[#This Row],[Taskcode]],Dashboard!A:A,1,FALSE),"00 Err Missing")</f>
        <v>0001</v>
      </c>
      <c r="E227" s="79">
        <v>45762</v>
      </c>
      <c r="F227" s="80" t="s">
        <v>333</v>
      </c>
      <c r="G227" s="60" t="s">
        <v>40</v>
      </c>
      <c r="H227" s="80" t="s">
        <v>320</v>
      </c>
      <c r="I227" s="80" t="s">
        <v>35</v>
      </c>
      <c r="J227" s="80" t="s">
        <v>322</v>
      </c>
      <c r="K227" s="80" t="s">
        <v>319</v>
      </c>
      <c r="L227" s="80" t="s">
        <v>352</v>
      </c>
      <c r="M227" s="81">
        <v>6.42</v>
      </c>
      <c r="N227" s="82">
        <v>205.44</v>
      </c>
    </row>
    <row r="228" spans="1:14" x14ac:dyDescent="0.25">
      <c r="A228" s="10" t="str">
        <f>_xlfn.IFNA(
    IF(J228=
        "PCB-0001",
        "CSS",
        IF(
            ISNUMBER(MATCH(_xlfn.TEXTBEFORE(J228,"-"), {"CSS","CSN","PCB","PCF","BEC","CSD","PCM"}, 0)),
            _xlfn.TEXTBEFORE(J228,"-"),
            "Other"
        )
    ),
"Add")</f>
        <v>CSD</v>
      </c>
      <c r="B228" s="10" t="str">
        <f t="shared" si="4"/>
        <v>0001</v>
      </c>
      <c r="C228" s="10" t="str">
        <f>_xlfn.LET(
    _xlpm.val, IF(Datadetails[[#This Row],[Activity]]="D02","C20",Datadetails[[#This Row],[Activity]]),
    IF(ISNUMBER(MATCH(_xlpm.val,{"D04","C30","c40","C20"},0)), _xlpm.val, "Other")
)</f>
        <v>D04</v>
      </c>
      <c r="D228" s="10" t="str">
        <f>IFERROR(VLOOKUP(Datadetails[[#This Row],[Taskcode]],Dashboard!A:A,1,FALSE),"00 Err Missing")</f>
        <v>0001</v>
      </c>
      <c r="E228" s="79">
        <v>45762</v>
      </c>
      <c r="F228" s="80" t="s">
        <v>327</v>
      </c>
      <c r="G228" s="60" t="s">
        <v>40</v>
      </c>
      <c r="H228" s="80" t="s">
        <v>320</v>
      </c>
      <c r="I228" s="80" t="s">
        <v>35</v>
      </c>
      <c r="J228" s="80" t="s">
        <v>322</v>
      </c>
      <c r="K228" s="80" t="s">
        <v>319</v>
      </c>
      <c r="L228" s="80" t="s">
        <v>352</v>
      </c>
      <c r="M228" s="81">
        <v>7.42</v>
      </c>
      <c r="N228" s="82">
        <v>237.44</v>
      </c>
    </row>
    <row r="229" spans="1:14" x14ac:dyDescent="0.25">
      <c r="A229" s="10" t="str">
        <f>_xlfn.IFNA(
    IF(J229=
        "PCB-0001",
        "CSS",
        IF(
            ISNUMBER(MATCH(_xlfn.TEXTBEFORE(J229,"-"), {"CSS","CSN","PCB","PCF","BEC","CSD","PCM"}, 0)),
            _xlfn.TEXTBEFORE(J229,"-"),
            "Other"
        )
    ),
"Add")</f>
        <v>PCB</v>
      </c>
      <c r="B229" s="10" t="str">
        <f t="shared" si="4"/>
        <v>0109</v>
      </c>
      <c r="C229" s="10" t="str">
        <f>_xlfn.LET(
    _xlpm.val, IF(Datadetails[[#This Row],[Activity]]="D02","C20",Datadetails[[#This Row],[Activity]]),
    IF(ISNUMBER(MATCH(_xlpm.val,{"D04","C30","c40","C20"},0)), _xlpm.val, "Other")
)</f>
        <v>C20</v>
      </c>
      <c r="D229" s="10" t="str">
        <f>IFERROR(VLOOKUP(Datadetails[[#This Row],[Taskcode]],Dashboard!A:A,1,FALSE),"00 Err Missing")</f>
        <v>0109</v>
      </c>
      <c r="E229" s="79">
        <v>45762</v>
      </c>
      <c r="F229" s="80" t="s">
        <v>325</v>
      </c>
      <c r="G229" s="60" t="s">
        <v>40</v>
      </c>
      <c r="H229" s="80" t="s">
        <v>276</v>
      </c>
      <c r="I229" s="80" t="s">
        <v>36</v>
      </c>
      <c r="J229" s="80" t="s">
        <v>425</v>
      </c>
      <c r="K229" s="80" t="s">
        <v>347</v>
      </c>
      <c r="L229" s="80" t="s">
        <v>342</v>
      </c>
      <c r="M229" s="81">
        <v>0.17</v>
      </c>
      <c r="N229" s="82">
        <v>12.750000000000002</v>
      </c>
    </row>
    <row r="230" spans="1:14" x14ac:dyDescent="0.25">
      <c r="A230" s="10" t="str">
        <f>_xlfn.IFNA(
    IF(J230=
        "PCB-0001",
        "CSS",
        IF(
            ISNUMBER(MATCH(_xlfn.TEXTBEFORE(J230,"-"), {"CSS","CSN","PCB","PCF","BEC","CSD","PCM"}, 0)),
            _xlfn.TEXTBEFORE(J230,"-"),
            "Other"
        )
    ),
"Add")</f>
        <v>PCF</v>
      </c>
      <c r="B230" s="10" t="str">
        <f t="shared" si="4"/>
        <v>0021</v>
      </c>
      <c r="C230" s="10" t="str">
        <f>_xlfn.LET(
    _xlpm.val, IF(Datadetails[[#This Row],[Activity]]="D02","C20",Datadetails[[#This Row],[Activity]]),
    IF(ISNUMBER(MATCH(_xlpm.val,{"D04","C30","c40","C20"},0)), _xlpm.val, "Other")
)</f>
        <v>C20</v>
      </c>
      <c r="D230" s="10" t="str">
        <f>IFERROR(VLOOKUP(Datadetails[[#This Row],[Taskcode]],Dashboard!A:A,1,FALSE),"00 Err Missing")</f>
        <v>0021</v>
      </c>
      <c r="E230" s="79">
        <v>45762</v>
      </c>
      <c r="F230" s="80" t="s">
        <v>326</v>
      </c>
      <c r="G230" s="60" t="s">
        <v>40</v>
      </c>
      <c r="H230" s="80" t="s">
        <v>188</v>
      </c>
      <c r="I230" s="80" t="s">
        <v>36</v>
      </c>
      <c r="J230" s="80" t="s">
        <v>356</v>
      </c>
      <c r="K230" s="80" t="s">
        <v>348</v>
      </c>
      <c r="L230" s="80" t="s">
        <v>342</v>
      </c>
      <c r="M230" s="81">
        <v>2</v>
      </c>
      <c r="N230" s="82">
        <v>120</v>
      </c>
    </row>
    <row r="231" spans="1:14" x14ac:dyDescent="0.25">
      <c r="A231" s="10" t="str">
        <f>_xlfn.IFNA(
    IF(J231=
        "PCB-0001",
        "CSS",
        IF(
            ISNUMBER(MATCH(_xlfn.TEXTBEFORE(J231,"-"), {"CSS","CSN","PCB","PCF","BEC","CSD","PCM"}, 0)),
            _xlfn.TEXTBEFORE(J231,"-"),
            "Other"
        )
    ),
"Add")</f>
        <v>PCF</v>
      </c>
      <c r="B231" s="10" t="str">
        <f t="shared" si="4"/>
        <v>0021</v>
      </c>
      <c r="C231" s="10" t="str">
        <f>_xlfn.LET(
    _xlpm.val, IF(Datadetails[[#This Row],[Activity]]="D02","C20",Datadetails[[#This Row],[Activity]]),
    IF(ISNUMBER(MATCH(_xlpm.val,{"D04","C30","c40","C20"},0)), _xlpm.val, "Other")
)</f>
        <v>C30</v>
      </c>
      <c r="D231" s="10" t="str">
        <f>IFERROR(VLOOKUP(Datadetails[[#This Row],[Taskcode]],Dashboard!A:A,1,FALSE),"00 Err Missing")</f>
        <v>0021</v>
      </c>
      <c r="E231" s="79">
        <v>45762</v>
      </c>
      <c r="F231" s="80" t="s">
        <v>326</v>
      </c>
      <c r="G231" s="60" t="s">
        <v>40</v>
      </c>
      <c r="H231" s="80" t="s">
        <v>188</v>
      </c>
      <c r="I231" s="80" t="s">
        <v>34</v>
      </c>
      <c r="J231" s="80" t="s">
        <v>356</v>
      </c>
      <c r="K231" s="80" t="s">
        <v>348</v>
      </c>
      <c r="L231" s="80" t="s">
        <v>343</v>
      </c>
      <c r="M231" s="81">
        <v>1.42</v>
      </c>
      <c r="N231" s="82">
        <v>85.199999999999989</v>
      </c>
    </row>
    <row r="232" spans="1:14" x14ac:dyDescent="0.25">
      <c r="A232" s="10" t="str">
        <f>_xlfn.IFNA(
    IF(J232=
        "PCB-0001",
        "CSS",
        IF(
            ISNUMBER(MATCH(_xlfn.TEXTBEFORE(J232,"-"), {"CSS","CSN","PCB","PCF","BEC","CSD","PCM"}, 0)),
            _xlfn.TEXTBEFORE(J232,"-"),
            "Other"
        )
    ),
"Add")</f>
        <v>BEC</v>
      </c>
      <c r="B232" s="10" t="str">
        <f t="shared" si="4"/>
        <v>0001</v>
      </c>
      <c r="C232" s="10" t="str">
        <f>_xlfn.LET(
    _xlpm.val, IF(Datadetails[[#This Row],[Activity]]="D02","C20",Datadetails[[#This Row],[Activity]]),
    IF(ISNUMBER(MATCH(_xlpm.val,{"D04","C30","c40","C20"},0)), _xlpm.val, "Other")
)</f>
        <v>D04</v>
      </c>
      <c r="D232" s="10" t="str">
        <f>IFERROR(VLOOKUP(Datadetails[[#This Row],[Taskcode]],Dashboard!A:A,1,FALSE),"00 Err Missing")</f>
        <v>0001</v>
      </c>
      <c r="E232" s="79">
        <v>45762</v>
      </c>
      <c r="F232" s="80" t="s">
        <v>332</v>
      </c>
      <c r="G232" s="60" t="s">
        <v>40</v>
      </c>
      <c r="H232" s="80" t="s">
        <v>314</v>
      </c>
      <c r="I232" s="80" t="s">
        <v>35</v>
      </c>
      <c r="J232" s="80" t="s">
        <v>359</v>
      </c>
      <c r="K232" s="80" t="s">
        <v>339</v>
      </c>
      <c r="L232" s="80" t="s">
        <v>352</v>
      </c>
      <c r="M232" s="81">
        <v>7.83</v>
      </c>
      <c r="N232" s="82">
        <v>313.2</v>
      </c>
    </row>
    <row r="233" spans="1:14" x14ac:dyDescent="0.25">
      <c r="A233" s="10" t="str">
        <f>_xlfn.IFNA(
    IF(J233=
        "PCB-0001",
        "CSS",
        IF(
            ISNUMBER(MATCH(_xlfn.TEXTBEFORE(J233,"-"), {"CSS","CSN","PCB","PCF","BEC","CSD","PCM"}, 0)),
            _xlfn.TEXTBEFORE(J233,"-"),
            "Other"
        )
    ),
"Add")</f>
        <v>BEC</v>
      </c>
      <c r="B233" s="10" t="str">
        <f t="shared" si="4"/>
        <v>0001</v>
      </c>
      <c r="C233" s="10" t="str">
        <f>_xlfn.LET(
    _xlpm.val, IF(Datadetails[[#This Row],[Activity]]="D02","C20",Datadetails[[#This Row],[Activity]]),
    IF(ISNUMBER(MATCH(_xlpm.val,{"D04","C30","c40","C20"},0)), _xlpm.val, "Other")
)</f>
        <v>D04</v>
      </c>
      <c r="D233" s="10" t="str">
        <f>IFERROR(VLOOKUP(Datadetails[[#This Row],[Taskcode]],Dashboard!A:A,1,FALSE),"00 Err Missing")</f>
        <v>0001</v>
      </c>
      <c r="E233" s="79">
        <v>45762</v>
      </c>
      <c r="F233" s="80" t="s">
        <v>324</v>
      </c>
      <c r="G233" s="60" t="s">
        <v>40</v>
      </c>
      <c r="H233" s="80" t="s">
        <v>314</v>
      </c>
      <c r="I233" s="80" t="s">
        <v>35</v>
      </c>
      <c r="J233" s="80" t="s">
        <v>359</v>
      </c>
      <c r="K233" s="80" t="s">
        <v>339</v>
      </c>
      <c r="L233" s="80" t="s">
        <v>352</v>
      </c>
      <c r="M233" s="81">
        <v>6.5</v>
      </c>
      <c r="N233" s="82">
        <v>487.5</v>
      </c>
    </row>
    <row r="234" spans="1:14" x14ac:dyDescent="0.25">
      <c r="A234" s="10" t="str">
        <f>_xlfn.IFNA(
    IF(J234=
        "PCB-0001",
        "CSS",
        IF(
            ISNUMBER(MATCH(_xlfn.TEXTBEFORE(J234,"-"), {"CSS","CSN","PCB","PCF","BEC","CSD","PCM"}, 0)),
            _xlfn.TEXTBEFORE(J234,"-"),
            "Other"
        )
    ),
"Add")</f>
        <v>PCB</v>
      </c>
      <c r="B234" s="10" t="str">
        <f t="shared" si="4"/>
        <v>0058</v>
      </c>
      <c r="C234" s="10" t="str">
        <f>_xlfn.LET(
    _xlpm.val, IF(Datadetails[[#This Row],[Activity]]="D02","C20",Datadetails[[#This Row],[Activity]]),
    IF(ISNUMBER(MATCH(_xlpm.val,{"D04","C30","c40","C20"},0)), _xlpm.val, "Other")
)</f>
        <v>C40</v>
      </c>
      <c r="D234" s="10" t="str">
        <f>IFERROR(VLOOKUP(Datadetails[[#This Row],[Taskcode]],Dashboard!A:A,1,FALSE),"00 Err Missing")</f>
        <v>0058</v>
      </c>
      <c r="E234" s="79">
        <v>45763</v>
      </c>
      <c r="F234" s="80" t="s">
        <v>330</v>
      </c>
      <c r="G234" s="60" t="s">
        <v>40</v>
      </c>
      <c r="H234" s="80" t="s">
        <v>225</v>
      </c>
      <c r="I234" s="80" t="s">
        <v>341</v>
      </c>
      <c r="J234" s="80" t="s">
        <v>365</v>
      </c>
      <c r="K234" s="80" t="s">
        <v>347</v>
      </c>
      <c r="L234" s="80" t="s">
        <v>344</v>
      </c>
      <c r="M234" s="81">
        <v>1.5</v>
      </c>
      <c r="N234" s="82">
        <v>90</v>
      </c>
    </row>
    <row r="235" spans="1:14" x14ac:dyDescent="0.25">
      <c r="A235" s="10" t="str">
        <f>_xlfn.IFNA(
    IF(J235=
        "PCB-0001",
        "CSS",
        IF(
            ISNUMBER(MATCH(_xlfn.TEXTBEFORE(J235,"-"), {"CSS","CSN","PCB","PCF","BEC","CSD","PCM"}, 0)),
            _xlfn.TEXTBEFORE(J235,"-"),
            "Other"
        )
    ),
"Add")</f>
        <v>CSD</v>
      </c>
      <c r="B235" s="10" t="str">
        <f t="shared" si="4"/>
        <v>0001</v>
      </c>
      <c r="C235" s="10" t="str">
        <f>_xlfn.LET(
    _xlpm.val, IF(Datadetails[[#This Row],[Activity]]="D02","C20",Datadetails[[#This Row],[Activity]]),
    IF(ISNUMBER(MATCH(_xlpm.val,{"D04","C30","c40","C20"},0)), _xlpm.val, "Other")
)</f>
        <v>D04</v>
      </c>
      <c r="D235" s="10" t="str">
        <f>IFERROR(VLOOKUP(Datadetails[[#This Row],[Taskcode]],Dashboard!A:A,1,FALSE),"00 Err Missing")</f>
        <v>0001</v>
      </c>
      <c r="E235" s="79">
        <v>45763</v>
      </c>
      <c r="F235" s="80" t="s">
        <v>333</v>
      </c>
      <c r="G235" s="60" t="s">
        <v>40</v>
      </c>
      <c r="H235" s="80" t="s">
        <v>320</v>
      </c>
      <c r="I235" s="80" t="s">
        <v>35</v>
      </c>
      <c r="J235" s="80" t="s">
        <v>322</v>
      </c>
      <c r="K235" s="80" t="s">
        <v>319</v>
      </c>
      <c r="L235" s="80" t="s">
        <v>352</v>
      </c>
      <c r="M235" s="81">
        <v>7.6</v>
      </c>
      <c r="N235" s="82">
        <v>243.2</v>
      </c>
    </row>
    <row r="236" spans="1:14" x14ac:dyDescent="0.25">
      <c r="A236" s="10" t="str">
        <f>_xlfn.IFNA(
    IF(J236=
        "PCB-0001",
        "CSS",
        IF(
            ISNUMBER(MATCH(_xlfn.TEXTBEFORE(J236,"-"), {"CSS","CSN","PCB","PCF","BEC","CSD","PCM"}, 0)),
            _xlfn.TEXTBEFORE(J236,"-"),
            "Other"
        )
    ),
"Add")</f>
        <v>CSD</v>
      </c>
      <c r="B236" s="10" t="str">
        <f t="shared" si="4"/>
        <v>0001</v>
      </c>
      <c r="C236" s="10" t="str">
        <f>_xlfn.LET(
    _xlpm.val, IF(Datadetails[[#This Row],[Activity]]="D02","C20",Datadetails[[#This Row],[Activity]]),
    IF(ISNUMBER(MATCH(_xlpm.val,{"D04","C30","c40","C20"},0)), _xlpm.val, "Other")
)</f>
        <v>D04</v>
      </c>
      <c r="D236" s="10" t="str">
        <f>IFERROR(VLOOKUP(Datadetails[[#This Row],[Taskcode]],Dashboard!A:A,1,FALSE),"00 Err Missing")</f>
        <v>0001</v>
      </c>
      <c r="E236" s="79">
        <v>45763</v>
      </c>
      <c r="F236" s="80" t="s">
        <v>327</v>
      </c>
      <c r="G236" s="60" t="s">
        <v>40</v>
      </c>
      <c r="H236" s="80" t="s">
        <v>320</v>
      </c>
      <c r="I236" s="80" t="s">
        <v>35</v>
      </c>
      <c r="J236" s="80" t="s">
        <v>322</v>
      </c>
      <c r="K236" s="80" t="s">
        <v>319</v>
      </c>
      <c r="L236" s="80" t="s">
        <v>352</v>
      </c>
      <c r="M236" s="81">
        <v>7.25</v>
      </c>
      <c r="N236" s="82">
        <v>232</v>
      </c>
    </row>
    <row r="237" spans="1:14" x14ac:dyDescent="0.25">
      <c r="A237" s="10" t="str">
        <f>_xlfn.IFNA(
    IF(J237=
        "PCB-0001",
        "CSS",
        IF(
            ISNUMBER(MATCH(_xlfn.TEXTBEFORE(J237,"-"), {"CSS","CSN","PCB","PCF","BEC","CSD","PCM"}, 0)),
            _xlfn.TEXTBEFORE(J237,"-"),
            "Other"
        )
    ),
"Add")</f>
        <v>BEC</v>
      </c>
      <c r="B237" s="10" t="str">
        <f t="shared" si="4"/>
        <v>0001</v>
      </c>
      <c r="C237" s="10" t="str">
        <f>_xlfn.LET(
    _xlpm.val, IF(Datadetails[[#This Row],[Activity]]="D02","C20",Datadetails[[#This Row],[Activity]]),
    IF(ISNUMBER(MATCH(_xlpm.val,{"D04","C30","c40","C20"},0)), _xlpm.val, "Other")
)</f>
        <v>D04</v>
      </c>
      <c r="D237" s="10" t="str">
        <f>IFERROR(VLOOKUP(Datadetails[[#This Row],[Taskcode]],Dashboard!A:A,1,FALSE),"00 Err Missing")</f>
        <v>0001</v>
      </c>
      <c r="E237" s="79">
        <v>45763</v>
      </c>
      <c r="F237" s="80" t="s">
        <v>332</v>
      </c>
      <c r="G237" s="60" t="s">
        <v>40</v>
      </c>
      <c r="H237" s="80" t="s">
        <v>314</v>
      </c>
      <c r="I237" s="80" t="s">
        <v>35</v>
      </c>
      <c r="J237" s="80" t="s">
        <v>359</v>
      </c>
      <c r="K237" s="80" t="s">
        <v>339</v>
      </c>
      <c r="L237" s="80" t="s">
        <v>352</v>
      </c>
      <c r="M237" s="81">
        <v>8.83</v>
      </c>
      <c r="N237" s="82">
        <v>353.2</v>
      </c>
    </row>
    <row r="238" spans="1:14" x14ac:dyDescent="0.25">
      <c r="A238" s="10" t="str">
        <f>_xlfn.IFNA(
    IF(J238=
        "PCB-0001",
        "CSS",
        IF(
            ISNUMBER(MATCH(_xlfn.TEXTBEFORE(J238,"-"), {"CSS","CSN","PCB","PCF","BEC","CSD","PCM"}, 0)),
            _xlfn.TEXTBEFORE(J238,"-"),
            "Other"
        )
    ),
"Add")</f>
        <v>BEC</v>
      </c>
      <c r="B238" s="10" t="str">
        <f t="shared" si="4"/>
        <v>0001</v>
      </c>
      <c r="C238" s="10" t="str">
        <f>_xlfn.LET(
    _xlpm.val, IF(Datadetails[[#This Row],[Activity]]="D02","C20",Datadetails[[#This Row],[Activity]]),
    IF(ISNUMBER(MATCH(_xlpm.val,{"D04","C30","c40","C20"},0)), _xlpm.val, "Other")
)</f>
        <v>D04</v>
      </c>
      <c r="D238" s="10" t="str">
        <f>IFERROR(VLOOKUP(Datadetails[[#This Row],[Taskcode]],Dashboard!A:A,1,FALSE),"00 Err Missing")</f>
        <v>0001</v>
      </c>
      <c r="E238" s="79">
        <v>45763</v>
      </c>
      <c r="F238" s="80" t="s">
        <v>324</v>
      </c>
      <c r="G238" s="60" t="s">
        <v>40</v>
      </c>
      <c r="H238" s="80" t="s">
        <v>314</v>
      </c>
      <c r="I238" s="80" t="s">
        <v>35</v>
      </c>
      <c r="J238" s="80" t="s">
        <v>359</v>
      </c>
      <c r="K238" s="80" t="s">
        <v>339</v>
      </c>
      <c r="L238" s="80" t="s">
        <v>352</v>
      </c>
      <c r="M238" s="81">
        <v>5.75</v>
      </c>
      <c r="N238" s="82">
        <v>431.25</v>
      </c>
    </row>
    <row r="239" spans="1:14" x14ac:dyDescent="0.25">
      <c r="A239" s="10" t="str">
        <f>_xlfn.IFNA(
    IF(J239=
        "PCB-0001",
        "CSS",
        IF(
            ISNUMBER(MATCH(_xlfn.TEXTBEFORE(J239,"-"), {"CSS","CSN","PCB","PCF","BEC","CSD","PCM"}, 0)),
            _xlfn.TEXTBEFORE(J239,"-"),
            "Other"
        )
    ),
"Add")</f>
        <v>CSD</v>
      </c>
      <c r="B239" s="10" t="str">
        <f t="shared" si="4"/>
        <v>0001</v>
      </c>
      <c r="C239" s="10" t="str">
        <f>_xlfn.LET(
    _xlpm.val, IF(Datadetails[[#This Row],[Activity]]="D02","C20",Datadetails[[#This Row],[Activity]]),
    IF(ISNUMBER(MATCH(_xlpm.val,{"D04","C30","c40","C20"},0)), _xlpm.val, "Other")
)</f>
        <v>D04</v>
      </c>
      <c r="D239" s="10" t="str">
        <f>IFERROR(VLOOKUP(Datadetails[[#This Row],[Taskcode]],Dashboard!A:A,1,FALSE),"00 Err Missing")</f>
        <v>0001</v>
      </c>
      <c r="E239" s="79">
        <v>45764</v>
      </c>
      <c r="F239" s="80" t="s">
        <v>333</v>
      </c>
      <c r="G239" s="60" t="s">
        <v>40</v>
      </c>
      <c r="H239" s="80" t="s">
        <v>320</v>
      </c>
      <c r="I239" s="80" t="s">
        <v>35</v>
      </c>
      <c r="J239" s="80" t="s">
        <v>322</v>
      </c>
      <c r="K239" s="80" t="s">
        <v>319</v>
      </c>
      <c r="L239" s="80" t="s">
        <v>352</v>
      </c>
      <c r="M239" s="81">
        <v>7.55</v>
      </c>
      <c r="N239" s="82">
        <v>241.6</v>
      </c>
    </row>
    <row r="240" spans="1:14" x14ac:dyDescent="0.25">
      <c r="A240" s="10" t="str">
        <f>_xlfn.IFNA(
    IF(J240=
        "PCB-0001",
        "CSS",
        IF(
            ISNUMBER(MATCH(_xlfn.TEXTBEFORE(J240,"-"), {"CSS","CSN","PCB","PCF","BEC","CSD","PCM"}, 0)),
            _xlfn.TEXTBEFORE(J240,"-"),
            "Other"
        )
    ),
"Add")</f>
        <v>CSD</v>
      </c>
      <c r="B240" s="10" t="str">
        <f t="shared" si="4"/>
        <v>0001</v>
      </c>
      <c r="C240" s="10" t="str">
        <f>_xlfn.LET(
    _xlpm.val, IF(Datadetails[[#This Row],[Activity]]="D02","C20",Datadetails[[#This Row],[Activity]]),
    IF(ISNUMBER(MATCH(_xlpm.val,{"D04","C30","c40","C20"},0)), _xlpm.val, "Other")
)</f>
        <v>D04</v>
      </c>
      <c r="D240" s="10" t="str">
        <f>IFERROR(VLOOKUP(Datadetails[[#This Row],[Taskcode]],Dashboard!A:A,1,FALSE),"00 Err Missing")</f>
        <v>0001</v>
      </c>
      <c r="E240" s="79">
        <v>45764</v>
      </c>
      <c r="F240" s="80" t="s">
        <v>327</v>
      </c>
      <c r="G240" s="60" t="s">
        <v>40</v>
      </c>
      <c r="H240" s="80" t="s">
        <v>320</v>
      </c>
      <c r="I240" s="80" t="s">
        <v>35</v>
      </c>
      <c r="J240" s="80" t="s">
        <v>322</v>
      </c>
      <c r="K240" s="80" t="s">
        <v>319</v>
      </c>
      <c r="L240" s="80" t="s">
        <v>352</v>
      </c>
      <c r="M240" s="81">
        <v>3.7</v>
      </c>
      <c r="N240" s="82">
        <v>118.4</v>
      </c>
    </row>
    <row r="241" spans="1:14" x14ac:dyDescent="0.25">
      <c r="A241" s="10" t="str">
        <f>_xlfn.IFNA(
    IF(J241=
        "PCB-0001",
        "CSS",
        IF(
            ISNUMBER(MATCH(_xlfn.TEXTBEFORE(J241,"-"), {"CSS","CSN","PCB","PCF","BEC","CSD","PCM"}, 0)),
            _xlfn.TEXTBEFORE(J241,"-"),
            "Other"
        )
    ),
"Add")</f>
        <v>PCB</v>
      </c>
      <c r="B241" s="10" t="str">
        <f t="shared" si="4"/>
        <v>0031</v>
      </c>
      <c r="C241" s="10" t="str">
        <f>_xlfn.LET(
    _xlpm.val, IF(Datadetails[[#This Row],[Activity]]="D02","C20",Datadetails[[#This Row],[Activity]]),
    IF(ISNUMBER(MATCH(_xlpm.val,{"D04","C30","c40","C20"},0)), _xlpm.val, "Other")
)</f>
        <v>C30</v>
      </c>
      <c r="D241" s="10" t="str">
        <f>IFERROR(VLOOKUP(Datadetails[[#This Row],[Taskcode]],Dashboard!A:A,1,FALSE),"00 Err Missing")</f>
        <v>0031</v>
      </c>
      <c r="E241" s="79">
        <v>45764</v>
      </c>
      <c r="F241" s="80" t="s">
        <v>325</v>
      </c>
      <c r="G241" s="60" t="s">
        <v>40</v>
      </c>
      <c r="H241" s="80" t="s">
        <v>198</v>
      </c>
      <c r="I241" s="80" t="s">
        <v>34</v>
      </c>
      <c r="J241" s="80" t="s">
        <v>413</v>
      </c>
      <c r="K241" s="80" t="s">
        <v>347</v>
      </c>
      <c r="L241" s="80" t="s">
        <v>343</v>
      </c>
      <c r="M241" s="81">
        <v>0.25</v>
      </c>
      <c r="N241" s="82">
        <v>18.75</v>
      </c>
    </row>
    <row r="242" spans="1:14" x14ac:dyDescent="0.25">
      <c r="A242" s="10" t="str">
        <f>_xlfn.IFNA(
    IF(J242=
        "PCB-0001",
        "CSS",
        IF(
            ISNUMBER(MATCH(_xlfn.TEXTBEFORE(J242,"-"), {"CSS","CSN","PCB","PCF","BEC","CSD","PCM"}, 0)),
            _xlfn.TEXTBEFORE(J242,"-"),
            "Other"
        )
    ),
"Add")</f>
        <v>PCB</v>
      </c>
      <c r="B242" s="10" t="str">
        <f t="shared" si="4"/>
        <v>0123</v>
      </c>
      <c r="C242" s="10" t="str">
        <f>_xlfn.LET(
    _xlpm.val, IF(Datadetails[[#This Row],[Activity]]="D02","C20",Datadetails[[#This Row],[Activity]]),
    IF(ISNUMBER(MATCH(_xlpm.val,{"D04","C30","c40","C20"},0)), _xlpm.val, "Other")
)</f>
        <v>C20</v>
      </c>
      <c r="D242" s="10" t="str">
        <f>IFERROR(VLOOKUP(Datadetails[[#This Row],[Taskcode]],Dashboard!A:A,1,FALSE),"00 Err Missing")</f>
        <v>0123</v>
      </c>
      <c r="E242" s="79">
        <v>45764</v>
      </c>
      <c r="F242" s="80" t="s">
        <v>325</v>
      </c>
      <c r="G242" s="60" t="s">
        <v>40</v>
      </c>
      <c r="H242" s="80" t="s">
        <v>290</v>
      </c>
      <c r="I242" s="80" t="s">
        <v>36</v>
      </c>
      <c r="J242" s="80" t="s">
        <v>428</v>
      </c>
      <c r="K242" s="80" t="s">
        <v>347</v>
      </c>
      <c r="L242" s="80" t="s">
        <v>342</v>
      </c>
      <c r="M242" s="81">
        <v>0.25</v>
      </c>
      <c r="N242" s="82">
        <v>18.75</v>
      </c>
    </row>
    <row r="243" spans="1:14" x14ac:dyDescent="0.25">
      <c r="A243" s="10" t="str">
        <f>_xlfn.IFNA(
    IF(J243=
        "PCB-0001",
        "CSS",
        IF(
            ISNUMBER(MATCH(_xlfn.TEXTBEFORE(J243,"-"), {"CSS","CSN","PCB","PCF","BEC","CSD","PCM"}, 0)),
            _xlfn.TEXTBEFORE(J243,"-"),
            "Other"
        )
    ),
"Add")</f>
        <v>PCB</v>
      </c>
      <c r="B243" s="10" t="str">
        <f t="shared" si="4"/>
        <v>0101</v>
      </c>
      <c r="C243" s="10" t="str">
        <f>_xlfn.LET(
    _xlpm.val, IF(Datadetails[[#This Row],[Activity]]="D02","C20",Datadetails[[#This Row],[Activity]]),
    IF(ISNUMBER(MATCH(_xlpm.val,{"D04","C30","c40","C20"},0)), _xlpm.val, "Other")
)</f>
        <v>C40</v>
      </c>
      <c r="D243" s="10" t="str">
        <f>IFERROR(VLOOKUP(Datadetails[[#This Row],[Taskcode]],Dashboard!A:A,1,FALSE),"00 Err Missing")</f>
        <v>0101</v>
      </c>
      <c r="E243" s="79">
        <v>45764</v>
      </c>
      <c r="F243" s="80" t="s">
        <v>330</v>
      </c>
      <c r="G243" s="60" t="s">
        <v>40</v>
      </c>
      <c r="H243" s="80" t="s">
        <v>268</v>
      </c>
      <c r="I243" s="80" t="s">
        <v>341</v>
      </c>
      <c r="J243" s="80" t="s">
        <v>386</v>
      </c>
      <c r="K243" s="80" t="s">
        <v>347</v>
      </c>
      <c r="L243" s="80" t="s">
        <v>344</v>
      </c>
      <c r="M243" s="81">
        <v>0.5</v>
      </c>
      <c r="N243" s="82">
        <v>30</v>
      </c>
    </row>
    <row r="244" spans="1:14" x14ac:dyDescent="0.25">
      <c r="A244" s="10" t="str">
        <f>_xlfn.IFNA(
    IF(J244=
        "PCB-0001",
        "CSS",
        IF(
            ISNUMBER(MATCH(_xlfn.TEXTBEFORE(J244,"-"), {"CSS","CSN","PCB","PCF","BEC","CSD","PCM"}, 0)),
            _xlfn.TEXTBEFORE(J244,"-"),
            "Other"
        )
    ),
"Add")</f>
        <v>PCF</v>
      </c>
      <c r="B244" s="10" t="str">
        <f t="shared" si="4"/>
        <v>0008</v>
      </c>
      <c r="C244" s="10" t="str">
        <f>_xlfn.LET(
    _xlpm.val, IF(Datadetails[[#This Row],[Activity]]="D02","C20",Datadetails[[#This Row],[Activity]]),
    IF(ISNUMBER(MATCH(_xlpm.val,{"D04","C30","c40","C20"},0)), _xlpm.val, "Other")
)</f>
        <v>C20</v>
      </c>
      <c r="D244" s="10" t="str">
        <f>IFERROR(VLOOKUP(Datadetails[[#This Row],[Taskcode]],Dashboard!A:A,1,FALSE),"00 Err Missing")</f>
        <v>0008</v>
      </c>
      <c r="E244" s="79">
        <v>45764</v>
      </c>
      <c r="F244" s="80" t="s">
        <v>326</v>
      </c>
      <c r="G244" s="60" t="s">
        <v>40</v>
      </c>
      <c r="H244" s="80" t="s">
        <v>175</v>
      </c>
      <c r="I244" s="80" t="s">
        <v>36</v>
      </c>
      <c r="J244" s="80" t="s">
        <v>388</v>
      </c>
      <c r="K244" s="80" t="s">
        <v>348</v>
      </c>
      <c r="L244" s="80" t="s">
        <v>342</v>
      </c>
      <c r="M244" s="81">
        <v>1.42</v>
      </c>
      <c r="N244" s="82">
        <v>85.199999999999989</v>
      </c>
    </row>
    <row r="245" spans="1:14" x14ac:dyDescent="0.25">
      <c r="A245" s="10" t="str">
        <f>_xlfn.IFNA(
    IF(J245=
        "PCB-0001",
        "CSS",
        IF(
            ISNUMBER(MATCH(_xlfn.TEXTBEFORE(J245,"-"), {"CSS","CSN","PCB","PCF","BEC","CSD","PCM"}, 0)),
            _xlfn.TEXTBEFORE(J245,"-"),
            "Other"
        )
    ),
"Add")</f>
        <v>PCF</v>
      </c>
      <c r="B245" s="10" t="str">
        <f t="shared" si="4"/>
        <v>0040</v>
      </c>
      <c r="C245" s="10" t="str">
        <f>_xlfn.LET(
    _xlpm.val, IF(Datadetails[[#This Row],[Activity]]="D02","C20",Datadetails[[#This Row],[Activity]]),
    IF(ISNUMBER(MATCH(_xlpm.val,{"D04","C30","c40","C20"},0)), _xlpm.val, "Other")
)</f>
        <v>C20</v>
      </c>
      <c r="D245" s="10" t="str">
        <f>IFERROR(VLOOKUP(Datadetails[[#This Row],[Taskcode]],Dashboard!A:A,1,FALSE),"00 Err Missing")</f>
        <v>0040</v>
      </c>
      <c r="E245" s="79">
        <v>45764</v>
      </c>
      <c r="F245" s="80" t="s">
        <v>326</v>
      </c>
      <c r="G245" s="60" t="s">
        <v>40</v>
      </c>
      <c r="H245" s="80" t="s">
        <v>207</v>
      </c>
      <c r="I245" s="80" t="s">
        <v>36</v>
      </c>
      <c r="J245" s="80" t="s">
        <v>417</v>
      </c>
      <c r="K245" s="80" t="s">
        <v>348</v>
      </c>
      <c r="L245" s="80" t="s">
        <v>342</v>
      </c>
      <c r="M245" s="81">
        <v>0.75</v>
      </c>
      <c r="N245" s="82">
        <v>45</v>
      </c>
    </row>
    <row r="246" spans="1:14" x14ac:dyDescent="0.25">
      <c r="A246" s="10" t="str">
        <f>_xlfn.IFNA(
    IF(J246=
        "PCB-0001",
        "CSS",
        IF(
            ISNUMBER(MATCH(_xlfn.TEXTBEFORE(J246,"-"), {"CSS","CSN","PCB","PCF","BEC","CSD","PCM"}, 0)),
            _xlfn.TEXTBEFORE(J246,"-"),
            "Other"
        )
    ),
"Add")</f>
        <v>PCF</v>
      </c>
      <c r="B246" s="10" t="str">
        <f t="shared" si="4"/>
        <v>0021</v>
      </c>
      <c r="C246" s="10" t="str">
        <f>_xlfn.LET(
    _xlpm.val, IF(Datadetails[[#This Row],[Activity]]="D02","C20",Datadetails[[#This Row],[Activity]]),
    IF(ISNUMBER(MATCH(_xlpm.val,{"D04","C30","c40","C20"},0)), _xlpm.val, "Other")
)</f>
        <v>C30</v>
      </c>
      <c r="D246" s="10" t="str">
        <f>IFERROR(VLOOKUP(Datadetails[[#This Row],[Taskcode]],Dashboard!A:A,1,FALSE),"00 Err Missing")</f>
        <v>0021</v>
      </c>
      <c r="E246" s="79">
        <v>45764</v>
      </c>
      <c r="F246" s="80" t="s">
        <v>326</v>
      </c>
      <c r="G246" s="60" t="s">
        <v>40</v>
      </c>
      <c r="H246" s="80" t="s">
        <v>188</v>
      </c>
      <c r="I246" s="80" t="s">
        <v>34</v>
      </c>
      <c r="J246" s="80" t="s">
        <v>356</v>
      </c>
      <c r="K246" s="80" t="s">
        <v>348</v>
      </c>
      <c r="L246" s="80" t="s">
        <v>343</v>
      </c>
      <c r="M246" s="81">
        <v>1.42</v>
      </c>
      <c r="N246" s="82">
        <v>85.199999999999989</v>
      </c>
    </row>
    <row r="247" spans="1:14" x14ac:dyDescent="0.25">
      <c r="A247" s="10" t="str">
        <f>_xlfn.IFNA(
    IF(J247=
        "PCB-0001",
        "CSS",
        IF(
            ISNUMBER(MATCH(_xlfn.TEXTBEFORE(J247,"-"), {"CSS","CSN","PCB","PCF","BEC","CSD","PCM"}, 0)),
            _xlfn.TEXTBEFORE(J247,"-"),
            "Other"
        )
    ),
"Add")</f>
        <v>BEC</v>
      </c>
      <c r="B247" s="10" t="str">
        <f t="shared" si="4"/>
        <v>0001</v>
      </c>
      <c r="C247" s="10" t="str">
        <f>_xlfn.LET(
    _xlpm.val, IF(Datadetails[[#This Row],[Activity]]="D02","C20",Datadetails[[#This Row],[Activity]]),
    IF(ISNUMBER(MATCH(_xlpm.val,{"D04","C30","c40","C20"},0)), _xlpm.val, "Other")
)</f>
        <v>D04</v>
      </c>
      <c r="D247" s="10" t="str">
        <f>IFERROR(VLOOKUP(Datadetails[[#This Row],[Taskcode]],Dashboard!A:A,1,FALSE),"00 Err Missing")</f>
        <v>0001</v>
      </c>
      <c r="E247" s="79">
        <v>45764</v>
      </c>
      <c r="F247" s="80" t="s">
        <v>332</v>
      </c>
      <c r="G247" s="60" t="s">
        <v>40</v>
      </c>
      <c r="H247" s="80" t="s">
        <v>314</v>
      </c>
      <c r="I247" s="80" t="s">
        <v>35</v>
      </c>
      <c r="J247" s="80" t="s">
        <v>359</v>
      </c>
      <c r="K247" s="80" t="s">
        <v>339</v>
      </c>
      <c r="L247" s="80" t="s">
        <v>352</v>
      </c>
      <c r="M247" s="81">
        <v>9.33</v>
      </c>
      <c r="N247" s="82">
        <v>373.2</v>
      </c>
    </row>
    <row r="248" spans="1:14" x14ac:dyDescent="0.25">
      <c r="A248" s="10" t="str">
        <f>_xlfn.IFNA(
    IF(J248=
        "PCB-0001",
        "CSS",
        IF(
            ISNUMBER(MATCH(_xlfn.TEXTBEFORE(J248,"-"), {"CSS","CSN","PCB","PCF","BEC","CSD","PCM"}, 0)),
            _xlfn.TEXTBEFORE(J248,"-"),
            "Other"
        )
    ),
"Add")</f>
        <v>BEC</v>
      </c>
      <c r="B248" s="10" t="str">
        <f t="shared" si="4"/>
        <v>0001</v>
      </c>
      <c r="C248" s="10" t="str">
        <f>_xlfn.LET(
    _xlpm.val, IF(Datadetails[[#This Row],[Activity]]="D02","C20",Datadetails[[#This Row],[Activity]]),
    IF(ISNUMBER(MATCH(_xlpm.val,{"D04","C30","c40","C20"},0)), _xlpm.val, "Other")
)</f>
        <v>D04</v>
      </c>
      <c r="D248" s="10" t="str">
        <f>IFERROR(VLOOKUP(Datadetails[[#This Row],[Taskcode]],Dashboard!A:A,1,FALSE),"00 Err Missing")</f>
        <v>0001</v>
      </c>
      <c r="E248" s="79">
        <v>45764</v>
      </c>
      <c r="F248" s="80" t="s">
        <v>324</v>
      </c>
      <c r="G248" s="60" t="s">
        <v>40</v>
      </c>
      <c r="H248" s="80" t="s">
        <v>314</v>
      </c>
      <c r="I248" s="80" t="s">
        <v>35</v>
      </c>
      <c r="J248" s="80" t="s">
        <v>359</v>
      </c>
      <c r="K248" s="80" t="s">
        <v>339</v>
      </c>
      <c r="L248" s="80" t="s">
        <v>352</v>
      </c>
      <c r="M248" s="81">
        <v>4</v>
      </c>
      <c r="N248" s="82">
        <v>300</v>
      </c>
    </row>
    <row r="249" spans="1:14" x14ac:dyDescent="0.25">
      <c r="A249" s="10" t="str">
        <f>_xlfn.IFNA(
    IF(J249=
        "PCB-0001",
        "CSS",
        IF(
            ISNUMBER(MATCH(_xlfn.TEXTBEFORE(J249,"-"), {"CSS","CSN","PCB","PCF","BEC","CSD","PCM"}, 0)),
            _xlfn.TEXTBEFORE(J249,"-"),
            "Other"
        )
    ),
"Add")</f>
        <v>BEC</v>
      </c>
      <c r="B249" s="10" t="str">
        <f t="shared" si="4"/>
        <v>0001</v>
      </c>
      <c r="C249" s="10" t="str">
        <f>_xlfn.LET(
    _xlpm.val, IF(Datadetails[[#This Row],[Activity]]="D02","C20",Datadetails[[#This Row],[Activity]]),
    IF(ISNUMBER(MATCH(_xlpm.val,{"D04","C30","c40","C20"},0)), _xlpm.val, "Other")
)</f>
        <v>D04</v>
      </c>
      <c r="D249" s="10" t="str">
        <f>IFERROR(VLOOKUP(Datadetails[[#This Row],[Taskcode]],Dashboard!A:A,1,FALSE),"00 Err Missing")</f>
        <v>0001</v>
      </c>
      <c r="E249" s="79">
        <v>45766</v>
      </c>
      <c r="F249" s="80" t="s">
        <v>332</v>
      </c>
      <c r="G249" s="60" t="s">
        <v>40</v>
      </c>
      <c r="H249" s="80" t="s">
        <v>314</v>
      </c>
      <c r="I249" s="80" t="s">
        <v>35</v>
      </c>
      <c r="J249" s="80" t="s">
        <v>359</v>
      </c>
      <c r="K249" s="80" t="s">
        <v>339</v>
      </c>
      <c r="L249" s="80" t="s">
        <v>352</v>
      </c>
      <c r="M249" s="81">
        <v>4</v>
      </c>
      <c r="N249" s="82">
        <v>160</v>
      </c>
    </row>
    <row r="250" spans="1:14" x14ac:dyDescent="0.25">
      <c r="A250" s="10" t="str">
        <f>_xlfn.IFNA(
    IF(J250=
        "PCB-0001",
        "CSS",
        IF(
            ISNUMBER(MATCH(_xlfn.TEXTBEFORE(J250,"-"), {"CSS","CSN","PCB","PCF","BEC","CSD","PCM"}, 0)),
            _xlfn.TEXTBEFORE(J250,"-"),
            "Other"
        )
    ),
"Add")</f>
        <v>PCB</v>
      </c>
      <c r="B250" s="10" t="str">
        <f t="shared" si="4"/>
        <v>0134</v>
      </c>
      <c r="C250" s="10" t="str">
        <f>_xlfn.LET(
    _xlpm.val, IF(Datadetails[[#This Row],[Activity]]="D02","C20",Datadetails[[#This Row],[Activity]]),
    IF(ISNUMBER(MATCH(_xlpm.val,{"D04","C30","c40","C20"},0)), _xlpm.val, "Other")
)</f>
        <v>C40</v>
      </c>
      <c r="D250" s="10" t="str">
        <f>IFERROR(VLOOKUP(Datadetails[[#This Row],[Taskcode]],Dashboard!A:A,1,FALSE),"00 Err Missing")</f>
        <v>0134</v>
      </c>
      <c r="E250" s="79">
        <v>45769</v>
      </c>
      <c r="F250" s="80" t="s">
        <v>329</v>
      </c>
      <c r="G250" s="60" t="s">
        <v>40</v>
      </c>
      <c r="H250" s="80" t="s">
        <v>301</v>
      </c>
      <c r="I250" s="80" t="s">
        <v>341</v>
      </c>
      <c r="J250" s="80" t="s">
        <v>371</v>
      </c>
      <c r="K250" s="80" t="s">
        <v>347</v>
      </c>
      <c r="L250" s="80" t="s">
        <v>344</v>
      </c>
      <c r="M250" s="81">
        <v>1.5</v>
      </c>
      <c r="N250" s="82">
        <v>112.5</v>
      </c>
    </row>
    <row r="251" spans="1:14" x14ac:dyDescent="0.25">
      <c r="A251" s="10" t="str">
        <f>_xlfn.IFNA(
    IF(J251=
        "PCB-0001",
        "CSS",
        IF(
            ISNUMBER(MATCH(_xlfn.TEXTBEFORE(J251,"-"), {"CSS","CSN","PCB","PCF","BEC","CSD","PCM"}, 0)),
            _xlfn.TEXTBEFORE(J251,"-"),
            "Other"
        )
    ),
"Add")</f>
        <v>PCB</v>
      </c>
      <c r="B251" s="10" t="str">
        <f t="shared" si="4"/>
        <v>0103</v>
      </c>
      <c r="C251" s="10" t="str">
        <f>_xlfn.LET(
    _xlpm.val, IF(Datadetails[[#This Row],[Activity]]="D02","C20",Datadetails[[#This Row],[Activity]]),
    IF(ISNUMBER(MATCH(_xlpm.val,{"D04","C30","c40","C20"},0)), _xlpm.val, "Other")
)</f>
        <v>C40</v>
      </c>
      <c r="D251" s="10" t="str">
        <f>IFERROR(VLOOKUP(Datadetails[[#This Row],[Taskcode]],Dashboard!A:A,1,FALSE),"00 Err Missing")</f>
        <v>0103</v>
      </c>
      <c r="E251" s="79">
        <v>45769</v>
      </c>
      <c r="F251" s="80" t="s">
        <v>329</v>
      </c>
      <c r="G251" s="60" t="s">
        <v>40</v>
      </c>
      <c r="H251" s="80" t="s">
        <v>270</v>
      </c>
      <c r="I251" s="80" t="s">
        <v>341</v>
      </c>
      <c r="J251" s="80" t="s">
        <v>360</v>
      </c>
      <c r="K251" s="80" t="s">
        <v>347</v>
      </c>
      <c r="L251" s="80" t="s">
        <v>344</v>
      </c>
      <c r="M251" s="81">
        <v>2</v>
      </c>
      <c r="N251" s="82">
        <v>150</v>
      </c>
    </row>
    <row r="252" spans="1:14" x14ac:dyDescent="0.25">
      <c r="A252" s="10" t="str">
        <f>_xlfn.IFNA(
    IF(J252=
        "PCB-0001",
        "CSS",
        IF(
            ISNUMBER(MATCH(_xlfn.TEXTBEFORE(J252,"-"), {"CSS","CSN","PCB","PCF","BEC","CSD","PCM"}, 0)),
            _xlfn.TEXTBEFORE(J252,"-"),
            "Other"
        )
    ),
"Add")</f>
        <v>CSN</v>
      </c>
      <c r="B252" s="10" t="str">
        <f t="shared" si="4"/>
        <v>0001</v>
      </c>
      <c r="C252" s="10" t="str">
        <f>_xlfn.LET(
    _xlpm.val, IF(Datadetails[[#This Row],[Activity]]="D02","C20",Datadetails[[#This Row],[Activity]]),
    IF(ISNUMBER(MATCH(_xlpm.val,{"D04","C30","c40","C20"},0)), _xlpm.val, "Other")
)</f>
        <v>D04</v>
      </c>
      <c r="D252" s="10" t="str">
        <f>IFERROR(VLOOKUP(Datadetails[[#This Row],[Taskcode]],Dashboard!A:A,1,FALSE),"00 Err Missing")</f>
        <v>0001</v>
      </c>
      <c r="E252" s="79">
        <v>45769</v>
      </c>
      <c r="F252" s="80" t="s">
        <v>329</v>
      </c>
      <c r="G252" s="60" t="s">
        <v>40</v>
      </c>
      <c r="H252" s="80" t="s">
        <v>316</v>
      </c>
      <c r="I252" s="80" t="s">
        <v>35</v>
      </c>
      <c r="J252" s="80" t="s">
        <v>338</v>
      </c>
      <c r="K252" s="80" t="s">
        <v>337</v>
      </c>
      <c r="L252" s="80" t="s">
        <v>352</v>
      </c>
      <c r="M252" s="81">
        <v>1</v>
      </c>
      <c r="N252" s="82">
        <v>75</v>
      </c>
    </row>
    <row r="253" spans="1:14" x14ac:dyDescent="0.25">
      <c r="A253" s="10" t="str">
        <f>_xlfn.IFNA(
    IF(J253=
        "PCB-0001",
        "CSS",
        IF(
            ISNUMBER(MATCH(_xlfn.TEXTBEFORE(J253,"-"), {"CSS","CSN","PCB","PCF","BEC","CSD","PCM"}, 0)),
            _xlfn.TEXTBEFORE(J253,"-"),
            "Other"
        )
    ),
"Add")</f>
        <v>CSD</v>
      </c>
      <c r="B253" s="10" t="str">
        <f t="shared" si="4"/>
        <v>0001</v>
      </c>
      <c r="C253" s="10" t="str">
        <f>_xlfn.LET(
    _xlpm.val, IF(Datadetails[[#This Row],[Activity]]="D02","C20",Datadetails[[#This Row],[Activity]]),
    IF(ISNUMBER(MATCH(_xlpm.val,{"D04","C30","c40","C20"},0)), _xlpm.val, "Other")
)</f>
        <v>D04</v>
      </c>
      <c r="D253" s="10" t="str">
        <f>IFERROR(VLOOKUP(Datadetails[[#This Row],[Taskcode]],Dashboard!A:A,1,FALSE),"00 Err Missing")</f>
        <v>0001</v>
      </c>
      <c r="E253" s="79">
        <v>45769</v>
      </c>
      <c r="F253" s="80" t="s">
        <v>333</v>
      </c>
      <c r="G253" s="60" t="s">
        <v>40</v>
      </c>
      <c r="H253" s="80" t="s">
        <v>320</v>
      </c>
      <c r="I253" s="80" t="s">
        <v>35</v>
      </c>
      <c r="J253" s="80" t="s">
        <v>322</v>
      </c>
      <c r="K253" s="80" t="s">
        <v>319</v>
      </c>
      <c r="L253" s="80" t="s">
        <v>352</v>
      </c>
      <c r="M253" s="81">
        <v>8.6300000000000008</v>
      </c>
      <c r="N253" s="82">
        <v>276.16000000000003</v>
      </c>
    </row>
    <row r="254" spans="1:14" x14ac:dyDescent="0.25">
      <c r="A254" s="10" t="str">
        <f>_xlfn.IFNA(
    IF(J254=
        "PCB-0001",
        "CSS",
        IF(
            ISNUMBER(MATCH(_xlfn.TEXTBEFORE(J254,"-"), {"CSS","CSN","PCB","PCF","BEC","CSD","PCM"}, 0)),
            _xlfn.TEXTBEFORE(J254,"-"),
            "Other"
        )
    ),
"Add")</f>
        <v>PCM</v>
      </c>
      <c r="B254" s="10" t="str">
        <f t="shared" si="4"/>
        <v>0116</v>
      </c>
      <c r="C254" s="10" t="str">
        <f>_xlfn.LET(
    _xlpm.val, IF(Datadetails[[#This Row],[Activity]]="D02","C20",Datadetails[[#This Row],[Activity]]),
    IF(ISNUMBER(MATCH(_xlpm.val,{"D04","C30","c40","C20"},0)), _xlpm.val, "Other")
)</f>
        <v>C20</v>
      </c>
      <c r="D254" s="10" t="str">
        <f>IFERROR(VLOOKUP(Datadetails[[#This Row],[Taskcode]],Dashboard!A:A,1,FALSE),"00 Err Missing")</f>
        <v>0116</v>
      </c>
      <c r="E254" s="79">
        <v>45769</v>
      </c>
      <c r="F254" s="80" t="s">
        <v>323</v>
      </c>
      <c r="G254" s="60" t="s">
        <v>40</v>
      </c>
      <c r="H254" s="80" t="s">
        <v>283</v>
      </c>
      <c r="I254" s="80" t="s">
        <v>36</v>
      </c>
      <c r="J254" s="80" t="s">
        <v>429</v>
      </c>
      <c r="K254" s="80" t="s">
        <v>346</v>
      </c>
      <c r="L254" s="80" t="s">
        <v>342</v>
      </c>
      <c r="M254" s="81">
        <v>0.25</v>
      </c>
      <c r="N254" s="82">
        <v>15</v>
      </c>
    </row>
    <row r="255" spans="1:14" x14ac:dyDescent="0.25">
      <c r="A255" s="10" t="str">
        <f>_xlfn.IFNA(
    IF(J255=
        "PCB-0001",
        "CSS",
        IF(
            ISNUMBER(MATCH(_xlfn.TEXTBEFORE(J255,"-"), {"CSS","CSN","PCB","PCF","BEC","CSD","PCM"}, 0)),
            _xlfn.TEXTBEFORE(J255,"-"),
            "Other"
        )
    ),
"Add")</f>
        <v>PCM</v>
      </c>
      <c r="B255" s="10" t="str">
        <f t="shared" si="4"/>
        <v>0114</v>
      </c>
      <c r="C255" s="10" t="str">
        <f>_xlfn.LET(
    _xlpm.val, IF(Datadetails[[#This Row],[Activity]]="D02","C20",Datadetails[[#This Row],[Activity]]),
    IF(ISNUMBER(MATCH(_xlpm.val,{"D04","C30","c40","C20"},0)), _xlpm.val, "Other")
)</f>
        <v>C40</v>
      </c>
      <c r="D255" s="10" t="str">
        <f>IFERROR(VLOOKUP(Datadetails[[#This Row],[Taskcode]],Dashboard!A:A,1,FALSE),"00 Err Missing")</f>
        <v>0114</v>
      </c>
      <c r="E255" s="79">
        <v>45769</v>
      </c>
      <c r="F255" s="80" t="s">
        <v>323</v>
      </c>
      <c r="G255" s="60" t="s">
        <v>40</v>
      </c>
      <c r="H255" s="80" t="s">
        <v>281</v>
      </c>
      <c r="I255" s="80" t="s">
        <v>341</v>
      </c>
      <c r="J255" s="80" t="s">
        <v>430</v>
      </c>
      <c r="K255" s="80" t="s">
        <v>346</v>
      </c>
      <c r="L255" s="80" t="s">
        <v>344</v>
      </c>
      <c r="M255" s="81">
        <v>1</v>
      </c>
      <c r="N255" s="82">
        <v>60</v>
      </c>
    </row>
    <row r="256" spans="1:14" x14ac:dyDescent="0.25">
      <c r="A256" s="10" t="str">
        <f>_xlfn.IFNA(
    IF(J256=
        "PCB-0001",
        "CSS",
        IF(
            ISNUMBER(MATCH(_xlfn.TEXTBEFORE(J256,"-"), {"CSS","CSN","PCB","PCF","BEC","CSD","PCM"}, 0)),
            _xlfn.TEXTBEFORE(J256,"-"),
            "Other"
        )
    ),
"Add")</f>
        <v>PCB</v>
      </c>
      <c r="B256" s="10" t="str">
        <f t="shared" si="4"/>
        <v>0058</v>
      </c>
      <c r="C256" s="10" t="str">
        <f>_xlfn.LET(
    _xlpm.val, IF(Datadetails[[#This Row],[Activity]]="D02","C20",Datadetails[[#This Row],[Activity]]),
    IF(ISNUMBER(MATCH(_xlpm.val,{"D04","C30","c40","C20"},0)), _xlpm.val, "Other")
)</f>
        <v>C20</v>
      </c>
      <c r="D256" s="10" t="str">
        <f>IFERROR(VLOOKUP(Datadetails[[#This Row],[Taskcode]],Dashboard!A:A,1,FALSE),"00 Err Missing")</f>
        <v>0058</v>
      </c>
      <c r="E256" s="79">
        <v>45769</v>
      </c>
      <c r="F256" s="80" t="s">
        <v>330</v>
      </c>
      <c r="G256" s="60" t="s">
        <v>40</v>
      </c>
      <c r="H256" s="80" t="s">
        <v>225</v>
      </c>
      <c r="I256" s="80" t="s">
        <v>36</v>
      </c>
      <c r="J256" s="80" t="s">
        <v>365</v>
      </c>
      <c r="K256" s="80" t="s">
        <v>347</v>
      </c>
      <c r="L256" s="80" t="s">
        <v>342</v>
      </c>
      <c r="M256" s="81">
        <v>0.5</v>
      </c>
      <c r="N256" s="82">
        <v>30</v>
      </c>
    </row>
    <row r="257" spans="1:14" x14ac:dyDescent="0.25">
      <c r="A257" s="10" t="str">
        <f>_xlfn.IFNA(
    IF(J257=
        "PCB-0001",
        "CSS",
        IF(
            ISNUMBER(MATCH(_xlfn.TEXTBEFORE(J257,"-"), {"CSS","CSN","PCB","PCF","BEC","CSD","PCM"}, 0)),
            _xlfn.TEXTBEFORE(J257,"-"),
            "Other"
        )
    ),
"Add")</f>
        <v>PCB</v>
      </c>
      <c r="B257" s="10" t="str">
        <f t="shared" si="4"/>
        <v>0030</v>
      </c>
      <c r="C257" s="10" t="str">
        <f>_xlfn.LET(
    _xlpm.val, IF(Datadetails[[#This Row],[Activity]]="D02","C20",Datadetails[[#This Row],[Activity]]),
    IF(ISNUMBER(MATCH(_xlpm.val,{"D04","C30","c40","C20"},0)), _xlpm.val, "Other")
)</f>
        <v>C30</v>
      </c>
      <c r="D257" s="10" t="str">
        <f>IFERROR(VLOOKUP(Datadetails[[#This Row],[Taskcode]],Dashboard!A:A,1,FALSE),"00 Err Missing")</f>
        <v>0030</v>
      </c>
      <c r="E257" s="79">
        <v>45769</v>
      </c>
      <c r="F257" s="80" t="s">
        <v>329</v>
      </c>
      <c r="G257" s="60" t="s">
        <v>40</v>
      </c>
      <c r="H257" s="80" t="s">
        <v>197</v>
      </c>
      <c r="I257" s="80" t="s">
        <v>34</v>
      </c>
      <c r="J257" s="80" t="s">
        <v>366</v>
      </c>
      <c r="K257" s="80" t="s">
        <v>347</v>
      </c>
      <c r="L257" s="80" t="s">
        <v>343</v>
      </c>
      <c r="M257" s="81">
        <v>0.5</v>
      </c>
      <c r="N257" s="82">
        <v>37.5</v>
      </c>
    </row>
    <row r="258" spans="1:14" x14ac:dyDescent="0.25">
      <c r="A258" s="10" t="str">
        <f>_xlfn.IFNA(
    IF(J258=
        "PCB-0001",
        "CSS",
        IF(
            ISNUMBER(MATCH(_xlfn.TEXTBEFORE(J258,"-"), {"CSS","CSN","PCB","PCF","BEC","CSD","PCM"}, 0)),
            _xlfn.TEXTBEFORE(J258,"-"),
            "Other"
        )
    ),
"Add")</f>
        <v>PCB</v>
      </c>
      <c r="B258" s="10" t="str">
        <f t="shared" si="4"/>
        <v>0019</v>
      </c>
      <c r="C258" s="10" t="str">
        <f>_xlfn.LET(
    _xlpm.val, IF(Datadetails[[#This Row],[Activity]]="D02","C20",Datadetails[[#This Row],[Activity]]),
    IF(ISNUMBER(MATCH(_xlpm.val,{"D04","C30","c40","C20"},0)), _xlpm.val, "Other")
)</f>
        <v>C30</v>
      </c>
      <c r="D258" s="10" t="str">
        <f>IFERROR(VLOOKUP(Datadetails[[#This Row],[Taskcode]],Dashboard!A:A,1,FALSE),"00 Err Missing")</f>
        <v>0019</v>
      </c>
      <c r="E258" s="79">
        <v>45769</v>
      </c>
      <c r="F258" s="80" t="s">
        <v>329</v>
      </c>
      <c r="G258" s="60" t="s">
        <v>40</v>
      </c>
      <c r="H258" s="80" t="s">
        <v>186</v>
      </c>
      <c r="I258" s="80" t="s">
        <v>34</v>
      </c>
      <c r="J258" s="80" t="s">
        <v>397</v>
      </c>
      <c r="K258" s="80" t="s">
        <v>347</v>
      </c>
      <c r="L258" s="80" t="s">
        <v>343</v>
      </c>
      <c r="M258" s="81">
        <v>0.08</v>
      </c>
      <c r="N258" s="82">
        <v>6</v>
      </c>
    </row>
    <row r="259" spans="1:14" x14ac:dyDescent="0.25">
      <c r="A259" s="10" t="str">
        <f>_xlfn.IFNA(
    IF(J259=
        "PCB-0001",
        "CSS",
        IF(
            ISNUMBER(MATCH(_xlfn.TEXTBEFORE(J259,"-"), {"CSS","CSN","PCB","PCF","BEC","CSD","PCM"}, 0)),
            _xlfn.TEXTBEFORE(J259,"-"),
            "Other"
        )
    ),
"Add")</f>
        <v>PCB</v>
      </c>
      <c r="B259" s="10" t="str">
        <f t="shared" si="4"/>
        <v>0039</v>
      </c>
      <c r="C259" s="10" t="str">
        <f>_xlfn.LET(
    _xlpm.val, IF(Datadetails[[#This Row],[Activity]]="D02","C20",Datadetails[[#This Row],[Activity]]),
    IF(ISNUMBER(MATCH(_xlpm.val,{"D04","C30","c40","C20"},0)), _xlpm.val, "Other")
)</f>
        <v>C30</v>
      </c>
      <c r="D259" s="10" t="str">
        <f>IFERROR(VLOOKUP(Datadetails[[#This Row],[Taskcode]],Dashboard!A:A,1,FALSE),"00 Err Missing")</f>
        <v>0039</v>
      </c>
      <c r="E259" s="79">
        <v>45769</v>
      </c>
      <c r="F259" s="80" t="s">
        <v>329</v>
      </c>
      <c r="G259" s="60" t="s">
        <v>40</v>
      </c>
      <c r="H259" s="80" t="s">
        <v>206</v>
      </c>
      <c r="I259" s="80" t="s">
        <v>34</v>
      </c>
      <c r="J259" s="80" t="s">
        <v>367</v>
      </c>
      <c r="K259" s="80" t="s">
        <v>347</v>
      </c>
      <c r="L259" s="80" t="s">
        <v>343</v>
      </c>
      <c r="M259" s="81">
        <v>0.08</v>
      </c>
      <c r="N259" s="82">
        <v>6</v>
      </c>
    </row>
    <row r="260" spans="1:14" x14ac:dyDescent="0.25">
      <c r="A260" s="10" t="str">
        <f>_xlfn.IFNA(
    IF(J260=
        "PCB-0001",
        "CSS",
        IF(
            ISNUMBER(MATCH(_xlfn.TEXTBEFORE(J260,"-"), {"CSS","CSN","PCB","PCF","BEC","CSD","PCM"}, 0)),
            _xlfn.TEXTBEFORE(J260,"-"),
            "Other"
        )
    ),
"Add")</f>
        <v>PCB</v>
      </c>
      <c r="B260" s="10" t="str">
        <f t="shared" ref="B260:B323" si="5">_xlfn.IFNA(_xlfn.TEXTAFTER(J260,"-"),"Data to C2")</f>
        <v>0054</v>
      </c>
      <c r="C260" s="10" t="str">
        <f>_xlfn.LET(
    _xlpm.val, IF(Datadetails[[#This Row],[Activity]]="D02","C20",Datadetails[[#This Row],[Activity]]),
    IF(ISNUMBER(MATCH(_xlpm.val,{"D04","C30","c40","C20"},0)), _xlpm.val, "Other")
)</f>
        <v>C30</v>
      </c>
      <c r="D260" s="10" t="str">
        <f>IFERROR(VLOOKUP(Datadetails[[#This Row],[Taskcode]],Dashboard!A:A,1,FALSE),"00 Err Missing")</f>
        <v>0054</v>
      </c>
      <c r="E260" s="79">
        <v>45769</v>
      </c>
      <c r="F260" s="80" t="s">
        <v>329</v>
      </c>
      <c r="G260" s="60" t="s">
        <v>40</v>
      </c>
      <c r="H260" s="80" t="s">
        <v>221</v>
      </c>
      <c r="I260" s="80" t="s">
        <v>34</v>
      </c>
      <c r="J260" s="80" t="s">
        <v>369</v>
      </c>
      <c r="K260" s="80" t="s">
        <v>347</v>
      </c>
      <c r="L260" s="80" t="s">
        <v>343</v>
      </c>
      <c r="M260" s="81">
        <v>0.08</v>
      </c>
      <c r="N260" s="82">
        <v>6</v>
      </c>
    </row>
    <row r="261" spans="1:14" x14ac:dyDescent="0.25">
      <c r="A261" s="10" t="str">
        <f>_xlfn.IFNA(
    IF(J261=
        "PCB-0001",
        "CSS",
        IF(
            ISNUMBER(MATCH(_xlfn.TEXTBEFORE(J261,"-"), {"CSS","CSN","PCB","PCF","BEC","CSD","PCM"}, 0)),
            _xlfn.TEXTBEFORE(J261,"-"),
            "Other"
        )
    ),
"Add")</f>
        <v>PCB</v>
      </c>
      <c r="B261" s="10" t="str">
        <f t="shared" si="5"/>
        <v>0062</v>
      </c>
      <c r="C261" s="10" t="str">
        <f>_xlfn.LET(
    _xlpm.val, IF(Datadetails[[#This Row],[Activity]]="D02","C20",Datadetails[[#This Row],[Activity]]),
    IF(ISNUMBER(MATCH(_xlpm.val,{"D04","C30","c40","C20"},0)), _xlpm.val, "Other")
)</f>
        <v>C30</v>
      </c>
      <c r="D261" s="10" t="str">
        <f>IFERROR(VLOOKUP(Datadetails[[#This Row],[Taskcode]],Dashboard!A:A,1,FALSE),"00 Err Missing")</f>
        <v>0062</v>
      </c>
      <c r="E261" s="79">
        <v>45769</v>
      </c>
      <c r="F261" s="80" t="s">
        <v>329</v>
      </c>
      <c r="G261" s="60" t="s">
        <v>40</v>
      </c>
      <c r="H261" s="80" t="s">
        <v>229</v>
      </c>
      <c r="I261" s="80" t="s">
        <v>34</v>
      </c>
      <c r="J261" s="80" t="s">
        <v>373</v>
      </c>
      <c r="K261" s="80" t="s">
        <v>347</v>
      </c>
      <c r="L261" s="80" t="s">
        <v>343</v>
      </c>
      <c r="M261" s="81">
        <v>0.08</v>
      </c>
      <c r="N261" s="82">
        <v>6</v>
      </c>
    </row>
    <row r="262" spans="1:14" x14ac:dyDescent="0.25">
      <c r="A262" s="10" t="str">
        <f>_xlfn.IFNA(
    IF(J262=
        "PCB-0001",
        "CSS",
        IF(
            ISNUMBER(MATCH(_xlfn.TEXTBEFORE(J262,"-"), {"CSS","CSN","PCB","PCF","BEC","CSD","PCM"}, 0)),
            _xlfn.TEXTBEFORE(J262,"-"),
            "Other"
        )
    ),
"Add")</f>
        <v>PCB</v>
      </c>
      <c r="B262" s="10" t="str">
        <f t="shared" si="5"/>
        <v>0074</v>
      </c>
      <c r="C262" s="10" t="str">
        <f>_xlfn.LET(
    _xlpm.val, IF(Datadetails[[#This Row],[Activity]]="D02","C20",Datadetails[[#This Row],[Activity]]),
    IF(ISNUMBER(MATCH(_xlpm.val,{"D04","C30","c40","C20"},0)), _xlpm.val, "Other")
)</f>
        <v>C30</v>
      </c>
      <c r="D262" s="10" t="str">
        <f>IFERROR(VLOOKUP(Datadetails[[#This Row],[Taskcode]],Dashboard!A:A,1,FALSE),"00 Err Missing")</f>
        <v>0074</v>
      </c>
      <c r="E262" s="79">
        <v>45769</v>
      </c>
      <c r="F262" s="80" t="s">
        <v>329</v>
      </c>
      <c r="G262" s="60" t="s">
        <v>40</v>
      </c>
      <c r="H262" s="80" t="s">
        <v>241</v>
      </c>
      <c r="I262" s="80" t="s">
        <v>34</v>
      </c>
      <c r="J262" s="80" t="s">
        <v>403</v>
      </c>
      <c r="K262" s="80" t="s">
        <v>347</v>
      </c>
      <c r="L262" s="80" t="s">
        <v>343</v>
      </c>
      <c r="M262" s="81">
        <v>0.08</v>
      </c>
      <c r="N262" s="82">
        <v>6</v>
      </c>
    </row>
    <row r="263" spans="1:14" x14ac:dyDescent="0.25">
      <c r="A263" s="10" t="str">
        <f>_xlfn.IFNA(
    IF(J263=
        "PCB-0001",
        "CSS",
        IF(
            ISNUMBER(MATCH(_xlfn.TEXTBEFORE(J263,"-"), {"CSS","CSN","PCB","PCF","BEC","CSD","PCM"}, 0)),
            _xlfn.TEXTBEFORE(J263,"-"),
            "Other"
        )
    ),
"Add")</f>
        <v>PCB</v>
      </c>
      <c r="B263" s="10" t="str">
        <f t="shared" si="5"/>
        <v>0075</v>
      </c>
      <c r="C263" s="10" t="str">
        <f>_xlfn.LET(
    _xlpm.val, IF(Datadetails[[#This Row],[Activity]]="D02","C20",Datadetails[[#This Row],[Activity]]),
    IF(ISNUMBER(MATCH(_xlpm.val,{"D04","C30","c40","C20"},0)), _xlpm.val, "Other")
)</f>
        <v>C30</v>
      </c>
      <c r="D263" s="10" t="str">
        <f>IFERROR(VLOOKUP(Datadetails[[#This Row],[Taskcode]],Dashboard!A:A,1,FALSE),"00 Err Missing")</f>
        <v>0075</v>
      </c>
      <c r="E263" s="79">
        <v>45769</v>
      </c>
      <c r="F263" s="80" t="s">
        <v>329</v>
      </c>
      <c r="G263" s="60" t="s">
        <v>40</v>
      </c>
      <c r="H263" s="80" t="s">
        <v>242</v>
      </c>
      <c r="I263" s="80" t="s">
        <v>34</v>
      </c>
      <c r="J263" s="80" t="s">
        <v>404</v>
      </c>
      <c r="K263" s="80" t="s">
        <v>347</v>
      </c>
      <c r="L263" s="80" t="s">
        <v>343</v>
      </c>
      <c r="M263" s="81">
        <v>0.33</v>
      </c>
      <c r="N263" s="82">
        <v>24.75</v>
      </c>
    </row>
    <row r="264" spans="1:14" x14ac:dyDescent="0.25">
      <c r="A264" s="10" t="str">
        <f>_xlfn.IFNA(
    IF(J264=
        "PCB-0001",
        "CSS",
        IF(
            ISNUMBER(MATCH(_xlfn.TEXTBEFORE(J264,"-"), {"CSS","CSN","PCB","PCF","BEC","CSD","PCM"}, 0)),
            _xlfn.TEXTBEFORE(J264,"-"),
            "Other"
        )
    ),
"Add")</f>
        <v>PCB</v>
      </c>
      <c r="B264" s="10" t="str">
        <f t="shared" si="5"/>
        <v>0080</v>
      </c>
      <c r="C264" s="10" t="str">
        <f>_xlfn.LET(
    _xlpm.val, IF(Datadetails[[#This Row],[Activity]]="D02","C20",Datadetails[[#This Row],[Activity]]),
    IF(ISNUMBER(MATCH(_xlpm.val,{"D04","C30","c40","C20"},0)), _xlpm.val, "Other")
)</f>
        <v>C30</v>
      </c>
      <c r="D264" s="10" t="str">
        <f>IFERROR(VLOOKUP(Datadetails[[#This Row],[Taskcode]],Dashboard!A:A,1,FALSE),"00 Err Missing")</f>
        <v>0080</v>
      </c>
      <c r="E264" s="79">
        <v>45769</v>
      </c>
      <c r="F264" s="80" t="s">
        <v>329</v>
      </c>
      <c r="G264" s="60" t="s">
        <v>40</v>
      </c>
      <c r="H264" s="80" t="s">
        <v>247</v>
      </c>
      <c r="I264" s="80" t="s">
        <v>34</v>
      </c>
      <c r="J264" s="80" t="s">
        <v>375</v>
      </c>
      <c r="K264" s="80" t="s">
        <v>347</v>
      </c>
      <c r="L264" s="80" t="s">
        <v>343</v>
      </c>
      <c r="M264" s="81">
        <v>0.25</v>
      </c>
      <c r="N264" s="82">
        <v>18.75</v>
      </c>
    </row>
    <row r="265" spans="1:14" x14ac:dyDescent="0.25">
      <c r="A265" s="10" t="str">
        <f>_xlfn.IFNA(
    IF(J265=
        "PCB-0001",
        "CSS",
        IF(
            ISNUMBER(MATCH(_xlfn.TEXTBEFORE(J265,"-"), {"CSS","CSN","PCB","PCF","BEC","CSD","PCM"}, 0)),
            _xlfn.TEXTBEFORE(J265,"-"),
            "Other"
        )
    ),
"Add")</f>
        <v>PCB</v>
      </c>
      <c r="B265" s="10" t="str">
        <f t="shared" si="5"/>
        <v>0123</v>
      </c>
      <c r="C265" s="10" t="str">
        <f>_xlfn.LET(
    _xlpm.val, IF(Datadetails[[#This Row],[Activity]]="D02","C20",Datadetails[[#This Row],[Activity]]),
    IF(ISNUMBER(MATCH(_xlpm.val,{"D04","C30","c40","C20"},0)), _xlpm.val, "Other")
)</f>
        <v>C30</v>
      </c>
      <c r="D265" s="10" t="str">
        <f>IFERROR(VLOOKUP(Datadetails[[#This Row],[Taskcode]],Dashboard!A:A,1,FALSE),"00 Err Missing")</f>
        <v>0123</v>
      </c>
      <c r="E265" s="79">
        <v>45769</v>
      </c>
      <c r="F265" s="80" t="s">
        <v>325</v>
      </c>
      <c r="G265" s="60" t="s">
        <v>40</v>
      </c>
      <c r="H265" s="80" t="s">
        <v>290</v>
      </c>
      <c r="I265" s="80" t="s">
        <v>34</v>
      </c>
      <c r="J265" s="80" t="s">
        <v>428</v>
      </c>
      <c r="K265" s="80" t="s">
        <v>347</v>
      </c>
      <c r="L265" s="80" t="s">
        <v>343</v>
      </c>
      <c r="M265" s="81">
        <v>0.25</v>
      </c>
      <c r="N265" s="82">
        <v>18.75</v>
      </c>
    </row>
    <row r="266" spans="1:14" x14ac:dyDescent="0.25">
      <c r="A266" s="10" t="str">
        <f>_xlfn.IFNA(
    IF(J266=
        "PCB-0001",
        "CSS",
        IF(
            ISNUMBER(MATCH(_xlfn.TEXTBEFORE(J266,"-"), {"CSS","CSN","PCB","PCF","BEC","CSD","PCM"}, 0)),
            _xlfn.TEXTBEFORE(J266,"-"),
            "Other"
        )
    ),
"Add")</f>
        <v>PCB</v>
      </c>
      <c r="B266" s="10" t="str">
        <f t="shared" si="5"/>
        <v>0127</v>
      </c>
      <c r="C266" s="10" t="str">
        <f>_xlfn.LET(
    _xlpm.val, IF(Datadetails[[#This Row],[Activity]]="D02","C20",Datadetails[[#This Row],[Activity]]),
    IF(ISNUMBER(MATCH(_xlpm.val,{"D04","C30","c40","C20"},0)), _xlpm.val, "Other")
)</f>
        <v>C30</v>
      </c>
      <c r="D266" s="10" t="str">
        <f>IFERROR(VLOOKUP(Datadetails[[#This Row],[Taskcode]],Dashboard!A:A,1,FALSE),"00 Err Missing")</f>
        <v>0127</v>
      </c>
      <c r="E266" s="79">
        <v>45769</v>
      </c>
      <c r="F266" s="80" t="s">
        <v>329</v>
      </c>
      <c r="G266" s="60" t="s">
        <v>40</v>
      </c>
      <c r="H266" s="80" t="s">
        <v>294</v>
      </c>
      <c r="I266" s="80" t="s">
        <v>34</v>
      </c>
      <c r="J266" s="80" t="s">
        <v>377</v>
      </c>
      <c r="K266" s="80" t="s">
        <v>347</v>
      </c>
      <c r="L266" s="80" t="s">
        <v>343</v>
      </c>
      <c r="M266" s="81">
        <v>0.08</v>
      </c>
      <c r="N266" s="82">
        <v>6</v>
      </c>
    </row>
    <row r="267" spans="1:14" x14ac:dyDescent="0.25">
      <c r="A267" s="10" t="str">
        <f>_xlfn.IFNA(
    IF(J267=
        "PCB-0001",
        "CSS",
        IF(
            ISNUMBER(MATCH(_xlfn.TEXTBEFORE(J267,"-"), {"CSS","CSN","PCB","PCF","BEC","CSD","PCM"}, 0)),
            _xlfn.TEXTBEFORE(J267,"-"),
            "Other"
        )
    ),
"Add")</f>
        <v>PCB</v>
      </c>
      <c r="B267" s="10" t="str">
        <f t="shared" si="5"/>
        <v>0121</v>
      </c>
      <c r="C267" s="10" t="str">
        <f>_xlfn.LET(
    _xlpm.val, IF(Datadetails[[#This Row],[Activity]]="D02","C20",Datadetails[[#This Row],[Activity]]),
    IF(ISNUMBER(MATCH(_xlpm.val,{"D04","C30","c40","C20"},0)), _xlpm.val, "Other")
)</f>
        <v>C30</v>
      </c>
      <c r="D267" s="10" t="str">
        <f>IFERROR(VLOOKUP(Datadetails[[#This Row],[Taskcode]],Dashboard!A:A,1,FALSE),"00 Err Missing")</f>
        <v>0121</v>
      </c>
      <c r="E267" s="79">
        <v>45769</v>
      </c>
      <c r="F267" s="80" t="s">
        <v>329</v>
      </c>
      <c r="G267" s="60" t="s">
        <v>40</v>
      </c>
      <c r="H267" s="80" t="s">
        <v>288</v>
      </c>
      <c r="I267" s="80" t="s">
        <v>34</v>
      </c>
      <c r="J267" s="80" t="s">
        <v>405</v>
      </c>
      <c r="K267" s="80" t="s">
        <v>347</v>
      </c>
      <c r="L267" s="80" t="s">
        <v>343</v>
      </c>
      <c r="M267" s="81">
        <v>0.08</v>
      </c>
      <c r="N267" s="82">
        <v>6</v>
      </c>
    </row>
    <row r="268" spans="1:14" x14ac:dyDescent="0.25">
      <c r="A268" s="10" t="str">
        <f>_xlfn.IFNA(
    IF(J268=
        "PCB-0001",
        "CSS",
        IF(
            ISNUMBER(MATCH(_xlfn.TEXTBEFORE(J268,"-"), {"CSS","CSN","PCB","PCF","BEC","CSD","PCM"}, 0)),
            _xlfn.TEXTBEFORE(J268,"-"),
            "Other"
        )
    ),
"Add")</f>
        <v>PCB</v>
      </c>
      <c r="B268" s="10" t="str">
        <f t="shared" si="5"/>
        <v>0128</v>
      </c>
      <c r="C268" s="10" t="str">
        <f>_xlfn.LET(
    _xlpm.val, IF(Datadetails[[#This Row],[Activity]]="D02","C20",Datadetails[[#This Row],[Activity]]),
    IF(ISNUMBER(MATCH(_xlpm.val,{"D04","C30","c40","C20"},0)), _xlpm.val, "Other")
)</f>
        <v>C30</v>
      </c>
      <c r="D268" s="10" t="str">
        <f>IFERROR(VLOOKUP(Datadetails[[#This Row],[Taskcode]],Dashboard!A:A,1,FALSE),"00 Err Missing")</f>
        <v>0128</v>
      </c>
      <c r="E268" s="79">
        <v>45769</v>
      </c>
      <c r="F268" s="80" t="s">
        <v>329</v>
      </c>
      <c r="G268" s="60" t="s">
        <v>40</v>
      </c>
      <c r="H268" s="80" t="s">
        <v>295</v>
      </c>
      <c r="I268" s="80" t="s">
        <v>34</v>
      </c>
      <c r="J268" s="80" t="s">
        <v>379</v>
      </c>
      <c r="K268" s="80" t="s">
        <v>347</v>
      </c>
      <c r="L268" s="80" t="s">
        <v>343</v>
      </c>
      <c r="M268" s="81">
        <v>0.08</v>
      </c>
      <c r="N268" s="82">
        <v>6</v>
      </c>
    </row>
    <row r="269" spans="1:14" x14ac:dyDescent="0.25">
      <c r="A269" s="10" t="str">
        <f>_xlfn.IFNA(
    IF(J269=
        "PCB-0001",
        "CSS",
        IF(
            ISNUMBER(MATCH(_xlfn.TEXTBEFORE(J269,"-"), {"CSS","CSN","PCB","PCF","BEC","CSD","PCM"}, 0)),
            _xlfn.TEXTBEFORE(J269,"-"),
            "Other"
        )
    ),
"Add")</f>
        <v>PCB</v>
      </c>
      <c r="B269" s="10" t="str">
        <f t="shared" si="5"/>
        <v>0081</v>
      </c>
      <c r="C269" s="10" t="str">
        <f>_xlfn.LET(
    _xlpm.val, IF(Datadetails[[#This Row],[Activity]]="D02","C20",Datadetails[[#This Row],[Activity]]),
    IF(ISNUMBER(MATCH(_xlpm.val,{"D04","C30","c40","C20"},0)), _xlpm.val, "Other")
)</f>
        <v>C30</v>
      </c>
      <c r="D269" s="10" t="str">
        <f>IFERROR(VLOOKUP(Datadetails[[#This Row],[Taskcode]],Dashboard!A:A,1,FALSE),"00 Err Missing")</f>
        <v>0081</v>
      </c>
      <c r="E269" s="79">
        <v>45769</v>
      </c>
      <c r="F269" s="80" t="s">
        <v>329</v>
      </c>
      <c r="G269" s="60" t="s">
        <v>40</v>
      </c>
      <c r="H269" s="80" t="s">
        <v>248</v>
      </c>
      <c r="I269" s="80" t="s">
        <v>34</v>
      </c>
      <c r="J269" s="80" t="s">
        <v>385</v>
      </c>
      <c r="K269" s="80" t="s">
        <v>347</v>
      </c>
      <c r="L269" s="80" t="s">
        <v>343</v>
      </c>
      <c r="M269" s="81">
        <v>0.25</v>
      </c>
      <c r="N269" s="82">
        <v>18.75</v>
      </c>
    </row>
    <row r="270" spans="1:14" x14ac:dyDescent="0.25">
      <c r="A270" s="10" t="str">
        <f>_xlfn.IFNA(
    IF(J270=
        "PCB-0001",
        "CSS",
        IF(
            ISNUMBER(MATCH(_xlfn.TEXTBEFORE(J270,"-"), {"CSS","CSN","PCB","PCF","BEC","CSD","PCM"}, 0)),
            _xlfn.TEXTBEFORE(J270,"-"),
            "Other"
        )
    ),
"Add")</f>
        <v>PCB</v>
      </c>
      <c r="B270" s="10" t="str">
        <f t="shared" si="5"/>
        <v>0109</v>
      </c>
      <c r="C270" s="10" t="str">
        <f>_xlfn.LET(
    _xlpm.val, IF(Datadetails[[#This Row],[Activity]]="D02","C20",Datadetails[[#This Row],[Activity]]),
    IF(ISNUMBER(MATCH(_xlpm.val,{"D04","C30","c40","C20"},0)), _xlpm.val, "Other")
)</f>
        <v>C30</v>
      </c>
      <c r="D270" s="10" t="str">
        <f>IFERROR(VLOOKUP(Datadetails[[#This Row],[Taskcode]],Dashboard!A:A,1,FALSE),"00 Err Missing")</f>
        <v>0109</v>
      </c>
      <c r="E270" s="79">
        <v>45769</v>
      </c>
      <c r="F270" s="80" t="s">
        <v>325</v>
      </c>
      <c r="G270" s="60" t="s">
        <v>40</v>
      </c>
      <c r="H270" s="80" t="s">
        <v>276</v>
      </c>
      <c r="I270" s="80" t="s">
        <v>34</v>
      </c>
      <c r="J270" s="80" t="s">
        <v>425</v>
      </c>
      <c r="K270" s="80" t="s">
        <v>347</v>
      </c>
      <c r="L270" s="80" t="s">
        <v>343</v>
      </c>
      <c r="M270" s="81">
        <v>0.17</v>
      </c>
      <c r="N270" s="82">
        <v>12.750000000000002</v>
      </c>
    </row>
    <row r="271" spans="1:14" x14ac:dyDescent="0.25">
      <c r="A271" s="10" t="str">
        <f>_xlfn.IFNA(
    IF(J271=
        "PCB-0001",
        "CSS",
        IF(
            ISNUMBER(MATCH(_xlfn.TEXTBEFORE(J271,"-"), {"CSS","CSN","PCB","PCF","BEC","CSD","PCM"}, 0)),
            _xlfn.TEXTBEFORE(J271,"-"),
            "Other"
        )
    ),
"Add")</f>
        <v>PCB</v>
      </c>
      <c r="B271" s="10" t="str">
        <f t="shared" si="5"/>
        <v>0101</v>
      </c>
      <c r="C271" s="10" t="str">
        <f>_xlfn.LET(
    _xlpm.val, IF(Datadetails[[#This Row],[Activity]]="D02","C20",Datadetails[[#This Row],[Activity]]),
    IF(ISNUMBER(MATCH(_xlpm.val,{"D04","C30","c40","C20"},0)), _xlpm.val, "Other")
)</f>
        <v>C40</v>
      </c>
      <c r="D271" s="10" t="str">
        <f>IFERROR(VLOOKUP(Datadetails[[#This Row],[Taskcode]],Dashboard!A:A,1,FALSE),"00 Err Missing")</f>
        <v>0101</v>
      </c>
      <c r="E271" s="79">
        <v>45769</v>
      </c>
      <c r="F271" s="80" t="s">
        <v>329</v>
      </c>
      <c r="G271" s="60" t="s">
        <v>40</v>
      </c>
      <c r="H271" s="80" t="s">
        <v>268</v>
      </c>
      <c r="I271" s="80" t="s">
        <v>341</v>
      </c>
      <c r="J271" s="80" t="s">
        <v>386</v>
      </c>
      <c r="K271" s="80" t="s">
        <v>347</v>
      </c>
      <c r="L271" s="80" t="s">
        <v>344</v>
      </c>
      <c r="M271" s="81">
        <v>0.75</v>
      </c>
      <c r="N271" s="82">
        <v>56.25</v>
      </c>
    </row>
    <row r="272" spans="1:14" x14ac:dyDescent="0.25">
      <c r="A272" s="10" t="str">
        <f>_xlfn.IFNA(
    IF(J272=
        "PCB-0001",
        "CSS",
        IF(
            ISNUMBER(MATCH(_xlfn.TEXTBEFORE(J272,"-"), {"CSS","CSN","PCB","PCF","BEC","CSD","PCM"}, 0)),
            _xlfn.TEXTBEFORE(J272,"-"),
            "Other"
        )
    ),
"Add")</f>
        <v>CSS</v>
      </c>
      <c r="B272" s="10" t="str">
        <f t="shared" si="5"/>
        <v>0001</v>
      </c>
      <c r="C272" s="10" t="str">
        <f>_xlfn.LET(
    _xlpm.val, IF(Datadetails[[#This Row],[Activity]]="D02","C20",Datadetails[[#This Row],[Activity]]),
    IF(ISNUMBER(MATCH(_xlpm.val,{"D04","C30","c40","C20"},0)), _xlpm.val, "Other")
)</f>
        <v>D04</v>
      </c>
      <c r="D272" s="10" t="str">
        <f>IFERROR(VLOOKUP(Datadetails[[#This Row],[Taskcode]],Dashboard!A:A,1,FALSE),"00 Err Missing")</f>
        <v>0001</v>
      </c>
      <c r="E272" s="79">
        <v>45769</v>
      </c>
      <c r="F272" s="80" t="s">
        <v>325</v>
      </c>
      <c r="G272" s="60" t="s">
        <v>40</v>
      </c>
      <c r="H272" s="80" t="s">
        <v>315</v>
      </c>
      <c r="I272" s="80" t="s">
        <v>35</v>
      </c>
      <c r="J272" s="80" t="s">
        <v>354</v>
      </c>
      <c r="K272" s="80" t="s">
        <v>347</v>
      </c>
      <c r="L272" s="80" t="s">
        <v>352</v>
      </c>
      <c r="M272" s="81">
        <v>0.17</v>
      </c>
      <c r="N272" s="82">
        <v>12.750000000000002</v>
      </c>
    </row>
    <row r="273" spans="1:14" x14ac:dyDescent="0.25">
      <c r="A273" s="10" t="str">
        <f>_xlfn.IFNA(
    IF(J273=
        "PCB-0001",
        "CSS",
        IF(
            ISNUMBER(MATCH(_xlfn.TEXTBEFORE(J273,"-"), {"CSS","CSN","PCB","PCF","BEC","CSD","PCM"}, 0)),
            _xlfn.TEXTBEFORE(J273,"-"),
            "Other"
        )
    ),
"Add")</f>
        <v>BEC</v>
      </c>
      <c r="B273" s="10" t="str">
        <f t="shared" si="5"/>
        <v>0001</v>
      </c>
      <c r="C273" s="10" t="str">
        <f>_xlfn.LET(
    _xlpm.val, IF(Datadetails[[#This Row],[Activity]]="D02","C20",Datadetails[[#This Row],[Activity]]),
    IF(ISNUMBER(MATCH(_xlpm.val,{"D04","C30","c40","C20"},0)), _xlpm.val, "Other")
)</f>
        <v>D04</v>
      </c>
      <c r="D273" s="10" t="str">
        <f>IFERROR(VLOOKUP(Datadetails[[#This Row],[Taskcode]],Dashboard!A:A,1,FALSE),"00 Err Missing")</f>
        <v>0001</v>
      </c>
      <c r="E273" s="79">
        <v>45769</v>
      </c>
      <c r="F273" s="80" t="s">
        <v>332</v>
      </c>
      <c r="G273" s="60" t="s">
        <v>40</v>
      </c>
      <c r="H273" s="80" t="s">
        <v>314</v>
      </c>
      <c r="I273" s="80" t="s">
        <v>35</v>
      </c>
      <c r="J273" s="80" t="s">
        <v>359</v>
      </c>
      <c r="K273" s="80" t="s">
        <v>339</v>
      </c>
      <c r="L273" s="80" t="s">
        <v>352</v>
      </c>
      <c r="M273" s="81">
        <v>8.83</v>
      </c>
      <c r="N273" s="82">
        <v>353.2</v>
      </c>
    </row>
    <row r="274" spans="1:14" x14ac:dyDescent="0.25">
      <c r="A274" s="10" t="str">
        <f>_xlfn.IFNA(
    IF(J274=
        "PCB-0001",
        "CSS",
        IF(
            ISNUMBER(MATCH(_xlfn.TEXTBEFORE(J274,"-"), {"CSS","CSN","PCB","PCF","BEC","CSD","PCM"}, 0)),
            _xlfn.TEXTBEFORE(J274,"-"),
            "Other"
        )
    ),
"Add")</f>
        <v>BEC</v>
      </c>
      <c r="B274" s="10" t="str">
        <f t="shared" si="5"/>
        <v>0001</v>
      </c>
      <c r="C274" s="10" t="str">
        <f>_xlfn.LET(
    _xlpm.val, IF(Datadetails[[#This Row],[Activity]]="D02","C20",Datadetails[[#This Row],[Activity]]),
    IF(ISNUMBER(MATCH(_xlpm.val,{"D04","C30","c40","C20"},0)), _xlpm.val, "Other")
)</f>
        <v>D04</v>
      </c>
      <c r="D274" s="10" t="str">
        <f>IFERROR(VLOOKUP(Datadetails[[#This Row],[Taskcode]],Dashboard!A:A,1,FALSE),"00 Err Missing")</f>
        <v>0001</v>
      </c>
      <c r="E274" s="79">
        <v>45769</v>
      </c>
      <c r="F274" s="80" t="s">
        <v>324</v>
      </c>
      <c r="G274" s="60" t="s">
        <v>40</v>
      </c>
      <c r="H274" s="80" t="s">
        <v>314</v>
      </c>
      <c r="I274" s="80" t="s">
        <v>35</v>
      </c>
      <c r="J274" s="80" t="s">
        <v>359</v>
      </c>
      <c r="K274" s="80" t="s">
        <v>339</v>
      </c>
      <c r="L274" s="80" t="s">
        <v>352</v>
      </c>
      <c r="M274" s="81">
        <v>6</v>
      </c>
      <c r="N274" s="82">
        <v>450</v>
      </c>
    </row>
    <row r="275" spans="1:14" x14ac:dyDescent="0.25">
      <c r="A275" s="10" t="str">
        <f>_xlfn.IFNA(
    IF(J275=
        "PCB-0001",
        "CSS",
        IF(
            ISNUMBER(MATCH(_xlfn.TEXTBEFORE(J275,"-"), {"CSS","CSN","PCB","PCF","BEC","CSD","PCM"}, 0)),
            _xlfn.TEXTBEFORE(J275,"-"),
            "Other"
        )
    ),
"Add")</f>
        <v>PCM</v>
      </c>
      <c r="B275" s="10" t="str">
        <f t="shared" si="5"/>
        <v>0035</v>
      </c>
      <c r="C275" s="10" t="str">
        <f>_xlfn.LET(
    _xlpm.val, IF(Datadetails[[#This Row],[Activity]]="D02","C20",Datadetails[[#This Row],[Activity]]),
    IF(ISNUMBER(MATCH(_xlpm.val,{"D04","C30","c40","C20"},0)), _xlpm.val, "Other")
)</f>
        <v>C20</v>
      </c>
      <c r="D275" s="10" t="str">
        <f>IFERROR(VLOOKUP(Datadetails[[#This Row],[Taskcode]],Dashboard!A:A,1,FALSE),"00 Err Missing")</f>
        <v>0035</v>
      </c>
      <c r="E275" s="79">
        <v>45770</v>
      </c>
      <c r="F275" s="80" t="s">
        <v>323</v>
      </c>
      <c r="G275" s="60" t="s">
        <v>40</v>
      </c>
      <c r="H275" s="80" t="s">
        <v>202</v>
      </c>
      <c r="I275" s="80" t="s">
        <v>36</v>
      </c>
      <c r="J275" s="80" t="s">
        <v>431</v>
      </c>
      <c r="K275" s="80" t="s">
        <v>346</v>
      </c>
      <c r="L275" s="80" t="s">
        <v>342</v>
      </c>
      <c r="M275" s="81">
        <v>0.33</v>
      </c>
      <c r="N275" s="82">
        <v>19.8</v>
      </c>
    </row>
    <row r="276" spans="1:14" x14ac:dyDescent="0.25">
      <c r="A276" s="10" t="str">
        <f>_xlfn.IFNA(
    IF(J276=
        "PCB-0001",
        "CSS",
        IF(
            ISNUMBER(MATCH(_xlfn.TEXTBEFORE(J276,"-"), {"CSS","CSN","PCB","PCF","BEC","CSD","PCM"}, 0)),
            _xlfn.TEXTBEFORE(J276,"-"),
            "Other"
        )
    ),
"Add")</f>
        <v>PCM</v>
      </c>
      <c r="B276" s="10" t="str">
        <f t="shared" si="5"/>
        <v>0045</v>
      </c>
      <c r="C276" s="10" t="str">
        <f>_xlfn.LET(
    _xlpm.val, IF(Datadetails[[#This Row],[Activity]]="D02","C20",Datadetails[[#This Row],[Activity]]),
    IF(ISNUMBER(MATCH(_xlpm.val,{"D04","C30","c40","C20"},0)), _xlpm.val, "Other")
)</f>
        <v>C20</v>
      </c>
      <c r="D276" s="10" t="str">
        <f>IFERROR(VLOOKUP(Datadetails[[#This Row],[Taskcode]],Dashboard!A:A,1,FALSE),"00 Err Missing")</f>
        <v>0045</v>
      </c>
      <c r="E276" s="79">
        <v>45770</v>
      </c>
      <c r="F276" s="80" t="s">
        <v>323</v>
      </c>
      <c r="G276" s="60" t="s">
        <v>40</v>
      </c>
      <c r="H276" s="80" t="s">
        <v>212</v>
      </c>
      <c r="I276" s="80" t="s">
        <v>36</v>
      </c>
      <c r="J276" s="80" t="s">
        <v>392</v>
      </c>
      <c r="K276" s="80" t="s">
        <v>346</v>
      </c>
      <c r="L276" s="80" t="s">
        <v>342</v>
      </c>
      <c r="M276" s="81">
        <v>0.25</v>
      </c>
      <c r="N276" s="82">
        <v>15</v>
      </c>
    </row>
    <row r="277" spans="1:14" x14ac:dyDescent="0.25">
      <c r="A277" s="10" t="str">
        <f>_xlfn.IFNA(
    IF(J277=
        "PCB-0001",
        "CSS",
        IF(
            ISNUMBER(MATCH(_xlfn.TEXTBEFORE(J277,"-"), {"CSS","CSN","PCB","PCF","BEC","CSD","PCM"}, 0)),
            _xlfn.TEXTBEFORE(J277,"-"),
            "Other"
        )
    ),
"Add")</f>
        <v>PCM</v>
      </c>
      <c r="B277" s="10" t="str">
        <f t="shared" si="5"/>
        <v>0052</v>
      </c>
      <c r="C277" s="10" t="str">
        <f>_xlfn.LET(
    _xlpm.val, IF(Datadetails[[#This Row],[Activity]]="D02","C20",Datadetails[[#This Row],[Activity]]),
    IF(ISNUMBER(MATCH(_xlpm.val,{"D04","C30","c40","C20"},0)), _xlpm.val, "Other")
)</f>
        <v>C20</v>
      </c>
      <c r="D277" s="10" t="str">
        <f>IFERROR(VLOOKUP(Datadetails[[#This Row],[Taskcode]],Dashboard!A:A,1,FALSE),"00 Err Missing")</f>
        <v>0052</v>
      </c>
      <c r="E277" s="79">
        <v>45770</v>
      </c>
      <c r="F277" s="80" t="s">
        <v>323</v>
      </c>
      <c r="G277" s="60" t="s">
        <v>40</v>
      </c>
      <c r="H277" s="80" t="s">
        <v>219</v>
      </c>
      <c r="I277" s="80" t="s">
        <v>36</v>
      </c>
      <c r="J277" s="80" t="s">
        <v>432</v>
      </c>
      <c r="K277" s="80" t="s">
        <v>346</v>
      </c>
      <c r="L277" s="80" t="s">
        <v>342</v>
      </c>
      <c r="M277" s="81">
        <v>0.25</v>
      </c>
      <c r="N277" s="82">
        <v>15</v>
      </c>
    </row>
    <row r="278" spans="1:14" x14ac:dyDescent="0.25">
      <c r="A278" s="10" t="str">
        <f>_xlfn.IFNA(
    IF(J278=
        "PCB-0001",
        "CSS",
        IF(
            ISNUMBER(MATCH(_xlfn.TEXTBEFORE(J278,"-"), {"CSS","CSN","PCB","PCF","BEC","CSD","PCM"}, 0)),
            _xlfn.TEXTBEFORE(J278,"-"),
            "Other"
        )
    ),
"Add")</f>
        <v>CSN</v>
      </c>
      <c r="B278" s="10" t="str">
        <f t="shared" si="5"/>
        <v>0001</v>
      </c>
      <c r="C278" s="10" t="str">
        <f>_xlfn.LET(
    _xlpm.val, IF(Datadetails[[#This Row],[Activity]]="D02","C20",Datadetails[[#This Row],[Activity]]),
    IF(ISNUMBER(MATCH(_xlpm.val,{"D04","C30","c40","C20"},0)), _xlpm.val, "Other")
)</f>
        <v>D04</v>
      </c>
      <c r="D278" s="10" t="str">
        <f>IFERROR(VLOOKUP(Datadetails[[#This Row],[Taskcode]],Dashboard!A:A,1,FALSE),"00 Err Missing")</f>
        <v>0001</v>
      </c>
      <c r="E278" s="79">
        <v>45770</v>
      </c>
      <c r="F278" s="80" t="s">
        <v>329</v>
      </c>
      <c r="G278" s="60" t="s">
        <v>40</v>
      </c>
      <c r="H278" s="80" t="s">
        <v>316</v>
      </c>
      <c r="I278" s="80" t="s">
        <v>35</v>
      </c>
      <c r="J278" s="80" t="s">
        <v>338</v>
      </c>
      <c r="K278" s="80" t="s">
        <v>337</v>
      </c>
      <c r="L278" s="80" t="s">
        <v>352</v>
      </c>
      <c r="M278" s="81">
        <v>2.33</v>
      </c>
      <c r="N278" s="82">
        <v>174.75</v>
      </c>
    </row>
    <row r="279" spans="1:14" x14ac:dyDescent="0.25">
      <c r="A279" s="10" t="str">
        <f>_xlfn.IFNA(
    IF(J279=
        "PCB-0001",
        "CSS",
        IF(
            ISNUMBER(MATCH(_xlfn.TEXTBEFORE(J279,"-"), {"CSS","CSN","PCB","PCF","BEC","CSD","PCM"}, 0)),
            _xlfn.TEXTBEFORE(J279,"-"),
            "Other"
        )
    ),
"Add")</f>
        <v>CSD</v>
      </c>
      <c r="B279" s="10" t="str">
        <f t="shared" si="5"/>
        <v>0001</v>
      </c>
      <c r="C279" s="10" t="str">
        <f>_xlfn.LET(
    _xlpm.val, IF(Datadetails[[#This Row],[Activity]]="D02","C20",Datadetails[[#This Row],[Activity]]),
    IF(ISNUMBER(MATCH(_xlpm.val,{"D04","C30","c40","C20"},0)), _xlpm.val, "Other")
)</f>
        <v>D04</v>
      </c>
      <c r="D279" s="10" t="str">
        <f>IFERROR(VLOOKUP(Datadetails[[#This Row],[Taskcode]],Dashboard!A:A,1,FALSE),"00 Err Missing")</f>
        <v>0001</v>
      </c>
      <c r="E279" s="79">
        <v>45770</v>
      </c>
      <c r="F279" s="80" t="s">
        <v>333</v>
      </c>
      <c r="G279" s="60" t="s">
        <v>40</v>
      </c>
      <c r="H279" s="80" t="s">
        <v>320</v>
      </c>
      <c r="I279" s="80" t="s">
        <v>35</v>
      </c>
      <c r="J279" s="80" t="s">
        <v>322</v>
      </c>
      <c r="K279" s="80" t="s">
        <v>319</v>
      </c>
      <c r="L279" s="80" t="s">
        <v>352</v>
      </c>
      <c r="M279" s="81">
        <v>7.65</v>
      </c>
      <c r="N279" s="82">
        <v>244.8</v>
      </c>
    </row>
    <row r="280" spans="1:14" x14ac:dyDescent="0.25">
      <c r="A280" s="10" t="str">
        <f>_xlfn.IFNA(
    IF(J280=
        "PCB-0001",
        "CSS",
        IF(
            ISNUMBER(MATCH(_xlfn.TEXTBEFORE(J280,"-"), {"CSS","CSN","PCB","PCF","BEC","CSD","PCM"}, 0)),
            _xlfn.TEXTBEFORE(J280,"-"),
            "Other"
        )
    ),
"Add")</f>
        <v>CSD</v>
      </c>
      <c r="B280" s="10" t="str">
        <f t="shared" si="5"/>
        <v>0001</v>
      </c>
      <c r="C280" s="10" t="str">
        <f>_xlfn.LET(
    _xlpm.val, IF(Datadetails[[#This Row],[Activity]]="D02","C20",Datadetails[[#This Row],[Activity]]),
    IF(ISNUMBER(MATCH(_xlpm.val,{"D04","C30","c40","C20"},0)), _xlpm.val, "Other")
)</f>
        <v>D04</v>
      </c>
      <c r="D280" s="10" t="str">
        <f>IFERROR(VLOOKUP(Datadetails[[#This Row],[Taskcode]],Dashboard!A:A,1,FALSE),"00 Err Missing")</f>
        <v>0001</v>
      </c>
      <c r="E280" s="79">
        <v>45770</v>
      </c>
      <c r="F280" s="80" t="s">
        <v>327</v>
      </c>
      <c r="G280" s="60" t="s">
        <v>40</v>
      </c>
      <c r="H280" s="80" t="s">
        <v>320</v>
      </c>
      <c r="I280" s="80" t="s">
        <v>35</v>
      </c>
      <c r="J280" s="80" t="s">
        <v>322</v>
      </c>
      <c r="K280" s="80" t="s">
        <v>319</v>
      </c>
      <c r="L280" s="80" t="s">
        <v>352</v>
      </c>
      <c r="M280" s="81">
        <v>7.5</v>
      </c>
      <c r="N280" s="82">
        <v>240</v>
      </c>
    </row>
    <row r="281" spans="1:14" x14ac:dyDescent="0.25">
      <c r="A281" s="10" t="str">
        <f>_xlfn.IFNA(
    IF(J281=
        "PCB-0001",
        "CSS",
        IF(
            ISNUMBER(MATCH(_xlfn.TEXTBEFORE(J281,"-"), {"CSS","CSN","PCB","PCF","BEC","CSD","PCM"}, 0)),
            _xlfn.TEXTBEFORE(J281,"-"),
            "Other"
        )
    ),
"Add")</f>
        <v>PCM</v>
      </c>
      <c r="B281" s="10" t="str">
        <f t="shared" si="5"/>
        <v>0002</v>
      </c>
      <c r="C281" s="10" t="str">
        <f>_xlfn.LET(
    _xlpm.val, IF(Datadetails[[#This Row],[Activity]]="D02","C20",Datadetails[[#This Row],[Activity]]),
    IF(ISNUMBER(MATCH(_xlpm.val,{"D04","C30","c40","C20"},0)), _xlpm.val, "Other")
)</f>
        <v>C30</v>
      </c>
      <c r="D281" s="10" t="str">
        <f>IFERROR(VLOOKUP(Datadetails[[#This Row],[Taskcode]],Dashboard!A:A,1,FALSE),"00 Err Missing")</f>
        <v>0002</v>
      </c>
      <c r="E281" s="79">
        <v>45770</v>
      </c>
      <c r="F281" s="80" t="s">
        <v>323</v>
      </c>
      <c r="G281" s="60" t="s">
        <v>40</v>
      </c>
      <c r="H281" s="80" t="s">
        <v>169</v>
      </c>
      <c r="I281" s="80" t="s">
        <v>34</v>
      </c>
      <c r="J281" s="80" t="s">
        <v>433</v>
      </c>
      <c r="K281" s="80" t="s">
        <v>346</v>
      </c>
      <c r="L281" s="80" t="s">
        <v>343</v>
      </c>
      <c r="M281" s="81">
        <v>0.33</v>
      </c>
      <c r="N281" s="82">
        <v>19.8</v>
      </c>
    </row>
    <row r="282" spans="1:14" x14ac:dyDescent="0.25">
      <c r="A282" s="10" t="str">
        <f>_xlfn.IFNA(
    IF(J282=
        "PCB-0001",
        "CSS",
        IF(
            ISNUMBER(MATCH(_xlfn.TEXTBEFORE(J282,"-"), {"CSS","CSN","PCB","PCF","BEC","CSD","PCM"}, 0)),
            _xlfn.TEXTBEFORE(J282,"-"),
            "Other"
        )
    ),
"Add")</f>
        <v>PCM</v>
      </c>
      <c r="B282" s="10" t="str">
        <f t="shared" si="5"/>
        <v>0119</v>
      </c>
      <c r="C282" s="10" t="str">
        <f>_xlfn.LET(
    _xlpm.val, IF(Datadetails[[#This Row],[Activity]]="D02","C20",Datadetails[[#This Row],[Activity]]),
    IF(ISNUMBER(MATCH(_xlpm.val,{"D04","C30","c40","C20"},0)), _xlpm.val, "Other")
)</f>
        <v>C30</v>
      </c>
      <c r="D282" s="10" t="str">
        <f>IFERROR(VLOOKUP(Datadetails[[#This Row],[Taskcode]],Dashboard!A:A,1,FALSE),"00 Err Missing")</f>
        <v>0119</v>
      </c>
      <c r="E282" s="79">
        <v>45770</v>
      </c>
      <c r="F282" s="80" t="s">
        <v>323</v>
      </c>
      <c r="G282" s="60" t="s">
        <v>40</v>
      </c>
      <c r="H282" s="80" t="s">
        <v>286</v>
      </c>
      <c r="I282" s="80" t="s">
        <v>34</v>
      </c>
      <c r="J282" s="80" t="s">
        <v>434</v>
      </c>
      <c r="K282" s="80" t="s">
        <v>346</v>
      </c>
      <c r="L282" s="80" t="s">
        <v>343</v>
      </c>
      <c r="M282" s="81">
        <v>0.25</v>
      </c>
      <c r="N282" s="82">
        <v>15</v>
      </c>
    </row>
    <row r="283" spans="1:14" x14ac:dyDescent="0.25">
      <c r="A283" s="10" t="str">
        <f>_xlfn.IFNA(
    IF(J283=
        "PCB-0001",
        "CSS",
        IF(
            ISNUMBER(MATCH(_xlfn.TEXTBEFORE(J283,"-"), {"CSS","CSN","PCB","PCF","BEC","CSD","PCM"}, 0)),
            _xlfn.TEXTBEFORE(J283,"-"),
            "Other"
        )
    ),
"Add")</f>
        <v>PCB</v>
      </c>
      <c r="B283" s="10" t="str">
        <f t="shared" si="5"/>
        <v>0030</v>
      </c>
      <c r="C283" s="10" t="str">
        <f>_xlfn.LET(
    _xlpm.val, IF(Datadetails[[#This Row],[Activity]]="D02","C20",Datadetails[[#This Row],[Activity]]),
    IF(ISNUMBER(MATCH(_xlpm.val,{"D04","C30","c40","C20"},0)), _xlpm.val, "Other")
)</f>
        <v>C30</v>
      </c>
      <c r="D283" s="10" t="str">
        <f>IFERROR(VLOOKUP(Datadetails[[#This Row],[Taskcode]],Dashboard!A:A,1,FALSE),"00 Err Missing")</f>
        <v>0030</v>
      </c>
      <c r="E283" s="79">
        <v>45770</v>
      </c>
      <c r="F283" s="80" t="s">
        <v>329</v>
      </c>
      <c r="G283" s="60" t="s">
        <v>40</v>
      </c>
      <c r="H283" s="80" t="s">
        <v>197</v>
      </c>
      <c r="I283" s="80" t="s">
        <v>34</v>
      </c>
      <c r="J283" s="80" t="s">
        <v>366</v>
      </c>
      <c r="K283" s="80" t="s">
        <v>347</v>
      </c>
      <c r="L283" s="80" t="s">
        <v>343</v>
      </c>
      <c r="M283" s="81">
        <v>0.5</v>
      </c>
      <c r="N283" s="82">
        <v>37.5</v>
      </c>
    </row>
    <row r="284" spans="1:14" x14ac:dyDescent="0.25">
      <c r="A284" s="10" t="str">
        <f>_xlfn.IFNA(
    IF(J284=
        "PCB-0001",
        "CSS",
        IF(
            ISNUMBER(MATCH(_xlfn.TEXTBEFORE(J284,"-"), {"CSS","CSN","PCB","PCF","BEC","CSD","PCM"}, 0)),
            _xlfn.TEXTBEFORE(J284,"-"),
            "Other"
        )
    ),
"Add")</f>
        <v>PCB</v>
      </c>
      <c r="B284" s="10" t="str">
        <f t="shared" si="5"/>
        <v>0016</v>
      </c>
      <c r="C284" s="10" t="str">
        <f>_xlfn.LET(
    _xlpm.val, IF(Datadetails[[#This Row],[Activity]]="D02","C20",Datadetails[[#This Row],[Activity]]),
    IF(ISNUMBER(MATCH(_xlpm.val,{"D04","C30","c40","C20"},0)), _xlpm.val, "Other")
)</f>
        <v>C30</v>
      </c>
      <c r="D284" s="10" t="str">
        <f>IFERROR(VLOOKUP(Datadetails[[#This Row],[Taskcode]],Dashboard!A:A,1,FALSE),"00 Err Missing")</f>
        <v>0016</v>
      </c>
      <c r="E284" s="79">
        <v>45770</v>
      </c>
      <c r="F284" s="80" t="s">
        <v>329</v>
      </c>
      <c r="G284" s="60" t="s">
        <v>40</v>
      </c>
      <c r="H284" s="80" t="s">
        <v>183</v>
      </c>
      <c r="I284" s="80" t="s">
        <v>34</v>
      </c>
      <c r="J284" s="80" t="s">
        <v>368</v>
      </c>
      <c r="K284" s="80" t="s">
        <v>347</v>
      </c>
      <c r="L284" s="80" t="s">
        <v>343</v>
      </c>
      <c r="M284" s="81">
        <v>0.17</v>
      </c>
      <c r="N284" s="82">
        <v>12.750000000000002</v>
      </c>
    </row>
    <row r="285" spans="1:14" x14ac:dyDescent="0.25">
      <c r="A285" s="10" t="str">
        <f>_xlfn.IFNA(
    IF(J285=
        "PCB-0001",
        "CSS",
        IF(
            ISNUMBER(MATCH(_xlfn.TEXTBEFORE(J285,"-"), {"CSS","CSN","PCB","PCF","BEC","CSD","PCM"}, 0)),
            _xlfn.TEXTBEFORE(J285,"-"),
            "Other"
        )
    ),
"Add")</f>
        <v>PCB</v>
      </c>
      <c r="B285" s="10" t="str">
        <f t="shared" si="5"/>
        <v>0135</v>
      </c>
      <c r="C285" s="10" t="str">
        <f>_xlfn.LET(
    _xlpm.val, IF(Datadetails[[#This Row],[Activity]]="D02","C20",Datadetails[[#This Row],[Activity]]),
    IF(ISNUMBER(MATCH(_xlpm.val,{"D04","C30","c40","C20"},0)), _xlpm.val, "Other")
)</f>
        <v>C30</v>
      </c>
      <c r="D285" s="10" t="str">
        <f>IFERROR(VLOOKUP(Datadetails[[#This Row],[Taskcode]],Dashboard!A:A,1,FALSE),"00 Err Missing")</f>
        <v>0135</v>
      </c>
      <c r="E285" s="79">
        <v>45770</v>
      </c>
      <c r="F285" s="80" t="s">
        <v>329</v>
      </c>
      <c r="G285" s="60" t="s">
        <v>40</v>
      </c>
      <c r="H285" s="80" t="s">
        <v>302</v>
      </c>
      <c r="I285" s="80" t="s">
        <v>34</v>
      </c>
      <c r="J285" s="80" t="s">
        <v>398</v>
      </c>
      <c r="K285" s="80" t="s">
        <v>347</v>
      </c>
      <c r="L285" s="80" t="s">
        <v>343</v>
      </c>
      <c r="M285" s="81">
        <v>0.08</v>
      </c>
      <c r="N285" s="82">
        <v>6</v>
      </c>
    </row>
    <row r="286" spans="1:14" x14ac:dyDescent="0.25">
      <c r="A286" s="10" t="str">
        <f>_xlfn.IFNA(
    IF(J286=
        "PCB-0001",
        "CSS",
        IF(
            ISNUMBER(MATCH(_xlfn.TEXTBEFORE(J286,"-"), {"CSS","CSN","PCB","PCF","BEC","CSD","PCM"}, 0)),
            _xlfn.TEXTBEFORE(J286,"-"),
            "Other"
        )
    ),
"Add")</f>
        <v>PCB</v>
      </c>
      <c r="B286" s="10" t="str">
        <f t="shared" si="5"/>
        <v>0054</v>
      </c>
      <c r="C286" s="10" t="str">
        <f>_xlfn.LET(
    _xlpm.val, IF(Datadetails[[#This Row],[Activity]]="D02","C20",Datadetails[[#This Row],[Activity]]),
    IF(ISNUMBER(MATCH(_xlpm.val,{"D04","C30","c40","C20"},0)), _xlpm.val, "Other")
)</f>
        <v>C30</v>
      </c>
      <c r="D286" s="10" t="str">
        <f>IFERROR(VLOOKUP(Datadetails[[#This Row],[Taskcode]],Dashboard!A:A,1,FALSE),"00 Err Missing")</f>
        <v>0054</v>
      </c>
      <c r="E286" s="79">
        <v>45770</v>
      </c>
      <c r="F286" s="80" t="s">
        <v>329</v>
      </c>
      <c r="G286" s="60" t="s">
        <v>40</v>
      </c>
      <c r="H286" s="80" t="s">
        <v>221</v>
      </c>
      <c r="I286" s="80" t="s">
        <v>34</v>
      </c>
      <c r="J286" s="80" t="s">
        <v>369</v>
      </c>
      <c r="K286" s="80" t="s">
        <v>347</v>
      </c>
      <c r="L286" s="80" t="s">
        <v>343</v>
      </c>
      <c r="M286" s="81">
        <v>0.5</v>
      </c>
      <c r="N286" s="82">
        <v>37.5</v>
      </c>
    </row>
    <row r="287" spans="1:14" x14ac:dyDescent="0.25">
      <c r="A287" s="10" t="str">
        <f>_xlfn.IFNA(
    IF(J287=
        "PCB-0001",
        "CSS",
        IF(
            ISNUMBER(MATCH(_xlfn.TEXTBEFORE(J287,"-"), {"CSS","CSN","PCB","PCF","BEC","CSD","PCM"}, 0)),
            _xlfn.TEXTBEFORE(J287,"-"),
            "Other"
        )
    ),
"Add")</f>
        <v>PCB</v>
      </c>
      <c r="B287" s="10" t="str">
        <f t="shared" si="5"/>
        <v>0062</v>
      </c>
      <c r="C287" s="10" t="str">
        <f>_xlfn.LET(
    _xlpm.val, IF(Datadetails[[#This Row],[Activity]]="D02","C20",Datadetails[[#This Row],[Activity]]),
    IF(ISNUMBER(MATCH(_xlpm.val,{"D04","C30","c40","C20"},0)), _xlpm.val, "Other")
)</f>
        <v>C30</v>
      </c>
      <c r="D287" s="10" t="str">
        <f>IFERROR(VLOOKUP(Datadetails[[#This Row],[Taskcode]],Dashboard!A:A,1,FALSE),"00 Err Missing")</f>
        <v>0062</v>
      </c>
      <c r="E287" s="79">
        <v>45770</v>
      </c>
      <c r="F287" s="80" t="s">
        <v>329</v>
      </c>
      <c r="G287" s="60" t="s">
        <v>40</v>
      </c>
      <c r="H287" s="80" t="s">
        <v>229</v>
      </c>
      <c r="I287" s="80" t="s">
        <v>34</v>
      </c>
      <c r="J287" s="80" t="s">
        <v>373</v>
      </c>
      <c r="K287" s="80" t="s">
        <v>347</v>
      </c>
      <c r="L287" s="80" t="s">
        <v>343</v>
      </c>
      <c r="M287" s="81">
        <v>0.25</v>
      </c>
      <c r="N287" s="82">
        <v>18.75</v>
      </c>
    </row>
    <row r="288" spans="1:14" x14ac:dyDescent="0.25">
      <c r="A288" s="10" t="str">
        <f>_xlfn.IFNA(
    IF(J288=
        "PCB-0001",
        "CSS",
        IF(
            ISNUMBER(MATCH(_xlfn.TEXTBEFORE(J288,"-"), {"CSS","CSN","PCB","PCF","BEC","CSD","PCM"}, 0)),
            _xlfn.TEXTBEFORE(J288,"-"),
            "Other"
        )
    ),
"Add")</f>
        <v>PCB</v>
      </c>
      <c r="B288" s="10" t="str">
        <f t="shared" si="5"/>
        <v>0071</v>
      </c>
      <c r="C288" s="10" t="str">
        <f>_xlfn.LET(
    _xlpm.val, IF(Datadetails[[#This Row],[Activity]]="D02","C20",Datadetails[[#This Row],[Activity]]),
    IF(ISNUMBER(MATCH(_xlpm.val,{"D04","C30","c40","C20"},0)), _xlpm.val, "Other")
)</f>
        <v>C30</v>
      </c>
      <c r="D288" s="10" t="str">
        <f>IFERROR(VLOOKUP(Datadetails[[#This Row],[Taskcode]],Dashboard!A:A,1,FALSE),"00 Err Missing")</f>
        <v>0071</v>
      </c>
      <c r="E288" s="79">
        <v>45770</v>
      </c>
      <c r="F288" s="80" t="s">
        <v>329</v>
      </c>
      <c r="G288" s="60" t="s">
        <v>40</v>
      </c>
      <c r="H288" s="80" t="s">
        <v>238</v>
      </c>
      <c r="I288" s="80" t="s">
        <v>34</v>
      </c>
      <c r="J288" s="80" t="s">
        <v>374</v>
      </c>
      <c r="K288" s="80" t="s">
        <v>347</v>
      </c>
      <c r="L288" s="80" t="s">
        <v>343</v>
      </c>
      <c r="M288" s="81">
        <v>0.33</v>
      </c>
      <c r="N288" s="82">
        <v>24.75</v>
      </c>
    </row>
    <row r="289" spans="1:14" x14ac:dyDescent="0.25">
      <c r="A289" s="10" t="str">
        <f>_xlfn.IFNA(
    IF(J289=
        "PCB-0001",
        "CSS",
        IF(
            ISNUMBER(MATCH(_xlfn.TEXTBEFORE(J289,"-"), {"CSS","CSN","PCB","PCF","BEC","CSD","PCM"}, 0)),
            _xlfn.TEXTBEFORE(J289,"-"),
            "Other"
        )
    ),
"Add")</f>
        <v>PCB</v>
      </c>
      <c r="B289" s="10" t="str">
        <f t="shared" si="5"/>
        <v>0080</v>
      </c>
      <c r="C289" s="10" t="str">
        <f>_xlfn.LET(
    _xlpm.val, IF(Datadetails[[#This Row],[Activity]]="D02","C20",Datadetails[[#This Row],[Activity]]),
    IF(ISNUMBER(MATCH(_xlpm.val,{"D04","C30","c40","C20"},0)), _xlpm.val, "Other")
)</f>
        <v>C30</v>
      </c>
      <c r="D289" s="10" t="str">
        <f>IFERROR(VLOOKUP(Datadetails[[#This Row],[Taskcode]],Dashboard!A:A,1,FALSE),"00 Err Missing")</f>
        <v>0080</v>
      </c>
      <c r="E289" s="79">
        <v>45770</v>
      </c>
      <c r="F289" s="80" t="s">
        <v>329</v>
      </c>
      <c r="G289" s="60" t="s">
        <v>40</v>
      </c>
      <c r="H289" s="80" t="s">
        <v>247</v>
      </c>
      <c r="I289" s="80" t="s">
        <v>34</v>
      </c>
      <c r="J289" s="80" t="s">
        <v>375</v>
      </c>
      <c r="K289" s="80" t="s">
        <v>347</v>
      </c>
      <c r="L289" s="80" t="s">
        <v>343</v>
      </c>
      <c r="M289" s="81">
        <v>0.33</v>
      </c>
      <c r="N289" s="82">
        <v>24.75</v>
      </c>
    </row>
    <row r="290" spans="1:14" x14ac:dyDescent="0.25">
      <c r="A290" s="10" t="str">
        <f>_xlfn.IFNA(
    IF(J290=
        "PCB-0001",
        "CSS",
        IF(
            ISNUMBER(MATCH(_xlfn.TEXTBEFORE(J290,"-"), {"CSS","CSN","PCB","PCF","BEC","CSD","PCM"}, 0)),
            _xlfn.TEXTBEFORE(J290,"-"),
            "Other"
        )
    ),
"Add")</f>
        <v>PCB</v>
      </c>
      <c r="B290" s="10" t="str">
        <f t="shared" si="5"/>
        <v>0126</v>
      </c>
      <c r="C290" s="10" t="str">
        <f>_xlfn.LET(
    _xlpm.val, IF(Datadetails[[#This Row],[Activity]]="D02","C20",Datadetails[[#This Row],[Activity]]),
    IF(ISNUMBER(MATCH(_xlpm.val,{"D04","C30","c40","C20"},0)), _xlpm.val, "Other")
)</f>
        <v>C30</v>
      </c>
      <c r="D290" s="10" t="str">
        <f>IFERROR(VLOOKUP(Datadetails[[#This Row],[Taskcode]],Dashboard!A:A,1,FALSE),"00 Err Missing")</f>
        <v>0126</v>
      </c>
      <c r="E290" s="79">
        <v>45770</v>
      </c>
      <c r="F290" s="80" t="s">
        <v>329</v>
      </c>
      <c r="G290" s="60" t="s">
        <v>40</v>
      </c>
      <c r="H290" s="80" t="s">
        <v>293</v>
      </c>
      <c r="I290" s="80" t="s">
        <v>34</v>
      </c>
      <c r="J290" s="80" t="s">
        <v>376</v>
      </c>
      <c r="K290" s="80" t="s">
        <v>347</v>
      </c>
      <c r="L290" s="80" t="s">
        <v>343</v>
      </c>
      <c r="M290" s="81">
        <v>0.42</v>
      </c>
      <c r="N290" s="82">
        <v>31.5</v>
      </c>
    </row>
    <row r="291" spans="1:14" x14ac:dyDescent="0.25">
      <c r="A291" s="10" t="str">
        <f>_xlfn.IFNA(
    IF(J291=
        "PCB-0001",
        "CSS",
        IF(
            ISNUMBER(MATCH(_xlfn.TEXTBEFORE(J291,"-"), {"CSS","CSN","PCB","PCF","BEC","CSD","PCM"}, 0)),
            _xlfn.TEXTBEFORE(J291,"-"),
            "Other"
        )
    ),
"Add")</f>
        <v>PCB</v>
      </c>
      <c r="B291" s="10" t="str">
        <f t="shared" si="5"/>
        <v>0120</v>
      </c>
      <c r="C291" s="10" t="str">
        <f>_xlfn.LET(
    _xlpm.val, IF(Datadetails[[#This Row],[Activity]]="D02","C20",Datadetails[[#This Row],[Activity]]),
    IF(ISNUMBER(MATCH(_xlpm.val,{"D04","C30","c40","C20"},0)), _xlpm.val, "Other")
)</f>
        <v>C30</v>
      </c>
      <c r="D291" s="10" t="str">
        <f>IFERROR(VLOOKUP(Datadetails[[#This Row],[Taskcode]],Dashboard!A:A,1,FALSE),"00 Err Missing")</f>
        <v>0120</v>
      </c>
      <c r="E291" s="79">
        <v>45770</v>
      </c>
      <c r="F291" s="80" t="s">
        <v>325</v>
      </c>
      <c r="G291" s="60" t="s">
        <v>40</v>
      </c>
      <c r="H291" s="80" t="s">
        <v>287</v>
      </c>
      <c r="I291" s="80" t="s">
        <v>34</v>
      </c>
      <c r="J291" s="80" t="s">
        <v>378</v>
      </c>
      <c r="K291" s="80" t="s">
        <v>347</v>
      </c>
      <c r="L291" s="80" t="s">
        <v>343</v>
      </c>
      <c r="M291" s="81">
        <v>0.25</v>
      </c>
      <c r="N291" s="82">
        <v>18.75</v>
      </c>
    </row>
    <row r="292" spans="1:14" x14ac:dyDescent="0.25">
      <c r="A292" s="10" t="str">
        <f>_xlfn.IFNA(
    IF(J292=
        "PCB-0001",
        "CSS",
        IF(
            ISNUMBER(MATCH(_xlfn.TEXTBEFORE(J292,"-"), {"CSS","CSN","PCB","PCF","BEC","CSD","PCM"}, 0)),
            _xlfn.TEXTBEFORE(J292,"-"),
            "Other"
        )
    ),
"Add")</f>
        <v>PCB</v>
      </c>
      <c r="B292" s="10" t="str">
        <f t="shared" si="5"/>
        <v>0128</v>
      </c>
      <c r="C292" s="10" t="str">
        <f>_xlfn.LET(
    _xlpm.val, IF(Datadetails[[#This Row],[Activity]]="D02","C20",Datadetails[[#This Row],[Activity]]),
    IF(ISNUMBER(MATCH(_xlpm.val,{"D04","C30","c40","C20"},0)), _xlpm.val, "Other")
)</f>
        <v>C30</v>
      </c>
      <c r="D292" s="10" t="str">
        <f>IFERROR(VLOOKUP(Datadetails[[#This Row],[Taskcode]],Dashboard!A:A,1,FALSE),"00 Err Missing")</f>
        <v>0128</v>
      </c>
      <c r="E292" s="79">
        <v>45770</v>
      </c>
      <c r="F292" s="80" t="s">
        <v>329</v>
      </c>
      <c r="G292" s="60" t="s">
        <v>40</v>
      </c>
      <c r="H292" s="80" t="s">
        <v>295</v>
      </c>
      <c r="I292" s="80" t="s">
        <v>34</v>
      </c>
      <c r="J292" s="80" t="s">
        <v>379</v>
      </c>
      <c r="K292" s="80" t="s">
        <v>347</v>
      </c>
      <c r="L292" s="80" t="s">
        <v>343</v>
      </c>
      <c r="M292" s="81">
        <v>0.17</v>
      </c>
      <c r="N292" s="82">
        <v>12.750000000000002</v>
      </c>
    </row>
    <row r="293" spans="1:14" x14ac:dyDescent="0.25">
      <c r="A293" s="10" t="str">
        <f>_xlfn.IFNA(
    IF(J293=
        "PCB-0001",
        "CSS",
        IF(
            ISNUMBER(MATCH(_xlfn.TEXTBEFORE(J293,"-"), {"CSS","CSN","PCB","PCF","BEC","CSD","PCM"}, 0)),
            _xlfn.TEXTBEFORE(J293,"-"),
            "Other"
        )
    ),
"Add")</f>
        <v>PCB</v>
      </c>
      <c r="B293" s="10" t="str">
        <f t="shared" si="5"/>
        <v>0081</v>
      </c>
      <c r="C293" s="10" t="str">
        <f>_xlfn.LET(
    _xlpm.val, IF(Datadetails[[#This Row],[Activity]]="D02","C20",Datadetails[[#This Row],[Activity]]),
    IF(ISNUMBER(MATCH(_xlpm.val,{"D04","C30","c40","C20"},0)), _xlpm.val, "Other")
)</f>
        <v>C30</v>
      </c>
      <c r="D293" s="10" t="str">
        <f>IFERROR(VLOOKUP(Datadetails[[#This Row],[Taskcode]],Dashboard!A:A,1,FALSE),"00 Err Missing")</f>
        <v>0081</v>
      </c>
      <c r="E293" s="79">
        <v>45770</v>
      </c>
      <c r="F293" s="80" t="s">
        <v>329</v>
      </c>
      <c r="G293" s="60" t="s">
        <v>40</v>
      </c>
      <c r="H293" s="80" t="s">
        <v>248</v>
      </c>
      <c r="I293" s="80" t="s">
        <v>34</v>
      </c>
      <c r="J293" s="80" t="s">
        <v>385</v>
      </c>
      <c r="K293" s="80" t="s">
        <v>347</v>
      </c>
      <c r="L293" s="80" t="s">
        <v>343</v>
      </c>
      <c r="M293" s="81">
        <v>0.33</v>
      </c>
      <c r="N293" s="82">
        <v>24.75</v>
      </c>
    </row>
    <row r="294" spans="1:14" x14ac:dyDescent="0.25">
      <c r="A294" s="10" t="str">
        <f>_xlfn.IFNA(
    IF(J294=
        "PCB-0001",
        "CSS",
        IF(
            ISNUMBER(MATCH(_xlfn.TEXTBEFORE(J294,"-"), {"CSS","CSN","PCB","PCF","BEC","CSD","PCM"}, 0)),
            _xlfn.TEXTBEFORE(J294,"-"),
            "Other"
        )
    ),
"Add")</f>
        <v>PCB</v>
      </c>
      <c r="B294" s="10" t="str">
        <f t="shared" si="5"/>
        <v>0101</v>
      </c>
      <c r="C294" s="10" t="str">
        <f>_xlfn.LET(
    _xlpm.val, IF(Datadetails[[#This Row],[Activity]]="D02","C20",Datadetails[[#This Row],[Activity]]),
    IF(ISNUMBER(MATCH(_xlpm.val,{"D04","C30","c40","C20"},0)), _xlpm.val, "Other")
)</f>
        <v>C30</v>
      </c>
      <c r="D294" s="10" t="str">
        <f>IFERROR(VLOOKUP(Datadetails[[#This Row],[Taskcode]],Dashboard!A:A,1,FALSE),"00 Err Missing")</f>
        <v>0101</v>
      </c>
      <c r="E294" s="79">
        <v>45770</v>
      </c>
      <c r="F294" s="80" t="s">
        <v>329</v>
      </c>
      <c r="G294" s="60" t="s">
        <v>40</v>
      </c>
      <c r="H294" s="80" t="s">
        <v>268</v>
      </c>
      <c r="I294" s="80" t="s">
        <v>34</v>
      </c>
      <c r="J294" s="80" t="s">
        <v>386</v>
      </c>
      <c r="K294" s="80" t="s">
        <v>347</v>
      </c>
      <c r="L294" s="80" t="s">
        <v>343</v>
      </c>
      <c r="M294" s="81">
        <v>0.33</v>
      </c>
      <c r="N294" s="82">
        <v>24.75</v>
      </c>
    </row>
    <row r="295" spans="1:14" x14ac:dyDescent="0.25">
      <c r="A295" s="10" t="str">
        <f>_xlfn.IFNA(
    IF(J295=
        "PCB-0001",
        "CSS",
        IF(
            ISNUMBER(MATCH(_xlfn.TEXTBEFORE(J295,"-"), {"CSS","CSN","PCB","PCF","BEC","CSD","PCM"}, 0)),
            _xlfn.TEXTBEFORE(J295,"-"),
            "Other"
        )
    ),
"Add")</f>
        <v>BEC</v>
      </c>
      <c r="B295" s="10" t="str">
        <f t="shared" si="5"/>
        <v>0001</v>
      </c>
      <c r="C295" s="10" t="str">
        <f>_xlfn.LET(
    _xlpm.val, IF(Datadetails[[#This Row],[Activity]]="D02","C20",Datadetails[[#This Row],[Activity]]),
    IF(ISNUMBER(MATCH(_xlpm.val,{"D04","C30","c40","C20"},0)), _xlpm.val, "Other")
)</f>
        <v>D04</v>
      </c>
      <c r="D295" s="10" t="str">
        <f>IFERROR(VLOOKUP(Datadetails[[#This Row],[Taskcode]],Dashboard!A:A,1,FALSE),"00 Err Missing")</f>
        <v>0001</v>
      </c>
      <c r="E295" s="79">
        <v>45770</v>
      </c>
      <c r="F295" s="80" t="s">
        <v>332</v>
      </c>
      <c r="G295" s="60" t="s">
        <v>40</v>
      </c>
      <c r="H295" s="80" t="s">
        <v>314</v>
      </c>
      <c r="I295" s="80" t="s">
        <v>35</v>
      </c>
      <c r="J295" s="80" t="s">
        <v>359</v>
      </c>
      <c r="K295" s="80" t="s">
        <v>339</v>
      </c>
      <c r="L295" s="80" t="s">
        <v>352</v>
      </c>
      <c r="M295" s="81">
        <v>8.67</v>
      </c>
      <c r="N295" s="82">
        <v>346.8</v>
      </c>
    </row>
    <row r="296" spans="1:14" x14ac:dyDescent="0.25">
      <c r="A296" s="10" t="str">
        <f>_xlfn.IFNA(
    IF(J296=
        "PCB-0001",
        "CSS",
        IF(
            ISNUMBER(MATCH(_xlfn.TEXTBEFORE(J296,"-"), {"CSS","CSN","PCB","PCF","BEC","CSD","PCM"}, 0)),
            _xlfn.TEXTBEFORE(J296,"-"),
            "Other"
        )
    ),
"Add")</f>
        <v>BEC</v>
      </c>
      <c r="B296" s="10" t="str">
        <f t="shared" si="5"/>
        <v>0001</v>
      </c>
      <c r="C296" s="10" t="str">
        <f>_xlfn.LET(
    _xlpm.val, IF(Datadetails[[#This Row],[Activity]]="D02","C20",Datadetails[[#This Row],[Activity]]),
    IF(ISNUMBER(MATCH(_xlpm.val,{"D04","C30","c40","C20"},0)), _xlpm.val, "Other")
)</f>
        <v>D04</v>
      </c>
      <c r="D296" s="10" t="str">
        <f>IFERROR(VLOOKUP(Datadetails[[#This Row],[Taskcode]],Dashboard!A:A,1,FALSE),"00 Err Missing")</f>
        <v>0001</v>
      </c>
      <c r="E296" s="79">
        <v>45770</v>
      </c>
      <c r="F296" s="80" t="s">
        <v>324</v>
      </c>
      <c r="G296" s="60" t="s">
        <v>40</v>
      </c>
      <c r="H296" s="80" t="s">
        <v>314</v>
      </c>
      <c r="I296" s="80" t="s">
        <v>35</v>
      </c>
      <c r="J296" s="80" t="s">
        <v>359</v>
      </c>
      <c r="K296" s="80" t="s">
        <v>339</v>
      </c>
      <c r="L296" s="80" t="s">
        <v>352</v>
      </c>
      <c r="M296" s="81">
        <v>3.5</v>
      </c>
      <c r="N296" s="82">
        <v>262.5</v>
      </c>
    </row>
    <row r="297" spans="1:14" x14ac:dyDescent="0.25">
      <c r="A297" s="10" t="str">
        <f>_xlfn.IFNA(
    IF(J297=
        "PCB-0001",
        "CSS",
        IF(
            ISNUMBER(MATCH(_xlfn.TEXTBEFORE(J297,"-"), {"CSS","CSN","PCB","PCF","BEC","CSD","PCM"}, 0)),
            _xlfn.TEXTBEFORE(J297,"-"),
            "Other"
        )
    ),
"Add")</f>
        <v>PCB</v>
      </c>
      <c r="B297" s="10" t="str">
        <f t="shared" si="5"/>
        <v>0080</v>
      </c>
      <c r="C297" s="10" t="str">
        <f>_xlfn.LET(
    _xlpm.val, IF(Datadetails[[#This Row],[Activity]]="D02","C20",Datadetails[[#This Row],[Activity]]),
    IF(ISNUMBER(MATCH(_xlpm.val,{"D04","C30","c40","C20"},0)), _xlpm.val, "Other")
)</f>
        <v>C40</v>
      </c>
      <c r="D297" s="10" t="str">
        <f>IFERROR(VLOOKUP(Datadetails[[#This Row],[Taskcode]],Dashboard!A:A,1,FALSE),"00 Err Missing")</f>
        <v>0080</v>
      </c>
      <c r="E297" s="79">
        <v>45771</v>
      </c>
      <c r="F297" s="80" t="s">
        <v>329</v>
      </c>
      <c r="G297" s="60" t="s">
        <v>40</v>
      </c>
      <c r="H297" s="80" t="s">
        <v>247</v>
      </c>
      <c r="I297" s="80" t="s">
        <v>341</v>
      </c>
      <c r="J297" s="80" t="s">
        <v>375</v>
      </c>
      <c r="K297" s="80" t="s">
        <v>347</v>
      </c>
      <c r="L297" s="80" t="s">
        <v>344</v>
      </c>
      <c r="M297" s="81">
        <v>2.5</v>
      </c>
      <c r="N297" s="82">
        <v>187.5</v>
      </c>
    </row>
    <row r="298" spans="1:14" x14ac:dyDescent="0.25">
      <c r="A298" s="10" t="str">
        <f>_xlfn.IFNA(
    IF(J298=
        "PCB-0001",
        "CSS",
        IF(
            ISNUMBER(MATCH(_xlfn.TEXTBEFORE(J298,"-"), {"CSS","CSN","PCB","PCF","BEC","CSD","PCM"}, 0)),
            _xlfn.TEXTBEFORE(J298,"-"),
            "Other"
        )
    ),
"Add")</f>
        <v>CSN</v>
      </c>
      <c r="B298" s="10" t="str">
        <f t="shared" si="5"/>
        <v>0001</v>
      </c>
      <c r="C298" s="10" t="str">
        <f>_xlfn.LET(
    _xlpm.val, IF(Datadetails[[#This Row],[Activity]]="D02","C20",Datadetails[[#This Row],[Activity]]),
    IF(ISNUMBER(MATCH(_xlpm.val,{"D04","C30","c40","C20"},0)), _xlpm.val, "Other")
)</f>
        <v>D04</v>
      </c>
      <c r="D298" s="10" t="str">
        <f>IFERROR(VLOOKUP(Datadetails[[#This Row],[Taskcode]],Dashboard!A:A,1,FALSE),"00 Err Missing")</f>
        <v>0001</v>
      </c>
      <c r="E298" s="79">
        <v>45771</v>
      </c>
      <c r="F298" s="80" t="s">
        <v>329</v>
      </c>
      <c r="G298" s="60" t="s">
        <v>40</v>
      </c>
      <c r="H298" s="80" t="s">
        <v>316</v>
      </c>
      <c r="I298" s="80" t="s">
        <v>35</v>
      </c>
      <c r="J298" s="80" t="s">
        <v>338</v>
      </c>
      <c r="K298" s="80" t="s">
        <v>337</v>
      </c>
      <c r="L298" s="80" t="s">
        <v>352</v>
      </c>
      <c r="M298" s="81">
        <v>1.17</v>
      </c>
      <c r="N298" s="82">
        <v>87.75</v>
      </c>
    </row>
    <row r="299" spans="1:14" x14ac:dyDescent="0.25">
      <c r="A299" s="10" t="str">
        <f>_xlfn.IFNA(
    IF(J299=
        "PCB-0001",
        "CSS",
        IF(
            ISNUMBER(MATCH(_xlfn.TEXTBEFORE(J299,"-"), {"CSS","CSN","PCB","PCF","BEC","CSD","PCM"}, 0)),
            _xlfn.TEXTBEFORE(J299,"-"),
            "Other"
        )
    ),
"Add")</f>
        <v>CSD</v>
      </c>
      <c r="B299" s="10" t="str">
        <f t="shared" si="5"/>
        <v>0001</v>
      </c>
      <c r="C299" s="10" t="str">
        <f>_xlfn.LET(
    _xlpm.val, IF(Datadetails[[#This Row],[Activity]]="D02","C20",Datadetails[[#This Row],[Activity]]),
    IF(ISNUMBER(MATCH(_xlpm.val,{"D04","C30","c40","C20"},0)), _xlpm.val, "Other")
)</f>
        <v>D04</v>
      </c>
      <c r="D299" s="10" t="str">
        <f>IFERROR(VLOOKUP(Datadetails[[#This Row],[Taskcode]],Dashboard!A:A,1,FALSE),"00 Err Missing")</f>
        <v>0001</v>
      </c>
      <c r="E299" s="79">
        <v>45771</v>
      </c>
      <c r="F299" s="80" t="s">
        <v>333</v>
      </c>
      <c r="G299" s="60" t="s">
        <v>40</v>
      </c>
      <c r="H299" s="80" t="s">
        <v>320</v>
      </c>
      <c r="I299" s="80" t="s">
        <v>35</v>
      </c>
      <c r="J299" s="80" t="s">
        <v>322</v>
      </c>
      <c r="K299" s="80" t="s">
        <v>319</v>
      </c>
      <c r="L299" s="80" t="s">
        <v>352</v>
      </c>
      <c r="M299" s="81">
        <v>9.1300000000000008</v>
      </c>
      <c r="N299" s="82">
        <v>292.16000000000003</v>
      </c>
    </row>
    <row r="300" spans="1:14" x14ac:dyDescent="0.25">
      <c r="A300" s="10" t="str">
        <f>_xlfn.IFNA(
    IF(J300=
        "PCB-0001",
        "CSS",
        IF(
            ISNUMBER(MATCH(_xlfn.TEXTBEFORE(J300,"-"), {"CSS","CSN","PCB","PCF","BEC","CSD","PCM"}, 0)),
            _xlfn.TEXTBEFORE(J300,"-"),
            "Other"
        )
    ),
"Add")</f>
        <v>PCM</v>
      </c>
      <c r="B300" s="10" t="str">
        <f t="shared" si="5"/>
        <v>0045</v>
      </c>
      <c r="C300" s="10" t="str">
        <f>_xlfn.LET(
    _xlpm.val, IF(Datadetails[[#This Row],[Activity]]="D02","C20",Datadetails[[#This Row],[Activity]]),
    IF(ISNUMBER(MATCH(_xlpm.val,{"D04","C30","c40","C20"},0)), _xlpm.val, "Other")
)</f>
        <v>C40</v>
      </c>
      <c r="D300" s="10" t="str">
        <f>IFERROR(VLOOKUP(Datadetails[[#This Row],[Taskcode]],Dashboard!A:A,1,FALSE),"00 Err Missing")</f>
        <v>0045</v>
      </c>
      <c r="E300" s="79">
        <v>45771</v>
      </c>
      <c r="F300" s="80" t="s">
        <v>323</v>
      </c>
      <c r="G300" s="60" t="s">
        <v>40</v>
      </c>
      <c r="H300" s="80" t="s">
        <v>212</v>
      </c>
      <c r="I300" s="80" t="s">
        <v>341</v>
      </c>
      <c r="J300" s="80" t="s">
        <v>392</v>
      </c>
      <c r="K300" s="80" t="s">
        <v>346</v>
      </c>
      <c r="L300" s="80" t="s">
        <v>344</v>
      </c>
      <c r="M300" s="81">
        <v>1.5</v>
      </c>
      <c r="N300" s="82">
        <v>90</v>
      </c>
    </row>
    <row r="301" spans="1:14" x14ac:dyDescent="0.25">
      <c r="A301" s="10" t="str">
        <f>_xlfn.IFNA(
    IF(J301=
        "PCB-0001",
        "CSS",
        IF(
            ISNUMBER(MATCH(_xlfn.TEXTBEFORE(J301,"-"), {"CSS","CSN","PCB","PCF","BEC","CSD","PCM"}, 0)),
            _xlfn.TEXTBEFORE(J301,"-"),
            "Other"
        )
    ),
"Add")</f>
        <v>PCB</v>
      </c>
      <c r="B301" s="10" t="str">
        <f t="shared" si="5"/>
        <v>0080</v>
      </c>
      <c r="C301" s="10" t="str">
        <f>_xlfn.LET(
    _xlpm.val, IF(Datadetails[[#This Row],[Activity]]="D02","C20",Datadetails[[#This Row],[Activity]]),
    IF(ISNUMBER(MATCH(_xlpm.val,{"D04","C30","c40","C20"},0)), _xlpm.val, "Other")
)</f>
        <v>C30</v>
      </c>
      <c r="D301" s="10" t="str">
        <f>IFERROR(VLOOKUP(Datadetails[[#This Row],[Taskcode]],Dashboard!A:A,1,FALSE),"00 Err Missing")</f>
        <v>0080</v>
      </c>
      <c r="E301" s="79">
        <v>45771</v>
      </c>
      <c r="F301" s="80" t="s">
        <v>329</v>
      </c>
      <c r="G301" s="60" t="s">
        <v>40</v>
      </c>
      <c r="H301" s="80" t="s">
        <v>247</v>
      </c>
      <c r="I301" s="80" t="s">
        <v>34</v>
      </c>
      <c r="J301" s="80" t="s">
        <v>375</v>
      </c>
      <c r="K301" s="80" t="s">
        <v>347</v>
      </c>
      <c r="L301" s="80" t="s">
        <v>343</v>
      </c>
      <c r="M301" s="81">
        <v>0.17</v>
      </c>
      <c r="N301" s="82">
        <v>12.750000000000002</v>
      </c>
    </row>
    <row r="302" spans="1:14" x14ac:dyDescent="0.25">
      <c r="A302" s="10" t="str">
        <f>_xlfn.IFNA(
    IF(J302=
        "PCB-0001",
        "CSS",
        IF(
            ISNUMBER(MATCH(_xlfn.TEXTBEFORE(J302,"-"), {"CSS","CSN","PCB","PCF","BEC","CSD","PCM"}, 0)),
            _xlfn.TEXTBEFORE(J302,"-"),
            "Other"
        )
    ),
"Add")</f>
        <v>PCB</v>
      </c>
      <c r="B302" s="10" t="str">
        <f t="shared" si="5"/>
        <v>0126</v>
      </c>
      <c r="C302" s="10" t="str">
        <f>_xlfn.LET(
    _xlpm.val, IF(Datadetails[[#This Row],[Activity]]="D02","C20",Datadetails[[#This Row],[Activity]]),
    IF(ISNUMBER(MATCH(_xlpm.val,{"D04","C30","c40","C20"},0)), _xlpm.val, "Other")
)</f>
        <v>C30</v>
      </c>
      <c r="D302" s="10" t="str">
        <f>IFERROR(VLOOKUP(Datadetails[[#This Row],[Taskcode]],Dashboard!A:A,1,FALSE),"00 Err Missing")</f>
        <v>0126</v>
      </c>
      <c r="E302" s="79">
        <v>45771</v>
      </c>
      <c r="F302" s="80" t="s">
        <v>329</v>
      </c>
      <c r="G302" s="60" t="s">
        <v>40</v>
      </c>
      <c r="H302" s="80" t="s">
        <v>293</v>
      </c>
      <c r="I302" s="80" t="s">
        <v>34</v>
      </c>
      <c r="J302" s="80" t="s">
        <v>376</v>
      </c>
      <c r="K302" s="80" t="s">
        <v>347</v>
      </c>
      <c r="L302" s="80" t="s">
        <v>343</v>
      </c>
      <c r="M302" s="81">
        <v>0.17</v>
      </c>
      <c r="N302" s="82">
        <v>12.750000000000002</v>
      </c>
    </row>
    <row r="303" spans="1:14" x14ac:dyDescent="0.25">
      <c r="A303" s="10" t="str">
        <f>_xlfn.IFNA(
    IF(J303=
        "PCB-0001",
        "CSS",
        IF(
            ISNUMBER(MATCH(_xlfn.TEXTBEFORE(J303,"-"), {"CSS","CSN","PCB","PCF","BEC","CSD","PCM"}, 0)),
            _xlfn.TEXTBEFORE(J303,"-"),
            "Other"
        )
    ),
"Add")</f>
        <v>PCB</v>
      </c>
      <c r="B303" s="10" t="str">
        <f t="shared" si="5"/>
        <v>0128</v>
      </c>
      <c r="C303" s="10" t="str">
        <f>_xlfn.LET(
    _xlpm.val, IF(Datadetails[[#This Row],[Activity]]="D02","C20",Datadetails[[#This Row],[Activity]]),
    IF(ISNUMBER(MATCH(_xlpm.val,{"D04","C30","c40","C20"},0)), _xlpm.val, "Other")
)</f>
        <v>C30</v>
      </c>
      <c r="D303" s="10" t="str">
        <f>IFERROR(VLOOKUP(Datadetails[[#This Row],[Taskcode]],Dashboard!A:A,1,FALSE),"00 Err Missing")</f>
        <v>0128</v>
      </c>
      <c r="E303" s="79">
        <v>45771</v>
      </c>
      <c r="F303" s="80" t="s">
        <v>329</v>
      </c>
      <c r="G303" s="60" t="s">
        <v>40</v>
      </c>
      <c r="H303" s="80" t="s">
        <v>295</v>
      </c>
      <c r="I303" s="80" t="s">
        <v>34</v>
      </c>
      <c r="J303" s="80" t="s">
        <v>379</v>
      </c>
      <c r="K303" s="80" t="s">
        <v>347</v>
      </c>
      <c r="L303" s="80" t="s">
        <v>343</v>
      </c>
      <c r="M303" s="81">
        <v>0.17</v>
      </c>
      <c r="N303" s="82">
        <v>12.750000000000002</v>
      </c>
    </row>
    <row r="304" spans="1:14" x14ac:dyDescent="0.25">
      <c r="A304" s="10" t="str">
        <f>_xlfn.IFNA(
    IF(J304=
        "PCB-0001",
        "CSS",
        IF(
            ISNUMBER(MATCH(_xlfn.TEXTBEFORE(J304,"-"), {"CSS","CSN","PCB","PCF","BEC","CSD","PCM"}, 0)),
            _xlfn.TEXTBEFORE(J304,"-"),
            "Other"
        )
    ),
"Add")</f>
        <v>PCB</v>
      </c>
      <c r="B304" s="10" t="str">
        <f t="shared" si="5"/>
        <v>0138</v>
      </c>
      <c r="C304" s="10" t="str">
        <f>_xlfn.LET(
    _xlpm.val, IF(Datadetails[[#This Row],[Activity]]="D02","C20",Datadetails[[#This Row],[Activity]]),
    IF(ISNUMBER(MATCH(_xlpm.val,{"D04","C30","c40","C20"},0)), _xlpm.val, "Other")
)</f>
        <v>C30</v>
      </c>
      <c r="D304" s="10" t="str">
        <f>IFERROR(VLOOKUP(Datadetails[[#This Row],[Taskcode]],Dashboard!A:A,1,FALSE),"00 Err Missing")</f>
        <v>0138</v>
      </c>
      <c r="E304" s="79">
        <v>45771</v>
      </c>
      <c r="F304" s="80" t="s">
        <v>325</v>
      </c>
      <c r="G304" s="60" t="s">
        <v>40</v>
      </c>
      <c r="H304" s="80" t="s">
        <v>305</v>
      </c>
      <c r="I304" s="80" t="s">
        <v>34</v>
      </c>
      <c r="J304" s="80" t="s">
        <v>382</v>
      </c>
      <c r="K304" s="80" t="s">
        <v>347</v>
      </c>
      <c r="L304" s="80" t="s">
        <v>343</v>
      </c>
      <c r="M304" s="81">
        <v>0.25</v>
      </c>
      <c r="N304" s="82">
        <v>18.75</v>
      </c>
    </row>
    <row r="305" spans="1:14" x14ac:dyDescent="0.25">
      <c r="A305" s="10" t="str">
        <f>_xlfn.IFNA(
    IF(J305=
        "PCB-0001",
        "CSS",
        IF(
            ISNUMBER(MATCH(_xlfn.TEXTBEFORE(J305,"-"), {"CSS","CSN","PCB","PCF","BEC","CSD","PCM"}, 0)),
            _xlfn.TEXTBEFORE(J305,"-"),
            "Other"
        )
    ),
"Add")</f>
        <v>PCB</v>
      </c>
      <c r="B305" s="10" t="str">
        <f t="shared" si="5"/>
        <v>0081</v>
      </c>
      <c r="C305" s="10" t="str">
        <f>_xlfn.LET(
    _xlpm.val, IF(Datadetails[[#This Row],[Activity]]="D02","C20",Datadetails[[#This Row],[Activity]]),
    IF(ISNUMBER(MATCH(_xlpm.val,{"D04","C30","c40","C20"},0)), _xlpm.val, "Other")
)</f>
        <v>C30</v>
      </c>
      <c r="D305" s="10" t="str">
        <f>IFERROR(VLOOKUP(Datadetails[[#This Row],[Taskcode]],Dashboard!A:A,1,FALSE),"00 Err Missing")</f>
        <v>0081</v>
      </c>
      <c r="E305" s="79">
        <v>45771</v>
      </c>
      <c r="F305" s="80" t="s">
        <v>329</v>
      </c>
      <c r="G305" s="60" t="s">
        <v>40</v>
      </c>
      <c r="H305" s="80" t="s">
        <v>248</v>
      </c>
      <c r="I305" s="80" t="s">
        <v>34</v>
      </c>
      <c r="J305" s="80" t="s">
        <v>385</v>
      </c>
      <c r="K305" s="80" t="s">
        <v>347</v>
      </c>
      <c r="L305" s="80" t="s">
        <v>343</v>
      </c>
      <c r="M305" s="81">
        <v>0.17</v>
      </c>
      <c r="N305" s="82">
        <v>12.750000000000002</v>
      </c>
    </row>
    <row r="306" spans="1:14" x14ac:dyDescent="0.25">
      <c r="A306" s="10" t="str">
        <f>_xlfn.IFNA(
    IF(J306=
        "PCB-0001",
        "CSS",
        IF(
            ISNUMBER(MATCH(_xlfn.TEXTBEFORE(J306,"-"), {"CSS","CSN","PCB","PCF","BEC","CSD","PCM"}, 0)),
            _xlfn.TEXTBEFORE(J306,"-"),
            "Other"
        )
    ),
"Add")</f>
        <v>PCB</v>
      </c>
      <c r="B306" s="10" t="str">
        <f t="shared" si="5"/>
        <v>0081</v>
      </c>
      <c r="C306" s="10" t="str">
        <f>_xlfn.LET(
    _xlpm.val, IF(Datadetails[[#This Row],[Activity]]="D02","C20",Datadetails[[#This Row],[Activity]]),
    IF(ISNUMBER(MATCH(_xlpm.val,{"D04","C30","c40","C20"},0)), _xlpm.val, "Other")
)</f>
        <v>C40</v>
      </c>
      <c r="D306" s="10" t="str">
        <f>IFERROR(VLOOKUP(Datadetails[[#This Row],[Taskcode]],Dashboard!A:A,1,FALSE),"00 Err Missing")</f>
        <v>0081</v>
      </c>
      <c r="E306" s="79">
        <v>45771</v>
      </c>
      <c r="F306" s="80" t="s">
        <v>329</v>
      </c>
      <c r="G306" s="60" t="s">
        <v>40</v>
      </c>
      <c r="H306" s="80" t="s">
        <v>248</v>
      </c>
      <c r="I306" s="80" t="s">
        <v>341</v>
      </c>
      <c r="J306" s="80" t="s">
        <v>385</v>
      </c>
      <c r="K306" s="80" t="s">
        <v>347</v>
      </c>
      <c r="L306" s="80" t="s">
        <v>344</v>
      </c>
      <c r="M306" s="81">
        <v>2</v>
      </c>
      <c r="N306" s="82">
        <v>150</v>
      </c>
    </row>
    <row r="307" spans="1:14" x14ac:dyDescent="0.25">
      <c r="A307" s="10" t="str">
        <f>_xlfn.IFNA(
    IF(J307=
        "PCB-0001",
        "CSS",
        IF(
            ISNUMBER(MATCH(_xlfn.TEXTBEFORE(J307,"-"), {"CSS","CSN","PCB","PCF","BEC","CSD","PCM"}, 0)),
            _xlfn.TEXTBEFORE(J307,"-"),
            "Other"
        )
    ),
"Add")</f>
        <v>PCF</v>
      </c>
      <c r="B307" s="10" t="str">
        <f t="shared" si="5"/>
        <v>0040</v>
      </c>
      <c r="C307" s="10" t="str">
        <f>_xlfn.LET(
    _xlpm.val, IF(Datadetails[[#This Row],[Activity]]="D02","C20",Datadetails[[#This Row],[Activity]]),
    IF(ISNUMBER(MATCH(_xlpm.val,{"D04","C30","c40","C20"},0)), _xlpm.val, "Other")
)</f>
        <v>C20</v>
      </c>
      <c r="D307" s="10" t="str">
        <f>IFERROR(VLOOKUP(Datadetails[[#This Row],[Taskcode]],Dashboard!A:A,1,FALSE),"00 Err Missing")</f>
        <v>0040</v>
      </c>
      <c r="E307" s="79">
        <v>45771</v>
      </c>
      <c r="F307" s="80" t="s">
        <v>326</v>
      </c>
      <c r="G307" s="60" t="s">
        <v>40</v>
      </c>
      <c r="H307" s="80" t="s">
        <v>207</v>
      </c>
      <c r="I307" s="80" t="s">
        <v>36</v>
      </c>
      <c r="J307" s="80" t="s">
        <v>417</v>
      </c>
      <c r="K307" s="80" t="s">
        <v>348</v>
      </c>
      <c r="L307" s="80" t="s">
        <v>342</v>
      </c>
      <c r="M307" s="81">
        <v>0.5</v>
      </c>
      <c r="N307" s="82">
        <v>30</v>
      </c>
    </row>
    <row r="308" spans="1:14" x14ac:dyDescent="0.25">
      <c r="A308" s="10" t="str">
        <f>_xlfn.IFNA(
    IF(J308=
        "PCB-0001",
        "CSS",
        IF(
            ISNUMBER(MATCH(_xlfn.TEXTBEFORE(J308,"-"), {"CSS","CSN","PCB","PCF","BEC","CSD","PCM"}, 0)),
            _xlfn.TEXTBEFORE(J308,"-"),
            "Other"
        )
    ),
"Add")</f>
        <v>PCF</v>
      </c>
      <c r="B308" s="10" t="str">
        <f t="shared" si="5"/>
        <v>0098</v>
      </c>
      <c r="C308" s="10" t="str">
        <f>_xlfn.LET(
    _xlpm.val, IF(Datadetails[[#This Row],[Activity]]="D02","C20",Datadetails[[#This Row],[Activity]]),
    IF(ISNUMBER(MATCH(_xlpm.val,{"D04","C30","c40","C20"},0)), _xlpm.val, "Other")
)</f>
        <v>C20</v>
      </c>
      <c r="D308" s="10" t="str">
        <f>IFERROR(VLOOKUP(Datadetails[[#This Row],[Taskcode]],Dashboard!A:A,1,FALSE),"00 Err Missing")</f>
        <v>0098</v>
      </c>
      <c r="E308" s="79">
        <v>45771</v>
      </c>
      <c r="F308" s="80" t="s">
        <v>326</v>
      </c>
      <c r="G308" s="60" t="s">
        <v>40</v>
      </c>
      <c r="H308" s="80" t="s">
        <v>265</v>
      </c>
      <c r="I308" s="80" t="s">
        <v>36</v>
      </c>
      <c r="J308" s="80" t="s">
        <v>358</v>
      </c>
      <c r="K308" s="80" t="s">
        <v>348</v>
      </c>
      <c r="L308" s="80" t="s">
        <v>342</v>
      </c>
      <c r="M308" s="81">
        <v>0.5</v>
      </c>
      <c r="N308" s="82">
        <v>30</v>
      </c>
    </row>
    <row r="309" spans="1:14" x14ac:dyDescent="0.25">
      <c r="A309" s="10" t="str">
        <f>_xlfn.IFNA(
    IF(J309=
        "PCB-0001",
        "CSS",
        IF(
            ISNUMBER(MATCH(_xlfn.TEXTBEFORE(J309,"-"), {"CSS","CSN","PCB","PCF","BEC","CSD","PCM"}, 0)),
            _xlfn.TEXTBEFORE(J309,"-"),
            "Other"
        )
    ),
"Add")</f>
        <v>PCF</v>
      </c>
      <c r="B309" s="10" t="str">
        <f t="shared" si="5"/>
        <v>0070</v>
      </c>
      <c r="C309" s="10" t="str">
        <f>_xlfn.LET(
    _xlpm.val, IF(Datadetails[[#This Row],[Activity]]="D02","C20",Datadetails[[#This Row],[Activity]]),
    IF(ISNUMBER(MATCH(_xlpm.val,{"D04","C30","c40","C20"},0)), _xlpm.val, "Other")
)</f>
        <v>C30</v>
      </c>
      <c r="D309" s="10" t="str">
        <f>IFERROR(VLOOKUP(Datadetails[[#This Row],[Taskcode]],Dashboard!A:A,1,FALSE),"00 Err Missing")</f>
        <v>0070</v>
      </c>
      <c r="E309" s="79">
        <v>45771</v>
      </c>
      <c r="F309" s="80" t="s">
        <v>326</v>
      </c>
      <c r="G309" s="60" t="s">
        <v>40</v>
      </c>
      <c r="H309" s="80" t="s">
        <v>237</v>
      </c>
      <c r="I309" s="80" t="s">
        <v>34</v>
      </c>
      <c r="J309" s="80" t="s">
        <v>427</v>
      </c>
      <c r="K309" s="80" t="s">
        <v>348</v>
      </c>
      <c r="L309" s="80" t="s">
        <v>343</v>
      </c>
      <c r="M309" s="81">
        <v>0.5</v>
      </c>
      <c r="N309" s="82">
        <v>30</v>
      </c>
    </row>
    <row r="310" spans="1:14" x14ac:dyDescent="0.25">
      <c r="A310" s="10" t="str">
        <f>_xlfn.IFNA(
    IF(J310=
        "PCB-0001",
        "CSS",
        IF(
            ISNUMBER(MATCH(_xlfn.TEXTBEFORE(J310,"-"), {"CSS","CSN","PCB","PCF","BEC","CSD","PCM"}, 0)),
            _xlfn.TEXTBEFORE(J310,"-"),
            "Other"
        )
    ),
"Add")</f>
        <v>PCF</v>
      </c>
      <c r="B310" s="10" t="str">
        <f t="shared" si="5"/>
        <v>0021</v>
      </c>
      <c r="C310" s="10" t="str">
        <f>_xlfn.LET(
    _xlpm.val, IF(Datadetails[[#This Row],[Activity]]="D02","C20",Datadetails[[#This Row],[Activity]]),
    IF(ISNUMBER(MATCH(_xlpm.val,{"D04","C30","c40","C20"},0)), _xlpm.val, "Other")
)</f>
        <v>C30</v>
      </c>
      <c r="D310" s="10" t="str">
        <f>IFERROR(VLOOKUP(Datadetails[[#This Row],[Taskcode]],Dashboard!A:A,1,FALSE),"00 Err Missing")</f>
        <v>0021</v>
      </c>
      <c r="E310" s="79">
        <v>45771</v>
      </c>
      <c r="F310" s="80" t="s">
        <v>326</v>
      </c>
      <c r="G310" s="60" t="s">
        <v>40</v>
      </c>
      <c r="H310" s="80" t="s">
        <v>188</v>
      </c>
      <c r="I310" s="80" t="s">
        <v>34</v>
      </c>
      <c r="J310" s="80" t="s">
        <v>356</v>
      </c>
      <c r="K310" s="80" t="s">
        <v>348</v>
      </c>
      <c r="L310" s="80" t="s">
        <v>343</v>
      </c>
      <c r="M310" s="81">
        <v>0.75</v>
      </c>
      <c r="N310" s="82">
        <v>45</v>
      </c>
    </row>
    <row r="311" spans="1:14" x14ac:dyDescent="0.25">
      <c r="A311" s="10" t="str">
        <f>_xlfn.IFNA(
    IF(J311=
        "PCB-0001",
        "CSS",
        IF(
            ISNUMBER(MATCH(_xlfn.TEXTBEFORE(J311,"-"), {"CSS","CSN","PCB","PCF","BEC","CSD","PCM"}, 0)),
            _xlfn.TEXTBEFORE(J311,"-"),
            "Other"
        )
    ),
"Add")</f>
        <v>PCF</v>
      </c>
      <c r="B311" s="10" t="str">
        <f t="shared" si="5"/>
        <v>0066</v>
      </c>
      <c r="C311" s="10" t="str">
        <f>_xlfn.LET(
    _xlpm.val, IF(Datadetails[[#This Row],[Activity]]="D02","C20",Datadetails[[#This Row],[Activity]]),
    IF(ISNUMBER(MATCH(_xlpm.val,{"D04","C30","c40","C20"},0)), _xlpm.val, "Other")
)</f>
        <v>C30</v>
      </c>
      <c r="D311" s="10" t="str">
        <f>IFERROR(VLOOKUP(Datadetails[[#This Row],[Taskcode]],Dashboard!A:A,1,FALSE),"00 Err Missing")</f>
        <v>0066</v>
      </c>
      <c r="E311" s="79">
        <v>45771</v>
      </c>
      <c r="F311" s="80" t="s">
        <v>326</v>
      </c>
      <c r="G311" s="60" t="s">
        <v>40</v>
      </c>
      <c r="H311" s="80" t="s">
        <v>233</v>
      </c>
      <c r="I311" s="80" t="s">
        <v>34</v>
      </c>
      <c r="J311" s="80" t="s">
        <v>387</v>
      </c>
      <c r="K311" s="80" t="s">
        <v>348</v>
      </c>
      <c r="L311" s="80" t="s">
        <v>343</v>
      </c>
      <c r="M311" s="81">
        <v>0.5</v>
      </c>
      <c r="N311" s="82">
        <v>30</v>
      </c>
    </row>
    <row r="312" spans="1:14" x14ac:dyDescent="0.25">
      <c r="A312" s="10" t="str">
        <f>_xlfn.IFNA(
    IF(J312=
        "PCB-0001",
        "CSS",
        IF(
            ISNUMBER(MATCH(_xlfn.TEXTBEFORE(J312,"-"), {"CSS","CSN","PCB","PCF","BEC","CSD","PCM"}, 0)),
            _xlfn.TEXTBEFORE(J312,"-"),
            "Other"
        )
    ),
"Add")</f>
        <v>PCF</v>
      </c>
      <c r="B312" s="10" t="str">
        <f t="shared" si="5"/>
        <v>0069</v>
      </c>
      <c r="C312" s="10" t="str">
        <f>_xlfn.LET(
    _xlpm.val, IF(Datadetails[[#This Row],[Activity]]="D02","C20",Datadetails[[#This Row],[Activity]]),
    IF(ISNUMBER(MATCH(_xlpm.val,{"D04","C30","c40","C20"},0)), _xlpm.val, "Other")
)</f>
        <v>C30</v>
      </c>
      <c r="D312" s="10" t="str">
        <f>IFERROR(VLOOKUP(Datadetails[[#This Row],[Taskcode]],Dashboard!A:A,1,FALSE),"00 Err Missing")</f>
        <v>0069</v>
      </c>
      <c r="E312" s="79">
        <v>45771</v>
      </c>
      <c r="F312" s="80" t="s">
        <v>326</v>
      </c>
      <c r="G312" s="60" t="s">
        <v>40</v>
      </c>
      <c r="H312" s="80" t="s">
        <v>236</v>
      </c>
      <c r="I312" s="80" t="s">
        <v>34</v>
      </c>
      <c r="J312" s="80" t="s">
        <v>357</v>
      </c>
      <c r="K312" s="80" t="s">
        <v>348</v>
      </c>
      <c r="L312" s="80" t="s">
        <v>343</v>
      </c>
      <c r="M312" s="81">
        <v>0.67</v>
      </c>
      <c r="N312" s="82">
        <v>40.200000000000003</v>
      </c>
    </row>
    <row r="313" spans="1:14" x14ac:dyDescent="0.25">
      <c r="A313" s="10" t="str">
        <f>_xlfn.IFNA(
    IF(J313=
        "PCB-0001",
        "CSS",
        IF(
            ISNUMBER(MATCH(_xlfn.TEXTBEFORE(J313,"-"), {"CSS","CSN","PCB","PCF","BEC","CSD","PCM"}, 0)),
            _xlfn.TEXTBEFORE(J313,"-"),
            "Other"
        )
    ),
"Add")</f>
        <v>BEC</v>
      </c>
      <c r="B313" s="10" t="str">
        <f t="shared" si="5"/>
        <v>0001</v>
      </c>
      <c r="C313" s="10" t="str">
        <f>_xlfn.LET(
    _xlpm.val, IF(Datadetails[[#This Row],[Activity]]="D02","C20",Datadetails[[#This Row],[Activity]]),
    IF(ISNUMBER(MATCH(_xlpm.val,{"D04","C30","c40","C20"},0)), _xlpm.val, "Other")
)</f>
        <v>D04</v>
      </c>
      <c r="D313" s="10" t="str">
        <f>IFERROR(VLOOKUP(Datadetails[[#This Row],[Taskcode]],Dashboard!A:A,1,FALSE),"00 Err Missing")</f>
        <v>0001</v>
      </c>
      <c r="E313" s="79">
        <v>45771</v>
      </c>
      <c r="F313" s="80" t="s">
        <v>332</v>
      </c>
      <c r="G313" s="60" t="s">
        <v>40</v>
      </c>
      <c r="H313" s="80" t="s">
        <v>314</v>
      </c>
      <c r="I313" s="80" t="s">
        <v>35</v>
      </c>
      <c r="J313" s="80" t="s">
        <v>359</v>
      </c>
      <c r="K313" s="80" t="s">
        <v>339</v>
      </c>
      <c r="L313" s="80" t="s">
        <v>352</v>
      </c>
      <c r="M313" s="81">
        <v>7.5</v>
      </c>
      <c r="N313" s="82">
        <v>300</v>
      </c>
    </row>
    <row r="314" spans="1:14" x14ac:dyDescent="0.25">
      <c r="A314" s="10" t="str">
        <f>_xlfn.IFNA(
    IF(J314=
        "PCB-0001",
        "CSS",
        IF(
            ISNUMBER(MATCH(_xlfn.TEXTBEFORE(J314,"-"), {"CSS","CSN","PCB","PCF","BEC","CSD","PCM"}, 0)),
            _xlfn.TEXTBEFORE(J314,"-"),
            "Other"
        )
    ),
"Add")</f>
        <v>BEC</v>
      </c>
      <c r="B314" s="10" t="str">
        <f t="shared" si="5"/>
        <v>0001</v>
      </c>
      <c r="C314" s="10" t="str">
        <f>_xlfn.LET(
    _xlpm.val, IF(Datadetails[[#This Row],[Activity]]="D02","C20",Datadetails[[#This Row],[Activity]]),
    IF(ISNUMBER(MATCH(_xlpm.val,{"D04","C30","c40","C20"},0)), _xlpm.val, "Other")
)</f>
        <v>D04</v>
      </c>
      <c r="D314" s="10" t="str">
        <f>IFERROR(VLOOKUP(Datadetails[[#This Row],[Taskcode]],Dashboard!A:A,1,FALSE),"00 Err Missing")</f>
        <v>0001</v>
      </c>
      <c r="E314" s="79">
        <v>45771</v>
      </c>
      <c r="F314" s="80" t="s">
        <v>324</v>
      </c>
      <c r="G314" s="60" t="s">
        <v>40</v>
      </c>
      <c r="H314" s="80" t="s">
        <v>314</v>
      </c>
      <c r="I314" s="80" t="s">
        <v>35</v>
      </c>
      <c r="J314" s="80" t="s">
        <v>359</v>
      </c>
      <c r="K314" s="80" t="s">
        <v>339</v>
      </c>
      <c r="L314" s="80" t="s">
        <v>352</v>
      </c>
      <c r="M314" s="81">
        <v>7</v>
      </c>
      <c r="N314" s="82">
        <v>525</v>
      </c>
    </row>
    <row r="315" spans="1:14" x14ac:dyDescent="0.25">
      <c r="A315" s="10" t="str">
        <f>_xlfn.IFNA(
    IF(J315=
        "PCB-0001",
        "CSS",
        IF(
            ISNUMBER(MATCH(_xlfn.TEXTBEFORE(J315,"-"), {"CSS","CSN","PCB","PCF","BEC","CSD","PCM"}, 0)),
            _xlfn.TEXTBEFORE(J315,"-"),
            "Other"
        )
    ),
"Add")</f>
        <v>PCM</v>
      </c>
      <c r="B315" s="10" t="str">
        <f t="shared" si="5"/>
        <v>0035</v>
      </c>
      <c r="C315" s="10" t="str">
        <f>_xlfn.LET(
    _xlpm.val, IF(Datadetails[[#This Row],[Activity]]="D02","C20",Datadetails[[#This Row],[Activity]]),
    IF(ISNUMBER(MATCH(_xlpm.val,{"D04","C30","c40","C20"},0)), _xlpm.val, "Other")
)</f>
        <v>C20</v>
      </c>
      <c r="D315" s="10" t="str">
        <f>IFERROR(VLOOKUP(Datadetails[[#This Row],[Taskcode]],Dashboard!A:A,1,FALSE),"00 Err Missing")</f>
        <v>0035</v>
      </c>
      <c r="E315" s="79">
        <v>45772</v>
      </c>
      <c r="F315" s="80" t="s">
        <v>323</v>
      </c>
      <c r="G315" s="60" t="s">
        <v>40</v>
      </c>
      <c r="H315" s="80" t="s">
        <v>202</v>
      </c>
      <c r="I315" s="80" t="s">
        <v>36</v>
      </c>
      <c r="J315" s="80" t="s">
        <v>431</v>
      </c>
      <c r="K315" s="80" t="s">
        <v>346</v>
      </c>
      <c r="L315" s="80" t="s">
        <v>342</v>
      </c>
      <c r="M315" s="81">
        <v>0.5</v>
      </c>
      <c r="N315" s="82">
        <v>30</v>
      </c>
    </row>
    <row r="316" spans="1:14" x14ac:dyDescent="0.25">
      <c r="A316" s="10" t="str">
        <f>_xlfn.IFNA(
    IF(J316=
        "PCB-0001",
        "CSS",
        IF(
            ISNUMBER(MATCH(_xlfn.TEXTBEFORE(J316,"-"), {"CSS","CSN","PCB","PCF","BEC","CSD","PCM"}, 0)),
            _xlfn.TEXTBEFORE(J316,"-"),
            "Other"
        )
    ),
"Add")</f>
        <v>CSN</v>
      </c>
      <c r="B316" s="10" t="str">
        <f t="shared" si="5"/>
        <v>0001</v>
      </c>
      <c r="C316" s="10" t="str">
        <f>_xlfn.LET(
    _xlpm.val, IF(Datadetails[[#This Row],[Activity]]="D02","C20",Datadetails[[#This Row],[Activity]]),
    IF(ISNUMBER(MATCH(_xlpm.val,{"D04","C30","c40","C20"},0)), _xlpm.val, "Other")
)</f>
        <v>D04</v>
      </c>
      <c r="D316" s="10" t="str">
        <f>IFERROR(VLOOKUP(Datadetails[[#This Row],[Taskcode]],Dashboard!A:A,1,FALSE),"00 Err Missing")</f>
        <v>0001</v>
      </c>
      <c r="E316" s="79">
        <v>45772</v>
      </c>
      <c r="F316" s="80" t="s">
        <v>329</v>
      </c>
      <c r="G316" s="60" t="s">
        <v>40</v>
      </c>
      <c r="H316" s="80" t="s">
        <v>316</v>
      </c>
      <c r="I316" s="80" t="s">
        <v>35</v>
      </c>
      <c r="J316" s="80" t="s">
        <v>338</v>
      </c>
      <c r="K316" s="80" t="s">
        <v>337</v>
      </c>
      <c r="L316" s="80" t="s">
        <v>352</v>
      </c>
      <c r="M316" s="81">
        <v>1</v>
      </c>
      <c r="N316" s="82">
        <v>75</v>
      </c>
    </row>
    <row r="317" spans="1:14" x14ac:dyDescent="0.25">
      <c r="A317" s="10" t="str">
        <f>_xlfn.IFNA(
    IF(J317=
        "PCB-0001",
        "CSS",
        IF(
            ISNUMBER(MATCH(_xlfn.TEXTBEFORE(J317,"-"), {"CSS","CSN","PCB","PCF","BEC","CSD","PCM"}, 0)),
            _xlfn.TEXTBEFORE(J317,"-"),
            "Other"
        )
    ),
"Add")</f>
        <v>CSD</v>
      </c>
      <c r="B317" s="10" t="str">
        <f t="shared" si="5"/>
        <v>0001</v>
      </c>
      <c r="C317" s="10" t="str">
        <f>_xlfn.LET(
    _xlpm.val, IF(Datadetails[[#This Row],[Activity]]="D02","C20",Datadetails[[#This Row],[Activity]]),
    IF(ISNUMBER(MATCH(_xlpm.val,{"D04","C30","c40","C20"},0)), _xlpm.val, "Other")
)</f>
        <v>D04</v>
      </c>
      <c r="D317" s="10" t="str">
        <f>IFERROR(VLOOKUP(Datadetails[[#This Row],[Taskcode]],Dashboard!A:A,1,FALSE),"00 Err Missing")</f>
        <v>0001</v>
      </c>
      <c r="E317" s="79">
        <v>45772</v>
      </c>
      <c r="F317" s="80" t="s">
        <v>333</v>
      </c>
      <c r="G317" s="60" t="s">
        <v>40</v>
      </c>
      <c r="H317" s="80" t="s">
        <v>320</v>
      </c>
      <c r="I317" s="80" t="s">
        <v>35</v>
      </c>
      <c r="J317" s="80" t="s">
        <v>322</v>
      </c>
      <c r="K317" s="80" t="s">
        <v>319</v>
      </c>
      <c r="L317" s="80" t="s">
        <v>352</v>
      </c>
      <c r="M317" s="81">
        <v>7.37</v>
      </c>
      <c r="N317" s="82">
        <v>235.84</v>
      </c>
    </row>
    <row r="318" spans="1:14" x14ac:dyDescent="0.25">
      <c r="A318" s="10" t="str">
        <f>_xlfn.IFNA(
    IF(J318=
        "PCB-0001",
        "CSS",
        IF(
            ISNUMBER(MATCH(_xlfn.TEXTBEFORE(J318,"-"), {"CSS","CSN","PCB","PCF","BEC","CSD","PCM"}, 0)),
            _xlfn.TEXTBEFORE(J318,"-"),
            "Other"
        )
    ),
"Add")</f>
        <v>CSD</v>
      </c>
      <c r="B318" s="10" t="str">
        <f t="shared" si="5"/>
        <v>0001</v>
      </c>
      <c r="C318" s="10" t="str">
        <f>_xlfn.LET(
    _xlpm.val, IF(Datadetails[[#This Row],[Activity]]="D02","C20",Datadetails[[#This Row],[Activity]]),
    IF(ISNUMBER(MATCH(_xlpm.val,{"D04","C30","c40","C20"},0)), _xlpm.val, "Other")
)</f>
        <v>D04</v>
      </c>
      <c r="D318" s="10" t="str">
        <f>IFERROR(VLOOKUP(Datadetails[[#This Row],[Taskcode]],Dashboard!A:A,1,FALSE),"00 Err Missing")</f>
        <v>0001</v>
      </c>
      <c r="E318" s="79">
        <v>45772</v>
      </c>
      <c r="F318" s="80" t="s">
        <v>327</v>
      </c>
      <c r="G318" s="60" t="s">
        <v>40</v>
      </c>
      <c r="H318" s="80" t="s">
        <v>320</v>
      </c>
      <c r="I318" s="80" t="s">
        <v>35</v>
      </c>
      <c r="J318" s="80" t="s">
        <v>322</v>
      </c>
      <c r="K318" s="80" t="s">
        <v>319</v>
      </c>
      <c r="L318" s="80" t="s">
        <v>352</v>
      </c>
      <c r="M318" s="81">
        <v>7.25</v>
      </c>
      <c r="N318" s="82">
        <v>232</v>
      </c>
    </row>
    <row r="319" spans="1:14" x14ac:dyDescent="0.25">
      <c r="A319" s="10" t="str">
        <f>_xlfn.IFNA(
    IF(J319=
        "PCB-0001",
        "CSS",
        IF(
            ISNUMBER(MATCH(_xlfn.TEXTBEFORE(J319,"-"), {"CSS","CSN","PCB","PCF","BEC","CSD","PCM"}, 0)),
            _xlfn.TEXTBEFORE(J319,"-"),
            "Other"
        )
    ),
"Add")</f>
        <v>PCM</v>
      </c>
      <c r="B319" s="10" t="str">
        <f t="shared" si="5"/>
        <v>0078</v>
      </c>
      <c r="C319" s="10" t="str">
        <f>_xlfn.LET(
    _xlpm.val, IF(Datadetails[[#This Row],[Activity]]="D02","C20",Datadetails[[#This Row],[Activity]]),
    IF(ISNUMBER(MATCH(_xlpm.val,{"D04","C30","c40","C20"},0)), _xlpm.val, "Other")
)</f>
        <v>C20</v>
      </c>
      <c r="D319" s="10" t="str">
        <f>IFERROR(VLOOKUP(Datadetails[[#This Row],[Taskcode]],Dashboard!A:A,1,FALSE),"00 Err Missing")</f>
        <v>0078</v>
      </c>
      <c r="E319" s="79">
        <v>45772</v>
      </c>
      <c r="F319" s="80" t="s">
        <v>323</v>
      </c>
      <c r="G319" s="60" t="s">
        <v>40</v>
      </c>
      <c r="H319" s="80" t="s">
        <v>245</v>
      </c>
      <c r="I319" s="80" t="s">
        <v>36</v>
      </c>
      <c r="J319" s="80" t="s">
        <v>435</v>
      </c>
      <c r="K319" s="80" t="s">
        <v>346</v>
      </c>
      <c r="L319" s="80" t="s">
        <v>342</v>
      </c>
      <c r="M319" s="81">
        <v>0.25</v>
      </c>
      <c r="N319" s="82">
        <v>15</v>
      </c>
    </row>
    <row r="320" spans="1:14" x14ac:dyDescent="0.25">
      <c r="A320" s="10" t="str">
        <f>_xlfn.IFNA(
    IF(J320=
        "PCB-0001",
        "CSS",
        IF(
            ISNUMBER(MATCH(_xlfn.TEXTBEFORE(J320,"-"), {"CSS","CSN","PCB","PCF","BEC","CSD","PCM"}, 0)),
            _xlfn.TEXTBEFORE(J320,"-"),
            "Other"
        )
    ),
"Add")</f>
        <v>PCM</v>
      </c>
      <c r="B320" s="10" t="str">
        <f t="shared" si="5"/>
        <v>0116</v>
      </c>
      <c r="C320" s="10" t="str">
        <f>_xlfn.LET(
    _xlpm.val, IF(Datadetails[[#This Row],[Activity]]="D02","C20",Datadetails[[#This Row],[Activity]]),
    IF(ISNUMBER(MATCH(_xlpm.val,{"D04","C30","c40","C20"},0)), _xlpm.val, "Other")
)</f>
        <v>C20</v>
      </c>
      <c r="D320" s="10" t="str">
        <f>IFERROR(VLOOKUP(Datadetails[[#This Row],[Taskcode]],Dashboard!A:A,1,FALSE),"00 Err Missing")</f>
        <v>0116</v>
      </c>
      <c r="E320" s="79">
        <v>45772</v>
      </c>
      <c r="F320" s="80" t="s">
        <v>323</v>
      </c>
      <c r="G320" s="60" t="s">
        <v>40</v>
      </c>
      <c r="H320" s="80" t="s">
        <v>283</v>
      </c>
      <c r="I320" s="80" t="s">
        <v>36</v>
      </c>
      <c r="J320" s="80" t="s">
        <v>429</v>
      </c>
      <c r="K320" s="80" t="s">
        <v>346</v>
      </c>
      <c r="L320" s="80" t="s">
        <v>342</v>
      </c>
      <c r="M320" s="81">
        <v>0.25</v>
      </c>
      <c r="N320" s="82">
        <v>15</v>
      </c>
    </row>
    <row r="321" spans="1:14" x14ac:dyDescent="0.25">
      <c r="A321" s="10" t="str">
        <f>_xlfn.IFNA(
    IF(J321=
        "PCB-0001",
        "CSS",
        IF(
            ISNUMBER(MATCH(_xlfn.TEXTBEFORE(J321,"-"), {"CSS","CSN","PCB","PCF","BEC","CSD","PCM"}, 0)),
            _xlfn.TEXTBEFORE(J321,"-"),
            "Other"
        )
    ),
"Add")</f>
        <v>PCM</v>
      </c>
      <c r="B321" s="10" t="str">
        <f t="shared" si="5"/>
        <v>0100</v>
      </c>
      <c r="C321" s="10" t="str">
        <f>_xlfn.LET(
    _xlpm.val, IF(Datadetails[[#This Row],[Activity]]="D02","C20",Datadetails[[#This Row],[Activity]]),
    IF(ISNUMBER(MATCH(_xlpm.val,{"D04","C30","c40","C20"},0)), _xlpm.val, "Other")
)</f>
        <v>C20</v>
      </c>
      <c r="D321" s="10" t="str">
        <f>IFERROR(VLOOKUP(Datadetails[[#This Row],[Taskcode]],Dashboard!A:A,1,FALSE),"00 Err Missing")</f>
        <v>0100</v>
      </c>
      <c r="E321" s="79">
        <v>45772</v>
      </c>
      <c r="F321" s="80" t="s">
        <v>323</v>
      </c>
      <c r="G321" s="60" t="s">
        <v>40</v>
      </c>
      <c r="H321" s="80" t="s">
        <v>267</v>
      </c>
      <c r="I321" s="80" t="s">
        <v>36</v>
      </c>
      <c r="J321" s="80" t="s">
        <v>436</v>
      </c>
      <c r="K321" s="80" t="s">
        <v>346</v>
      </c>
      <c r="L321" s="80" t="s">
        <v>342</v>
      </c>
      <c r="M321" s="81">
        <v>0.25</v>
      </c>
      <c r="N321" s="82">
        <v>15</v>
      </c>
    </row>
    <row r="322" spans="1:14" x14ac:dyDescent="0.25">
      <c r="A322" s="10" t="str">
        <f>_xlfn.IFNA(
    IF(J322=
        "PCB-0001",
        "CSS",
        IF(
            ISNUMBER(MATCH(_xlfn.TEXTBEFORE(J322,"-"), {"CSS","CSN","PCB","PCF","BEC","CSD","PCM"}, 0)),
            _xlfn.TEXTBEFORE(J322,"-"),
            "Other"
        )
    ),
"Add")</f>
        <v>PCM</v>
      </c>
      <c r="B322" s="10" t="str">
        <f t="shared" si="5"/>
        <v>0064</v>
      </c>
      <c r="C322" s="10" t="str">
        <f>_xlfn.LET(
    _xlpm.val, IF(Datadetails[[#This Row],[Activity]]="D02","C20",Datadetails[[#This Row],[Activity]]),
    IF(ISNUMBER(MATCH(_xlpm.val,{"D04","C30","c40","C20"},0)), _xlpm.val, "Other")
)</f>
        <v>C30</v>
      </c>
      <c r="D322" s="10" t="str">
        <f>IFERROR(VLOOKUP(Datadetails[[#This Row],[Taskcode]],Dashboard!A:A,1,FALSE),"00 Err Missing")</f>
        <v>0064</v>
      </c>
      <c r="E322" s="79">
        <v>45772</v>
      </c>
      <c r="F322" s="80" t="s">
        <v>323</v>
      </c>
      <c r="G322" s="60" t="s">
        <v>40</v>
      </c>
      <c r="H322" s="80" t="s">
        <v>231</v>
      </c>
      <c r="I322" s="80" t="s">
        <v>34</v>
      </c>
      <c r="J322" s="80" t="s">
        <v>420</v>
      </c>
      <c r="K322" s="80" t="s">
        <v>346</v>
      </c>
      <c r="L322" s="80" t="s">
        <v>343</v>
      </c>
      <c r="M322" s="81">
        <v>0.25</v>
      </c>
      <c r="N322" s="82">
        <v>15</v>
      </c>
    </row>
    <row r="323" spans="1:14" x14ac:dyDescent="0.25">
      <c r="A323" s="10" t="str">
        <f>_xlfn.IFNA(
    IF(J323=
        "PCB-0001",
        "CSS",
        IF(
            ISNUMBER(MATCH(_xlfn.TEXTBEFORE(J323,"-"), {"CSS","CSN","PCB","PCF","BEC","CSD","PCM"}, 0)),
            _xlfn.TEXTBEFORE(J323,"-"),
            "Other"
        )
    ),
"Add")</f>
        <v>PCM</v>
      </c>
      <c r="B323" s="10" t="str">
        <f t="shared" si="5"/>
        <v>0001</v>
      </c>
      <c r="C323" s="10" t="str">
        <f>_xlfn.LET(
    _xlpm.val, IF(Datadetails[[#This Row],[Activity]]="D02","C20",Datadetails[[#This Row],[Activity]]),
    IF(ISNUMBER(MATCH(_xlpm.val,{"D04","C30","c40","C20"},0)), _xlpm.val, "Other")
)</f>
        <v>C30</v>
      </c>
      <c r="D323" s="10" t="str">
        <f>IFERROR(VLOOKUP(Datadetails[[#This Row],[Taskcode]],Dashboard!A:A,1,FALSE),"00 Err Missing")</f>
        <v>0001</v>
      </c>
      <c r="E323" s="79">
        <v>45772</v>
      </c>
      <c r="F323" s="80" t="s">
        <v>323</v>
      </c>
      <c r="G323" s="60" t="s">
        <v>40</v>
      </c>
      <c r="H323" s="80" t="s">
        <v>168</v>
      </c>
      <c r="I323" s="80" t="s">
        <v>34</v>
      </c>
      <c r="J323" s="80" t="s">
        <v>419</v>
      </c>
      <c r="K323" s="80" t="s">
        <v>346</v>
      </c>
      <c r="L323" s="80" t="s">
        <v>343</v>
      </c>
      <c r="M323" s="81">
        <v>0.25</v>
      </c>
      <c r="N323" s="82">
        <v>15</v>
      </c>
    </row>
    <row r="324" spans="1:14" x14ac:dyDescent="0.25">
      <c r="A324" s="10" t="str">
        <f>_xlfn.IFNA(
    IF(J324=
        "PCB-0001",
        "CSS",
        IF(
            ISNUMBER(MATCH(_xlfn.TEXTBEFORE(J324,"-"), {"CSS","CSN","PCB","PCF","BEC","CSD","PCM"}, 0)),
            _xlfn.TEXTBEFORE(J324,"-"),
            "Other"
        )
    ),
"Add")</f>
        <v>PCB</v>
      </c>
      <c r="B324" s="10" t="str">
        <f t="shared" ref="B324:B387" si="6">_xlfn.IFNA(_xlfn.TEXTAFTER(J324,"-"),"Data to C2")</f>
        <v>0030</v>
      </c>
      <c r="C324" s="10" t="str">
        <f>_xlfn.LET(
    _xlpm.val, IF(Datadetails[[#This Row],[Activity]]="D02","C20",Datadetails[[#This Row],[Activity]]),
    IF(ISNUMBER(MATCH(_xlpm.val,{"D04","C30","c40","C20"},0)), _xlpm.val, "Other")
)</f>
        <v>C30</v>
      </c>
      <c r="D324" s="10" t="str">
        <f>IFERROR(VLOOKUP(Datadetails[[#This Row],[Taskcode]],Dashboard!A:A,1,FALSE),"00 Err Missing")</f>
        <v>0030</v>
      </c>
      <c r="E324" s="79">
        <v>45772</v>
      </c>
      <c r="F324" s="80" t="s">
        <v>329</v>
      </c>
      <c r="G324" s="60" t="s">
        <v>40</v>
      </c>
      <c r="H324" s="80" t="s">
        <v>197</v>
      </c>
      <c r="I324" s="80" t="s">
        <v>34</v>
      </c>
      <c r="J324" s="80" t="s">
        <v>366</v>
      </c>
      <c r="K324" s="80" t="s">
        <v>347</v>
      </c>
      <c r="L324" s="80" t="s">
        <v>343</v>
      </c>
      <c r="M324" s="81">
        <v>0.75</v>
      </c>
      <c r="N324" s="82">
        <v>56.25</v>
      </c>
    </row>
    <row r="325" spans="1:14" x14ac:dyDescent="0.25">
      <c r="A325" s="10" t="str">
        <f>_xlfn.IFNA(
    IF(J325=
        "PCB-0001",
        "CSS",
        IF(
            ISNUMBER(MATCH(_xlfn.TEXTBEFORE(J325,"-"), {"CSS","CSN","PCB","PCF","BEC","CSD","PCM"}, 0)),
            _xlfn.TEXTBEFORE(J325,"-"),
            "Other"
        )
    ),
"Add")</f>
        <v>PCB</v>
      </c>
      <c r="B325" s="10" t="str">
        <f t="shared" si="6"/>
        <v>0019</v>
      </c>
      <c r="C325" s="10" t="str">
        <f>_xlfn.LET(
    _xlpm.val, IF(Datadetails[[#This Row],[Activity]]="D02","C20",Datadetails[[#This Row],[Activity]]),
    IF(ISNUMBER(MATCH(_xlpm.val,{"D04","C30","c40","C20"},0)), _xlpm.val, "Other")
)</f>
        <v>C30</v>
      </c>
      <c r="D325" s="10" t="str">
        <f>IFERROR(VLOOKUP(Datadetails[[#This Row],[Taskcode]],Dashboard!A:A,1,FALSE),"00 Err Missing")</f>
        <v>0019</v>
      </c>
      <c r="E325" s="79">
        <v>45772</v>
      </c>
      <c r="F325" s="80" t="s">
        <v>329</v>
      </c>
      <c r="G325" s="60" t="s">
        <v>40</v>
      </c>
      <c r="H325" s="80" t="s">
        <v>186</v>
      </c>
      <c r="I325" s="80" t="s">
        <v>34</v>
      </c>
      <c r="J325" s="80" t="s">
        <v>397</v>
      </c>
      <c r="K325" s="80" t="s">
        <v>347</v>
      </c>
      <c r="L325" s="80" t="s">
        <v>343</v>
      </c>
      <c r="M325" s="81">
        <v>0.17</v>
      </c>
      <c r="N325" s="82">
        <v>12.750000000000002</v>
      </c>
    </row>
    <row r="326" spans="1:14" x14ac:dyDescent="0.25">
      <c r="A326" s="10" t="str">
        <f>_xlfn.IFNA(
    IF(J326=
        "PCB-0001",
        "CSS",
        IF(
            ISNUMBER(MATCH(_xlfn.TEXTBEFORE(J326,"-"), {"CSS","CSN","PCB","PCF","BEC","CSD","PCM"}, 0)),
            _xlfn.TEXTBEFORE(J326,"-"),
            "Other"
        )
    ),
"Add")</f>
        <v>PCB</v>
      </c>
      <c r="B326" s="10" t="str">
        <f t="shared" si="6"/>
        <v>0044</v>
      </c>
      <c r="C326" s="10" t="str">
        <f>_xlfn.LET(
    _xlpm.val, IF(Datadetails[[#This Row],[Activity]]="D02","C20",Datadetails[[#This Row],[Activity]]),
    IF(ISNUMBER(MATCH(_xlpm.val,{"D04","C30","c40","C20"},0)), _xlpm.val, "Other")
)</f>
        <v>C30</v>
      </c>
      <c r="D326" s="10" t="str">
        <f>IFERROR(VLOOKUP(Datadetails[[#This Row],[Taskcode]],Dashboard!A:A,1,FALSE),"00 Err Missing")</f>
        <v>0044</v>
      </c>
      <c r="E326" s="79">
        <v>45772</v>
      </c>
      <c r="F326" s="80" t="s">
        <v>330</v>
      </c>
      <c r="G326" s="60" t="s">
        <v>40</v>
      </c>
      <c r="H326" s="80" t="s">
        <v>211</v>
      </c>
      <c r="I326" s="80" t="s">
        <v>34</v>
      </c>
      <c r="J326" s="80" t="s">
        <v>437</v>
      </c>
      <c r="K326" s="80" t="s">
        <v>347</v>
      </c>
      <c r="L326" s="80" t="s">
        <v>343</v>
      </c>
      <c r="M326" s="81">
        <v>1</v>
      </c>
      <c r="N326" s="82">
        <v>60</v>
      </c>
    </row>
    <row r="327" spans="1:14" x14ac:dyDescent="0.25">
      <c r="A327" s="10" t="str">
        <f>_xlfn.IFNA(
    IF(J327=
        "PCB-0001",
        "CSS",
        IF(
            ISNUMBER(MATCH(_xlfn.TEXTBEFORE(J327,"-"), {"CSS","CSN","PCB","PCF","BEC","CSD","PCM"}, 0)),
            _xlfn.TEXTBEFORE(J327,"-"),
            "Other"
        )
    ),
"Add")</f>
        <v>PCB</v>
      </c>
      <c r="B327" s="10" t="str">
        <f t="shared" si="6"/>
        <v>0062</v>
      </c>
      <c r="C327" s="10" t="str">
        <f>_xlfn.LET(
    _xlpm.val, IF(Datadetails[[#This Row],[Activity]]="D02","C20",Datadetails[[#This Row],[Activity]]),
    IF(ISNUMBER(MATCH(_xlpm.val,{"D04","C30","c40","C20"},0)), _xlpm.val, "Other")
)</f>
        <v>C30</v>
      </c>
      <c r="D327" s="10" t="str">
        <f>IFERROR(VLOOKUP(Datadetails[[#This Row],[Taskcode]],Dashboard!A:A,1,FALSE),"00 Err Missing")</f>
        <v>0062</v>
      </c>
      <c r="E327" s="79">
        <v>45772</v>
      </c>
      <c r="F327" s="80" t="s">
        <v>329</v>
      </c>
      <c r="G327" s="60" t="s">
        <v>40</v>
      </c>
      <c r="H327" s="80" t="s">
        <v>229</v>
      </c>
      <c r="I327" s="80" t="s">
        <v>34</v>
      </c>
      <c r="J327" s="80" t="s">
        <v>373</v>
      </c>
      <c r="K327" s="80" t="s">
        <v>347</v>
      </c>
      <c r="L327" s="80" t="s">
        <v>343</v>
      </c>
      <c r="M327" s="81">
        <v>0.17</v>
      </c>
      <c r="N327" s="82">
        <v>12.750000000000002</v>
      </c>
    </row>
    <row r="328" spans="1:14" x14ac:dyDescent="0.25">
      <c r="A328" s="10" t="str">
        <f>_xlfn.IFNA(
    IF(J328=
        "PCB-0001",
        "CSS",
        IF(
            ISNUMBER(MATCH(_xlfn.TEXTBEFORE(J328,"-"), {"CSS","CSN","PCB","PCF","BEC","CSD","PCM"}, 0)),
            _xlfn.TEXTBEFORE(J328,"-"),
            "Other"
        )
    ),
"Add")</f>
        <v>PCB</v>
      </c>
      <c r="B328" s="10" t="str">
        <f t="shared" si="6"/>
        <v>0074</v>
      </c>
      <c r="C328" s="10" t="str">
        <f>_xlfn.LET(
    _xlpm.val, IF(Datadetails[[#This Row],[Activity]]="D02","C20",Datadetails[[#This Row],[Activity]]),
    IF(ISNUMBER(MATCH(_xlpm.val,{"D04","C30","c40","C20"},0)), _xlpm.val, "Other")
)</f>
        <v>C30</v>
      </c>
      <c r="D328" s="10" t="str">
        <f>IFERROR(VLOOKUP(Datadetails[[#This Row],[Taskcode]],Dashboard!A:A,1,FALSE),"00 Err Missing")</f>
        <v>0074</v>
      </c>
      <c r="E328" s="79">
        <v>45772</v>
      </c>
      <c r="F328" s="80" t="s">
        <v>329</v>
      </c>
      <c r="G328" s="60" t="s">
        <v>40</v>
      </c>
      <c r="H328" s="80" t="s">
        <v>241</v>
      </c>
      <c r="I328" s="80" t="s">
        <v>34</v>
      </c>
      <c r="J328" s="80" t="s">
        <v>403</v>
      </c>
      <c r="K328" s="80" t="s">
        <v>347</v>
      </c>
      <c r="L328" s="80" t="s">
        <v>343</v>
      </c>
      <c r="M328" s="81">
        <v>0.75</v>
      </c>
      <c r="N328" s="82">
        <v>56.25</v>
      </c>
    </row>
    <row r="329" spans="1:14" x14ac:dyDescent="0.25">
      <c r="A329" s="10" t="str">
        <f>_xlfn.IFNA(
    IF(J329=
        "PCB-0001",
        "CSS",
        IF(
            ISNUMBER(MATCH(_xlfn.TEXTBEFORE(J329,"-"), {"CSS","CSN","PCB","PCF","BEC","CSD","PCM"}, 0)),
            _xlfn.TEXTBEFORE(J329,"-"),
            "Other"
        )
    ),
"Add")</f>
        <v>PCB</v>
      </c>
      <c r="B329" s="10" t="str">
        <f t="shared" si="6"/>
        <v>0127</v>
      </c>
      <c r="C329" s="10" t="str">
        <f>_xlfn.LET(
    _xlpm.val, IF(Datadetails[[#This Row],[Activity]]="D02","C20",Datadetails[[#This Row],[Activity]]),
    IF(ISNUMBER(MATCH(_xlpm.val,{"D04","C30","c40","C20"},0)), _xlpm.val, "Other")
)</f>
        <v>C30</v>
      </c>
      <c r="D329" s="10" t="str">
        <f>IFERROR(VLOOKUP(Datadetails[[#This Row],[Taskcode]],Dashboard!A:A,1,FALSE),"00 Err Missing")</f>
        <v>0127</v>
      </c>
      <c r="E329" s="79">
        <v>45772</v>
      </c>
      <c r="F329" s="80" t="s">
        <v>329</v>
      </c>
      <c r="G329" s="60" t="s">
        <v>40</v>
      </c>
      <c r="H329" s="80" t="s">
        <v>294</v>
      </c>
      <c r="I329" s="80" t="s">
        <v>34</v>
      </c>
      <c r="J329" s="80" t="s">
        <v>377</v>
      </c>
      <c r="K329" s="80" t="s">
        <v>347</v>
      </c>
      <c r="L329" s="80" t="s">
        <v>343</v>
      </c>
      <c r="M329" s="81">
        <v>0.17</v>
      </c>
      <c r="N329" s="82">
        <v>12.750000000000002</v>
      </c>
    </row>
    <row r="330" spans="1:14" x14ac:dyDescent="0.25">
      <c r="A330" s="10" t="str">
        <f>_xlfn.IFNA(
    IF(J330=
        "PCB-0001",
        "CSS",
        IF(
            ISNUMBER(MATCH(_xlfn.TEXTBEFORE(J330,"-"), {"CSS","CSN","PCB","PCF","BEC","CSD","PCM"}, 0)),
            _xlfn.TEXTBEFORE(J330,"-"),
            "Other"
        )
    ),
"Add")</f>
        <v>PCB</v>
      </c>
      <c r="B330" s="10" t="str">
        <f t="shared" si="6"/>
        <v>0129</v>
      </c>
      <c r="C330" s="10" t="str">
        <f>_xlfn.LET(
    _xlpm.val, IF(Datadetails[[#This Row],[Activity]]="D02","C20",Datadetails[[#This Row],[Activity]]),
    IF(ISNUMBER(MATCH(_xlpm.val,{"D04","C30","c40","C20"},0)), _xlpm.val, "Other")
)</f>
        <v>C30</v>
      </c>
      <c r="D330" s="10" t="str">
        <f>IFERROR(VLOOKUP(Datadetails[[#This Row],[Taskcode]],Dashboard!A:A,1,FALSE),"00 Err Missing")</f>
        <v>0129</v>
      </c>
      <c r="E330" s="79">
        <v>45772</v>
      </c>
      <c r="F330" s="80" t="s">
        <v>329</v>
      </c>
      <c r="G330" s="60" t="s">
        <v>40</v>
      </c>
      <c r="H330" s="80" t="s">
        <v>296</v>
      </c>
      <c r="I330" s="80" t="s">
        <v>34</v>
      </c>
      <c r="J330" s="80" t="s">
        <v>411</v>
      </c>
      <c r="K330" s="80" t="s">
        <v>347</v>
      </c>
      <c r="L330" s="80" t="s">
        <v>343</v>
      </c>
      <c r="M330" s="81">
        <v>0.17</v>
      </c>
      <c r="N330" s="82">
        <v>12.750000000000002</v>
      </c>
    </row>
    <row r="331" spans="1:14" x14ac:dyDescent="0.25">
      <c r="A331" s="10" t="str">
        <f>_xlfn.IFNA(
    IF(J331=
        "PCB-0001",
        "CSS",
        IF(
            ISNUMBER(MATCH(_xlfn.TEXTBEFORE(J331,"-"), {"CSS","CSN","PCB","PCF","BEC","CSD","PCM"}, 0)),
            _xlfn.TEXTBEFORE(J331,"-"),
            "Other"
        )
    ),
"Add")</f>
        <v>PCB</v>
      </c>
      <c r="B331" s="10" t="str">
        <f t="shared" si="6"/>
        <v>0081</v>
      </c>
      <c r="C331" s="10" t="str">
        <f>_xlfn.LET(
    _xlpm.val, IF(Datadetails[[#This Row],[Activity]]="D02","C20",Datadetails[[#This Row],[Activity]]),
    IF(ISNUMBER(MATCH(_xlpm.val,{"D04","C30","c40","C20"},0)), _xlpm.val, "Other")
)</f>
        <v>C30</v>
      </c>
      <c r="D331" s="10" t="str">
        <f>IFERROR(VLOOKUP(Datadetails[[#This Row],[Taskcode]],Dashboard!A:A,1,FALSE),"00 Err Missing")</f>
        <v>0081</v>
      </c>
      <c r="E331" s="79">
        <v>45772</v>
      </c>
      <c r="F331" s="80" t="s">
        <v>329</v>
      </c>
      <c r="G331" s="60" t="s">
        <v>40</v>
      </c>
      <c r="H331" s="80" t="s">
        <v>248</v>
      </c>
      <c r="I331" s="80" t="s">
        <v>34</v>
      </c>
      <c r="J331" s="80" t="s">
        <v>385</v>
      </c>
      <c r="K331" s="80" t="s">
        <v>347</v>
      </c>
      <c r="L331" s="80" t="s">
        <v>343</v>
      </c>
      <c r="M331" s="81">
        <v>0.75</v>
      </c>
      <c r="N331" s="82">
        <v>56.25</v>
      </c>
    </row>
    <row r="332" spans="1:14" x14ac:dyDescent="0.25">
      <c r="A332" s="10" t="str">
        <f>_xlfn.IFNA(
    IF(J332=
        "PCB-0001",
        "CSS",
        IF(
            ISNUMBER(MATCH(_xlfn.TEXTBEFORE(J332,"-"), {"CSS","CSN","PCB","PCF","BEC","CSD","PCM"}, 0)),
            _xlfn.TEXTBEFORE(J332,"-"),
            "Other"
        )
    ),
"Add")</f>
        <v>PCF</v>
      </c>
      <c r="B332" s="10" t="str">
        <f t="shared" si="6"/>
        <v>0040</v>
      </c>
      <c r="C332" s="10" t="str">
        <f>_xlfn.LET(
    _xlpm.val, IF(Datadetails[[#This Row],[Activity]]="D02","C20",Datadetails[[#This Row],[Activity]]),
    IF(ISNUMBER(MATCH(_xlpm.val,{"D04","C30","c40","C20"},0)), _xlpm.val, "Other")
)</f>
        <v>C20</v>
      </c>
      <c r="D332" s="10" t="str">
        <f>IFERROR(VLOOKUP(Datadetails[[#This Row],[Taskcode]],Dashboard!A:A,1,FALSE),"00 Err Missing")</f>
        <v>0040</v>
      </c>
      <c r="E332" s="79">
        <v>45772</v>
      </c>
      <c r="F332" s="80" t="s">
        <v>326</v>
      </c>
      <c r="G332" s="60" t="s">
        <v>40</v>
      </c>
      <c r="H332" s="80" t="s">
        <v>207</v>
      </c>
      <c r="I332" s="80" t="s">
        <v>36</v>
      </c>
      <c r="J332" s="80" t="s">
        <v>417</v>
      </c>
      <c r="K332" s="80" t="s">
        <v>348</v>
      </c>
      <c r="L332" s="80" t="s">
        <v>342</v>
      </c>
      <c r="M332" s="81">
        <v>0.5</v>
      </c>
      <c r="N332" s="82">
        <v>30</v>
      </c>
    </row>
    <row r="333" spans="1:14" x14ac:dyDescent="0.25">
      <c r="A333" s="10" t="str">
        <f>_xlfn.IFNA(
    IF(J333=
        "PCB-0001",
        "CSS",
        IF(
            ISNUMBER(MATCH(_xlfn.TEXTBEFORE(J333,"-"), {"CSS","CSN","PCB","PCF","BEC","CSD","PCM"}, 0)),
            _xlfn.TEXTBEFORE(J333,"-"),
            "Other"
        )
    ),
"Add")</f>
        <v>BEC</v>
      </c>
      <c r="B333" s="10" t="str">
        <f t="shared" si="6"/>
        <v>0001</v>
      </c>
      <c r="C333" s="10" t="str">
        <f>_xlfn.LET(
    _xlpm.val, IF(Datadetails[[#This Row],[Activity]]="D02","C20",Datadetails[[#This Row],[Activity]]),
    IF(ISNUMBER(MATCH(_xlpm.val,{"D04","C30","c40","C20"},0)), _xlpm.val, "Other")
)</f>
        <v>D04</v>
      </c>
      <c r="D333" s="10" t="str">
        <f>IFERROR(VLOOKUP(Datadetails[[#This Row],[Taskcode]],Dashboard!A:A,1,FALSE),"00 Err Missing")</f>
        <v>0001</v>
      </c>
      <c r="E333" s="79">
        <v>45772</v>
      </c>
      <c r="F333" s="80" t="s">
        <v>332</v>
      </c>
      <c r="G333" s="60" t="s">
        <v>40</v>
      </c>
      <c r="H333" s="80" t="s">
        <v>314</v>
      </c>
      <c r="I333" s="80" t="s">
        <v>35</v>
      </c>
      <c r="J333" s="80" t="s">
        <v>359</v>
      </c>
      <c r="K333" s="80" t="s">
        <v>339</v>
      </c>
      <c r="L333" s="80" t="s">
        <v>352</v>
      </c>
      <c r="M333" s="81">
        <v>7.5</v>
      </c>
      <c r="N333" s="82">
        <v>300</v>
      </c>
    </row>
    <row r="334" spans="1:14" x14ac:dyDescent="0.25">
      <c r="A334" s="10" t="str">
        <f>_xlfn.IFNA(
    IF(J334=
        "PCB-0001",
        "CSS",
        IF(
            ISNUMBER(MATCH(_xlfn.TEXTBEFORE(J334,"-"), {"CSS","CSN","PCB","PCF","BEC","CSD","PCM"}, 0)),
            _xlfn.TEXTBEFORE(J334,"-"),
            "Other"
        )
    ),
"Add")</f>
        <v>BEC</v>
      </c>
      <c r="B334" s="10" t="str">
        <f t="shared" si="6"/>
        <v>0001</v>
      </c>
      <c r="C334" s="10" t="str">
        <f>_xlfn.LET(
    _xlpm.val, IF(Datadetails[[#This Row],[Activity]]="D02","C20",Datadetails[[#This Row],[Activity]]),
    IF(ISNUMBER(MATCH(_xlpm.val,{"D04","C30","c40","C20"},0)), _xlpm.val, "Other")
)</f>
        <v>D04</v>
      </c>
      <c r="D334" s="10" t="str">
        <f>IFERROR(VLOOKUP(Datadetails[[#This Row],[Taskcode]],Dashboard!A:A,1,FALSE),"00 Err Missing")</f>
        <v>0001</v>
      </c>
      <c r="E334" s="79">
        <v>45772</v>
      </c>
      <c r="F334" s="80" t="s">
        <v>324</v>
      </c>
      <c r="G334" s="60" t="s">
        <v>40</v>
      </c>
      <c r="H334" s="80" t="s">
        <v>314</v>
      </c>
      <c r="I334" s="80" t="s">
        <v>35</v>
      </c>
      <c r="J334" s="80" t="s">
        <v>359</v>
      </c>
      <c r="K334" s="80" t="s">
        <v>339</v>
      </c>
      <c r="L334" s="80" t="s">
        <v>352</v>
      </c>
      <c r="M334" s="81">
        <v>6.33</v>
      </c>
      <c r="N334" s="82">
        <v>474.75</v>
      </c>
    </row>
    <row r="335" spans="1:14" x14ac:dyDescent="0.25">
      <c r="A335" s="10" t="str">
        <f>_xlfn.IFNA(
    IF(J335=
        "PCB-0001",
        "CSS",
        IF(
            ISNUMBER(MATCH(_xlfn.TEXTBEFORE(J335,"-"), {"CSS","CSN","PCB","PCF","BEC","CSD","PCM"}, 0)),
            _xlfn.TEXTBEFORE(J335,"-"),
            "Other"
        )
    ),
"Add")</f>
        <v>BEC</v>
      </c>
      <c r="B335" s="10" t="str">
        <f t="shared" si="6"/>
        <v>0001</v>
      </c>
      <c r="C335" s="10" t="str">
        <f>_xlfn.LET(
    _xlpm.val, IF(Datadetails[[#This Row],[Activity]]="D02","C20",Datadetails[[#This Row],[Activity]]),
    IF(ISNUMBER(MATCH(_xlpm.val,{"D04","C30","c40","C20"},0)), _xlpm.val, "Other")
)</f>
        <v>D04</v>
      </c>
      <c r="D335" s="10" t="str">
        <f>IFERROR(VLOOKUP(Datadetails[[#This Row],[Taskcode]],Dashboard!A:A,1,FALSE),"00 Err Missing")</f>
        <v>0001</v>
      </c>
      <c r="E335" s="79">
        <v>45773</v>
      </c>
      <c r="F335" s="80" t="s">
        <v>332</v>
      </c>
      <c r="G335" s="60" t="s">
        <v>40</v>
      </c>
      <c r="H335" s="80" t="s">
        <v>314</v>
      </c>
      <c r="I335" s="80" t="s">
        <v>35</v>
      </c>
      <c r="J335" s="80" t="s">
        <v>359</v>
      </c>
      <c r="K335" s="80" t="s">
        <v>339</v>
      </c>
      <c r="L335" s="80" t="s">
        <v>352</v>
      </c>
      <c r="M335" s="81">
        <v>4</v>
      </c>
      <c r="N335" s="82">
        <v>160</v>
      </c>
    </row>
    <row r="336" spans="1:14" x14ac:dyDescent="0.25">
      <c r="A336" s="10" t="str">
        <f>_xlfn.IFNA(
    IF(J336=
        "PCB-0001",
        "CSS",
        IF(
            ISNUMBER(MATCH(_xlfn.TEXTBEFORE(J336,"-"), {"CSS","CSN","PCB","PCF","BEC","CSD","PCM"}, 0)),
            _xlfn.TEXTBEFORE(J336,"-"),
            "Other"
        )
    ),
"Add")</f>
        <v>PCB</v>
      </c>
      <c r="B336" s="10" t="str">
        <f t="shared" si="6"/>
        <v>0102</v>
      </c>
      <c r="C336" s="10" t="str">
        <f>_xlfn.LET(
    _xlpm.val, IF(Datadetails[[#This Row],[Activity]]="D02","C20",Datadetails[[#This Row],[Activity]]),
    IF(ISNUMBER(MATCH(_xlpm.val,{"D04","C30","c40","C20"},0)), _xlpm.val, "Other")
)</f>
        <v>C30</v>
      </c>
      <c r="D336" s="10" t="str">
        <f>IFERROR(VLOOKUP(Datadetails[[#This Row],[Taskcode]],Dashboard!A:A,1,FALSE),"00 Err Missing")</f>
        <v>0102</v>
      </c>
      <c r="E336" s="79">
        <v>45775</v>
      </c>
      <c r="F336" s="80" t="s">
        <v>329</v>
      </c>
      <c r="G336" s="60" t="s">
        <v>40</v>
      </c>
      <c r="H336" s="80" t="s">
        <v>269</v>
      </c>
      <c r="I336" s="80" t="s">
        <v>34</v>
      </c>
      <c r="J336" s="80" t="s">
        <v>361</v>
      </c>
      <c r="K336" s="80" t="s">
        <v>347</v>
      </c>
      <c r="L336" s="80" t="s">
        <v>343</v>
      </c>
      <c r="M336" s="81">
        <v>0.17</v>
      </c>
      <c r="N336" s="82">
        <v>12.750000000000002</v>
      </c>
    </row>
    <row r="337" spans="1:14" x14ac:dyDescent="0.25">
      <c r="A337" s="10" t="str">
        <f>_xlfn.IFNA(
    IF(J337=
        "PCB-0001",
        "CSS",
        IF(
            ISNUMBER(MATCH(_xlfn.TEXTBEFORE(J337,"-"), {"CSS","CSN","PCB","PCF","BEC","CSD","PCM"}, 0)),
            _xlfn.TEXTBEFORE(J337,"-"),
            "Other"
        )
    ),
"Add")</f>
        <v>PCB</v>
      </c>
      <c r="B337" s="10" t="str">
        <f t="shared" si="6"/>
        <v>0074</v>
      </c>
      <c r="C337" s="10" t="str">
        <f>_xlfn.LET(
    _xlpm.val, IF(Datadetails[[#This Row],[Activity]]="D02","C20",Datadetails[[#This Row],[Activity]]),
    IF(ISNUMBER(MATCH(_xlpm.val,{"D04","C30","c40","C20"},0)), _xlpm.val, "Other")
)</f>
        <v>C40</v>
      </c>
      <c r="D337" s="10" t="str">
        <f>IFERROR(VLOOKUP(Datadetails[[#This Row],[Taskcode]],Dashboard!A:A,1,FALSE),"00 Err Missing")</f>
        <v>0074</v>
      </c>
      <c r="E337" s="79">
        <v>45775</v>
      </c>
      <c r="F337" s="80" t="s">
        <v>329</v>
      </c>
      <c r="G337" s="60" t="s">
        <v>40</v>
      </c>
      <c r="H337" s="80" t="s">
        <v>241</v>
      </c>
      <c r="I337" s="80" t="s">
        <v>341</v>
      </c>
      <c r="J337" s="80" t="s">
        <v>403</v>
      </c>
      <c r="K337" s="80" t="s">
        <v>347</v>
      </c>
      <c r="L337" s="80" t="s">
        <v>344</v>
      </c>
      <c r="M337" s="81">
        <v>2.5</v>
      </c>
      <c r="N337" s="82">
        <v>187.5</v>
      </c>
    </row>
    <row r="338" spans="1:14" x14ac:dyDescent="0.25">
      <c r="A338" s="10" t="str">
        <f>_xlfn.IFNA(
    IF(J338=
        "PCB-0001",
        "CSS",
        IF(
            ISNUMBER(MATCH(_xlfn.TEXTBEFORE(J338,"-"), {"CSS","CSN","PCB","PCF","BEC","CSD","PCM"}, 0)),
            _xlfn.TEXTBEFORE(J338,"-"),
            "Other"
        )
    ),
"Add")</f>
        <v>PCB</v>
      </c>
      <c r="B338" s="10" t="str">
        <f t="shared" si="6"/>
        <v>0023</v>
      </c>
      <c r="C338" s="10" t="str">
        <f>_xlfn.LET(
    _xlpm.val, IF(Datadetails[[#This Row],[Activity]]="D02","C20",Datadetails[[#This Row],[Activity]]),
    IF(ISNUMBER(MATCH(_xlpm.val,{"D04","C30","c40","C20"},0)), _xlpm.val, "Other")
)</f>
        <v>C40</v>
      </c>
      <c r="D338" s="10" t="str">
        <f>IFERROR(VLOOKUP(Datadetails[[#This Row],[Taskcode]],Dashboard!A:A,1,FALSE),"00 Err Missing")</f>
        <v>0023</v>
      </c>
      <c r="E338" s="79">
        <v>45775</v>
      </c>
      <c r="F338" s="80" t="s">
        <v>330</v>
      </c>
      <c r="G338" s="60" t="s">
        <v>40</v>
      </c>
      <c r="H338" s="80" t="s">
        <v>190</v>
      </c>
      <c r="I338" s="80" t="s">
        <v>341</v>
      </c>
      <c r="J338" s="80" t="s">
        <v>438</v>
      </c>
      <c r="K338" s="80" t="s">
        <v>347</v>
      </c>
      <c r="L338" s="80" t="s">
        <v>344</v>
      </c>
      <c r="M338" s="81">
        <v>1</v>
      </c>
      <c r="N338" s="82">
        <v>60</v>
      </c>
    </row>
    <row r="339" spans="1:14" x14ac:dyDescent="0.25">
      <c r="A339" s="10" t="str">
        <f>_xlfn.IFNA(
    IF(J339=
        "PCB-0001",
        "CSS",
        IF(
            ISNUMBER(MATCH(_xlfn.TEXTBEFORE(J339,"-"), {"CSS","CSN","PCB","PCF","BEC","CSD","PCM"}, 0)),
            _xlfn.TEXTBEFORE(J339,"-"),
            "Other"
        )
    ),
"Add")</f>
        <v>PCB</v>
      </c>
      <c r="B339" s="10" t="str">
        <f t="shared" si="6"/>
        <v>0044</v>
      </c>
      <c r="C339" s="10" t="str">
        <f>_xlfn.LET(
    _xlpm.val, IF(Datadetails[[#This Row],[Activity]]="D02","C20",Datadetails[[#This Row],[Activity]]),
    IF(ISNUMBER(MATCH(_xlpm.val,{"D04","C30","c40","C20"},0)), _xlpm.val, "Other")
)</f>
        <v>C40</v>
      </c>
      <c r="D339" s="10" t="str">
        <f>IFERROR(VLOOKUP(Datadetails[[#This Row],[Taskcode]],Dashboard!A:A,1,FALSE),"00 Err Missing")</f>
        <v>0044</v>
      </c>
      <c r="E339" s="79">
        <v>45775</v>
      </c>
      <c r="F339" s="80" t="s">
        <v>330</v>
      </c>
      <c r="G339" s="60" t="s">
        <v>40</v>
      </c>
      <c r="H339" s="80" t="s">
        <v>211</v>
      </c>
      <c r="I339" s="80" t="s">
        <v>341</v>
      </c>
      <c r="J339" s="80" t="s">
        <v>437</v>
      </c>
      <c r="K339" s="80" t="s">
        <v>347</v>
      </c>
      <c r="L339" s="80" t="s">
        <v>344</v>
      </c>
      <c r="M339" s="81">
        <v>1.25</v>
      </c>
      <c r="N339" s="82">
        <v>75</v>
      </c>
    </row>
    <row r="340" spans="1:14" x14ac:dyDescent="0.25">
      <c r="A340" s="10" t="str">
        <f>_xlfn.IFNA(
    IF(J340=
        "PCB-0001",
        "CSS",
        IF(
            ISNUMBER(MATCH(_xlfn.TEXTBEFORE(J340,"-"), {"CSS","CSN","PCB","PCF","BEC","CSD","PCM"}, 0)),
            _xlfn.TEXTBEFORE(J340,"-"),
            "Other"
        )
    ),
"Add")</f>
        <v>PCB</v>
      </c>
      <c r="B340" s="10" t="str">
        <f t="shared" si="6"/>
        <v>0022</v>
      </c>
      <c r="C340" s="10" t="str">
        <f>_xlfn.LET(
    _xlpm.val, IF(Datadetails[[#This Row],[Activity]]="D02","C20",Datadetails[[#This Row],[Activity]]),
    IF(ISNUMBER(MATCH(_xlpm.val,{"D04","C30","c40","C20"},0)), _xlpm.val, "Other")
)</f>
        <v>C40</v>
      </c>
      <c r="D340" s="10" t="str">
        <f>IFERROR(VLOOKUP(Datadetails[[#This Row],[Taskcode]],Dashboard!A:A,1,FALSE),"00 Err Missing")</f>
        <v>0022</v>
      </c>
      <c r="E340" s="79">
        <v>45775</v>
      </c>
      <c r="F340" s="80" t="s">
        <v>330</v>
      </c>
      <c r="G340" s="60" t="s">
        <v>40</v>
      </c>
      <c r="H340" s="80" t="s">
        <v>189</v>
      </c>
      <c r="I340" s="80" t="s">
        <v>341</v>
      </c>
      <c r="J340" s="80" t="s">
        <v>439</v>
      </c>
      <c r="K340" s="80" t="s">
        <v>347</v>
      </c>
      <c r="L340" s="80" t="s">
        <v>344</v>
      </c>
      <c r="M340" s="81">
        <v>1</v>
      </c>
      <c r="N340" s="82">
        <v>60</v>
      </c>
    </row>
    <row r="341" spans="1:14" x14ac:dyDescent="0.25">
      <c r="A341" s="10" t="str">
        <f>_xlfn.IFNA(
    IF(J341=
        "PCB-0001",
        "CSS",
        IF(
            ISNUMBER(MATCH(_xlfn.TEXTBEFORE(J341,"-"), {"CSS","CSN","PCB","PCF","BEC","CSD","PCM"}, 0)),
            _xlfn.TEXTBEFORE(J341,"-"),
            "Other"
        )
    ),
"Add")</f>
        <v>CSN</v>
      </c>
      <c r="B341" s="10" t="str">
        <f t="shared" si="6"/>
        <v>0001</v>
      </c>
      <c r="C341" s="10" t="str">
        <f>_xlfn.LET(
    _xlpm.val, IF(Datadetails[[#This Row],[Activity]]="D02","C20",Datadetails[[#This Row],[Activity]]),
    IF(ISNUMBER(MATCH(_xlpm.val,{"D04","C30","c40","C20"},0)), _xlpm.val, "Other")
)</f>
        <v>D04</v>
      </c>
      <c r="D341" s="10" t="str">
        <f>IFERROR(VLOOKUP(Datadetails[[#This Row],[Taskcode]],Dashboard!A:A,1,FALSE),"00 Err Missing")</f>
        <v>0001</v>
      </c>
      <c r="E341" s="79">
        <v>45775</v>
      </c>
      <c r="F341" s="80" t="s">
        <v>329</v>
      </c>
      <c r="G341" s="60" t="s">
        <v>40</v>
      </c>
      <c r="H341" s="80" t="s">
        <v>316</v>
      </c>
      <c r="I341" s="80" t="s">
        <v>35</v>
      </c>
      <c r="J341" s="80" t="s">
        <v>338</v>
      </c>
      <c r="K341" s="80" t="s">
        <v>337</v>
      </c>
      <c r="L341" s="80" t="s">
        <v>352</v>
      </c>
      <c r="M341" s="81">
        <v>1.75</v>
      </c>
      <c r="N341" s="82">
        <v>131.25</v>
      </c>
    </row>
    <row r="342" spans="1:14" x14ac:dyDescent="0.25">
      <c r="A342" s="10" t="str">
        <f>_xlfn.IFNA(
    IF(J342=
        "PCB-0001",
        "CSS",
        IF(
            ISNUMBER(MATCH(_xlfn.TEXTBEFORE(J342,"-"), {"CSS","CSN","PCB","PCF","BEC","CSD","PCM"}, 0)),
            _xlfn.TEXTBEFORE(J342,"-"),
            "Other"
        )
    ),
"Add")</f>
        <v>CSD</v>
      </c>
      <c r="B342" s="10" t="str">
        <f t="shared" si="6"/>
        <v>0001</v>
      </c>
      <c r="C342" s="10" t="str">
        <f>_xlfn.LET(
    _xlpm.val, IF(Datadetails[[#This Row],[Activity]]="D02","C20",Datadetails[[#This Row],[Activity]]),
    IF(ISNUMBER(MATCH(_xlpm.val,{"D04","C30","c40","C20"},0)), _xlpm.val, "Other")
)</f>
        <v>D04</v>
      </c>
      <c r="D342" s="10" t="str">
        <f>IFERROR(VLOOKUP(Datadetails[[#This Row],[Taskcode]],Dashboard!A:A,1,FALSE),"00 Err Missing")</f>
        <v>0001</v>
      </c>
      <c r="E342" s="79">
        <v>45775</v>
      </c>
      <c r="F342" s="80" t="s">
        <v>333</v>
      </c>
      <c r="G342" s="60" t="s">
        <v>40</v>
      </c>
      <c r="H342" s="80" t="s">
        <v>320</v>
      </c>
      <c r="I342" s="80" t="s">
        <v>35</v>
      </c>
      <c r="J342" s="80" t="s">
        <v>322</v>
      </c>
      <c r="K342" s="80" t="s">
        <v>319</v>
      </c>
      <c r="L342" s="80" t="s">
        <v>352</v>
      </c>
      <c r="M342" s="81">
        <v>6</v>
      </c>
      <c r="N342" s="82">
        <v>192</v>
      </c>
    </row>
    <row r="343" spans="1:14" x14ac:dyDescent="0.25">
      <c r="A343" s="10" t="str">
        <f>_xlfn.IFNA(
    IF(J343=
        "PCB-0001",
        "CSS",
        IF(
            ISNUMBER(MATCH(_xlfn.TEXTBEFORE(J343,"-"), {"CSS","CSN","PCB","PCF","BEC","CSD","PCM"}, 0)),
            _xlfn.TEXTBEFORE(J343,"-"),
            "Other"
        )
    ),
"Add")</f>
        <v>CSD</v>
      </c>
      <c r="B343" s="10" t="str">
        <f t="shared" si="6"/>
        <v>0001</v>
      </c>
      <c r="C343" s="10" t="str">
        <f>_xlfn.LET(
    _xlpm.val, IF(Datadetails[[#This Row],[Activity]]="D02","C20",Datadetails[[#This Row],[Activity]]),
    IF(ISNUMBER(MATCH(_xlpm.val,{"D04","C30","c40","C20"},0)), _xlpm.val, "Other")
)</f>
        <v>D04</v>
      </c>
      <c r="D343" s="10" t="str">
        <f>IFERROR(VLOOKUP(Datadetails[[#This Row],[Taskcode]],Dashboard!A:A,1,FALSE),"00 Err Missing")</f>
        <v>0001</v>
      </c>
      <c r="E343" s="79">
        <v>45775</v>
      </c>
      <c r="F343" s="80" t="s">
        <v>327</v>
      </c>
      <c r="G343" s="60" t="s">
        <v>40</v>
      </c>
      <c r="H343" s="80" t="s">
        <v>320</v>
      </c>
      <c r="I343" s="80" t="s">
        <v>35</v>
      </c>
      <c r="J343" s="80" t="s">
        <v>322</v>
      </c>
      <c r="K343" s="80" t="s">
        <v>319</v>
      </c>
      <c r="L343" s="80" t="s">
        <v>352</v>
      </c>
      <c r="M343" s="81">
        <v>7.42</v>
      </c>
      <c r="N343" s="82">
        <v>237.44</v>
      </c>
    </row>
    <row r="344" spans="1:14" x14ac:dyDescent="0.25">
      <c r="A344" s="10" t="str">
        <f>_xlfn.IFNA(
    IF(J344=
        "PCB-0001",
        "CSS",
        IF(
            ISNUMBER(MATCH(_xlfn.TEXTBEFORE(J344,"-"), {"CSS","CSN","PCB","PCF","BEC","CSD","PCM"}, 0)),
            _xlfn.TEXTBEFORE(J344,"-"),
            "Other"
        )
    ),
"Add")</f>
        <v>PCB</v>
      </c>
      <c r="B344" s="10" t="str">
        <f t="shared" si="6"/>
        <v>0030</v>
      </c>
      <c r="C344" s="10" t="str">
        <f>_xlfn.LET(
    _xlpm.val, IF(Datadetails[[#This Row],[Activity]]="D02","C20",Datadetails[[#This Row],[Activity]]),
    IF(ISNUMBER(MATCH(_xlpm.val,{"D04","C30","c40","C20"},0)), _xlpm.val, "Other")
)</f>
        <v>C30</v>
      </c>
      <c r="D344" s="10" t="str">
        <f>IFERROR(VLOOKUP(Datadetails[[#This Row],[Taskcode]],Dashboard!A:A,1,FALSE),"00 Err Missing")</f>
        <v>0030</v>
      </c>
      <c r="E344" s="79">
        <v>45775</v>
      </c>
      <c r="F344" s="80" t="s">
        <v>329</v>
      </c>
      <c r="G344" s="60" t="s">
        <v>40</v>
      </c>
      <c r="H344" s="80" t="s">
        <v>197</v>
      </c>
      <c r="I344" s="80" t="s">
        <v>34</v>
      </c>
      <c r="J344" s="80" t="s">
        <v>366</v>
      </c>
      <c r="K344" s="80" t="s">
        <v>347</v>
      </c>
      <c r="L344" s="80" t="s">
        <v>343</v>
      </c>
      <c r="M344" s="81">
        <v>0.08</v>
      </c>
      <c r="N344" s="82">
        <v>6</v>
      </c>
    </row>
    <row r="345" spans="1:14" x14ac:dyDescent="0.25">
      <c r="A345" s="10" t="str">
        <f>_xlfn.IFNA(
    IF(J345=
        "PCB-0001",
        "CSS",
        IF(
            ISNUMBER(MATCH(_xlfn.TEXTBEFORE(J345,"-"), {"CSS","CSN","PCB","PCF","BEC","CSD","PCM"}, 0)),
            _xlfn.TEXTBEFORE(J345,"-"),
            "Other"
        )
    ),
"Add")</f>
        <v>PCB</v>
      </c>
      <c r="B345" s="10" t="str">
        <f t="shared" si="6"/>
        <v>0117</v>
      </c>
      <c r="C345" s="10" t="str">
        <f>_xlfn.LET(
    _xlpm.val, IF(Datadetails[[#This Row],[Activity]]="D02","C20",Datadetails[[#This Row],[Activity]]),
    IF(ISNUMBER(MATCH(_xlpm.val,{"D04","C30","c40","C20"},0)), _xlpm.val, "Other")
)</f>
        <v>C20</v>
      </c>
      <c r="D345" s="10" t="str">
        <f>IFERROR(VLOOKUP(Datadetails[[#This Row],[Taskcode]],Dashboard!A:A,1,FALSE),"00 Err Missing")</f>
        <v>0117</v>
      </c>
      <c r="E345" s="79">
        <v>45775</v>
      </c>
      <c r="F345" s="80" t="s">
        <v>330</v>
      </c>
      <c r="G345" s="60" t="s">
        <v>40</v>
      </c>
      <c r="H345" s="80" t="s">
        <v>284</v>
      </c>
      <c r="I345" s="80" t="s">
        <v>36</v>
      </c>
      <c r="J345" s="80" t="s">
        <v>415</v>
      </c>
      <c r="K345" s="80" t="s">
        <v>347</v>
      </c>
      <c r="L345" s="80" t="s">
        <v>342</v>
      </c>
      <c r="M345" s="81">
        <v>0.25</v>
      </c>
      <c r="N345" s="82">
        <v>15</v>
      </c>
    </row>
    <row r="346" spans="1:14" x14ac:dyDescent="0.25">
      <c r="A346" s="10" t="str">
        <f>_xlfn.IFNA(
    IF(J346=
        "PCB-0001",
        "CSS",
        IF(
            ISNUMBER(MATCH(_xlfn.TEXTBEFORE(J346,"-"), {"CSS","CSN","PCB","PCF","BEC","CSD","PCM"}, 0)),
            _xlfn.TEXTBEFORE(J346,"-"),
            "Other"
        )
    ),
"Add")</f>
        <v>PCB</v>
      </c>
      <c r="B346" s="10" t="str">
        <f t="shared" si="6"/>
        <v>0039</v>
      </c>
      <c r="C346" s="10" t="str">
        <f>_xlfn.LET(
    _xlpm.val, IF(Datadetails[[#This Row],[Activity]]="D02","C20",Datadetails[[#This Row],[Activity]]),
    IF(ISNUMBER(MATCH(_xlpm.val,{"D04","C30","c40","C20"},0)), _xlpm.val, "Other")
)</f>
        <v>C30</v>
      </c>
      <c r="D346" s="10" t="str">
        <f>IFERROR(VLOOKUP(Datadetails[[#This Row],[Taskcode]],Dashboard!A:A,1,FALSE),"00 Err Missing")</f>
        <v>0039</v>
      </c>
      <c r="E346" s="79">
        <v>45775</v>
      </c>
      <c r="F346" s="80" t="s">
        <v>329</v>
      </c>
      <c r="G346" s="60" t="s">
        <v>40</v>
      </c>
      <c r="H346" s="80" t="s">
        <v>206</v>
      </c>
      <c r="I346" s="80" t="s">
        <v>34</v>
      </c>
      <c r="J346" s="80" t="s">
        <v>367</v>
      </c>
      <c r="K346" s="80" t="s">
        <v>347</v>
      </c>
      <c r="L346" s="80" t="s">
        <v>343</v>
      </c>
      <c r="M346" s="81">
        <v>0.08</v>
      </c>
      <c r="N346" s="82">
        <v>6</v>
      </c>
    </row>
    <row r="347" spans="1:14" x14ac:dyDescent="0.25">
      <c r="A347" s="10" t="str">
        <f>_xlfn.IFNA(
    IF(J347=
        "PCB-0001",
        "CSS",
        IF(
            ISNUMBER(MATCH(_xlfn.TEXTBEFORE(J347,"-"), {"CSS","CSN","PCB","PCF","BEC","CSD","PCM"}, 0)),
            _xlfn.TEXTBEFORE(J347,"-"),
            "Other"
        )
    ),
"Add")</f>
        <v>PCB</v>
      </c>
      <c r="B347" s="10" t="str">
        <f t="shared" si="6"/>
        <v>0134</v>
      </c>
      <c r="C347" s="10" t="str">
        <f>_xlfn.LET(
    _xlpm.val, IF(Datadetails[[#This Row],[Activity]]="D02","C20",Datadetails[[#This Row],[Activity]]),
    IF(ISNUMBER(MATCH(_xlpm.val,{"D04","C30","c40","C20"},0)), _xlpm.val, "Other")
)</f>
        <v>C30</v>
      </c>
      <c r="D347" s="10" t="str">
        <f>IFERROR(VLOOKUP(Datadetails[[#This Row],[Taskcode]],Dashboard!A:A,1,FALSE),"00 Err Missing")</f>
        <v>0134</v>
      </c>
      <c r="E347" s="79">
        <v>45775</v>
      </c>
      <c r="F347" s="80" t="s">
        <v>329</v>
      </c>
      <c r="G347" s="60" t="s">
        <v>40</v>
      </c>
      <c r="H347" s="80" t="s">
        <v>301</v>
      </c>
      <c r="I347" s="80" t="s">
        <v>34</v>
      </c>
      <c r="J347" s="80" t="s">
        <v>371</v>
      </c>
      <c r="K347" s="80" t="s">
        <v>347</v>
      </c>
      <c r="L347" s="80" t="s">
        <v>343</v>
      </c>
      <c r="M347" s="81">
        <v>0.25</v>
      </c>
      <c r="N347" s="82">
        <v>18.75</v>
      </c>
    </row>
    <row r="348" spans="1:14" x14ac:dyDescent="0.25">
      <c r="A348" s="10" t="str">
        <f>_xlfn.IFNA(
    IF(J348=
        "PCB-0001",
        "CSS",
        IF(
            ISNUMBER(MATCH(_xlfn.TEXTBEFORE(J348,"-"), {"CSS","CSN","PCB","PCF","BEC","CSD","PCM"}, 0)),
            _xlfn.TEXTBEFORE(J348,"-"),
            "Other"
        )
    ),
"Add")</f>
        <v>PCB</v>
      </c>
      <c r="B348" s="10" t="str">
        <f t="shared" si="6"/>
        <v>0054</v>
      </c>
      <c r="C348" s="10" t="str">
        <f>_xlfn.LET(
    _xlpm.val, IF(Datadetails[[#This Row],[Activity]]="D02","C20",Datadetails[[#This Row],[Activity]]),
    IF(ISNUMBER(MATCH(_xlpm.val,{"D04","C30","c40","C20"},0)), _xlpm.val, "Other")
)</f>
        <v>C30</v>
      </c>
      <c r="D348" s="10" t="str">
        <f>IFERROR(VLOOKUP(Datadetails[[#This Row],[Taskcode]],Dashboard!A:A,1,FALSE),"00 Err Missing")</f>
        <v>0054</v>
      </c>
      <c r="E348" s="79">
        <v>45775</v>
      </c>
      <c r="F348" s="80" t="s">
        <v>329</v>
      </c>
      <c r="G348" s="60" t="s">
        <v>40</v>
      </c>
      <c r="H348" s="80" t="s">
        <v>221</v>
      </c>
      <c r="I348" s="80" t="s">
        <v>34</v>
      </c>
      <c r="J348" s="80" t="s">
        <v>369</v>
      </c>
      <c r="K348" s="80" t="s">
        <v>347</v>
      </c>
      <c r="L348" s="80" t="s">
        <v>343</v>
      </c>
      <c r="M348" s="81">
        <v>0.17</v>
      </c>
      <c r="N348" s="82">
        <v>12.750000000000002</v>
      </c>
    </row>
    <row r="349" spans="1:14" x14ac:dyDescent="0.25">
      <c r="A349" s="10" t="str">
        <f>_xlfn.IFNA(
    IF(J349=
        "PCB-0001",
        "CSS",
        IF(
            ISNUMBER(MATCH(_xlfn.TEXTBEFORE(J349,"-"), {"CSS","CSN","PCB","PCF","BEC","CSD","PCM"}, 0)),
            _xlfn.TEXTBEFORE(J349,"-"),
            "Other"
        )
    ),
"Add")</f>
        <v>PCB</v>
      </c>
      <c r="B349" s="10" t="str">
        <f t="shared" si="6"/>
        <v>0062</v>
      </c>
      <c r="C349" s="10" t="str">
        <f>_xlfn.LET(
    _xlpm.val, IF(Datadetails[[#This Row],[Activity]]="D02","C20",Datadetails[[#This Row],[Activity]]),
    IF(ISNUMBER(MATCH(_xlpm.val,{"D04","C30","c40","C20"},0)), _xlpm.val, "Other")
)</f>
        <v>C30</v>
      </c>
      <c r="D349" s="10" t="str">
        <f>IFERROR(VLOOKUP(Datadetails[[#This Row],[Taskcode]],Dashboard!A:A,1,FALSE),"00 Err Missing")</f>
        <v>0062</v>
      </c>
      <c r="E349" s="79">
        <v>45775</v>
      </c>
      <c r="F349" s="80" t="s">
        <v>329</v>
      </c>
      <c r="G349" s="60" t="s">
        <v>40</v>
      </c>
      <c r="H349" s="80" t="s">
        <v>229</v>
      </c>
      <c r="I349" s="80" t="s">
        <v>34</v>
      </c>
      <c r="J349" s="80" t="s">
        <v>373</v>
      </c>
      <c r="K349" s="80" t="s">
        <v>347</v>
      </c>
      <c r="L349" s="80" t="s">
        <v>343</v>
      </c>
      <c r="M349" s="81">
        <v>0.17</v>
      </c>
      <c r="N349" s="82">
        <v>12.750000000000002</v>
      </c>
    </row>
    <row r="350" spans="1:14" x14ac:dyDescent="0.25">
      <c r="A350" s="10" t="str">
        <f>_xlfn.IFNA(
    IF(J350=
        "PCB-0001",
        "CSS",
        IF(
            ISNUMBER(MATCH(_xlfn.TEXTBEFORE(J350,"-"), {"CSS","CSN","PCB","PCF","BEC","CSD","PCM"}, 0)),
            _xlfn.TEXTBEFORE(J350,"-"),
            "Other"
        )
    ),
"Add")</f>
        <v>PCB</v>
      </c>
      <c r="B350" s="10" t="str">
        <f t="shared" si="6"/>
        <v>0074</v>
      </c>
      <c r="C350" s="10" t="str">
        <f>_xlfn.LET(
    _xlpm.val, IF(Datadetails[[#This Row],[Activity]]="D02","C20",Datadetails[[#This Row],[Activity]]),
    IF(ISNUMBER(MATCH(_xlpm.val,{"D04","C30","c40","C20"},0)), _xlpm.val, "Other")
)</f>
        <v>C30</v>
      </c>
      <c r="D350" s="10" t="str">
        <f>IFERROR(VLOOKUP(Datadetails[[#This Row],[Taskcode]],Dashboard!A:A,1,FALSE),"00 Err Missing")</f>
        <v>0074</v>
      </c>
      <c r="E350" s="79">
        <v>45775</v>
      </c>
      <c r="F350" s="80" t="s">
        <v>329</v>
      </c>
      <c r="G350" s="60" t="s">
        <v>40</v>
      </c>
      <c r="H350" s="80" t="s">
        <v>241</v>
      </c>
      <c r="I350" s="80" t="s">
        <v>34</v>
      </c>
      <c r="J350" s="80" t="s">
        <v>403</v>
      </c>
      <c r="K350" s="80" t="s">
        <v>347</v>
      </c>
      <c r="L350" s="80" t="s">
        <v>343</v>
      </c>
      <c r="M350" s="81">
        <v>0.17</v>
      </c>
      <c r="N350" s="82">
        <v>12.750000000000002</v>
      </c>
    </row>
    <row r="351" spans="1:14" x14ac:dyDescent="0.25">
      <c r="A351" s="10" t="str">
        <f>_xlfn.IFNA(
    IF(J351=
        "PCB-0001",
        "CSS",
        IF(
            ISNUMBER(MATCH(_xlfn.TEXTBEFORE(J351,"-"), {"CSS","CSN","PCB","PCF","BEC","CSD","PCM"}, 0)),
            _xlfn.TEXTBEFORE(J351,"-"),
            "Other"
        )
    ),
"Add")</f>
        <v>PCB</v>
      </c>
      <c r="B351" s="10" t="str">
        <f t="shared" si="6"/>
        <v>0071</v>
      </c>
      <c r="C351" s="10" t="str">
        <f>_xlfn.LET(
    _xlpm.val, IF(Datadetails[[#This Row],[Activity]]="D02","C20",Datadetails[[#This Row],[Activity]]),
    IF(ISNUMBER(MATCH(_xlpm.val,{"D04","C30","c40","C20"},0)), _xlpm.val, "Other")
)</f>
        <v>C30</v>
      </c>
      <c r="D351" s="10" t="str">
        <f>IFERROR(VLOOKUP(Datadetails[[#This Row],[Taskcode]],Dashboard!A:A,1,FALSE),"00 Err Missing")</f>
        <v>0071</v>
      </c>
      <c r="E351" s="79">
        <v>45775</v>
      </c>
      <c r="F351" s="80" t="s">
        <v>329</v>
      </c>
      <c r="G351" s="60" t="s">
        <v>40</v>
      </c>
      <c r="H351" s="80" t="s">
        <v>238</v>
      </c>
      <c r="I351" s="80" t="s">
        <v>34</v>
      </c>
      <c r="J351" s="80" t="s">
        <v>374</v>
      </c>
      <c r="K351" s="80" t="s">
        <v>347</v>
      </c>
      <c r="L351" s="80" t="s">
        <v>343</v>
      </c>
      <c r="M351" s="81">
        <v>0.08</v>
      </c>
      <c r="N351" s="82">
        <v>6</v>
      </c>
    </row>
    <row r="352" spans="1:14" x14ac:dyDescent="0.25">
      <c r="A352" s="10" t="str">
        <f>_xlfn.IFNA(
    IF(J352=
        "PCB-0001",
        "CSS",
        IF(
            ISNUMBER(MATCH(_xlfn.TEXTBEFORE(J352,"-"), {"CSS","CSN","PCB","PCF","BEC","CSD","PCM"}, 0)),
            _xlfn.TEXTBEFORE(J352,"-"),
            "Other"
        )
    ),
"Add")</f>
        <v>PCB</v>
      </c>
      <c r="B352" s="10" t="str">
        <f t="shared" si="6"/>
        <v>0075</v>
      </c>
      <c r="C352" s="10" t="str">
        <f>_xlfn.LET(
    _xlpm.val, IF(Datadetails[[#This Row],[Activity]]="D02","C20",Datadetails[[#This Row],[Activity]]),
    IF(ISNUMBER(MATCH(_xlpm.val,{"D04","C30","c40","C20"},0)), _xlpm.val, "Other")
)</f>
        <v>C30</v>
      </c>
      <c r="D352" s="10" t="str">
        <f>IFERROR(VLOOKUP(Datadetails[[#This Row],[Taskcode]],Dashboard!A:A,1,FALSE),"00 Err Missing")</f>
        <v>0075</v>
      </c>
      <c r="E352" s="79">
        <v>45775</v>
      </c>
      <c r="F352" s="80" t="s">
        <v>329</v>
      </c>
      <c r="G352" s="60" t="s">
        <v>40</v>
      </c>
      <c r="H352" s="80" t="s">
        <v>242</v>
      </c>
      <c r="I352" s="80" t="s">
        <v>34</v>
      </c>
      <c r="J352" s="80" t="s">
        <v>404</v>
      </c>
      <c r="K352" s="80" t="s">
        <v>347</v>
      </c>
      <c r="L352" s="80" t="s">
        <v>343</v>
      </c>
      <c r="M352" s="81">
        <v>0.08</v>
      </c>
      <c r="N352" s="82">
        <v>6</v>
      </c>
    </row>
    <row r="353" spans="1:14" x14ac:dyDescent="0.25">
      <c r="A353" s="10" t="str">
        <f>_xlfn.IFNA(
    IF(J353=
        "PCB-0001",
        "CSS",
        IF(
            ISNUMBER(MATCH(_xlfn.TEXTBEFORE(J353,"-"), {"CSS","CSN","PCB","PCF","BEC","CSD","PCM"}, 0)),
            _xlfn.TEXTBEFORE(J353,"-"),
            "Other"
        )
    ),
"Add")</f>
        <v>PCB</v>
      </c>
      <c r="B353" s="10" t="str">
        <f t="shared" si="6"/>
        <v>0080</v>
      </c>
      <c r="C353" s="10" t="str">
        <f>_xlfn.LET(
    _xlpm.val, IF(Datadetails[[#This Row],[Activity]]="D02","C20",Datadetails[[#This Row],[Activity]]),
    IF(ISNUMBER(MATCH(_xlpm.val,{"D04","C30","c40","C20"},0)), _xlpm.val, "Other")
)</f>
        <v>C30</v>
      </c>
      <c r="D353" s="10" t="str">
        <f>IFERROR(VLOOKUP(Datadetails[[#This Row],[Taskcode]],Dashboard!A:A,1,FALSE),"00 Err Missing")</f>
        <v>0080</v>
      </c>
      <c r="E353" s="79">
        <v>45775</v>
      </c>
      <c r="F353" s="80" t="s">
        <v>329</v>
      </c>
      <c r="G353" s="60" t="s">
        <v>40</v>
      </c>
      <c r="H353" s="80" t="s">
        <v>247</v>
      </c>
      <c r="I353" s="80" t="s">
        <v>34</v>
      </c>
      <c r="J353" s="80" t="s">
        <v>375</v>
      </c>
      <c r="K353" s="80" t="s">
        <v>347</v>
      </c>
      <c r="L353" s="80" t="s">
        <v>343</v>
      </c>
      <c r="M353" s="81">
        <v>0.33</v>
      </c>
      <c r="N353" s="82">
        <v>24.75</v>
      </c>
    </row>
    <row r="354" spans="1:14" x14ac:dyDescent="0.25">
      <c r="A354" s="10" t="str">
        <f>_xlfn.IFNA(
    IF(J354=
        "PCB-0001",
        "CSS",
        IF(
            ISNUMBER(MATCH(_xlfn.TEXTBEFORE(J354,"-"), {"CSS","CSN","PCB","PCF","BEC","CSD","PCM"}, 0)),
            _xlfn.TEXTBEFORE(J354,"-"),
            "Other"
        )
    ),
"Add")</f>
        <v>PCB</v>
      </c>
      <c r="B354" s="10" t="str">
        <f t="shared" si="6"/>
        <v>0126</v>
      </c>
      <c r="C354" s="10" t="str">
        <f>_xlfn.LET(
    _xlpm.val, IF(Datadetails[[#This Row],[Activity]]="D02","C20",Datadetails[[#This Row],[Activity]]),
    IF(ISNUMBER(MATCH(_xlpm.val,{"D04","C30","c40","C20"},0)), _xlpm.val, "Other")
)</f>
        <v>C30</v>
      </c>
      <c r="D354" s="10" t="str">
        <f>IFERROR(VLOOKUP(Datadetails[[#This Row],[Taskcode]],Dashboard!A:A,1,FALSE),"00 Err Missing")</f>
        <v>0126</v>
      </c>
      <c r="E354" s="79">
        <v>45775</v>
      </c>
      <c r="F354" s="80" t="s">
        <v>329</v>
      </c>
      <c r="G354" s="60" t="s">
        <v>40</v>
      </c>
      <c r="H354" s="80" t="s">
        <v>293</v>
      </c>
      <c r="I354" s="80" t="s">
        <v>34</v>
      </c>
      <c r="J354" s="80" t="s">
        <v>376</v>
      </c>
      <c r="K354" s="80" t="s">
        <v>347</v>
      </c>
      <c r="L354" s="80" t="s">
        <v>343</v>
      </c>
      <c r="M354" s="81">
        <v>0.17</v>
      </c>
      <c r="N354" s="82">
        <v>12.750000000000002</v>
      </c>
    </row>
    <row r="355" spans="1:14" x14ac:dyDescent="0.25">
      <c r="A355" s="10" t="str">
        <f>_xlfn.IFNA(
    IF(J355=
        "PCB-0001",
        "CSS",
        IF(
            ISNUMBER(MATCH(_xlfn.TEXTBEFORE(J355,"-"), {"CSS","CSN","PCB","PCF","BEC","CSD","PCM"}, 0)),
            _xlfn.TEXTBEFORE(J355,"-"),
            "Other"
        )
    ),
"Add")</f>
        <v>PCB</v>
      </c>
      <c r="B355" s="10" t="str">
        <f t="shared" si="6"/>
        <v>0127</v>
      </c>
      <c r="C355" s="10" t="str">
        <f>_xlfn.LET(
    _xlpm.val, IF(Datadetails[[#This Row],[Activity]]="D02","C20",Datadetails[[#This Row],[Activity]]),
    IF(ISNUMBER(MATCH(_xlpm.val,{"D04","C30","c40","C20"},0)), _xlpm.val, "Other")
)</f>
        <v>C30</v>
      </c>
      <c r="D355" s="10" t="str">
        <f>IFERROR(VLOOKUP(Datadetails[[#This Row],[Taskcode]],Dashboard!A:A,1,FALSE),"00 Err Missing")</f>
        <v>0127</v>
      </c>
      <c r="E355" s="79">
        <v>45775</v>
      </c>
      <c r="F355" s="80" t="s">
        <v>329</v>
      </c>
      <c r="G355" s="60" t="s">
        <v>40</v>
      </c>
      <c r="H355" s="80" t="s">
        <v>294</v>
      </c>
      <c r="I355" s="80" t="s">
        <v>34</v>
      </c>
      <c r="J355" s="80" t="s">
        <v>377</v>
      </c>
      <c r="K355" s="80" t="s">
        <v>347</v>
      </c>
      <c r="L355" s="80" t="s">
        <v>343</v>
      </c>
      <c r="M355" s="81">
        <v>0.25</v>
      </c>
      <c r="N355" s="82">
        <v>18.75</v>
      </c>
    </row>
    <row r="356" spans="1:14" x14ac:dyDescent="0.25">
      <c r="A356" s="10" t="str">
        <f>_xlfn.IFNA(
    IF(J356=
        "PCB-0001",
        "CSS",
        IF(
            ISNUMBER(MATCH(_xlfn.TEXTBEFORE(J356,"-"), {"CSS","CSN","PCB","PCF","BEC","CSD","PCM"}, 0)),
            _xlfn.TEXTBEFORE(J356,"-"),
            "Other"
        )
    ),
"Add")</f>
        <v>PCB</v>
      </c>
      <c r="B356" s="10" t="str">
        <f t="shared" si="6"/>
        <v>0121</v>
      </c>
      <c r="C356" s="10" t="str">
        <f>_xlfn.LET(
    _xlpm.val, IF(Datadetails[[#This Row],[Activity]]="D02","C20",Datadetails[[#This Row],[Activity]]),
    IF(ISNUMBER(MATCH(_xlpm.val,{"D04","C30","c40","C20"},0)), _xlpm.val, "Other")
)</f>
        <v>C30</v>
      </c>
      <c r="D356" s="10" t="str">
        <f>IFERROR(VLOOKUP(Datadetails[[#This Row],[Taskcode]],Dashboard!A:A,1,FALSE),"00 Err Missing")</f>
        <v>0121</v>
      </c>
      <c r="E356" s="79">
        <v>45775</v>
      </c>
      <c r="F356" s="80" t="s">
        <v>329</v>
      </c>
      <c r="G356" s="60" t="s">
        <v>40</v>
      </c>
      <c r="H356" s="80" t="s">
        <v>288</v>
      </c>
      <c r="I356" s="80" t="s">
        <v>34</v>
      </c>
      <c r="J356" s="80" t="s">
        <v>405</v>
      </c>
      <c r="K356" s="80" t="s">
        <v>347</v>
      </c>
      <c r="L356" s="80" t="s">
        <v>343</v>
      </c>
      <c r="M356" s="81">
        <v>0.08</v>
      </c>
      <c r="N356" s="82">
        <v>6</v>
      </c>
    </row>
    <row r="357" spans="1:14" x14ac:dyDescent="0.25">
      <c r="A357" s="10" t="str">
        <f>_xlfn.IFNA(
    IF(J357=
        "PCB-0001",
        "CSS",
        IF(
            ISNUMBER(MATCH(_xlfn.TEXTBEFORE(J357,"-"), {"CSS","CSN","PCB","PCF","BEC","CSD","PCM"}, 0)),
            _xlfn.TEXTBEFORE(J357,"-"),
            "Other"
        )
    ),
"Add")</f>
        <v>PCB</v>
      </c>
      <c r="B357" s="10" t="str">
        <f t="shared" si="6"/>
        <v>0091</v>
      </c>
      <c r="C357" s="10" t="str">
        <f>_xlfn.LET(
    _xlpm.val, IF(Datadetails[[#This Row],[Activity]]="D02","C20",Datadetails[[#This Row],[Activity]]),
    IF(ISNUMBER(MATCH(_xlpm.val,{"D04","C30","c40","C20"},0)), _xlpm.val, "Other")
)</f>
        <v>C30</v>
      </c>
      <c r="D357" s="10" t="str">
        <f>IFERROR(VLOOKUP(Datadetails[[#This Row],[Taskcode]],Dashboard!A:A,1,FALSE),"00 Err Missing")</f>
        <v>0091</v>
      </c>
      <c r="E357" s="79">
        <v>45775</v>
      </c>
      <c r="F357" s="80" t="s">
        <v>329</v>
      </c>
      <c r="G357" s="60" t="s">
        <v>40</v>
      </c>
      <c r="H357" s="80" t="s">
        <v>258</v>
      </c>
      <c r="I357" s="80" t="s">
        <v>34</v>
      </c>
      <c r="J357" s="80" t="s">
        <v>381</v>
      </c>
      <c r="K357" s="80" t="s">
        <v>347</v>
      </c>
      <c r="L357" s="80" t="s">
        <v>343</v>
      </c>
      <c r="M357" s="81">
        <v>0.17</v>
      </c>
      <c r="N357" s="82">
        <v>12.750000000000002</v>
      </c>
    </row>
    <row r="358" spans="1:14" x14ac:dyDescent="0.25">
      <c r="A358" s="10" t="str">
        <f>_xlfn.IFNA(
    IF(J358=
        "PCB-0001",
        "CSS",
        IF(
            ISNUMBER(MATCH(_xlfn.TEXTBEFORE(J358,"-"), {"CSS","CSN","PCB","PCF","BEC","CSD","PCM"}, 0)),
            _xlfn.TEXTBEFORE(J358,"-"),
            "Other"
        )
    ),
"Add")</f>
        <v>PCB</v>
      </c>
      <c r="B358" s="10" t="str">
        <f t="shared" si="6"/>
        <v>0092</v>
      </c>
      <c r="C358" s="10" t="str">
        <f>_xlfn.LET(
    _xlpm.val, IF(Datadetails[[#This Row],[Activity]]="D02","C20",Datadetails[[#This Row],[Activity]]),
    IF(ISNUMBER(MATCH(_xlpm.val,{"D04","C30","c40","C20"},0)), _xlpm.val, "Other")
)</f>
        <v>C30</v>
      </c>
      <c r="D358" s="10" t="str">
        <f>IFERROR(VLOOKUP(Datadetails[[#This Row],[Taskcode]],Dashboard!A:A,1,FALSE),"00 Err Missing")</f>
        <v>0092</v>
      </c>
      <c r="E358" s="79">
        <v>45775</v>
      </c>
      <c r="F358" s="80" t="s">
        <v>329</v>
      </c>
      <c r="G358" s="60" t="s">
        <v>40</v>
      </c>
      <c r="H358" s="80" t="s">
        <v>259</v>
      </c>
      <c r="I358" s="80" t="s">
        <v>34</v>
      </c>
      <c r="J358" s="80" t="s">
        <v>407</v>
      </c>
      <c r="K358" s="80" t="s">
        <v>347</v>
      </c>
      <c r="L358" s="80" t="s">
        <v>343</v>
      </c>
      <c r="M358" s="81">
        <v>0.17</v>
      </c>
      <c r="N358" s="82">
        <v>12.750000000000002</v>
      </c>
    </row>
    <row r="359" spans="1:14" x14ac:dyDescent="0.25">
      <c r="A359" s="10" t="str">
        <f>_xlfn.IFNA(
    IF(J359=
        "PCB-0001",
        "CSS",
        IF(
            ISNUMBER(MATCH(_xlfn.TEXTBEFORE(J359,"-"), {"CSS","CSN","PCB","PCF","BEC","CSD","PCM"}, 0)),
            _xlfn.TEXTBEFORE(J359,"-"),
            "Other"
        )
    ),
"Add")</f>
        <v>PCB</v>
      </c>
      <c r="B359" s="10" t="str">
        <f t="shared" si="6"/>
        <v>0082</v>
      </c>
      <c r="C359" s="10" t="str">
        <f>_xlfn.LET(
    _xlpm.val, IF(Datadetails[[#This Row],[Activity]]="D02","C20",Datadetails[[#This Row],[Activity]]),
    IF(ISNUMBER(MATCH(_xlpm.val,{"D04","C30","c40","C20"},0)), _xlpm.val, "Other")
)</f>
        <v>C30</v>
      </c>
      <c r="D359" s="10" t="str">
        <f>IFERROR(VLOOKUP(Datadetails[[#This Row],[Taskcode]],Dashboard!A:A,1,FALSE),"00 Err Missing")</f>
        <v>0082</v>
      </c>
      <c r="E359" s="79">
        <v>45775</v>
      </c>
      <c r="F359" s="80" t="s">
        <v>325</v>
      </c>
      <c r="G359" s="60" t="s">
        <v>40</v>
      </c>
      <c r="H359" s="80" t="s">
        <v>249</v>
      </c>
      <c r="I359" s="80" t="s">
        <v>34</v>
      </c>
      <c r="J359" s="80" t="s">
        <v>409</v>
      </c>
      <c r="K359" s="80" t="s">
        <v>347</v>
      </c>
      <c r="L359" s="80" t="s">
        <v>343</v>
      </c>
      <c r="M359" s="81">
        <v>0.17</v>
      </c>
      <c r="N359" s="82">
        <v>12.750000000000002</v>
      </c>
    </row>
    <row r="360" spans="1:14" x14ac:dyDescent="0.25">
      <c r="A360" s="10" t="str">
        <f>_xlfn.IFNA(
    IF(J360=
        "PCB-0001",
        "CSS",
        IF(
            ISNUMBER(MATCH(_xlfn.TEXTBEFORE(J360,"-"), {"CSS","CSN","PCB","PCF","BEC","CSD","PCM"}, 0)),
            _xlfn.TEXTBEFORE(J360,"-"),
            "Other"
        )
    ),
"Add")</f>
        <v>PCB</v>
      </c>
      <c r="B360" s="10" t="str">
        <f t="shared" si="6"/>
        <v>0081</v>
      </c>
      <c r="C360" s="10" t="str">
        <f>_xlfn.LET(
    _xlpm.val, IF(Datadetails[[#This Row],[Activity]]="D02","C20",Datadetails[[#This Row],[Activity]]),
    IF(ISNUMBER(MATCH(_xlpm.val,{"D04","C30","c40","C20"},0)), _xlpm.val, "Other")
)</f>
        <v>C30</v>
      </c>
      <c r="D360" s="10" t="str">
        <f>IFERROR(VLOOKUP(Datadetails[[#This Row],[Taskcode]],Dashboard!A:A,1,FALSE),"00 Err Missing")</f>
        <v>0081</v>
      </c>
      <c r="E360" s="79">
        <v>45775</v>
      </c>
      <c r="F360" s="80" t="s">
        <v>329</v>
      </c>
      <c r="G360" s="60" t="s">
        <v>40</v>
      </c>
      <c r="H360" s="80" t="s">
        <v>248</v>
      </c>
      <c r="I360" s="80" t="s">
        <v>34</v>
      </c>
      <c r="J360" s="80" t="s">
        <v>385</v>
      </c>
      <c r="K360" s="80" t="s">
        <v>347</v>
      </c>
      <c r="L360" s="80" t="s">
        <v>343</v>
      </c>
      <c r="M360" s="81">
        <v>0.25</v>
      </c>
      <c r="N360" s="82">
        <v>18.75</v>
      </c>
    </row>
    <row r="361" spans="1:14" x14ac:dyDescent="0.25">
      <c r="A361" s="10" t="str">
        <f>_xlfn.IFNA(
    IF(J361=
        "PCB-0001",
        "CSS",
        IF(
            ISNUMBER(MATCH(_xlfn.TEXTBEFORE(J361,"-"), {"CSS","CSN","PCB","PCF","BEC","CSD","PCM"}, 0)),
            _xlfn.TEXTBEFORE(J361,"-"),
            "Other"
        )
    ),
"Add")</f>
        <v>PCB</v>
      </c>
      <c r="B361" s="10" t="str">
        <f t="shared" si="6"/>
        <v>0101</v>
      </c>
      <c r="C361" s="10" t="str">
        <f>_xlfn.LET(
    _xlpm.val, IF(Datadetails[[#This Row],[Activity]]="D02","C20",Datadetails[[#This Row],[Activity]]),
    IF(ISNUMBER(MATCH(_xlpm.val,{"D04","C30","c40","C20"},0)), _xlpm.val, "Other")
)</f>
        <v>C30</v>
      </c>
      <c r="D361" s="10" t="str">
        <f>IFERROR(VLOOKUP(Datadetails[[#This Row],[Taskcode]],Dashboard!A:A,1,FALSE),"00 Err Missing")</f>
        <v>0101</v>
      </c>
      <c r="E361" s="79">
        <v>45775</v>
      </c>
      <c r="F361" s="80" t="s">
        <v>329</v>
      </c>
      <c r="G361" s="60" t="s">
        <v>40</v>
      </c>
      <c r="H361" s="80" t="s">
        <v>268</v>
      </c>
      <c r="I361" s="80" t="s">
        <v>34</v>
      </c>
      <c r="J361" s="80" t="s">
        <v>386</v>
      </c>
      <c r="K361" s="80" t="s">
        <v>347</v>
      </c>
      <c r="L361" s="80" t="s">
        <v>343</v>
      </c>
      <c r="M361" s="81">
        <v>0.17</v>
      </c>
      <c r="N361" s="82">
        <v>12.750000000000002</v>
      </c>
    </row>
    <row r="362" spans="1:14" x14ac:dyDescent="0.25">
      <c r="A362" s="10" t="str">
        <f>_xlfn.IFNA(
    IF(J362=
        "PCB-0001",
        "CSS",
        IF(
            ISNUMBER(MATCH(_xlfn.TEXTBEFORE(J362,"-"), {"CSS","CSN","PCB","PCF","BEC","CSD","PCM"}, 0)),
            _xlfn.TEXTBEFORE(J362,"-"),
            "Other"
        )
    ),
"Add")</f>
        <v>PCF</v>
      </c>
      <c r="B362" s="10" t="str">
        <f t="shared" si="6"/>
        <v>0069</v>
      </c>
      <c r="C362" s="10" t="str">
        <f>_xlfn.LET(
    _xlpm.val, IF(Datadetails[[#This Row],[Activity]]="D02","C20",Datadetails[[#This Row],[Activity]]),
    IF(ISNUMBER(MATCH(_xlpm.val,{"D04","C30","c40","C20"},0)), _xlpm.val, "Other")
)</f>
        <v>C20</v>
      </c>
      <c r="D362" s="10" t="str">
        <f>IFERROR(VLOOKUP(Datadetails[[#This Row],[Taskcode]],Dashboard!A:A,1,FALSE),"00 Err Missing")</f>
        <v>0069</v>
      </c>
      <c r="E362" s="79">
        <v>45775</v>
      </c>
      <c r="F362" s="80" t="s">
        <v>326</v>
      </c>
      <c r="G362" s="60" t="s">
        <v>40</v>
      </c>
      <c r="H362" s="80" t="s">
        <v>236</v>
      </c>
      <c r="I362" s="80" t="s">
        <v>36</v>
      </c>
      <c r="J362" s="80" t="s">
        <v>357</v>
      </c>
      <c r="K362" s="80" t="s">
        <v>348</v>
      </c>
      <c r="L362" s="80" t="s">
        <v>342</v>
      </c>
      <c r="M362" s="81">
        <v>0.75</v>
      </c>
      <c r="N362" s="82">
        <v>45</v>
      </c>
    </row>
    <row r="363" spans="1:14" x14ac:dyDescent="0.25">
      <c r="A363" s="10" t="str">
        <f>_xlfn.IFNA(
    IF(J363=
        "PCB-0001",
        "CSS",
        IF(
            ISNUMBER(MATCH(_xlfn.TEXTBEFORE(J363,"-"), {"CSS","CSN","PCB","PCF","BEC","CSD","PCM"}, 0)),
            _xlfn.TEXTBEFORE(J363,"-"),
            "Other"
        )
    ),
"Add")</f>
        <v>PCF</v>
      </c>
      <c r="B363" s="10" t="str">
        <f t="shared" si="6"/>
        <v>0070</v>
      </c>
      <c r="C363" s="10" t="str">
        <f>_xlfn.LET(
    _xlpm.val, IF(Datadetails[[#This Row],[Activity]]="D02","C20",Datadetails[[#This Row],[Activity]]),
    IF(ISNUMBER(MATCH(_xlpm.val,{"D04","C30","c40","C20"},0)), _xlpm.val, "Other")
)</f>
        <v>C30</v>
      </c>
      <c r="D363" s="10" t="str">
        <f>IFERROR(VLOOKUP(Datadetails[[#This Row],[Taskcode]],Dashboard!A:A,1,FALSE),"00 Err Missing")</f>
        <v>0070</v>
      </c>
      <c r="E363" s="79">
        <v>45775</v>
      </c>
      <c r="F363" s="80" t="s">
        <v>326</v>
      </c>
      <c r="G363" s="60" t="s">
        <v>40</v>
      </c>
      <c r="H363" s="80" t="s">
        <v>237</v>
      </c>
      <c r="I363" s="80" t="s">
        <v>34</v>
      </c>
      <c r="J363" s="80" t="s">
        <v>427</v>
      </c>
      <c r="K363" s="80" t="s">
        <v>348</v>
      </c>
      <c r="L363" s="80" t="s">
        <v>343</v>
      </c>
      <c r="M363" s="81">
        <v>0.75</v>
      </c>
      <c r="N363" s="82">
        <v>45</v>
      </c>
    </row>
    <row r="364" spans="1:14" x14ac:dyDescent="0.25">
      <c r="A364" s="10" t="str">
        <f>_xlfn.IFNA(
    IF(J364=
        "PCB-0001",
        "CSS",
        IF(
            ISNUMBER(MATCH(_xlfn.TEXTBEFORE(J364,"-"), {"CSS","CSN","PCB","PCF","BEC","CSD","PCM"}, 0)),
            _xlfn.TEXTBEFORE(J364,"-"),
            "Other"
        )
    ),
"Add")</f>
        <v>PCF</v>
      </c>
      <c r="B364" s="10" t="str">
        <f t="shared" si="6"/>
        <v>0090</v>
      </c>
      <c r="C364" s="10" t="str">
        <f>_xlfn.LET(
    _xlpm.val, IF(Datadetails[[#This Row],[Activity]]="D02","C20",Datadetails[[#This Row],[Activity]]),
    IF(ISNUMBER(MATCH(_xlpm.val,{"D04","C30","c40","C20"},0)), _xlpm.val, "Other")
)</f>
        <v>C30</v>
      </c>
      <c r="D364" s="10" t="str">
        <f>IFERROR(VLOOKUP(Datadetails[[#This Row],[Taskcode]],Dashboard!A:A,1,FALSE),"00 Err Missing")</f>
        <v>0090</v>
      </c>
      <c r="E364" s="79">
        <v>45775</v>
      </c>
      <c r="F364" s="80" t="s">
        <v>326</v>
      </c>
      <c r="G364" s="60" t="s">
        <v>40</v>
      </c>
      <c r="H364" s="80" t="s">
        <v>257</v>
      </c>
      <c r="I364" s="80" t="s">
        <v>34</v>
      </c>
      <c r="J364" s="80" t="s">
        <v>440</v>
      </c>
      <c r="K364" s="80" t="s">
        <v>348</v>
      </c>
      <c r="L364" s="80" t="s">
        <v>343</v>
      </c>
      <c r="M364" s="81">
        <v>0.5</v>
      </c>
      <c r="N364" s="82">
        <v>30</v>
      </c>
    </row>
    <row r="365" spans="1:14" x14ac:dyDescent="0.25">
      <c r="A365" s="10" t="str">
        <f>_xlfn.IFNA(
    IF(J365=
        "PCB-0001",
        "CSS",
        IF(
            ISNUMBER(MATCH(_xlfn.TEXTBEFORE(J365,"-"), {"CSS","CSN","PCB","PCF","BEC","CSD","PCM"}, 0)),
            _xlfn.TEXTBEFORE(J365,"-"),
            "Other"
        )
    ),
"Add")</f>
        <v>BEC</v>
      </c>
      <c r="B365" s="10" t="str">
        <f t="shared" si="6"/>
        <v>0001</v>
      </c>
      <c r="C365" s="10" t="str">
        <f>_xlfn.LET(
    _xlpm.val, IF(Datadetails[[#This Row],[Activity]]="D02","C20",Datadetails[[#This Row],[Activity]]),
    IF(ISNUMBER(MATCH(_xlpm.val,{"D04","C30","c40","C20"},0)), _xlpm.val, "Other")
)</f>
        <v>D04</v>
      </c>
      <c r="D365" s="10" t="str">
        <f>IFERROR(VLOOKUP(Datadetails[[#This Row],[Taskcode]],Dashboard!A:A,1,FALSE),"00 Err Missing")</f>
        <v>0001</v>
      </c>
      <c r="E365" s="79">
        <v>45775</v>
      </c>
      <c r="F365" s="80" t="s">
        <v>332</v>
      </c>
      <c r="G365" s="60" t="s">
        <v>40</v>
      </c>
      <c r="H365" s="80" t="s">
        <v>314</v>
      </c>
      <c r="I365" s="80" t="s">
        <v>35</v>
      </c>
      <c r="J365" s="80" t="s">
        <v>359</v>
      </c>
      <c r="K365" s="80" t="s">
        <v>339</v>
      </c>
      <c r="L365" s="80" t="s">
        <v>352</v>
      </c>
      <c r="M365" s="81">
        <v>8.83</v>
      </c>
      <c r="N365" s="82">
        <v>353.2</v>
      </c>
    </row>
    <row r="366" spans="1:14" x14ac:dyDescent="0.25">
      <c r="A366" s="10" t="str">
        <f>_xlfn.IFNA(
    IF(J366=
        "PCB-0001",
        "CSS",
        IF(
            ISNUMBER(MATCH(_xlfn.TEXTBEFORE(J366,"-"), {"CSS","CSN","PCB","PCF","BEC","CSD","PCM"}, 0)),
            _xlfn.TEXTBEFORE(J366,"-"),
            "Other"
        )
    ),
"Add")</f>
        <v>BEC</v>
      </c>
      <c r="B366" s="10" t="str">
        <f t="shared" si="6"/>
        <v>0001</v>
      </c>
      <c r="C366" s="10" t="str">
        <f>_xlfn.LET(
    _xlpm.val, IF(Datadetails[[#This Row],[Activity]]="D02","C20",Datadetails[[#This Row],[Activity]]),
    IF(ISNUMBER(MATCH(_xlpm.val,{"D04","C30","c40","C20"},0)), _xlpm.val, "Other")
)</f>
        <v>D04</v>
      </c>
      <c r="D366" s="10" t="str">
        <f>IFERROR(VLOOKUP(Datadetails[[#This Row],[Taskcode]],Dashboard!A:A,1,FALSE),"00 Err Missing")</f>
        <v>0001</v>
      </c>
      <c r="E366" s="79">
        <v>45775</v>
      </c>
      <c r="F366" s="80" t="s">
        <v>324</v>
      </c>
      <c r="G366" s="60" t="s">
        <v>40</v>
      </c>
      <c r="H366" s="80" t="s">
        <v>314</v>
      </c>
      <c r="I366" s="80" t="s">
        <v>35</v>
      </c>
      <c r="J366" s="80" t="s">
        <v>359</v>
      </c>
      <c r="K366" s="80" t="s">
        <v>339</v>
      </c>
      <c r="L366" s="80" t="s">
        <v>352</v>
      </c>
      <c r="M366" s="81">
        <v>5.42</v>
      </c>
      <c r="N366" s="82">
        <v>406.5</v>
      </c>
    </row>
    <row r="367" spans="1:14" x14ac:dyDescent="0.25">
      <c r="A367" s="10" t="str">
        <f>_xlfn.IFNA(
    IF(J367=
        "PCB-0001",
        "CSS",
        IF(
            ISNUMBER(MATCH(_xlfn.TEXTBEFORE(J367,"-"), {"CSS","CSN","PCB","PCF","BEC","CSD","PCM"}, 0)),
            _xlfn.TEXTBEFORE(J367,"-"),
            "Other"
        )
    ),
"Add")</f>
        <v>PCB</v>
      </c>
      <c r="B367" s="10" t="str">
        <f t="shared" si="6"/>
        <v>0103</v>
      </c>
      <c r="C367" s="10" t="str">
        <f>_xlfn.LET(
    _xlpm.val, IF(Datadetails[[#This Row],[Activity]]="D02","C20",Datadetails[[#This Row],[Activity]]),
    IF(ISNUMBER(MATCH(_xlpm.val,{"D04","C30","c40","C20"},0)), _xlpm.val, "Other")
)</f>
        <v>C30</v>
      </c>
      <c r="D367" s="10" t="str">
        <f>IFERROR(VLOOKUP(Datadetails[[#This Row],[Taskcode]],Dashboard!A:A,1,FALSE),"00 Err Missing")</f>
        <v>0103</v>
      </c>
      <c r="E367" s="79">
        <v>45776</v>
      </c>
      <c r="F367" s="80" t="s">
        <v>329</v>
      </c>
      <c r="G367" s="60" t="s">
        <v>40</v>
      </c>
      <c r="H367" s="80" t="s">
        <v>270</v>
      </c>
      <c r="I367" s="80" t="s">
        <v>34</v>
      </c>
      <c r="J367" s="80" t="s">
        <v>360</v>
      </c>
      <c r="K367" s="80" t="s">
        <v>347</v>
      </c>
      <c r="L367" s="80" t="s">
        <v>343</v>
      </c>
      <c r="M367" s="81">
        <v>0.5</v>
      </c>
      <c r="N367" s="82">
        <v>37.5</v>
      </c>
    </row>
    <row r="368" spans="1:14" x14ac:dyDescent="0.25">
      <c r="A368" s="10" t="str">
        <f>_xlfn.IFNA(
    IF(J368=
        "PCB-0001",
        "CSS",
        IF(
            ISNUMBER(MATCH(_xlfn.TEXTBEFORE(J368,"-"), {"CSS","CSN","PCB","PCF","BEC","CSD","PCM"}, 0)),
            _xlfn.TEXTBEFORE(J368,"-"),
            "Other"
        )
    ),
"Add")</f>
        <v>PCB</v>
      </c>
      <c r="B368" s="10" t="str">
        <f t="shared" si="6"/>
        <v>0080</v>
      </c>
      <c r="C368" s="10" t="str">
        <f>_xlfn.LET(
    _xlpm.val, IF(Datadetails[[#This Row],[Activity]]="D02","C20",Datadetails[[#This Row],[Activity]]),
    IF(ISNUMBER(MATCH(_xlpm.val,{"D04","C30","c40","C20"},0)), _xlpm.val, "Other")
)</f>
        <v>C40</v>
      </c>
      <c r="D368" s="10" t="str">
        <f>IFERROR(VLOOKUP(Datadetails[[#This Row],[Taskcode]],Dashboard!A:A,1,FALSE),"00 Err Missing")</f>
        <v>0080</v>
      </c>
      <c r="E368" s="79">
        <v>45776</v>
      </c>
      <c r="F368" s="80" t="s">
        <v>329</v>
      </c>
      <c r="G368" s="60" t="s">
        <v>40</v>
      </c>
      <c r="H368" s="80" t="s">
        <v>247</v>
      </c>
      <c r="I368" s="80" t="s">
        <v>341</v>
      </c>
      <c r="J368" s="80" t="s">
        <v>375</v>
      </c>
      <c r="K368" s="80" t="s">
        <v>347</v>
      </c>
      <c r="L368" s="80" t="s">
        <v>344</v>
      </c>
      <c r="M368" s="81">
        <v>2</v>
      </c>
      <c r="N368" s="82">
        <v>150</v>
      </c>
    </row>
    <row r="369" spans="1:14" x14ac:dyDescent="0.25">
      <c r="A369" s="10" t="str">
        <f>_xlfn.IFNA(
    IF(J369=
        "PCB-0001",
        "CSS",
        IF(
            ISNUMBER(MATCH(_xlfn.TEXTBEFORE(J369,"-"), {"CSS","CSN","PCB","PCF","BEC","CSD","PCM"}, 0)),
            _xlfn.TEXTBEFORE(J369,"-"),
            "Other"
        )
    ),
"Add")</f>
        <v>PCB</v>
      </c>
      <c r="B369" s="10" t="str">
        <f t="shared" si="6"/>
        <v>0019</v>
      </c>
      <c r="C369" s="10" t="str">
        <f>_xlfn.LET(
    _xlpm.val, IF(Datadetails[[#This Row],[Activity]]="D02","C20",Datadetails[[#This Row],[Activity]]),
    IF(ISNUMBER(MATCH(_xlpm.val,{"D04","C30","c40","C20"},0)), _xlpm.val, "Other")
)</f>
        <v>C40</v>
      </c>
      <c r="D369" s="10" t="str">
        <f>IFERROR(VLOOKUP(Datadetails[[#This Row],[Taskcode]],Dashboard!A:A,1,FALSE),"00 Err Missing")</f>
        <v>0019</v>
      </c>
      <c r="E369" s="79">
        <v>45776</v>
      </c>
      <c r="F369" s="80" t="s">
        <v>329</v>
      </c>
      <c r="G369" s="60" t="s">
        <v>40</v>
      </c>
      <c r="H369" s="80" t="s">
        <v>186</v>
      </c>
      <c r="I369" s="80" t="s">
        <v>341</v>
      </c>
      <c r="J369" s="80" t="s">
        <v>397</v>
      </c>
      <c r="K369" s="80" t="s">
        <v>347</v>
      </c>
      <c r="L369" s="80" t="s">
        <v>344</v>
      </c>
      <c r="M369" s="81">
        <v>2.75</v>
      </c>
      <c r="N369" s="82">
        <v>206.25</v>
      </c>
    </row>
    <row r="370" spans="1:14" x14ac:dyDescent="0.25">
      <c r="A370" s="10" t="str">
        <f>_xlfn.IFNA(
    IF(J370=
        "PCB-0001",
        "CSS",
        IF(
            ISNUMBER(MATCH(_xlfn.TEXTBEFORE(J370,"-"), {"CSS","CSN","PCB","PCF","BEC","CSD","PCM"}, 0)),
            _xlfn.TEXTBEFORE(J370,"-"),
            "Other"
        )
    ),
"Add")</f>
        <v>PCM</v>
      </c>
      <c r="B370" s="10" t="str">
        <f t="shared" si="6"/>
        <v>0001</v>
      </c>
      <c r="C370" s="10" t="str">
        <f>_xlfn.LET(
    _xlpm.val, IF(Datadetails[[#This Row],[Activity]]="D02","C20",Datadetails[[#This Row],[Activity]]),
    IF(ISNUMBER(MATCH(_xlpm.val,{"D04","C30","c40","C20"},0)), _xlpm.val, "Other")
)</f>
        <v>C20</v>
      </c>
      <c r="D370" s="10" t="str">
        <f>IFERROR(VLOOKUP(Datadetails[[#This Row],[Taskcode]],Dashboard!A:A,1,FALSE),"00 Err Missing")</f>
        <v>0001</v>
      </c>
      <c r="E370" s="79">
        <v>45776</v>
      </c>
      <c r="F370" s="80" t="s">
        <v>323</v>
      </c>
      <c r="G370" s="60" t="s">
        <v>40</v>
      </c>
      <c r="H370" s="80" t="s">
        <v>168</v>
      </c>
      <c r="I370" s="80" t="s">
        <v>36</v>
      </c>
      <c r="J370" s="80" t="s">
        <v>419</v>
      </c>
      <c r="K370" s="80" t="s">
        <v>346</v>
      </c>
      <c r="L370" s="80" t="s">
        <v>342</v>
      </c>
      <c r="M370" s="81">
        <v>0.25</v>
      </c>
      <c r="N370" s="82">
        <v>15</v>
      </c>
    </row>
    <row r="371" spans="1:14" x14ac:dyDescent="0.25">
      <c r="A371" s="10" t="str">
        <f>_xlfn.IFNA(
    IF(J371=
        "PCB-0001",
        "CSS",
        IF(
            ISNUMBER(MATCH(_xlfn.TEXTBEFORE(J371,"-"), {"CSS","CSN","PCB","PCF","BEC","CSD","PCM"}, 0)),
            _xlfn.TEXTBEFORE(J371,"-"),
            "Other"
        )
    ),
"Add")</f>
        <v>CSN</v>
      </c>
      <c r="B371" s="10" t="str">
        <f t="shared" si="6"/>
        <v>0001</v>
      </c>
      <c r="C371" s="10" t="str">
        <f>_xlfn.LET(
    _xlpm.val, IF(Datadetails[[#This Row],[Activity]]="D02","C20",Datadetails[[#This Row],[Activity]]),
    IF(ISNUMBER(MATCH(_xlpm.val,{"D04","C30","c40","C20"},0)), _xlpm.val, "Other")
)</f>
        <v>D04</v>
      </c>
      <c r="D371" s="10" t="str">
        <f>IFERROR(VLOOKUP(Datadetails[[#This Row],[Taskcode]],Dashboard!A:A,1,FALSE),"00 Err Missing")</f>
        <v>0001</v>
      </c>
      <c r="E371" s="79">
        <v>45776</v>
      </c>
      <c r="F371" s="80" t="s">
        <v>329</v>
      </c>
      <c r="G371" s="60" t="s">
        <v>40</v>
      </c>
      <c r="H371" s="80" t="s">
        <v>316</v>
      </c>
      <c r="I371" s="80" t="s">
        <v>35</v>
      </c>
      <c r="J371" s="80" t="s">
        <v>338</v>
      </c>
      <c r="K371" s="80" t="s">
        <v>337</v>
      </c>
      <c r="L371" s="80" t="s">
        <v>352</v>
      </c>
      <c r="M371" s="81">
        <v>1.17</v>
      </c>
      <c r="N371" s="82">
        <v>87.75</v>
      </c>
    </row>
    <row r="372" spans="1:14" x14ac:dyDescent="0.25">
      <c r="A372" s="10" t="str">
        <f>_xlfn.IFNA(
    IF(J372=
        "PCB-0001",
        "CSS",
        IF(
            ISNUMBER(MATCH(_xlfn.TEXTBEFORE(J372,"-"), {"CSS","CSN","PCB","PCF","BEC","CSD","PCM"}, 0)),
            _xlfn.TEXTBEFORE(J372,"-"),
            "Other"
        )
    ),
"Add")</f>
        <v>CSD</v>
      </c>
      <c r="B372" s="10" t="str">
        <f t="shared" si="6"/>
        <v>0001</v>
      </c>
      <c r="C372" s="10" t="str">
        <f>_xlfn.LET(
    _xlpm.val, IF(Datadetails[[#This Row],[Activity]]="D02","C20",Datadetails[[#This Row],[Activity]]),
    IF(ISNUMBER(MATCH(_xlpm.val,{"D04","C30","c40","C20"},0)), _xlpm.val, "Other")
)</f>
        <v>D04</v>
      </c>
      <c r="D372" s="10" t="str">
        <f>IFERROR(VLOOKUP(Datadetails[[#This Row],[Taskcode]],Dashboard!A:A,1,FALSE),"00 Err Missing")</f>
        <v>0001</v>
      </c>
      <c r="E372" s="79">
        <v>45776</v>
      </c>
      <c r="F372" s="80" t="s">
        <v>333</v>
      </c>
      <c r="G372" s="60" t="s">
        <v>40</v>
      </c>
      <c r="H372" s="80" t="s">
        <v>320</v>
      </c>
      <c r="I372" s="80" t="s">
        <v>35</v>
      </c>
      <c r="J372" s="80" t="s">
        <v>322</v>
      </c>
      <c r="K372" s="80" t="s">
        <v>319</v>
      </c>
      <c r="L372" s="80" t="s">
        <v>352</v>
      </c>
      <c r="M372" s="81">
        <v>6.55</v>
      </c>
      <c r="N372" s="82">
        <v>209.6</v>
      </c>
    </row>
    <row r="373" spans="1:14" x14ac:dyDescent="0.25">
      <c r="A373" s="10" t="str">
        <f>_xlfn.IFNA(
    IF(J373=
        "PCB-0001",
        "CSS",
        IF(
            ISNUMBER(MATCH(_xlfn.TEXTBEFORE(J373,"-"), {"CSS","CSN","PCB","PCF","BEC","CSD","PCM"}, 0)),
            _xlfn.TEXTBEFORE(J373,"-"),
            "Other"
        )
    ),
"Add")</f>
        <v>CSD</v>
      </c>
      <c r="B373" s="10" t="str">
        <f t="shared" si="6"/>
        <v>0001</v>
      </c>
      <c r="C373" s="10" t="str">
        <f>_xlfn.LET(
    _xlpm.val, IF(Datadetails[[#This Row],[Activity]]="D02","C20",Datadetails[[#This Row],[Activity]]),
    IF(ISNUMBER(MATCH(_xlpm.val,{"D04","C30","c40","C20"},0)), _xlpm.val, "Other")
)</f>
        <v>D04</v>
      </c>
      <c r="D373" s="10" t="str">
        <f>IFERROR(VLOOKUP(Datadetails[[#This Row],[Taskcode]],Dashboard!A:A,1,FALSE),"00 Err Missing")</f>
        <v>0001</v>
      </c>
      <c r="E373" s="79">
        <v>45776</v>
      </c>
      <c r="F373" s="80" t="s">
        <v>327</v>
      </c>
      <c r="G373" s="60" t="s">
        <v>40</v>
      </c>
      <c r="H373" s="80" t="s">
        <v>320</v>
      </c>
      <c r="I373" s="80" t="s">
        <v>35</v>
      </c>
      <c r="J373" s="80" t="s">
        <v>322</v>
      </c>
      <c r="K373" s="80" t="s">
        <v>319</v>
      </c>
      <c r="L373" s="80" t="s">
        <v>352</v>
      </c>
      <c r="M373" s="81">
        <v>7.5</v>
      </c>
      <c r="N373" s="82">
        <v>240</v>
      </c>
    </row>
    <row r="374" spans="1:14" x14ac:dyDescent="0.25">
      <c r="A374" s="10" t="str">
        <f>_xlfn.IFNA(
    IF(J374=
        "PCB-0001",
        "CSS",
        IF(
            ISNUMBER(MATCH(_xlfn.TEXTBEFORE(J374,"-"), {"CSS","CSN","PCB","PCF","BEC","CSD","PCM"}, 0)),
            _xlfn.TEXTBEFORE(J374,"-"),
            "Other"
        )
    ),
"Add")</f>
        <v>PCM</v>
      </c>
      <c r="B374" s="10" t="str">
        <f t="shared" si="6"/>
        <v>0078</v>
      </c>
      <c r="C374" s="10" t="str">
        <f>_xlfn.LET(
    _xlpm.val, IF(Datadetails[[#This Row],[Activity]]="D02","C20",Datadetails[[#This Row],[Activity]]),
    IF(ISNUMBER(MATCH(_xlpm.val,{"D04","C30","c40","C20"},0)), _xlpm.val, "Other")
)</f>
        <v>C30</v>
      </c>
      <c r="D374" s="10" t="str">
        <f>IFERROR(VLOOKUP(Datadetails[[#This Row],[Taskcode]],Dashboard!A:A,1,FALSE),"00 Err Missing")</f>
        <v>0078</v>
      </c>
      <c r="E374" s="79">
        <v>45776</v>
      </c>
      <c r="F374" s="80" t="s">
        <v>323</v>
      </c>
      <c r="G374" s="60" t="s">
        <v>40</v>
      </c>
      <c r="H374" s="80" t="s">
        <v>245</v>
      </c>
      <c r="I374" s="80" t="s">
        <v>34</v>
      </c>
      <c r="J374" s="80" t="s">
        <v>435</v>
      </c>
      <c r="K374" s="80" t="s">
        <v>346</v>
      </c>
      <c r="L374" s="80" t="s">
        <v>343</v>
      </c>
      <c r="M374" s="81">
        <v>0.33</v>
      </c>
      <c r="N374" s="82">
        <v>19.8</v>
      </c>
    </row>
    <row r="375" spans="1:14" x14ac:dyDescent="0.25">
      <c r="A375" s="10" t="str">
        <f>_xlfn.IFNA(
    IF(J375=
        "PCB-0001",
        "CSS",
        IF(
            ISNUMBER(MATCH(_xlfn.TEXTBEFORE(J375,"-"), {"CSS","CSN","PCB","PCF","BEC","CSD","PCM"}, 0)),
            _xlfn.TEXTBEFORE(J375,"-"),
            "Other"
        )
    ),
"Add")</f>
        <v>PCB</v>
      </c>
      <c r="B375" s="10" t="str">
        <f t="shared" si="6"/>
        <v>0030</v>
      </c>
      <c r="C375" s="10" t="str">
        <f>_xlfn.LET(
    _xlpm.val, IF(Datadetails[[#This Row],[Activity]]="D02","C20",Datadetails[[#This Row],[Activity]]),
    IF(ISNUMBER(MATCH(_xlpm.val,{"D04","C30","c40","C20"},0)), _xlpm.val, "Other")
)</f>
        <v>C30</v>
      </c>
      <c r="D375" s="10" t="str">
        <f>IFERROR(VLOOKUP(Datadetails[[#This Row],[Taskcode]],Dashboard!A:A,1,FALSE),"00 Err Missing")</f>
        <v>0030</v>
      </c>
      <c r="E375" s="79">
        <v>45776</v>
      </c>
      <c r="F375" s="80" t="s">
        <v>329</v>
      </c>
      <c r="G375" s="60" t="s">
        <v>40</v>
      </c>
      <c r="H375" s="80" t="s">
        <v>197</v>
      </c>
      <c r="I375" s="80" t="s">
        <v>34</v>
      </c>
      <c r="J375" s="80" t="s">
        <v>366</v>
      </c>
      <c r="K375" s="80" t="s">
        <v>347</v>
      </c>
      <c r="L375" s="80" t="s">
        <v>343</v>
      </c>
      <c r="M375" s="81">
        <v>0.17</v>
      </c>
      <c r="N375" s="82">
        <v>12.750000000000002</v>
      </c>
    </row>
    <row r="376" spans="1:14" x14ac:dyDescent="0.25">
      <c r="A376" s="10" t="str">
        <f>_xlfn.IFNA(
    IF(J376=
        "PCB-0001",
        "CSS",
        IF(
            ISNUMBER(MATCH(_xlfn.TEXTBEFORE(J376,"-"), {"CSS","CSN","PCB","PCF","BEC","CSD","PCM"}, 0)),
            _xlfn.TEXTBEFORE(J376,"-"),
            "Other"
        )
    ),
"Add")</f>
        <v>PCB</v>
      </c>
      <c r="B376" s="10" t="str">
        <f t="shared" si="6"/>
        <v>0054</v>
      </c>
      <c r="C376" s="10" t="str">
        <f>_xlfn.LET(
    _xlpm.val, IF(Datadetails[[#This Row],[Activity]]="D02","C20",Datadetails[[#This Row],[Activity]]),
    IF(ISNUMBER(MATCH(_xlpm.val,{"D04","C30","c40","C20"},0)), _xlpm.val, "Other")
)</f>
        <v>C30</v>
      </c>
      <c r="D376" s="10" t="str">
        <f>IFERROR(VLOOKUP(Datadetails[[#This Row],[Taskcode]],Dashboard!A:A,1,FALSE),"00 Err Missing")</f>
        <v>0054</v>
      </c>
      <c r="E376" s="79">
        <v>45776</v>
      </c>
      <c r="F376" s="80" t="s">
        <v>329</v>
      </c>
      <c r="G376" s="60" t="s">
        <v>40</v>
      </c>
      <c r="H376" s="80" t="s">
        <v>221</v>
      </c>
      <c r="I376" s="80" t="s">
        <v>34</v>
      </c>
      <c r="J376" s="80" t="s">
        <v>369</v>
      </c>
      <c r="K376" s="80" t="s">
        <v>347</v>
      </c>
      <c r="L376" s="80" t="s">
        <v>343</v>
      </c>
      <c r="M376" s="81">
        <v>0.08</v>
      </c>
      <c r="N376" s="82">
        <v>6</v>
      </c>
    </row>
    <row r="377" spans="1:14" x14ac:dyDescent="0.25">
      <c r="A377" s="10" t="str">
        <f>_xlfn.IFNA(
    IF(J377=
        "PCB-0001",
        "CSS",
        IF(
            ISNUMBER(MATCH(_xlfn.TEXTBEFORE(J377,"-"), {"CSS","CSN","PCB","PCF","BEC","CSD","PCM"}, 0)),
            _xlfn.TEXTBEFORE(J377,"-"),
            "Other"
        )
    ),
"Add")</f>
        <v>PCB</v>
      </c>
      <c r="B377" s="10" t="str">
        <f t="shared" si="6"/>
        <v>0043</v>
      </c>
      <c r="C377" s="10" t="str">
        <f>_xlfn.LET(
    _xlpm.val, IF(Datadetails[[#This Row],[Activity]]="D02","C20",Datadetails[[#This Row],[Activity]]),
    IF(ISNUMBER(MATCH(_xlpm.val,{"D04","C30","c40","C20"},0)), _xlpm.val, "Other")
)</f>
        <v>C30</v>
      </c>
      <c r="D377" s="10" t="str">
        <f>IFERROR(VLOOKUP(Datadetails[[#This Row],[Taskcode]],Dashboard!A:A,1,FALSE),"00 Err Missing")</f>
        <v>0043</v>
      </c>
      <c r="E377" s="79">
        <v>45776</v>
      </c>
      <c r="F377" s="80" t="s">
        <v>325</v>
      </c>
      <c r="G377" s="60" t="s">
        <v>40</v>
      </c>
      <c r="H377" s="80" t="s">
        <v>210</v>
      </c>
      <c r="I377" s="80" t="s">
        <v>34</v>
      </c>
      <c r="J377" s="80" t="s">
        <v>399</v>
      </c>
      <c r="K377" s="80" t="s">
        <v>347</v>
      </c>
      <c r="L377" s="80" t="s">
        <v>343</v>
      </c>
      <c r="M377" s="81">
        <v>0.17</v>
      </c>
      <c r="N377" s="82">
        <v>12.750000000000002</v>
      </c>
    </row>
    <row r="378" spans="1:14" x14ac:dyDescent="0.25">
      <c r="A378" s="10" t="str">
        <f>_xlfn.IFNA(
    IF(J378=
        "PCB-0001",
        "CSS",
        IF(
            ISNUMBER(MATCH(_xlfn.TEXTBEFORE(J378,"-"), {"CSS","CSN","PCB","PCF","BEC","CSD","PCM"}, 0)),
            _xlfn.TEXTBEFORE(J378,"-"),
            "Other"
        )
    ),
"Add")</f>
        <v>PCB</v>
      </c>
      <c r="B378" s="10" t="str">
        <f t="shared" si="6"/>
        <v>0126</v>
      </c>
      <c r="C378" s="10" t="str">
        <f>_xlfn.LET(
    _xlpm.val, IF(Datadetails[[#This Row],[Activity]]="D02","C20",Datadetails[[#This Row],[Activity]]),
    IF(ISNUMBER(MATCH(_xlpm.val,{"D04","C30","c40","C20"},0)), _xlpm.val, "Other")
)</f>
        <v>C30</v>
      </c>
      <c r="D378" s="10" t="str">
        <f>IFERROR(VLOOKUP(Datadetails[[#This Row],[Taskcode]],Dashboard!A:A,1,FALSE),"00 Err Missing")</f>
        <v>0126</v>
      </c>
      <c r="E378" s="79">
        <v>45776</v>
      </c>
      <c r="F378" s="80" t="s">
        <v>329</v>
      </c>
      <c r="G378" s="60" t="s">
        <v>40</v>
      </c>
      <c r="H378" s="80" t="s">
        <v>293</v>
      </c>
      <c r="I378" s="80" t="s">
        <v>34</v>
      </c>
      <c r="J378" s="80" t="s">
        <v>376</v>
      </c>
      <c r="K378" s="80" t="s">
        <v>347</v>
      </c>
      <c r="L378" s="80" t="s">
        <v>343</v>
      </c>
      <c r="M378" s="81">
        <v>0.25</v>
      </c>
      <c r="N378" s="82">
        <v>18.75</v>
      </c>
    </row>
    <row r="379" spans="1:14" x14ac:dyDescent="0.25">
      <c r="A379" s="10" t="str">
        <f>_xlfn.IFNA(
    IF(J379=
        "PCB-0001",
        "CSS",
        IF(
            ISNUMBER(MATCH(_xlfn.TEXTBEFORE(J379,"-"), {"CSS","CSN","PCB","PCF","BEC","CSD","PCM"}, 0)),
            _xlfn.TEXTBEFORE(J379,"-"),
            "Other"
        )
    ),
"Add")</f>
        <v>PCB</v>
      </c>
      <c r="B379" s="10" t="str">
        <f t="shared" si="6"/>
        <v>0128</v>
      </c>
      <c r="C379" s="10" t="str">
        <f>_xlfn.LET(
    _xlpm.val, IF(Datadetails[[#This Row],[Activity]]="D02","C20",Datadetails[[#This Row],[Activity]]),
    IF(ISNUMBER(MATCH(_xlpm.val,{"D04","C30","c40","C20"},0)), _xlpm.val, "Other")
)</f>
        <v>C30</v>
      </c>
      <c r="D379" s="10" t="str">
        <f>IFERROR(VLOOKUP(Datadetails[[#This Row],[Taskcode]],Dashboard!A:A,1,FALSE),"00 Err Missing")</f>
        <v>0128</v>
      </c>
      <c r="E379" s="79">
        <v>45776</v>
      </c>
      <c r="F379" s="80" t="s">
        <v>329</v>
      </c>
      <c r="G379" s="60" t="s">
        <v>40</v>
      </c>
      <c r="H379" s="80" t="s">
        <v>295</v>
      </c>
      <c r="I379" s="80" t="s">
        <v>34</v>
      </c>
      <c r="J379" s="80" t="s">
        <v>379</v>
      </c>
      <c r="K379" s="80" t="s">
        <v>347</v>
      </c>
      <c r="L379" s="80" t="s">
        <v>343</v>
      </c>
      <c r="M379" s="81">
        <v>0.25</v>
      </c>
      <c r="N379" s="82">
        <v>18.75</v>
      </c>
    </row>
    <row r="380" spans="1:14" x14ac:dyDescent="0.25">
      <c r="A380" s="10" t="str">
        <f>_xlfn.IFNA(
    IF(J380=
        "PCB-0001",
        "CSS",
        IF(
            ISNUMBER(MATCH(_xlfn.TEXTBEFORE(J380,"-"), {"CSS","CSN","PCB","PCF","BEC","CSD","PCM"}, 0)),
            _xlfn.TEXTBEFORE(J380,"-"),
            "Other"
        )
    ),
"Add")</f>
        <v>PCB</v>
      </c>
      <c r="B380" s="10" t="str">
        <f t="shared" si="6"/>
        <v>0124</v>
      </c>
      <c r="C380" s="10" t="str">
        <f>_xlfn.LET(
    _xlpm.val, IF(Datadetails[[#This Row],[Activity]]="D02","C20",Datadetails[[#This Row],[Activity]]),
    IF(ISNUMBER(MATCH(_xlpm.val,{"D04","C30","c40","C20"},0)), _xlpm.val, "Other")
)</f>
        <v>C30</v>
      </c>
      <c r="D380" s="10" t="str">
        <f>IFERROR(VLOOKUP(Datadetails[[#This Row],[Taskcode]],Dashboard!A:A,1,FALSE),"00 Err Missing")</f>
        <v>0124</v>
      </c>
      <c r="E380" s="79">
        <v>45776</v>
      </c>
      <c r="F380" s="80" t="s">
        <v>325</v>
      </c>
      <c r="G380" s="60" t="s">
        <v>40</v>
      </c>
      <c r="H380" s="80" t="s">
        <v>291</v>
      </c>
      <c r="I380" s="80" t="s">
        <v>34</v>
      </c>
      <c r="J380" s="80" t="s">
        <v>412</v>
      </c>
      <c r="K380" s="80" t="s">
        <v>347</v>
      </c>
      <c r="L380" s="80" t="s">
        <v>343</v>
      </c>
      <c r="M380" s="81">
        <v>0.57999999999999996</v>
      </c>
      <c r="N380" s="82">
        <v>43.5</v>
      </c>
    </row>
    <row r="381" spans="1:14" x14ac:dyDescent="0.25">
      <c r="A381" s="10" t="str">
        <f>_xlfn.IFNA(
    IF(J381=
        "PCB-0001",
        "CSS",
        IF(
            ISNUMBER(MATCH(_xlfn.TEXTBEFORE(J381,"-"), {"CSS","CSN","PCB","PCF","BEC","CSD","PCM"}, 0)),
            _xlfn.TEXTBEFORE(J381,"-"),
            "Other"
        )
    ),
"Add")</f>
        <v>PCB</v>
      </c>
      <c r="B381" s="10" t="str">
        <f t="shared" si="6"/>
        <v>0081</v>
      </c>
      <c r="C381" s="10" t="str">
        <f>_xlfn.LET(
    _xlpm.val, IF(Datadetails[[#This Row],[Activity]]="D02","C20",Datadetails[[#This Row],[Activity]]),
    IF(ISNUMBER(MATCH(_xlpm.val,{"D04","C30","c40","C20"},0)), _xlpm.val, "Other")
)</f>
        <v>C30</v>
      </c>
      <c r="D381" s="10" t="str">
        <f>IFERROR(VLOOKUP(Datadetails[[#This Row],[Taskcode]],Dashboard!A:A,1,FALSE),"00 Err Missing")</f>
        <v>0081</v>
      </c>
      <c r="E381" s="79">
        <v>45776</v>
      </c>
      <c r="F381" s="80" t="s">
        <v>329</v>
      </c>
      <c r="G381" s="60" t="s">
        <v>40</v>
      </c>
      <c r="H381" s="80" t="s">
        <v>248</v>
      </c>
      <c r="I381" s="80" t="s">
        <v>34</v>
      </c>
      <c r="J381" s="80" t="s">
        <v>385</v>
      </c>
      <c r="K381" s="80" t="s">
        <v>347</v>
      </c>
      <c r="L381" s="80" t="s">
        <v>343</v>
      </c>
      <c r="M381" s="81">
        <v>0.17</v>
      </c>
      <c r="N381" s="82">
        <v>12.750000000000002</v>
      </c>
    </row>
    <row r="382" spans="1:14" x14ac:dyDescent="0.25">
      <c r="A382" s="10" t="str">
        <f>_xlfn.IFNA(
    IF(J382=
        "PCB-0001",
        "CSS",
        IF(
            ISNUMBER(MATCH(_xlfn.TEXTBEFORE(J382,"-"), {"CSS","CSN","PCB","PCF","BEC","CSD","PCM"}, 0)),
            _xlfn.TEXTBEFORE(J382,"-"),
            "Other"
        )
    ),
"Add")</f>
        <v>PCB</v>
      </c>
      <c r="B382" s="10" t="str">
        <f t="shared" si="6"/>
        <v>0063</v>
      </c>
      <c r="C382" s="10" t="str">
        <f>_xlfn.LET(
    _xlpm.val, IF(Datadetails[[#This Row],[Activity]]="D02","C20",Datadetails[[#This Row],[Activity]]),
    IF(ISNUMBER(MATCH(_xlpm.val,{"D04","C30","c40","C20"},0)), _xlpm.val, "Other")
)</f>
        <v>C30</v>
      </c>
      <c r="D382" s="10" t="str">
        <f>IFERROR(VLOOKUP(Datadetails[[#This Row],[Taskcode]],Dashboard!A:A,1,FALSE),"00 Err Missing")</f>
        <v>0063</v>
      </c>
      <c r="E382" s="79">
        <v>45776</v>
      </c>
      <c r="F382" s="80" t="s">
        <v>329</v>
      </c>
      <c r="G382" s="60" t="s">
        <v>40</v>
      </c>
      <c r="H382" s="80" t="s">
        <v>230</v>
      </c>
      <c r="I382" s="80" t="s">
        <v>34</v>
      </c>
      <c r="J382" s="80" t="s">
        <v>410</v>
      </c>
      <c r="K382" s="80" t="s">
        <v>347</v>
      </c>
      <c r="L382" s="80" t="s">
        <v>343</v>
      </c>
      <c r="M382" s="81">
        <v>0.33</v>
      </c>
      <c r="N382" s="82">
        <v>24.75</v>
      </c>
    </row>
    <row r="383" spans="1:14" x14ac:dyDescent="0.25">
      <c r="A383" s="10" t="str">
        <f>_xlfn.IFNA(
    IF(J383=
        "PCB-0001",
        "CSS",
        IF(
            ISNUMBER(MATCH(_xlfn.TEXTBEFORE(J383,"-"), {"CSS","CSN","PCB","PCF","BEC","CSD","PCM"}, 0)),
            _xlfn.TEXTBEFORE(J383,"-"),
            "Other"
        )
    ),
"Add")</f>
        <v>PCF</v>
      </c>
      <c r="B383" s="10" t="str">
        <f t="shared" si="6"/>
        <v>0069</v>
      </c>
      <c r="C383" s="10" t="str">
        <f>_xlfn.LET(
    _xlpm.val, IF(Datadetails[[#This Row],[Activity]]="D02","C20",Datadetails[[#This Row],[Activity]]),
    IF(ISNUMBER(MATCH(_xlpm.val,{"D04","C30","c40","C20"},0)), _xlpm.val, "Other")
)</f>
        <v>C20</v>
      </c>
      <c r="D383" s="10" t="str">
        <f>IFERROR(VLOOKUP(Datadetails[[#This Row],[Taskcode]],Dashboard!A:A,1,FALSE),"00 Err Missing")</f>
        <v>0069</v>
      </c>
      <c r="E383" s="79">
        <v>45776</v>
      </c>
      <c r="F383" s="80" t="s">
        <v>326</v>
      </c>
      <c r="G383" s="60" t="s">
        <v>40</v>
      </c>
      <c r="H383" s="80" t="s">
        <v>236</v>
      </c>
      <c r="I383" s="80" t="s">
        <v>36</v>
      </c>
      <c r="J383" s="80" t="s">
        <v>357</v>
      </c>
      <c r="K383" s="80" t="s">
        <v>348</v>
      </c>
      <c r="L383" s="80" t="s">
        <v>342</v>
      </c>
      <c r="M383" s="81">
        <v>0.5</v>
      </c>
      <c r="N383" s="82">
        <v>30</v>
      </c>
    </row>
    <row r="384" spans="1:14" x14ac:dyDescent="0.25">
      <c r="A384" s="10" t="str">
        <f>_xlfn.IFNA(
    IF(J384=
        "PCB-0001",
        "CSS",
        IF(
            ISNUMBER(MATCH(_xlfn.TEXTBEFORE(J384,"-"), {"CSS","CSN","PCB","PCF","BEC","CSD","PCM"}, 0)),
            _xlfn.TEXTBEFORE(J384,"-"),
            "Other"
        )
    ),
"Add")</f>
        <v>PCF</v>
      </c>
      <c r="B384" s="10" t="str">
        <f t="shared" si="6"/>
        <v>0068</v>
      </c>
      <c r="C384" s="10" t="str">
        <f>_xlfn.LET(
    _xlpm.val, IF(Datadetails[[#This Row],[Activity]]="D02","C20",Datadetails[[#This Row],[Activity]]),
    IF(ISNUMBER(MATCH(_xlpm.val,{"D04","C30","c40","C20"},0)), _xlpm.val, "Other")
)</f>
        <v>C30</v>
      </c>
      <c r="D384" s="10" t="str">
        <f>IFERROR(VLOOKUP(Datadetails[[#This Row],[Taskcode]],Dashboard!A:A,1,FALSE),"00 Err Missing")</f>
        <v>0068</v>
      </c>
      <c r="E384" s="79">
        <v>45776</v>
      </c>
      <c r="F384" s="80" t="s">
        <v>326</v>
      </c>
      <c r="G384" s="60" t="s">
        <v>40</v>
      </c>
      <c r="H384" s="80" t="s">
        <v>235</v>
      </c>
      <c r="I384" s="80" t="s">
        <v>34</v>
      </c>
      <c r="J384" s="80" t="s">
        <v>355</v>
      </c>
      <c r="K384" s="80" t="s">
        <v>348</v>
      </c>
      <c r="L384" s="80" t="s">
        <v>343</v>
      </c>
      <c r="M384" s="81">
        <v>0.83</v>
      </c>
      <c r="N384" s="82">
        <v>49.8</v>
      </c>
    </row>
    <row r="385" spans="1:14" x14ac:dyDescent="0.25">
      <c r="A385" s="10" t="str">
        <f>_xlfn.IFNA(
    IF(J385=
        "PCB-0001",
        "CSS",
        IF(
            ISNUMBER(MATCH(_xlfn.TEXTBEFORE(J385,"-"), {"CSS","CSN","PCB","PCF","BEC","CSD","PCM"}, 0)),
            _xlfn.TEXTBEFORE(J385,"-"),
            "Other"
        )
    ),
"Add")</f>
        <v>PCF</v>
      </c>
      <c r="B385" s="10" t="str">
        <f t="shared" si="6"/>
        <v>0066</v>
      </c>
      <c r="C385" s="10" t="str">
        <f>_xlfn.LET(
    _xlpm.val, IF(Datadetails[[#This Row],[Activity]]="D02","C20",Datadetails[[#This Row],[Activity]]),
    IF(ISNUMBER(MATCH(_xlpm.val,{"D04","C30","c40","C20"},0)), _xlpm.val, "Other")
)</f>
        <v>C30</v>
      </c>
      <c r="D385" s="10" t="str">
        <f>IFERROR(VLOOKUP(Datadetails[[#This Row],[Taskcode]],Dashboard!A:A,1,FALSE),"00 Err Missing")</f>
        <v>0066</v>
      </c>
      <c r="E385" s="79">
        <v>45776</v>
      </c>
      <c r="F385" s="80" t="s">
        <v>326</v>
      </c>
      <c r="G385" s="60" t="s">
        <v>40</v>
      </c>
      <c r="H385" s="80" t="s">
        <v>233</v>
      </c>
      <c r="I385" s="80" t="s">
        <v>34</v>
      </c>
      <c r="J385" s="80" t="s">
        <v>387</v>
      </c>
      <c r="K385" s="80" t="s">
        <v>348</v>
      </c>
      <c r="L385" s="80" t="s">
        <v>343</v>
      </c>
      <c r="M385" s="81">
        <v>0.75</v>
      </c>
      <c r="N385" s="82">
        <v>45</v>
      </c>
    </row>
    <row r="386" spans="1:14" x14ac:dyDescent="0.25">
      <c r="A386" s="10" t="str">
        <f>_xlfn.IFNA(
    IF(J386=
        "PCB-0001",
        "CSS",
        IF(
            ISNUMBER(MATCH(_xlfn.TEXTBEFORE(J386,"-"), {"CSS","CSN","PCB","PCF","BEC","CSD","PCM"}, 0)),
            _xlfn.TEXTBEFORE(J386,"-"),
            "Other"
        )
    ),
"Add")</f>
        <v>BEC</v>
      </c>
      <c r="B386" s="10" t="str">
        <f t="shared" si="6"/>
        <v>0001</v>
      </c>
      <c r="C386" s="10" t="str">
        <f>_xlfn.LET(
    _xlpm.val, IF(Datadetails[[#This Row],[Activity]]="D02","C20",Datadetails[[#This Row],[Activity]]),
    IF(ISNUMBER(MATCH(_xlpm.val,{"D04","C30","c40","C20"},0)), _xlpm.val, "Other")
)</f>
        <v>D04</v>
      </c>
      <c r="D386" s="10" t="str">
        <f>IFERROR(VLOOKUP(Datadetails[[#This Row],[Taskcode]],Dashboard!A:A,1,FALSE),"00 Err Missing")</f>
        <v>0001</v>
      </c>
      <c r="E386" s="79">
        <v>45776</v>
      </c>
      <c r="F386" s="80" t="s">
        <v>332</v>
      </c>
      <c r="G386" s="60" t="s">
        <v>40</v>
      </c>
      <c r="H386" s="80" t="s">
        <v>314</v>
      </c>
      <c r="I386" s="80" t="s">
        <v>35</v>
      </c>
      <c r="J386" s="80" t="s">
        <v>359</v>
      </c>
      <c r="K386" s="80" t="s">
        <v>339</v>
      </c>
      <c r="L386" s="80" t="s">
        <v>352</v>
      </c>
      <c r="M386" s="81">
        <v>7.5</v>
      </c>
      <c r="N386" s="82">
        <v>300</v>
      </c>
    </row>
    <row r="387" spans="1:14" x14ac:dyDescent="0.25">
      <c r="A387" s="10" t="str">
        <f>_xlfn.IFNA(
    IF(J387=
        "PCB-0001",
        "CSS",
        IF(
            ISNUMBER(MATCH(_xlfn.TEXTBEFORE(J387,"-"), {"CSS","CSN","PCB","PCF","BEC","CSD","PCM"}, 0)),
            _xlfn.TEXTBEFORE(J387,"-"),
            "Other"
        )
    ),
"Add")</f>
        <v>BEC</v>
      </c>
      <c r="B387" s="10" t="str">
        <f t="shared" si="6"/>
        <v>0001</v>
      </c>
      <c r="C387" s="10" t="str">
        <f>_xlfn.LET(
    _xlpm.val, IF(Datadetails[[#This Row],[Activity]]="D02","C20",Datadetails[[#This Row],[Activity]]),
    IF(ISNUMBER(MATCH(_xlpm.val,{"D04","C30","c40","C20"},0)), _xlpm.val, "Other")
)</f>
        <v>D04</v>
      </c>
      <c r="D387" s="10" t="str">
        <f>IFERROR(VLOOKUP(Datadetails[[#This Row],[Taskcode]],Dashboard!A:A,1,FALSE),"00 Err Missing")</f>
        <v>0001</v>
      </c>
      <c r="E387" s="79">
        <v>45776</v>
      </c>
      <c r="F387" s="80" t="s">
        <v>324</v>
      </c>
      <c r="G387" s="60" t="s">
        <v>40</v>
      </c>
      <c r="H387" s="80" t="s">
        <v>314</v>
      </c>
      <c r="I387" s="80" t="s">
        <v>35</v>
      </c>
      <c r="J387" s="80" t="s">
        <v>359</v>
      </c>
      <c r="K387" s="80" t="s">
        <v>339</v>
      </c>
      <c r="L387" s="80" t="s">
        <v>352</v>
      </c>
      <c r="M387" s="81">
        <v>5.75</v>
      </c>
      <c r="N387" s="82">
        <v>431.25</v>
      </c>
    </row>
    <row r="388" spans="1:14" x14ac:dyDescent="0.25">
      <c r="A388" s="10" t="str">
        <f>_xlfn.IFNA(
    IF(J388=
        "PCB-0001",
        "CSS",
        IF(
            ISNUMBER(MATCH(_xlfn.TEXTBEFORE(J388,"-"), {"CSS","CSN","PCB","PCF","BEC","CSD","PCM"}, 0)),
            _xlfn.TEXTBEFORE(J388,"-"),
            "Other"
        )
    ),
"Add")</f>
        <v>PCB</v>
      </c>
      <c r="B388" s="10" t="str">
        <f t="shared" ref="B388:B451" si="7">_xlfn.IFNA(_xlfn.TEXTAFTER(J388,"-"),"Data to C2")</f>
        <v>0102</v>
      </c>
      <c r="C388" s="10" t="str">
        <f>_xlfn.LET(
    _xlpm.val, IF(Datadetails[[#This Row],[Activity]]="D02","C20",Datadetails[[#This Row],[Activity]]),
    IF(ISNUMBER(MATCH(_xlpm.val,{"D04","C30","c40","C20"},0)), _xlpm.val, "Other")
)</f>
        <v>C30</v>
      </c>
      <c r="D388" s="10" t="str">
        <f>IFERROR(VLOOKUP(Datadetails[[#This Row],[Taskcode]],Dashboard!A:A,1,FALSE),"00 Err Missing")</f>
        <v>0102</v>
      </c>
      <c r="E388" s="79">
        <v>45777</v>
      </c>
      <c r="F388" s="80" t="s">
        <v>329</v>
      </c>
      <c r="G388" s="60" t="s">
        <v>40</v>
      </c>
      <c r="H388" s="80" t="s">
        <v>269</v>
      </c>
      <c r="I388" s="80" t="s">
        <v>34</v>
      </c>
      <c r="J388" s="80" t="s">
        <v>361</v>
      </c>
      <c r="K388" s="80" t="s">
        <v>347</v>
      </c>
      <c r="L388" s="80" t="s">
        <v>343</v>
      </c>
      <c r="M388" s="81">
        <v>0.25</v>
      </c>
      <c r="N388" s="82">
        <v>18.75</v>
      </c>
    </row>
    <row r="389" spans="1:14" x14ac:dyDescent="0.25">
      <c r="A389" s="10" t="str">
        <f>_xlfn.IFNA(
    IF(J389=
        "PCB-0001",
        "CSS",
        IF(
            ISNUMBER(MATCH(_xlfn.TEXTBEFORE(J389,"-"), {"CSS","CSN","PCB","PCF","BEC","CSD","PCM"}, 0)),
            _xlfn.TEXTBEFORE(J389,"-"),
            "Other"
        )
    ),
"Add")</f>
        <v>CSN</v>
      </c>
      <c r="B389" s="10" t="str">
        <f t="shared" si="7"/>
        <v>0001</v>
      </c>
      <c r="C389" s="10" t="str">
        <f>_xlfn.LET(
    _xlpm.val, IF(Datadetails[[#This Row],[Activity]]="D02","C20",Datadetails[[#This Row],[Activity]]),
    IF(ISNUMBER(MATCH(_xlpm.val,{"D04","C30","c40","C20"},0)), _xlpm.val, "Other")
)</f>
        <v>D04</v>
      </c>
      <c r="D389" s="10" t="str">
        <f>IFERROR(VLOOKUP(Datadetails[[#This Row],[Taskcode]],Dashboard!A:A,1,FALSE),"00 Err Missing")</f>
        <v>0001</v>
      </c>
      <c r="E389" s="79">
        <v>45777</v>
      </c>
      <c r="F389" s="80" t="s">
        <v>329</v>
      </c>
      <c r="G389" s="60" t="s">
        <v>40</v>
      </c>
      <c r="H389" s="80" t="s">
        <v>316</v>
      </c>
      <c r="I389" s="80" t="s">
        <v>35</v>
      </c>
      <c r="J389" s="80" t="s">
        <v>338</v>
      </c>
      <c r="K389" s="80" t="s">
        <v>337</v>
      </c>
      <c r="L389" s="80" t="s">
        <v>352</v>
      </c>
      <c r="M389" s="81">
        <v>0.75</v>
      </c>
      <c r="N389" s="82">
        <v>56.25</v>
      </c>
    </row>
    <row r="390" spans="1:14" x14ac:dyDescent="0.25">
      <c r="A390" s="10" t="str">
        <f>_xlfn.IFNA(
    IF(J390=
        "PCB-0001",
        "CSS",
        IF(
            ISNUMBER(MATCH(_xlfn.TEXTBEFORE(J390,"-"), {"CSS","CSN","PCB","PCF","BEC","CSD","PCM"}, 0)),
            _xlfn.TEXTBEFORE(J390,"-"),
            "Other"
        )
    ),
"Add")</f>
        <v>CSD</v>
      </c>
      <c r="B390" s="10" t="str">
        <f t="shared" si="7"/>
        <v>0001</v>
      </c>
      <c r="C390" s="10" t="str">
        <f>_xlfn.LET(
    _xlpm.val, IF(Datadetails[[#This Row],[Activity]]="D02","C20",Datadetails[[#This Row],[Activity]]),
    IF(ISNUMBER(MATCH(_xlpm.val,{"D04","C30","c40","C20"},0)), _xlpm.val, "Other")
)</f>
        <v>D04</v>
      </c>
      <c r="D390" s="10" t="str">
        <f>IFERROR(VLOOKUP(Datadetails[[#This Row],[Taskcode]],Dashboard!A:A,1,FALSE),"00 Err Missing")</f>
        <v>0001</v>
      </c>
      <c r="E390" s="79">
        <v>45777</v>
      </c>
      <c r="F390" s="80" t="s">
        <v>333</v>
      </c>
      <c r="G390" s="60" t="s">
        <v>40</v>
      </c>
      <c r="H390" s="80" t="s">
        <v>320</v>
      </c>
      <c r="I390" s="80" t="s">
        <v>35</v>
      </c>
      <c r="J390" s="80" t="s">
        <v>322</v>
      </c>
      <c r="K390" s="80" t="s">
        <v>319</v>
      </c>
      <c r="L390" s="80" t="s">
        <v>352</v>
      </c>
      <c r="M390" s="81">
        <v>7.32</v>
      </c>
      <c r="N390" s="82">
        <v>234.24</v>
      </c>
    </row>
    <row r="391" spans="1:14" x14ac:dyDescent="0.25">
      <c r="A391" s="10" t="str">
        <f>_xlfn.IFNA(
    IF(J391=
        "PCB-0001",
        "CSS",
        IF(
            ISNUMBER(MATCH(_xlfn.TEXTBEFORE(J391,"-"), {"CSS","CSN","PCB","PCF","BEC","CSD","PCM"}, 0)),
            _xlfn.TEXTBEFORE(J391,"-"),
            "Other"
        )
    ),
"Add")</f>
        <v>CSD</v>
      </c>
      <c r="B391" s="10" t="str">
        <f t="shared" si="7"/>
        <v>0001</v>
      </c>
      <c r="C391" s="10" t="str">
        <f>_xlfn.LET(
    _xlpm.val, IF(Datadetails[[#This Row],[Activity]]="D02","C20",Datadetails[[#This Row],[Activity]]),
    IF(ISNUMBER(MATCH(_xlpm.val,{"D04","C30","c40","C20"},0)), _xlpm.val, "Other")
)</f>
        <v>D04</v>
      </c>
      <c r="D391" s="10" t="str">
        <f>IFERROR(VLOOKUP(Datadetails[[#This Row],[Taskcode]],Dashboard!A:A,1,FALSE),"00 Err Missing")</f>
        <v>0001</v>
      </c>
      <c r="E391" s="79">
        <v>45777</v>
      </c>
      <c r="F391" s="80" t="s">
        <v>327</v>
      </c>
      <c r="G391" s="60" t="s">
        <v>40</v>
      </c>
      <c r="H391" s="80" t="s">
        <v>320</v>
      </c>
      <c r="I391" s="80" t="s">
        <v>35</v>
      </c>
      <c r="J391" s="80" t="s">
        <v>322</v>
      </c>
      <c r="K391" s="80" t="s">
        <v>319</v>
      </c>
      <c r="L391" s="80" t="s">
        <v>352</v>
      </c>
      <c r="M391" s="81">
        <v>4</v>
      </c>
      <c r="N391" s="82">
        <v>128</v>
      </c>
    </row>
    <row r="392" spans="1:14" x14ac:dyDescent="0.25">
      <c r="A392" s="10" t="str">
        <f>_xlfn.IFNA(
    IF(J392=
        "PCB-0001",
        "CSS",
        IF(
            ISNUMBER(MATCH(_xlfn.TEXTBEFORE(J392,"-"), {"CSS","CSN","PCB","PCF","BEC","CSD","PCM"}, 0)),
            _xlfn.TEXTBEFORE(J392,"-"),
            "Other"
        )
    ),
"Add")</f>
        <v>PCB</v>
      </c>
      <c r="B392" s="10" t="str">
        <f t="shared" si="7"/>
        <v>0019</v>
      </c>
      <c r="C392" s="10" t="str">
        <f>_xlfn.LET(
    _xlpm.val, IF(Datadetails[[#This Row],[Activity]]="D02","C20",Datadetails[[#This Row],[Activity]]),
    IF(ISNUMBER(MATCH(_xlpm.val,{"D04","C30","c40","C20"},0)), _xlpm.val, "Other")
)</f>
        <v>C30</v>
      </c>
      <c r="D392" s="10" t="str">
        <f>IFERROR(VLOOKUP(Datadetails[[#This Row],[Taskcode]],Dashboard!A:A,1,FALSE),"00 Err Missing")</f>
        <v>0019</v>
      </c>
      <c r="E392" s="79">
        <v>45777</v>
      </c>
      <c r="F392" s="80" t="s">
        <v>329</v>
      </c>
      <c r="G392" s="60" t="s">
        <v>40</v>
      </c>
      <c r="H392" s="80" t="s">
        <v>186</v>
      </c>
      <c r="I392" s="80" t="s">
        <v>34</v>
      </c>
      <c r="J392" s="80" t="s">
        <v>397</v>
      </c>
      <c r="K392" s="80" t="s">
        <v>347</v>
      </c>
      <c r="L392" s="80" t="s">
        <v>343</v>
      </c>
      <c r="M392" s="81">
        <v>2</v>
      </c>
      <c r="N392" s="82">
        <v>150</v>
      </c>
    </row>
    <row r="393" spans="1:14" x14ac:dyDescent="0.25">
      <c r="A393" s="10" t="str">
        <f>_xlfn.IFNA(
    IF(J393=
        "PCB-0001",
        "CSS",
        IF(
            ISNUMBER(MATCH(_xlfn.TEXTBEFORE(J393,"-"), {"CSS","CSN","PCB","PCF","BEC","CSD","PCM"}, 0)),
            _xlfn.TEXTBEFORE(J393,"-"),
            "Other"
        )
    ),
"Add")</f>
        <v>PCB</v>
      </c>
      <c r="B393" s="10" t="str">
        <f t="shared" si="7"/>
        <v>0030</v>
      </c>
      <c r="C393" s="10" t="str">
        <f>_xlfn.LET(
    _xlpm.val, IF(Datadetails[[#This Row],[Activity]]="D02","C20",Datadetails[[#This Row],[Activity]]),
    IF(ISNUMBER(MATCH(_xlpm.val,{"D04","C30","c40","C20"},0)), _xlpm.val, "Other")
)</f>
        <v>C30</v>
      </c>
      <c r="D393" s="10" t="str">
        <f>IFERROR(VLOOKUP(Datadetails[[#This Row],[Taskcode]],Dashboard!A:A,1,FALSE),"00 Err Missing")</f>
        <v>0030</v>
      </c>
      <c r="E393" s="79">
        <v>45777</v>
      </c>
      <c r="F393" s="80" t="s">
        <v>329</v>
      </c>
      <c r="G393" s="60" t="s">
        <v>40</v>
      </c>
      <c r="H393" s="80" t="s">
        <v>197</v>
      </c>
      <c r="I393" s="80" t="s">
        <v>34</v>
      </c>
      <c r="J393" s="80" t="s">
        <v>366</v>
      </c>
      <c r="K393" s="80" t="s">
        <v>347</v>
      </c>
      <c r="L393" s="80" t="s">
        <v>343</v>
      </c>
      <c r="M393" s="81">
        <v>0.33</v>
      </c>
      <c r="N393" s="82">
        <v>24.75</v>
      </c>
    </row>
    <row r="394" spans="1:14" x14ac:dyDescent="0.25">
      <c r="A394" s="10" t="str">
        <f>_xlfn.IFNA(
    IF(J394=
        "PCB-0001",
        "CSS",
        IF(
            ISNUMBER(MATCH(_xlfn.TEXTBEFORE(J394,"-"), {"CSS","CSN","PCB","PCF","BEC","CSD","PCM"}, 0)),
            _xlfn.TEXTBEFORE(J394,"-"),
            "Other"
        )
    ),
"Add")</f>
        <v>PCB</v>
      </c>
      <c r="B394" s="10" t="str">
        <f t="shared" si="7"/>
        <v>0080</v>
      </c>
      <c r="C394" s="10" t="str">
        <f>_xlfn.LET(
    _xlpm.val, IF(Datadetails[[#This Row],[Activity]]="D02","C20",Datadetails[[#This Row],[Activity]]),
    IF(ISNUMBER(MATCH(_xlpm.val,{"D04","C30","c40","C20"},0)), _xlpm.val, "Other")
)</f>
        <v>C30</v>
      </c>
      <c r="D394" s="10" t="str">
        <f>IFERROR(VLOOKUP(Datadetails[[#This Row],[Taskcode]],Dashboard!A:A,1,FALSE),"00 Err Missing")</f>
        <v>0080</v>
      </c>
      <c r="E394" s="79">
        <v>45777</v>
      </c>
      <c r="F394" s="80" t="s">
        <v>329</v>
      </c>
      <c r="G394" s="60" t="s">
        <v>40</v>
      </c>
      <c r="H394" s="80" t="s">
        <v>247</v>
      </c>
      <c r="I394" s="80" t="s">
        <v>34</v>
      </c>
      <c r="J394" s="80" t="s">
        <v>375</v>
      </c>
      <c r="K394" s="80" t="s">
        <v>347</v>
      </c>
      <c r="L394" s="80" t="s">
        <v>343</v>
      </c>
      <c r="M394" s="81">
        <v>0.5</v>
      </c>
      <c r="N394" s="82">
        <v>37.5</v>
      </c>
    </row>
    <row r="395" spans="1:14" x14ac:dyDescent="0.25">
      <c r="A395" s="10" t="str">
        <f>_xlfn.IFNA(
    IF(J395=
        "PCB-0001",
        "CSS",
        IF(
            ISNUMBER(MATCH(_xlfn.TEXTBEFORE(J395,"-"), {"CSS","CSN","PCB","PCF","BEC","CSD","PCM"}, 0)),
            _xlfn.TEXTBEFORE(J395,"-"),
            "Other"
        )
    ),
"Add")</f>
        <v>PCB</v>
      </c>
      <c r="B395" s="10" t="str">
        <f t="shared" si="7"/>
        <v>0087</v>
      </c>
      <c r="C395" s="10" t="str">
        <f>_xlfn.LET(
    _xlpm.val, IF(Datadetails[[#This Row],[Activity]]="D02","C20",Datadetails[[#This Row],[Activity]]),
    IF(ISNUMBER(MATCH(_xlpm.val,{"D04","C30","c40","C20"},0)), _xlpm.val, "Other")
)</f>
        <v>C30</v>
      </c>
      <c r="D395" s="10" t="str">
        <f>IFERROR(VLOOKUP(Datadetails[[#This Row],[Taskcode]],Dashboard!A:A,1,FALSE),"00 Err Missing")</f>
        <v>0087</v>
      </c>
      <c r="E395" s="79">
        <v>45777</v>
      </c>
      <c r="F395" s="80" t="s">
        <v>325</v>
      </c>
      <c r="G395" s="60" t="s">
        <v>40</v>
      </c>
      <c r="H395" s="80" t="s">
        <v>254</v>
      </c>
      <c r="I395" s="80" t="s">
        <v>34</v>
      </c>
      <c r="J395" s="80" t="s">
        <v>441</v>
      </c>
      <c r="K395" s="80" t="s">
        <v>347</v>
      </c>
      <c r="L395" s="80" t="s">
        <v>343</v>
      </c>
      <c r="M395" s="81">
        <v>0.17</v>
      </c>
      <c r="N395" s="82">
        <v>12.750000000000002</v>
      </c>
    </row>
    <row r="396" spans="1:14" x14ac:dyDescent="0.25">
      <c r="A396" s="10" t="str">
        <f>_xlfn.IFNA(
    IF(J396=
        "PCB-0001",
        "CSS",
        IF(
            ISNUMBER(MATCH(_xlfn.TEXTBEFORE(J396,"-"), {"CSS","CSN","PCB","PCF","BEC","CSD","PCM"}, 0)),
            _xlfn.TEXTBEFORE(J396,"-"),
            "Other"
        )
    ),
"Add")</f>
        <v>PCB</v>
      </c>
      <c r="B396" s="10" t="str">
        <f t="shared" si="7"/>
        <v>0095</v>
      </c>
      <c r="C396" s="10" t="str">
        <f>_xlfn.LET(
    _xlpm.val, IF(Datadetails[[#This Row],[Activity]]="D02","C20",Datadetails[[#This Row],[Activity]]),
    IF(ISNUMBER(MATCH(_xlpm.val,{"D04","C30","c40","C20"},0)), _xlpm.val, "Other")
)</f>
        <v>C30</v>
      </c>
      <c r="D396" s="10" t="str">
        <f>IFERROR(VLOOKUP(Datadetails[[#This Row],[Taskcode]],Dashboard!A:A,1,FALSE),"00 Err Missing")</f>
        <v>0095</v>
      </c>
      <c r="E396" s="79">
        <v>45777</v>
      </c>
      <c r="F396" s="80" t="s">
        <v>325</v>
      </c>
      <c r="G396" s="60" t="s">
        <v>40</v>
      </c>
      <c r="H396" s="80" t="s">
        <v>262</v>
      </c>
      <c r="I396" s="80" t="s">
        <v>34</v>
      </c>
      <c r="J396" s="80" t="s">
        <v>442</v>
      </c>
      <c r="K396" s="80" t="s">
        <v>347</v>
      </c>
      <c r="L396" s="80" t="s">
        <v>343</v>
      </c>
      <c r="M396" s="81">
        <v>0.17</v>
      </c>
      <c r="N396" s="82">
        <v>12.750000000000002</v>
      </c>
    </row>
    <row r="397" spans="1:14" x14ac:dyDescent="0.25">
      <c r="A397" s="10" t="str">
        <f>_xlfn.IFNA(
    IF(J397=
        "PCB-0001",
        "CSS",
        IF(
            ISNUMBER(MATCH(_xlfn.TEXTBEFORE(J397,"-"), {"CSS","CSN","PCB","PCF","BEC","CSD","PCM"}, 0)),
            _xlfn.TEXTBEFORE(J397,"-"),
            "Other"
        )
    ),
"Add")</f>
        <v>PCB</v>
      </c>
      <c r="B397" s="10" t="str">
        <f t="shared" si="7"/>
        <v>0063</v>
      </c>
      <c r="C397" s="10" t="str">
        <f>_xlfn.LET(
    _xlpm.val, IF(Datadetails[[#This Row],[Activity]]="D02","C20",Datadetails[[#This Row],[Activity]]),
    IF(ISNUMBER(MATCH(_xlpm.val,{"D04","C30","c40","C20"},0)), _xlpm.val, "Other")
)</f>
        <v>C30</v>
      </c>
      <c r="D397" s="10" t="str">
        <f>IFERROR(VLOOKUP(Datadetails[[#This Row],[Taskcode]],Dashboard!A:A,1,FALSE),"00 Err Missing")</f>
        <v>0063</v>
      </c>
      <c r="E397" s="79">
        <v>45777</v>
      </c>
      <c r="F397" s="80" t="s">
        <v>329</v>
      </c>
      <c r="G397" s="60" t="s">
        <v>40</v>
      </c>
      <c r="H397" s="80" t="s">
        <v>230</v>
      </c>
      <c r="I397" s="80" t="s">
        <v>34</v>
      </c>
      <c r="J397" s="80" t="s">
        <v>410</v>
      </c>
      <c r="K397" s="80" t="s">
        <v>347</v>
      </c>
      <c r="L397" s="80" t="s">
        <v>343</v>
      </c>
      <c r="M397" s="81">
        <v>0.08</v>
      </c>
      <c r="N397" s="82">
        <v>6</v>
      </c>
    </row>
    <row r="398" spans="1:14" x14ac:dyDescent="0.25">
      <c r="A398" s="10" t="str">
        <f>_xlfn.IFNA(
    IF(J398=
        "PCB-0001",
        "CSS",
        IF(
            ISNUMBER(MATCH(_xlfn.TEXTBEFORE(J398,"-"), {"CSS","CSN","PCB","PCF","BEC","CSD","PCM"}, 0)),
            _xlfn.TEXTBEFORE(J398,"-"),
            "Other"
        )
    ),
"Add")</f>
        <v>PCB</v>
      </c>
      <c r="B398" s="10" t="str">
        <f t="shared" si="7"/>
        <v>0101</v>
      </c>
      <c r="C398" s="10" t="str">
        <f>_xlfn.LET(
    _xlpm.val, IF(Datadetails[[#This Row],[Activity]]="D02","C20",Datadetails[[#This Row],[Activity]]),
    IF(ISNUMBER(MATCH(_xlpm.val,{"D04","C30","c40","C20"},0)), _xlpm.val, "Other")
)</f>
        <v>C30</v>
      </c>
      <c r="D398" s="10" t="str">
        <f>IFERROR(VLOOKUP(Datadetails[[#This Row],[Taskcode]],Dashboard!A:A,1,FALSE),"00 Err Missing")</f>
        <v>0101</v>
      </c>
      <c r="E398" s="79">
        <v>45777</v>
      </c>
      <c r="F398" s="80" t="s">
        <v>329</v>
      </c>
      <c r="G398" s="60" t="s">
        <v>40</v>
      </c>
      <c r="H398" s="80" t="s">
        <v>268</v>
      </c>
      <c r="I398" s="80" t="s">
        <v>34</v>
      </c>
      <c r="J398" s="80" t="s">
        <v>386</v>
      </c>
      <c r="K398" s="80" t="s">
        <v>347</v>
      </c>
      <c r="L398" s="80" t="s">
        <v>343</v>
      </c>
      <c r="M398" s="81">
        <v>0.25</v>
      </c>
      <c r="N398" s="82">
        <v>18.75</v>
      </c>
    </row>
    <row r="399" spans="1:14" x14ac:dyDescent="0.25">
      <c r="A399" s="10" t="str">
        <f>_xlfn.IFNA(
    IF(J399=
        "PCB-0001",
        "CSS",
        IF(
            ISNUMBER(MATCH(_xlfn.TEXTBEFORE(J399,"-"), {"CSS","CSN","PCB","PCF","BEC","CSD","PCM"}, 0)),
            _xlfn.TEXTBEFORE(J399,"-"),
            "Other"
        )
    ),
"Add")</f>
        <v>BEC</v>
      </c>
      <c r="B399" s="10" t="str">
        <f t="shared" si="7"/>
        <v>0001</v>
      </c>
      <c r="C399" s="10" t="str">
        <f>_xlfn.LET(
    _xlpm.val, IF(Datadetails[[#This Row],[Activity]]="D02","C20",Datadetails[[#This Row],[Activity]]),
    IF(ISNUMBER(MATCH(_xlpm.val,{"D04","C30","c40","C20"},0)), _xlpm.val, "Other")
)</f>
        <v>D04</v>
      </c>
      <c r="D399" s="10" t="str">
        <f>IFERROR(VLOOKUP(Datadetails[[#This Row],[Taskcode]],Dashboard!A:A,1,FALSE),"00 Err Missing")</f>
        <v>0001</v>
      </c>
      <c r="E399" s="79">
        <v>45777</v>
      </c>
      <c r="F399" s="80" t="s">
        <v>332</v>
      </c>
      <c r="G399" s="60" t="s">
        <v>40</v>
      </c>
      <c r="H399" s="80" t="s">
        <v>314</v>
      </c>
      <c r="I399" s="80" t="s">
        <v>35</v>
      </c>
      <c r="J399" s="80" t="s">
        <v>359</v>
      </c>
      <c r="K399" s="80" t="s">
        <v>339</v>
      </c>
      <c r="L399" s="80" t="s">
        <v>352</v>
      </c>
      <c r="M399" s="81">
        <v>9.33</v>
      </c>
      <c r="N399" s="82">
        <v>373.2</v>
      </c>
    </row>
    <row r="400" spans="1:14" x14ac:dyDescent="0.25">
      <c r="A400" s="10" t="str">
        <f>_xlfn.IFNA(
    IF(J400=
        "PCB-0001",
        "CSS",
        IF(
            ISNUMBER(MATCH(_xlfn.TEXTBEFORE(J400,"-"), {"CSS","CSN","PCB","PCF","BEC","CSD","PCM"}, 0)),
            _xlfn.TEXTBEFORE(J400,"-"),
            "Other"
        )
    ),
"Add")</f>
        <v>BEC</v>
      </c>
      <c r="B400" s="10" t="str">
        <f t="shared" si="7"/>
        <v>0001</v>
      </c>
      <c r="C400" s="10" t="str">
        <f>_xlfn.LET(
    _xlpm.val, IF(Datadetails[[#This Row],[Activity]]="D02","C20",Datadetails[[#This Row],[Activity]]),
    IF(ISNUMBER(MATCH(_xlpm.val,{"D04","C30","c40","C20"},0)), _xlpm.val, "Other")
)</f>
        <v>D04</v>
      </c>
      <c r="D400" s="10" t="str">
        <f>IFERROR(VLOOKUP(Datadetails[[#This Row],[Taskcode]],Dashboard!A:A,1,FALSE),"00 Err Missing")</f>
        <v>0001</v>
      </c>
      <c r="E400" s="79">
        <v>45777</v>
      </c>
      <c r="F400" s="80" t="s">
        <v>324</v>
      </c>
      <c r="G400" s="60" t="s">
        <v>40</v>
      </c>
      <c r="H400" s="80" t="s">
        <v>314</v>
      </c>
      <c r="I400" s="80" t="s">
        <v>35</v>
      </c>
      <c r="J400" s="80" t="s">
        <v>359</v>
      </c>
      <c r="K400" s="80" t="s">
        <v>339</v>
      </c>
      <c r="L400" s="80" t="s">
        <v>352</v>
      </c>
      <c r="M400" s="81">
        <v>6</v>
      </c>
      <c r="N400" s="82">
        <v>450</v>
      </c>
    </row>
    <row r="401" spans="1:14" x14ac:dyDescent="0.25">
      <c r="A401" s="10" t="str">
        <f>_xlfn.IFNA(
    IF(J401=
        "PCB-0001",
        "CSS",
        IF(
            ISNUMBER(MATCH(_xlfn.TEXTBEFORE(J401,"-"), {"CSS","CSN","PCB","PCF","BEC","CSD","PCM"}, 0)),
            _xlfn.TEXTBEFORE(J401,"-"),
            "Other"
        )
    ),
"Add")</f>
        <v>PCB</v>
      </c>
      <c r="B401" s="10" t="str">
        <f t="shared" si="7"/>
        <v>0103</v>
      </c>
      <c r="C401" s="10" t="str">
        <f>_xlfn.LET(
    _xlpm.val, IF(Datadetails[[#This Row],[Activity]]="D02","C20",Datadetails[[#This Row],[Activity]]),
    IF(ISNUMBER(MATCH(_xlpm.val,{"D04","C30","c40","C20"},0)), _xlpm.val, "Other")
)</f>
        <v>C30</v>
      </c>
      <c r="D401" s="10" t="str">
        <f>IFERROR(VLOOKUP(Datadetails[[#This Row],[Taskcode]],Dashboard!A:A,1,FALSE),"00 Err Missing")</f>
        <v>0103</v>
      </c>
      <c r="E401" s="79">
        <v>45778</v>
      </c>
      <c r="F401" s="80" t="s">
        <v>329</v>
      </c>
      <c r="G401" s="60" t="s">
        <v>40</v>
      </c>
      <c r="H401" s="80" t="s">
        <v>270</v>
      </c>
      <c r="I401" s="80" t="s">
        <v>34</v>
      </c>
      <c r="J401" s="80" t="s">
        <v>360</v>
      </c>
      <c r="K401" s="80" t="s">
        <v>347</v>
      </c>
      <c r="L401" s="80" t="s">
        <v>343</v>
      </c>
      <c r="M401" s="81">
        <v>0.08</v>
      </c>
      <c r="N401" s="82">
        <v>6</v>
      </c>
    </row>
    <row r="402" spans="1:14" x14ac:dyDescent="0.25">
      <c r="A402" s="10" t="str">
        <f>_xlfn.IFNA(
    IF(J402=
        "PCB-0001",
        "CSS",
        IF(
            ISNUMBER(MATCH(_xlfn.TEXTBEFORE(J402,"-"), {"CSS","CSN","PCB","PCF","BEC","CSD","PCM"}, 0)),
            _xlfn.TEXTBEFORE(J402,"-"),
            "Other"
        )
    ),
"Add")</f>
        <v>CSN</v>
      </c>
      <c r="B402" s="10" t="str">
        <f t="shared" si="7"/>
        <v>0001</v>
      </c>
      <c r="C402" s="10" t="str">
        <f>_xlfn.LET(
    _xlpm.val, IF(Datadetails[[#This Row],[Activity]]="D02","C20",Datadetails[[#This Row],[Activity]]),
    IF(ISNUMBER(MATCH(_xlpm.val,{"D04","C30","c40","C20"},0)), _xlpm.val, "Other")
)</f>
        <v>D04</v>
      </c>
      <c r="D402" s="10" t="str">
        <f>IFERROR(VLOOKUP(Datadetails[[#This Row],[Taskcode]],Dashboard!A:A,1,FALSE),"00 Err Missing")</f>
        <v>0001</v>
      </c>
      <c r="E402" s="79">
        <v>45778</v>
      </c>
      <c r="F402" s="80" t="s">
        <v>329</v>
      </c>
      <c r="G402" s="60" t="s">
        <v>40</v>
      </c>
      <c r="H402" s="80" t="s">
        <v>316</v>
      </c>
      <c r="I402" s="80" t="s">
        <v>35</v>
      </c>
      <c r="J402" s="80" t="s">
        <v>338</v>
      </c>
      <c r="K402" s="80" t="s">
        <v>337</v>
      </c>
      <c r="L402" s="80" t="s">
        <v>352</v>
      </c>
      <c r="M402" s="81">
        <v>1.5</v>
      </c>
      <c r="N402" s="82">
        <v>112.5</v>
      </c>
    </row>
    <row r="403" spans="1:14" x14ac:dyDescent="0.25">
      <c r="A403" s="10" t="str">
        <f>_xlfn.IFNA(
    IF(J403=
        "PCB-0001",
        "CSS",
        IF(
            ISNUMBER(MATCH(_xlfn.TEXTBEFORE(J403,"-"), {"CSS","CSN","PCB","PCF","BEC","CSD","PCM"}, 0)),
            _xlfn.TEXTBEFORE(J403,"-"),
            "Other"
        )
    ),
"Add")</f>
        <v>CSD</v>
      </c>
      <c r="B403" s="10" t="str">
        <f t="shared" si="7"/>
        <v>0001</v>
      </c>
      <c r="C403" s="10" t="str">
        <f>_xlfn.LET(
    _xlpm.val, IF(Datadetails[[#This Row],[Activity]]="D02","C20",Datadetails[[#This Row],[Activity]]),
    IF(ISNUMBER(MATCH(_xlpm.val,{"D04","C30","c40","C20"},0)), _xlpm.val, "Other")
)</f>
        <v>D04</v>
      </c>
      <c r="D403" s="10" t="str">
        <f>IFERROR(VLOOKUP(Datadetails[[#This Row],[Taskcode]],Dashboard!A:A,1,FALSE),"00 Err Missing")</f>
        <v>0001</v>
      </c>
      <c r="E403" s="79">
        <v>45778</v>
      </c>
      <c r="F403" s="80" t="s">
        <v>333</v>
      </c>
      <c r="G403" s="60" t="s">
        <v>40</v>
      </c>
      <c r="H403" s="80" t="s">
        <v>320</v>
      </c>
      <c r="I403" s="80" t="s">
        <v>35</v>
      </c>
      <c r="J403" s="80" t="s">
        <v>322</v>
      </c>
      <c r="K403" s="80" t="s">
        <v>319</v>
      </c>
      <c r="L403" s="80" t="s">
        <v>352</v>
      </c>
      <c r="M403" s="81">
        <v>7.67</v>
      </c>
      <c r="N403" s="82">
        <v>245.44</v>
      </c>
    </row>
    <row r="404" spans="1:14" x14ac:dyDescent="0.25">
      <c r="A404" s="10" t="str">
        <f>_xlfn.IFNA(
    IF(J404=
        "PCB-0001",
        "CSS",
        IF(
            ISNUMBER(MATCH(_xlfn.TEXTBEFORE(J404,"-"), {"CSS","CSN","PCB","PCF","BEC","CSD","PCM"}, 0)),
            _xlfn.TEXTBEFORE(J404,"-"),
            "Other"
        )
    ),
"Add")</f>
        <v>CSD</v>
      </c>
      <c r="B404" s="10" t="str">
        <f t="shared" si="7"/>
        <v>0001</v>
      </c>
      <c r="C404" s="10" t="str">
        <f>_xlfn.LET(
    _xlpm.val, IF(Datadetails[[#This Row],[Activity]]="D02","C20",Datadetails[[#This Row],[Activity]]),
    IF(ISNUMBER(MATCH(_xlpm.val,{"D04","C30","c40","C20"},0)), _xlpm.val, "Other")
)</f>
        <v>D04</v>
      </c>
      <c r="D404" s="10" t="str">
        <f>IFERROR(VLOOKUP(Datadetails[[#This Row],[Taskcode]],Dashboard!A:A,1,FALSE),"00 Err Missing")</f>
        <v>0001</v>
      </c>
      <c r="E404" s="79">
        <v>45778</v>
      </c>
      <c r="F404" s="80" t="s">
        <v>327</v>
      </c>
      <c r="G404" s="60" t="s">
        <v>40</v>
      </c>
      <c r="H404" s="80" t="s">
        <v>320</v>
      </c>
      <c r="I404" s="80" t="s">
        <v>35</v>
      </c>
      <c r="J404" s="80" t="s">
        <v>322</v>
      </c>
      <c r="K404" s="80" t="s">
        <v>319</v>
      </c>
      <c r="L404" s="80" t="s">
        <v>352</v>
      </c>
      <c r="M404" s="81">
        <v>7.42</v>
      </c>
      <c r="N404" s="82">
        <v>237.44</v>
      </c>
    </row>
    <row r="405" spans="1:14" x14ac:dyDescent="0.25">
      <c r="A405" s="10" t="str">
        <f>_xlfn.IFNA(
    IF(J405=
        "PCB-0001",
        "CSS",
        IF(
            ISNUMBER(MATCH(_xlfn.TEXTBEFORE(J405,"-"), {"CSS","CSN","PCB","PCF","BEC","CSD","PCM"}, 0)),
            _xlfn.TEXTBEFORE(J405,"-"),
            "Other"
        )
    ),
"Add")</f>
        <v>PCB</v>
      </c>
      <c r="B405" s="10" t="str">
        <f t="shared" si="7"/>
        <v>0019</v>
      </c>
      <c r="C405" s="10" t="str">
        <f>_xlfn.LET(
    _xlpm.val, IF(Datadetails[[#This Row],[Activity]]="D02","C20",Datadetails[[#This Row],[Activity]]),
    IF(ISNUMBER(MATCH(_xlpm.val,{"D04","C30","c40","C20"},0)), _xlpm.val, "Other")
)</f>
        <v>C30</v>
      </c>
      <c r="D405" s="10" t="str">
        <f>IFERROR(VLOOKUP(Datadetails[[#This Row],[Taskcode]],Dashboard!A:A,1,FALSE),"00 Err Missing")</f>
        <v>0019</v>
      </c>
      <c r="E405" s="79">
        <v>45778</v>
      </c>
      <c r="F405" s="80" t="s">
        <v>329</v>
      </c>
      <c r="G405" s="60" t="s">
        <v>40</v>
      </c>
      <c r="H405" s="80" t="s">
        <v>186</v>
      </c>
      <c r="I405" s="80" t="s">
        <v>34</v>
      </c>
      <c r="J405" s="80" t="s">
        <v>397</v>
      </c>
      <c r="K405" s="80" t="s">
        <v>347</v>
      </c>
      <c r="L405" s="80" t="s">
        <v>343</v>
      </c>
      <c r="M405" s="81">
        <v>0.5</v>
      </c>
      <c r="N405" s="82">
        <v>37.5</v>
      </c>
    </row>
    <row r="406" spans="1:14" x14ac:dyDescent="0.25">
      <c r="A406" s="10" t="str">
        <f>_xlfn.IFNA(
    IF(J406=
        "PCB-0001",
        "CSS",
        IF(
            ISNUMBER(MATCH(_xlfn.TEXTBEFORE(J406,"-"), {"CSS","CSN","PCB","PCF","BEC","CSD","PCM"}, 0)),
            _xlfn.TEXTBEFORE(J406,"-"),
            "Other"
        )
    ),
"Add")</f>
        <v>PCB</v>
      </c>
      <c r="B406" s="10" t="str">
        <f t="shared" si="7"/>
        <v>0022</v>
      </c>
      <c r="C406" s="10" t="str">
        <f>_xlfn.LET(
    _xlpm.val, IF(Datadetails[[#This Row],[Activity]]="D02","C20",Datadetails[[#This Row],[Activity]]),
    IF(ISNUMBER(MATCH(_xlpm.val,{"D04","C30","c40","C20"},0)), _xlpm.val, "Other")
)</f>
        <v>C30</v>
      </c>
      <c r="D406" s="10" t="str">
        <f>IFERROR(VLOOKUP(Datadetails[[#This Row],[Taskcode]],Dashboard!A:A,1,FALSE),"00 Err Missing")</f>
        <v>0022</v>
      </c>
      <c r="E406" s="79">
        <v>45778</v>
      </c>
      <c r="F406" s="80" t="s">
        <v>330</v>
      </c>
      <c r="G406" s="60" t="s">
        <v>40</v>
      </c>
      <c r="H406" s="80" t="s">
        <v>189</v>
      </c>
      <c r="I406" s="80" t="s">
        <v>34</v>
      </c>
      <c r="J406" s="80" t="s">
        <v>439</v>
      </c>
      <c r="K406" s="80" t="s">
        <v>347</v>
      </c>
      <c r="L406" s="80" t="s">
        <v>343</v>
      </c>
      <c r="M406" s="81">
        <v>0.25</v>
      </c>
      <c r="N406" s="82">
        <v>15</v>
      </c>
    </row>
    <row r="407" spans="1:14" x14ac:dyDescent="0.25">
      <c r="A407" s="10" t="str">
        <f>_xlfn.IFNA(
    IF(J407=
        "PCB-0001",
        "CSS",
        IF(
            ISNUMBER(MATCH(_xlfn.TEXTBEFORE(J407,"-"), {"CSS","CSN","PCB","PCF","BEC","CSD","PCM"}, 0)),
            _xlfn.TEXTBEFORE(J407,"-"),
            "Other"
        )
    ),
"Add")</f>
        <v>PCB</v>
      </c>
      <c r="B407" s="10" t="str">
        <f t="shared" si="7"/>
        <v>0031</v>
      </c>
      <c r="C407" s="10" t="str">
        <f>_xlfn.LET(
    _xlpm.val, IF(Datadetails[[#This Row],[Activity]]="D02","C20",Datadetails[[#This Row],[Activity]]),
    IF(ISNUMBER(MATCH(_xlpm.val,{"D04","C30","c40","C20"},0)), _xlpm.val, "Other")
)</f>
        <v>C30</v>
      </c>
      <c r="D407" s="10" t="str">
        <f>IFERROR(VLOOKUP(Datadetails[[#This Row],[Taskcode]],Dashboard!A:A,1,FALSE),"00 Err Missing")</f>
        <v>0031</v>
      </c>
      <c r="E407" s="79">
        <v>45778</v>
      </c>
      <c r="F407" s="80" t="s">
        <v>325</v>
      </c>
      <c r="G407" s="60" t="s">
        <v>40</v>
      </c>
      <c r="H407" s="80" t="s">
        <v>198</v>
      </c>
      <c r="I407" s="80" t="s">
        <v>34</v>
      </c>
      <c r="J407" s="80" t="s">
        <v>413</v>
      </c>
      <c r="K407" s="80" t="s">
        <v>347</v>
      </c>
      <c r="L407" s="80" t="s">
        <v>343</v>
      </c>
      <c r="M407" s="81">
        <v>0.17</v>
      </c>
      <c r="N407" s="82">
        <v>12.750000000000002</v>
      </c>
    </row>
    <row r="408" spans="1:14" x14ac:dyDescent="0.25">
      <c r="A408" s="10" t="str">
        <f>_xlfn.IFNA(
    IF(J408=
        "PCB-0001",
        "CSS",
        IF(
            ISNUMBER(MATCH(_xlfn.TEXTBEFORE(J408,"-"), {"CSS","CSN","PCB","PCF","BEC","CSD","PCM"}, 0)),
            _xlfn.TEXTBEFORE(J408,"-"),
            "Other"
        )
    ),
"Add")</f>
        <v>PCB</v>
      </c>
      <c r="B408" s="10" t="str">
        <f t="shared" si="7"/>
        <v>0032</v>
      </c>
      <c r="C408" s="10" t="str">
        <f>_xlfn.LET(
    _xlpm.val, IF(Datadetails[[#This Row],[Activity]]="D02","C20",Datadetails[[#This Row],[Activity]]),
    IF(ISNUMBER(MATCH(_xlpm.val,{"D04","C30","c40","C20"},0)), _xlpm.val, "Other")
)</f>
        <v>C30</v>
      </c>
      <c r="D408" s="10" t="str">
        <f>IFERROR(VLOOKUP(Datadetails[[#This Row],[Taskcode]],Dashboard!A:A,1,FALSE),"00 Err Missing")</f>
        <v>0032</v>
      </c>
      <c r="E408" s="79">
        <v>45778</v>
      </c>
      <c r="F408" s="80" t="s">
        <v>330</v>
      </c>
      <c r="G408" s="60" t="s">
        <v>40</v>
      </c>
      <c r="H408" s="80" t="s">
        <v>199</v>
      </c>
      <c r="I408" s="80" t="s">
        <v>34</v>
      </c>
      <c r="J408" s="80" t="s">
        <v>414</v>
      </c>
      <c r="K408" s="80" t="s">
        <v>347</v>
      </c>
      <c r="L408" s="80" t="s">
        <v>343</v>
      </c>
      <c r="M408" s="81">
        <v>0.5</v>
      </c>
      <c r="N408" s="82">
        <v>30</v>
      </c>
    </row>
    <row r="409" spans="1:14" x14ac:dyDescent="0.25">
      <c r="A409" s="10" t="str">
        <f>_xlfn.IFNA(
    IF(J409=
        "PCB-0001",
        "CSS",
        IF(
            ISNUMBER(MATCH(_xlfn.TEXTBEFORE(J409,"-"), {"CSS","CSN","PCB","PCF","BEC","CSD","PCM"}, 0)),
            _xlfn.TEXTBEFORE(J409,"-"),
            "Other"
        )
    ),
"Add")</f>
        <v>PCB</v>
      </c>
      <c r="B409" s="10" t="str">
        <f t="shared" si="7"/>
        <v>0044</v>
      </c>
      <c r="C409" s="10" t="str">
        <f>_xlfn.LET(
    _xlpm.val, IF(Datadetails[[#This Row],[Activity]]="D02","C20",Datadetails[[#This Row],[Activity]]),
    IF(ISNUMBER(MATCH(_xlpm.val,{"D04","C30","c40","C20"},0)), _xlpm.val, "Other")
)</f>
        <v>C30</v>
      </c>
      <c r="D409" s="10" t="str">
        <f>IFERROR(VLOOKUP(Datadetails[[#This Row],[Taskcode]],Dashboard!A:A,1,FALSE),"00 Err Missing")</f>
        <v>0044</v>
      </c>
      <c r="E409" s="79">
        <v>45778</v>
      </c>
      <c r="F409" s="80" t="s">
        <v>330</v>
      </c>
      <c r="G409" s="60" t="s">
        <v>40</v>
      </c>
      <c r="H409" s="80" t="s">
        <v>211</v>
      </c>
      <c r="I409" s="80" t="s">
        <v>34</v>
      </c>
      <c r="J409" s="80" t="s">
        <v>437</v>
      </c>
      <c r="K409" s="80" t="s">
        <v>347</v>
      </c>
      <c r="L409" s="80" t="s">
        <v>343</v>
      </c>
      <c r="M409" s="81">
        <v>0.25</v>
      </c>
      <c r="N409" s="82">
        <v>15</v>
      </c>
    </row>
    <row r="410" spans="1:14" x14ac:dyDescent="0.25">
      <c r="A410" s="10" t="str">
        <f>_xlfn.IFNA(
    IF(J410=
        "PCB-0001",
        "CSS",
        IF(
            ISNUMBER(MATCH(_xlfn.TEXTBEFORE(J410,"-"), {"CSS","CSN","PCB","PCF","BEC","CSD","PCM"}, 0)),
            _xlfn.TEXTBEFORE(J410,"-"),
            "Other"
        )
    ),
"Add")</f>
        <v>PCB</v>
      </c>
      <c r="B410" s="10" t="str">
        <f t="shared" si="7"/>
        <v>0136</v>
      </c>
      <c r="C410" s="10" t="str">
        <f>_xlfn.LET(
    _xlpm.val, IF(Datadetails[[#This Row],[Activity]]="D02","C20",Datadetails[[#This Row],[Activity]]),
    IF(ISNUMBER(MATCH(_xlpm.val,{"D04","C30","c40","C20"},0)), _xlpm.val, "Other")
)</f>
        <v>C30</v>
      </c>
      <c r="D410" s="10" t="str">
        <f>IFERROR(VLOOKUP(Datadetails[[#This Row],[Taskcode]],Dashboard!A:A,1,FALSE),"00 Err Missing")</f>
        <v>0136</v>
      </c>
      <c r="E410" s="79">
        <v>45778</v>
      </c>
      <c r="F410" s="80" t="s">
        <v>329</v>
      </c>
      <c r="G410" s="60" t="s">
        <v>40</v>
      </c>
      <c r="H410" s="80" t="s">
        <v>303</v>
      </c>
      <c r="I410" s="80" t="s">
        <v>34</v>
      </c>
      <c r="J410" s="80" t="s">
        <v>400</v>
      </c>
      <c r="K410" s="80" t="s">
        <v>347</v>
      </c>
      <c r="L410" s="80" t="s">
        <v>343</v>
      </c>
      <c r="M410" s="81">
        <v>0.08</v>
      </c>
      <c r="N410" s="82">
        <v>6</v>
      </c>
    </row>
    <row r="411" spans="1:14" x14ac:dyDescent="0.25">
      <c r="A411" s="10" t="str">
        <f>_xlfn.IFNA(
    IF(J411=
        "PCB-0001",
        "CSS",
        IF(
            ISNUMBER(MATCH(_xlfn.TEXTBEFORE(J411,"-"), {"CSS","CSN","PCB","PCF","BEC","CSD","PCM"}, 0)),
            _xlfn.TEXTBEFORE(J411,"-"),
            "Other"
        )
    ),
"Add")</f>
        <v>PCB</v>
      </c>
      <c r="B411" s="10" t="str">
        <f t="shared" si="7"/>
        <v>0062</v>
      </c>
      <c r="C411" s="10" t="str">
        <f>_xlfn.LET(
    _xlpm.val, IF(Datadetails[[#This Row],[Activity]]="D02","C20",Datadetails[[#This Row],[Activity]]),
    IF(ISNUMBER(MATCH(_xlpm.val,{"D04","C30","c40","C20"},0)), _xlpm.val, "Other")
)</f>
        <v>C30</v>
      </c>
      <c r="D411" s="10" t="str">
        <f>IFERROR(VLOOKUP(Datadetails[[#This Row],[Taskcode]],Dashboard!A:A,1,FALSE),"00 Err Missing")</f>
        <v>0062</v>
      </c>
      <c r="E411" s="79">
        <v>45778</v>
      </c>
      <c r="F411" s="80" t="s">
        <v>329</v>
      </c>
      <c r="G411" s="60" t="s">
        <v>40</v>
      </c>
      <c r="H411" s="80" t="s">
        <v>229</v>
      </c>
      <c r="I411" s="80" t="s">
        <v>34</v>
      </c>
      <c r="J411" s="80" t="s">
        <v>373</v>
      </c>
      <c r="K411" s="80" t="s">
        <v>347</v>
      </c>
      <c r="L411" s="80" t="s">
        <v>343</v>
      </c>
      <c r="M411" s="81">
        <v>0.5</v>
      </c>
      <c r="N411" s="82">
        <v>37.5</v>
      </c>
    </row>
    <row r="412" spans="1:14" x14ac:dyDescent="0.25">
      <c r="A412" s="10" t="str">
        <f>_xlfn.IFNA(
    IF(J412=
        "PCB-0001",
        "CSS",
        IF(
            ISNUMBER(MATCH(_xlfn.TEXTBEFORE(J412,"-"), {"CSS","CSN","PCB","PCF","BEC","CSD","PCM"}, 0)),
            _xlfn.TEXTBEFORE(J412,"-"),
            "Other"
        )
    ),
"Add")</f>
        <v>PCB</v>
      </c>
      <c r="B412" s="10" t="str">
        <f t="shared" si="7"/>
        <v>0023</v>
      </c>
      <c r="C412" s="10" t="str">
        <f>_xlfn.LET(
    _xlpm.val, IF(Datadetails[[#This Row],[Activity]]="D02","C20",Datadetails[[#This Row],[Activity]]),
    IF(ISNUMBER(MATCH(_xlpm.val,{"D04","C30","c40","C20"},0)), _xlpm.val, "Other")
)</f>
        <v>C30</v>
      </c>
      <c r="D412" s="10" t="str">
        <f>IFERROR(VLOOKUP(Datadetails[[#This Row],[Taskcode]],Dashboard!A:A,1,FALSE),"00 Err Missing")</f>
        <v>0023</v>
      </c>
      <c r="E412" s="79">
        <v>45778</v>
      </c>
      <c r="F412" s="80" t="s">
        <v>330</v>
      </c>
      <c r="G412" s="60" t="s">
        <v>40</v>
      </c>
      <c r="H412" s="80" t="s">
        <v>190</v>
      </c>
      <c r="I412" s="80" t="s">
        <v>34</v>
      </c>
      <c r="J412" s="80" t="s">
        <v>438</v>
      </c>
      <c r="K412" s="80" t="s">
        <v>347</v>
      </c>
      <c r="L412" s="80" t="s">
        <v>343</v>
      </c>
      <c r="M412" s="81">
        <v>0.25</v>
      </c>
      <c r="N412" s="82">
        <v>15</v>
      </c>
    </row>
    <row r="413" spans="1:14" x14ac:dyDescent="0.25">
      <c r="A413" s="10" t="str">
        <f>_xlfn.IFNA(
    IF(J413=
        "PCB-0001",
        "CSS",
        IF(
            ISNUMBER(MATCH(_xlfn.TEXTBEFORE(J413,"-"), {"CSS","CSN","PCB","PCF","BEC","CSD","PCM"}, 0)),
            _xlfn.TEXTBEFORE(J413,"-"),
            "Other"
        )
    ),
"Add")</f>
        <v>PCB</v>
      </c>
      <c r="B413" s="10" t="str">
        <f t="shared" si="7"/>
        <v>0080</v>
      </c>
      <c r="C413" s="10" t="str">
        <f>_xlfn.LET(
    _xlpm.val, IF(Datadetails[[#This Row],[Activity]]="D02","C20",Datadetails[[#This Row],[Activity]]),
    IF(ISNUMBER(MATCH(_xlpm.val,{"D04","C30","c40","C20"},0)), _xlpm.val, "Other")
)</f>
        <v>C30</v>
      </c>
      <c r="D413" s="10" t="str">
        <f>IFERROR(VLOOKUP(Datadetails[[#This Row],[Taskcode]],Dashboard!A:A,1,FALSE),"00 Err Missing")</f>
        <v>0080</v>
      </c>
      <c r="E413" s="79">
        <v>45778</v>
      </c>
      <c r="F413" s="80" t="s">
        <v>329</v>
      </c>
      <c r="G413" s="60" t="s">
        <v>40</v>
      </c>
      <c r="H413" s="80" t="s">
        <v>247</v>
      </c>
      <c r="I413" s="80" t="s">
        <v>34</v>
      </c>
      <c r="J413" s="80" t="s">
        <v>375</v>
      </c>
      <c r="K413" s="80" t="s">
        <v>347</v>
      </c>
      <c r="L413" s="80" t="s">
        <v>343</v>
      </c>
      <c r="M413" s="81">
        <v>0.33</v>
      </c>
      <c r="N413" s="82">
        <v>24.75</v>
      </c>
    </row>
    <row r="414" spans="1:14" x14ac:dyDescent="0.25">
      <c r="A414" s="10" t="str">
        <f>_xlfn.IFNA(
    IF(J414=
        "PCB-0001",
        "CSS",
        IF(
            ISNUMBER(MATCH(_xlfn.TEXTBEFORE(J414,"-"), {"CSS","CSN","PCB","PCF","BEC","CSD","PCM"}, 0)),
            _xlfn.TEXTBEFORE(J414,"-"),
            "Other"
        )
    ),
"Add")</f>
        <v>PCB</v>
      </c>
      <c r="B414" s="10" t="str">
        <f t="shared" si="7"/>
        <v>0120</v>
      </c>
      <c r="C414" s="10" t="str">
        <f>_xlfn.LET(
    _xlpm.val, IF(Datadetails[[#This Row],[Activity]]="D02","C20",Datadetails[[#This Row],[Activity]]),
    IF(ISNUMBER(MATCH(_xlpm.val,{"D04","C30","c40","C20"},0)), _xlpm.val, "Other")
)</f>
        <v>C30</v>
      </c>
      <c r="D414" s="10" t="str">
        <f>IFERROR(VLOOKUP(Datadetails[[#This Row],[Taskcode]],Dashboard!A:A,1,FALSE),"00 Err Missing")</f>
        <v>0120</v>
      </c>
      <c r="E414" s="79">
        <v>45778</v>
      </c>
      <c r="F414" s="80" t="s">
        <v>325</v>
      </c>
      <c r="G414" s="60" t="s">
        <v>40</v>
      </c>
      <c r="H414" s="80" t="s">
        <v>287</v>
      </c>
      <c r="I414" s="80" t="s">
        <v>34</v>
      </c>
      <c r="J414" s="80" t="s">
        <v>378</v>
      </c>
      <c r="K414" s="80" t="s">
        <v>347</v>
      </c>
      <c r="L414" s="80" t="s">
        <v>343</v>
      </c>
      <c r="M414" s="81">
        <v>0.17</v>
      </c>
      <c r="N414" s="82">
        <v>12.750000000000002</v>
      </c>
    </row>
    <row r="415" spans="1:14" x14ac:dyDescent="0.25">
      <c r="A415" s="10" t="str">
        <f>_xlfn.IFNA(
    IF(J415=
        "PCB-0001",
        "CSS",
        IF(
            ISNUMBER(MATCH(_xlfn.TEXTBEFORE(J415,"-"), {"CSS","CSN","PCB","PCF","BEC","CSD","PCM"}, 0)),
            _xlfn.TEXTBEFORE(J415,"-"),
            "Other"
        )
    ),
"Add")</f>
        <v>PCB</v>
      </c>
      <c r="B415" s="10" t="str">
        <f t="shared" si="7"/>
        <v>0086</v>
      </c>
      <c r="C415" s="10" t="str">
        <f>_xlfn.LET(
    _xlpm.val, IF(Datadetails[[#This Row],[Activity]]="D02","C20",Datadetails[[#This Row],[Activity]]),
    IF(ISNUMBER(MATCH(_xlpm.val,{"D04","C30","c40","C20"},0)), _xlpm.val, "Other")
)</f>
        <v>C30</v>
      </c>
      <c r="D415" s="10" t="str">
        <f>IFERROR(VLOOKUP(Datadetails[[#This Row],[Taskcode]],Dashboard!A:A,1,FALSE),"00 Err Missing")</f>
        <v>0086</v>
      </c>
      <c r="E415" s="79">
        <v>45778</v>
      </c>
      <c r="F415" s="80" t="s">
        <v>325</v>
      </c>
      <c r="G415" s="60" t="s">
        <v>40</v>
      </c>
      <c r="H415" s="80" t="s">
        <v>253</v>
      </c>
      <c r="I415" s="80" t="s">
        <v>34</v>
      </c>
      <c r="J415" s="80" t="s">
        <v>408</v>
      </c>
      <c r="K415" s="80" t="s">
        <v>347</v>
      </c>
      <c r="L415" s="80" t="s">
        <v>343</v>
      </c>
      <c r="M415" s="81">
        <v>0.17</v>
      </c>
      <c r="N415" s="82">
        <v>12.750000000000002</v>
      </c>
    </row>
    <row r="416" spans="1:14" x14ac:dyDescent="0.25">
      <c r="A416" s="10" t="str">
        <f>_xlfn.IFNA(
    IF(J416=
        "PCB-0001",
        "CSS",
        IF(
            ISNUMBER(MATCH(_xlfn.TEXTBEFORE(J416,"-"), {"CSS","CSN","PCB","PCF","BEC","CSD","PCM"}, 0)),
            _xlfn.TEXTBEFORE(J416,"-"),
            "Other"
        )
    ),
"Add")</f>
        <v>PCB</v>
      </c>
      <c r="B416" s="10" t="str">
        <f t="shared" si="7"/>
        <v>0081</v>
      </c>
      <c r="C416" s="10" t="str">
        <f>_xlfn.LET(
    _xlpm.val, IF(Datadetails[[#This Row],[Activity]]="D02","C20",Datadetails[[#This Row],[Activity]]),
    IF(ISNUMBER(MATCH(_xlpm.val,{"D04","C30","c40","C20"},0)), _xlpm.val, "Other")
)</f>
        <v>C30</v>
      </c>
      <c r="D416" s="10" t="str">
        <f>IFERROR(VLOOKUP(Datadetails[[#This Row],[Taskcode]],Dashboard!A:A,1,FALSE),"00 Err Missing")</f>
        <v>0081</v>
      </c>
      <c r="E416" s="79">
        <v>45778</v>
      </c>
      <c r="F416" s="80" t="s">
        <v>329</v>
      </c>
      <c r="G416" s="60" t="s">
        <v>40</v>
      </c>
      <c r="H416" s="80" t="s">
        <v>248</v>
      </c>
      <c r="I416" s="80" t="s">
        <v>34</v>
      </c>
      <c r="J416" s="80" t="s">
        <v>385</v>
      </c>
      <c r="K416" s="80" t="s">
        <v>347</v>
      </c>
      <c r="L416" s="80" t="s">
        <v>343</v>
      </c>
      <c r="M416" s="81">
        <v>0.17</v>
      </c>
      <c r="N416" s="82">
        <v>12.750000000000002</v>
      </c>
    </row>
    <row r="417" spans="1:14" x14ac:dyDescent="0.25">
      <c r="A417" s="10" t="str">
        <f>_xlfn.IFNA(
    IF(J417=
        "PCB-0001",
        "CSS",
        IF(
            ISNUMBER(MATCH(_xlfn.TEXTBEFORE(J417,"-"), {"CSS","CSN","PCB","PCF","BEC","CSD","PCM"}, 0)),
            _xlfn.TEXTBEFORE(J417,"-"),
            "Other"
        )
    ),
"Add")</f>
        <v>PCB</v>
      </c>
      <c r="B417" s="10" t="str">
        <f t="shared" si="7"/>
        <v>0108</v>
      </c>
      <c r="C417" s="10" t="str">
        <f>_xlfn.LET(
    _xlpm.val, IF(Datadetails[[#This Row],[Activity]]="D02","C20",Datadetails[[#This Row],[Activity]]),
    IF(ISNUMBER(MATCH(_xlpm.val,{"D04","C30","c40","C20"},0)), _xlpm.val, "Other")
)</f>
        <v>C30</v>
      </c>
      <c r="D417" s="10" t="str">
        <f>IFERROR(VLOOKUP(Datadetails[[#This Row],[Taskcode]],Dashboard!A:A,1,FALSE),"00 Err Missing")</f>
        <v>0108</v>
      </c>
      <c r="E417" s="79">
        <v>45778</v>
      </c>
      <c r="F417" s="80" t="s">
        <v>330</v>
      </c>
      <c r="G417" s="60" t="s">
        <v>40</v>
      </c>
      <c r="H417" s="80" t="s">
        <v>275</v>
      </c>
      <c r="I417" s="80" t="s">
        <v>34</v>
      </c>
      <c r="J417" s="80" t="s">
        <v>443</v>
      </c>
      <c r="K417" s="80" t="s">
        <v>347</v>
      </c>
      <c r="L417" s="80" t="s">
        <v>343</v>
      </c>
      <c r="M417" s="81">
        <v>0.25</v>
      </c>
      <c r="N417" s="82">
        <v>15</v>
      </c>
    </row>
    <row r="418" spans="1:14" x14ac:dyDescent="0.25">
      <c r="A418" s="10" t="str">
        <f>_xlfn.IFNA(
    IF(J418=
        "PCB-0001",
        "CSS",
        IF(
            ISNUMBER(MATCH(_xlfn.TEXTBEFORE(J418,"-"), {"CSS","CSN","PCB","PCF","BEC","CSD","PCM"}, 0)),
            _xlfn.TEXTBEFORE(J418,"-"),
            "Other"
        )
    ),
"Add")</f>
        <v>PCB</v>
      </c>
      <c r="B418" s="10" t="str">
        <f t="shared" si="7"/>
        <v>0117</v>
      </c>
      <c r="C418" s="10" t="str">
        <f>_xlfn.LET(
    _xlpm.val, IF(Datadetails[[#This Row],[Activity]]="D02","C20",Datadetails[[#This Row],[Activity]]),
    IF(ISNUMBER(MATCH(_xlpm.val,{"D04","C30","c40","C20"},0)), _xlpm.val, "Other")
)</f>
        <v>C30</v>
      </c>
      <c r="D418" s="10" t="str">
        <f>IFERROR(VLOOKUP(Datadetails[[#This Row],[Taskcode]],Dashboard!A:A,1,FALSE),"00 Err Missing")</f>
        <v>0117</v>
      </c>
      <c r="E418" s="79">
        <v>45778</v>
      </c>
      <c r="F418" s="80" t="s">
        <v>330</v>
      </c>
      <c r="G418" s="60" t="s">
        <v>40</v>
      </c>
      <c r="H418" s="80" t="s">
        <v>284</v>
      </c>
      <c r="I418" s="80" t="s">
        <v>34</v>
      </c>
      <c r="J418" s="80" t="s">
        <v>415</v>
      </c>
      <c r="K418" s="80" t="s">
        <v>347</v>
      </c>
      <c r="L418" s="80" t="s">
        <v>343</v>
      </c>
      <c r="M418" s="81">
        <v>0.25</v>
      </c>
      <c r="N418" s="82">
        <v>15</v>
      </c>
    </row>
    <row r="419" spans="1:14" x14ac:dyDescent="0.25">
      <c r="A419" s="10" t="str">
        <f>_xlfn.IFNA(
    IF(J419=
        "PCB-0001",
        "CSS",
        IF(
            ISNUMBER(MATCH(_xlfn.TEXTBEFORE(J419,"-"), {"CSS","CSN","PCB","PCF","BEC","CSD","PCM"}, 0)),
            _xlfn.TEXTBEFORE(J419,"-"),
            "Other"
        )
    ),
"Add")</f>
        <v>PCB</v>
      </c>
      <c r="B419" s="10" t="str">
        <f t="shared" si="7"/>
        <v>0063</v>
      </c>
      <c r="C419" s="10" t="str">
        <f>_xlfn.LET(
    _xlpm.val, IF(Datadetails[[#This Row],[Activity]]="D02","C20",Datadetails[[#This Row],[Activity]]),
    IF(ISNUMBER(MATCH(_xlpm.val,{"D04","C30","c40","C20"},0)), _xlpm.val, "Other")
)</f>
        <v>C30</v>
      </c>
      <c r="D419" s="10" t="str">
        <f>IFERROR(VLOOKUP(Datadetails[[#This Row],[Taskcode]],Dashboard!A:A,1,FALSE),"00 Err Missing")</f>
        <v>0063</v>
      </c>
      <c r="E419" s="79">
        <v>45778</v>
      </c>
      <c r="F419" s="80" t="s">
        <v>329</v>
      </c>
      <c r="G419" s="60" t="s">
        <v>40</v>
      </c>
      <c r="H419" s="80" t="s">
        <v>230</v>
      </c>
      <c r="I419" s="80" t="s">
        <v>34</v>
      </c>
      <c r="J419" s="80" t="s">
        <v>410</v>
      </c>
      <c r="K419" s="80" t="s">
        <v>347</v>
      </c>
      <c r="L419" s="80" t="s">
        <v>343</v>
      </c>
      <c r="M419" s="81">
        <v>0.42</v>
      </c>
      <c r="N419" s="82">
        <v>31.5</v>
      </c>
    </row>
    <row r="420" spans="1:14" x14ac:dyDescent="0.25">
      <c r="A420" s="10" t="str">
        <f>_xlfn.IFNA(
    IF(J420=
        "PCB-0001",
        "CSS",
        IF(
            ISNUMBER(MATCH(_xlfn.TEXTBEFORE(J420,"-"), {"CSS","CSN","PCB","PCF","BEC","CSD","PCM"}, 0)),
            _xlfn.TEXTBEFORE(J420,"-"),
            "Other"
        )
    ),
"Add")</f>
        <v>PCF</v>
      </c>
      <c r="B420" s="10" t="str">
        <f t="shared" si="7"/>
        <v>0098</v>
      </c>
      <c r="C420" s="10" t="str">
        <f>_xlfn.LET(
    _xlpm.val, IF(Datadetails[[#This Row],[Activity]]="D02","C20",Datadetails[[#This Row],[Activity]]),
    IF(ISNUMBER(MATCH(_xlpm.val,{"D04","C30","c40","C20"},0)), _xlpm.val, "Other")
)</f>
        <v>C20</v>
      </c>
      <c r="D420" s="10" t="str">
        <f>IFERROR(VLOOKUP(Datadetails[[#This Row],[Taskcode]],Dashboard!A:A,1,FALSE),"00 Err Missing")</f>
        <v>0098</v>
      </c>
      <c r="E420" s="79">
        <v>45778</v>
      </c>
      <c r="F420" s="80" t="s">
        <v>326</v>
      </c>
      <c r="G420" s="60" t="s">
        <v>40</v>
      </c>
      <c r="H420" s="80" t="s">
        <v>265</v>
      </c>
      <c r="I420" s="80" t="s">
        <v>36</v>
      </c>
      <c r="J420" s="80" t="s">
        <v>358</v>
      </c>
      <c r="K420" s="80" t="s">
        <v>348</v>
      </c>
      <c r="L420" s="80" t="s">
        <v>342</v>
      </c>
      <c r="M420" s="81">
        <v>1</v>
      </c>
      <c r="N420" s="82">
        <v>60</v>
      </c>
    </row>
    <row r="421" spans="1:14" x14ac:dyDescent="0.25">
      <c r="A421" s="10" t="str">
        <f>_xlfn.IFNA(
    IF(J421=
        "PCB-0001",
        "CSS",
        IF(
            ISNUMBER(MATCH(_xlfn.TEXTBEFORE(J421,"-"), {"CSS","CSN","PCB","PCF","BEC","CSD","PCM"}, 0)),
            _xlfn.TEXTBEFORE(J421,"-"),
            "Other"
        )
    ),
"Add")</f>
        <v>PCF</v>
      </c>
      <c r="B421" s="10" t="str">
        <f t="shared" si="7"/>
        <v>0021</v>
      </c>
      <c r="C421" s="10" t="str">
        <f>_xlfn.LET(
    _xlpm.val, IF(Datadetails[[#This Row],[Activity]]="D02","C20",Datadetails[[#This Row],[Activity]]),
    IF(ISNUMBER(MATCH(_xlpm.val,{"D04","C30","c40","C20"},0)), _xlpm.val, "Other")
)</f>
        <v>C30</v>
      </c>
      <c r="D421" s="10" t="str">
        <f>IFERROR(VLOOKUP(Datadetails[[#This Row],[Taskcode]],Dashboard!A:A,1,FALSE),"00 Err Missing")</f>
        <v>0021</v>
      </c>
      <c r="E421" s="79">
        <v>45778</v>
      </c>
      <c r="F421" s="80" t="s">
        <v>326</v>
      </c>
      <c r="G421" s="60" t="s">
        <v>40</v>
      </c>
      <c r="H421" s="80" t="s">
        <v>188</v>
      </c>
      <c r="I421" s="80" t="s">
        <v>34</v>
      </c>
      <c r="J421" s="80" t="s">
        <v>356</v>
      </c>
      <c r="K421" s="80" t="s">
        <v>348</v>
      </c>
      <c r="L421" s="80" t="s">
        <v>343</v>
      </c>
      <c r="M421" s="81">
        <v>0.67</v>
      </c>
      <c r="N421" s="82">
        <v>40.200000000000003</v>
      </c>
    </row>
    <row r="422" spans="1:14" x14ac:dyDescent="0.25">
      <c r="A422" s="10" t="str">
        <f>_xlfn.IFNA(
    IF(J422=
        "PCB-0001",
        "CSS",
        IF(
            ISNUMBER(MATCH(_xlfn.TEXTBEFORE(J422,"-"), {"CSS","CSN","PCB","PCF","BEC","CSD","PCM"}, 0)),
            _xlfn.TEXTBEFORE(J422,"-"),
            "Other"
        )
    ),
"Add")</f>
        <v>PCF</v>
      </c>
      <c r="B422" s="10" t="str">
        <f t="shared" si="7"/>
        <v>0098</v>
      </c>
      <c r="C422" s="10" t="str">
        <f>_xlfn.LET(
    _xlpm.val, IF(Datadetails[[#This Row],[Activity]]="D02","C20",Datadetails[[#This Row],[Activity]]),
    IF(ISNUMBER(MATCH(_xlpm.val,{"D04","C30","c40","C20"},0)), _xlpm.val, "Other")
)</f>
        <v>C30</v>
      </c>
      <c r="D422" s="10" t="str">
        <f>IFERROR(VLOOKUP(Datadetails[[#This Row],[Taskcode]],Dashboard!A:A,1,FALSE),"00 Err Missing")</f>
        <v>0098</v>
      </c>
      <c r="E422" s="79">
        <v>45778</v>
      </c>
      <c r="F422" s="80" t="s">
        <v>326</v>
      </c>
      <c r="G422" s="60" t="s">
        <v>40</v>
      </c>
      <c r="H422" s="80" t="s">
        <v>265</v>
      </c>
      <c r="I422" s="80" t="s">
        <v>34</v>
      </c>
      <c r="J422" s="80" t="s">
        <v>358</v>
      </c>
      <c r="K422" s="80" t="s">
        <v>348</v>
      </c>
      <c r="L422" s="80" t="s">
        <v>343</v>
      </c>
      <c r="M422" s="81">
        <v>0.75</v>
      </c>
      <c r="N422" s="82">
        <v>45</v>
      </c>
    </row>
    <row r="423" spans="1:14" x14ac:dyDescent="0.25">
      <c r="A423" s="10" t="str">
        <f>_xlfn.IFNA(
    IF(J423=
        "PCB-0001",
        "CSS",
        IF(
            ISNUMBER(MATCH(_xlfn.TEXTBEFORE(J423,"-"), {"CSS","CSN","PCB","PCF","BEC","CSD","PCM"}, 0)),
            _xlfn.TEXTBEFORE(J423,"-"),
            "Other"
        )
    ),
"Add")</f>
        <v>BEC</v>
      </c>
      <c r="B423" s="10" t="str">
        <f t="shared" si="7"/>
        <v>0001</v>
      </c>
      <c r="C423" s="10" t="str">
        <f>_xlfn.LET(
    _xlpm.val, IF(Datadetails[[#This Row],[Activity]]="D02","C20",Datadetails[[#This Row],[Activity]]),
    IF(ISNUMBER(MATCH(_xlpm.val,{"D04","C30","c40","C20"},0)), _xlpm.val, "Other")
)</f>
        <v>D04</v>
      </c>
      <c r="D423" s="10" t="str">
        <f>IFERROR(VLOOKUP(Datadetails[[#This Row],[Taskcode]],Dashboard!A:A,1,FALSE),"00 Err Missing")</f>
        <v>0001</v>
      </c>
      <c r="E423" s="79">
        <v>45778</v>
      </c>
      <c r="F423" s="80" t="s">
        <v>332</v>
      </c>
      <c r="G423" s="60" t="s">
        <v>40</v>
      </c>
      <c r="H423" s="80" t="s">
        <v>314</v>
      </c>
      <c r="I423" s="80" t="s">
        <v>35</v>
      </c>
      <c r="J423" s="80" t="s">
        <v>359</v>
      </c>
      <c r="K423" s="80" t="s">
        <v>339</v>
      </c>
      <c r="L423" s="80" t="s">
        <v>352</v>
      </c>
      <c r="M423" s="81">
        <v>6.5</v>
      </c>
      <c r="N423" s="82">
        <v>260</v>
      </c>
    </row>
    <row r="424" spans="1:14" x14ac:dyDescent="0.25">
      <c r="A424" s="10" t="str">
        <f>_xlfn.IFNA(
    IF(J424=
        "PCB-0001",
        "CSS",
        IF(
            ISNUMBER(MATCH(_xlfn.TEXTBEFORE(J424,"-"), {"CSS","CSN","PCB","PCF","BEC","CSD","PCM"}, 0)),
            _xlfn.TEXTBEFORE(J424,"-"),
            "Other"
        )
    ),
"Add")</f>
        <v>BEC</v>
      </c>
      <c r="B424" s="10" t="str">
        <f t="shared" si="7"/>
        <v>0001</v>
      </c>
      <c r="C424" s="10" t="str">
        <f>_xlfn.LET(
    _xlpm.val, IF(Datadetails[[#This Row],[Activity]]="D02","C20",Datadetails[[#This Row],[Activity]]),
    IF(ISNUMBER(MATCH(_xlpm.val,{"D04","C30","c40","C20"},0)), _xlpm.val, "Other")
)</f>
        <v>D04</v>
      </c>
      <c r="D424" s="10" t="str">
        <f>IFERROR(VLOOKUP(Datadetails[[#This Row],[Taskcode]],Dashboard!A:A,1,FALSE),"00 Err Missing")</f>
        <v>0001</v>
      </c>
      <c r="E424" s="79">
        <v>45778</v>
      </c>
      <c r="F424" s="80" t="s">
        <v>324</v>
      </c>
      <c r="G424" s="60" t="s">
        <v>40</v>
      </c>
      <c r="H424" s="80" t="s">
        <v>314</v>
      </c>
      <c r="I424" s="80" t="s">
        <v>35</v>
      </c>
      <c r="J424" s="80" t="s">
        <v>359</v>
      </c>
      <c r="K424" s="80" t="s">
        <v>339</v>
      </c>
      <c r="L424" s="80" t="s">
        <v>352</v>
      </c>
      <c r="M424" s="81">
        <v>4.75</v>
      </c>
      <c r="N424" s="82">
        <v>356.25</v>
      </c>
    </row>
    <row r="425" spans="1:14" x14ac:dyDescent="0.25">
      <c r="A425" s="10" t="str">
        <f>_xlfn.IFNA(
    IF(J425=
        "PCB-0001",
        "CSS",
        IF(
            ISNUMBER(MATCH(_xlfn.TEXTBEFORE(J425,"-"), {"CSS","CSN","PCB","PCF","BEC","CSD","PCM"}, 0)),
            _xlfn.TEXTBEFORE(J425,"-"),
            "Other"
        )
    ),
"Add")</f>
        <v>PCB</v>
      </c>
      <c r="B425" s="10" t="str">
        <f t="shared" si="7"/>
        <v>0103</v>
      </c>
      <c r="C425" s="10" t="str">
        <f>_xlfn.LET(
    _xlpm.val, IF(Datadetails[[#This Row],[Activity]]="D02","C20",Datadetails[[#This Row],[Activity]]),
    IF(ISNUMBER(MATCH(_xlpm.val,{"D04","C30","c40","C20"},0)), _xlpm.val, "Other")
)</f>
        <v>C30</v>
      </c>
      <c r="D425" s="10" t="str">
        <f>IFERROR(VLOOKUP(Datadetails[[#This Row],[Taskcode]],Dashboard!A:A,1,FALSE),"00 Err Missing")</f>
        <v>0103</v>
      </c>
      <c r="E425" s="79">
        <v>45779</v>
      </c>
      <c r="F425" s="80" t="s">
        <v>329</v>
      </c>
      <c r="G425" s="60" t="s">
        <v>40</v>
      </c>
      <c r="H425" s="80" t="s">
        <v>270</v>
      </c>
      <c r="I425" s="80" t="s">
        <v>34</v>
      </c>
      <c r="J425" s="80" t="s">
        <v>360</v>
      </c>
      <c r="K425" s="80" t="s">
        <v>347</v>
      </c>
      <c r="L425" s="80" t="s">
        <v>343</v>
      </c>
      <c r="M425" s="81">
        <v>0.42</v>
      </c>
      <c r="N425" s="82">
        <v>31.5</v>
      </c>
    </row>
    <row r="426" spans="1:14" x14ac:dyDescent="0.25">
      <c r="A426" s="10" t="str">
        <f>_xlfn.IFNA(
    IF(J426=
        "PCB-0001",
        "CSS",
        IF(
            ISNUMBER(MATCH(_xlfn.TEXTBEFORE(J426,"-"), {"CSS","CSN","PCB","PCF","BEC","CSD","PCM"}, 0)),
            _xlfn.TEXTBEFORE(J426,"-"),
            "Other"
        )
    ),
"Add")</f>
        <v>CSN</v>
      </c>
      <c r="B426" s="10" t="str">
        <f t="shared" si="7"/>
        <v>0001</v>
      </c>
      <c r="C426" s="10" t="str">
        <f>_xlfn.LET(
    _xlpm.val, IF(Datadetails[[#This Row],[Activity]]="D02","C20",Datadetails[[#This Row],[Activity]]),
    IF(ISNUMBER(MATCH(_xlpm.val,{"D04","C30","c40","C20"},0)), _xlpm.val, "Other")
)</f>
        <v>D04</v>
      </c>
      <c r="D426" s="10" t="str">
        <f>IFERROR(VLOOKUP(Datadetails[[#This Row],[Taskcode]],Dashboard!A:A,1,FALSE),"00 Err Missing")</f>
        <v>0001</v>
      </c>
      <c r="E426" s="79">
        <v>45779</v>
      </c>
      <c r="F426" s="80" t="s">
        <v>329</v>
      </c>
      <c r="G426" s="60" t="s">
        <v>40</v>
      </c>
      <c r="H426" s="80" t="s">
        <v>316</v>
      </c>
      <c r="I426" s="80" t="s">
        <v>35</v>
      </c>
      <c r="J426" s="80" t="s">
        <v>338</v>
      </c>
      <c r="K426" s="80" t="s">
        <v>337</v>
      </c>
      <c r="L426" s="80" t="s">
        <v>352</v>
      </c>
      <c r="M426" s="81">
        <v>1</v>
      </c>
      <c r="N426" s="82">
        <v>75</v>
      </c>
    </row>
    <row r="427" spans="1:14" x14ac:dyDescent="0.25">
      <c r="A427" s="10" t="str">
        <f>_xlfn.IFNA(
    IF(J427=
        "PCB-0001",
        "CSS",
        IF(
            ISNUMBER(MATCH(_xlfn.TEXTBEFORE(J427,"-"), {"CSS","CSN","PCB","PCF","BEC","CSD","PCM"}, 0)),
            _xlfn.TEXTBEFORE(J427,"-"),
            "Other"
        )
    ),
"Add")</f>
        <v>CSD</v>
      </c>
      <c r="B427" s="10" t="str">
        <f t="shared" si="7"/>
        <v>0001</v>
      </c>
      <c r="C427" s="10" t="str">
        <f>_xlfn.LET(
    _xlpm.val, IF(Datadetails[[#This Row],[Activity]]="D02","C20",Datadetails[[#This Row],[Activity]]),
    IF(ISNUMBER(MATCH(_xlpm.val,{"D04","C30","c40","C20"},0)), _xlpm.val, "Other")
)</f>
        <v>D04</v>
      </c>
      <c r="D427" s="10" t="str">
        <f>IFERROR(VLOOKUP(Datadetails[[#This Row],[Taskcode]],Dashboard!A:A,1,FALSE),"00 Err Missing")</f>
        <v>0001</v>
      </c>
      <c r="E427" s="79">
        <v>45779</v>
      </c>
      <c r="F427" s="80" t="s">
        <v>333</v>
      </c>
      <c r="G427" s="60" t="s">
        <v>40</v>
      </c>
      <c r="H427" s="80" t="s">
        <v>320</v>
      </c>
      <c r="I427" s="80" t="s">
        <v>35</v>
      </c>
      <c r="J427" s="80" t="s">
        <v>322</v>
      </c>
      <c r="K427" s="80" t="s">
        <v>319</v>
      </c>
      <c r="L427" s="80" t="s">
        <v>352</v>
      </c>
      <c r="M427" s="81">
        <v>8.77</v>
      </c>
      <c r="N427" s="82">
        <v>280.64</v>
      </c>
    </row>
    <row r="428" spans="1:14" x14ac:dyDescent="0.25">
      <c r="A428" s="10" t="str">
        <f>_xlfn.IFNA(
    IF(J428=
        "PCB-0001",
        "CSS",
        IF(
            ISNUMBER(MATCH(_xlfn.TEXTBEFORE(J428,"-"), {"CSS","CSN","PCB","PCF","BEC","CSD","PCM"}, 0)),
            _xlfn.TEXTBEFORE(J428,"-"),
            "Other"
        )
    ),
"Add")</f>
        <v>PCM</v>
      </c>
      <c r="B428" s="10" t="str">
        <f t="shared" si="7"/>
        <v>0100</v>
      </c>
      <c r="C428" s="10" t="str">
        <f>_xlfn.LET(
    _xlpm.val, IF(Datadetails[[#This Row],[Activity]]="D02","C20",Datadetails[[#This Row],[Activity]]),
    IF(ISNUMBER(MATCH(_xlpm.val,{"D04","C30","c40","C20"},0)), _xlpm.val, "Other")
)</f>
        <v>C20</v>
      </c>
      <c r="D428" s="10" t="str">
        <f>IFERROR(VLOOKUP(Datadetails[[#This Row],[Taskcode]],Dashboard!A:A,1,FALSE),"00 Err Missing")</f>
        <v>0100</v>
      </c>
      <c r="E428" s="79">
        <v>45779</v>
      </c>
      <c r="F428" s="80" t="s">
        <v>323</v>
      </c>
      <c r="G428" s="60" t="s">
        <v>40</v>
      </c>
      <c r="H428" s="80" t="s">
        <v>267</v>
      </c>
      <c r="I428" s="80" t="s">
        <v>36</v>
      </c>
      <c r="J428" s="80" t="s">
        <v>436</v>
      </c>
      <c r="K428" s="80" t="s">
        <v>346</v>
      </c>
      <c r="L428" s="80" t="s">
        <v>342</v>
      </c>
      <c r="M428" s="81">
        <v>0.25</v>
      </c>
      <c r="N428" s="82">
        <v>15</v>
      </c>
    </row>
    <row r="429" spans="1:14" x14ac:dyDescent="0.25">
      <c r="A429" s="10" t="str">
        <f>_xlfn.IFNA(
    IF(J429=
        "PCB-0001",
        "CSS",
        IF(
            ISNUMBER(MATCH(_xlfn.TEXTBEFORE(J429,"-"), {"CSS","CSN","PCB","PCF","BEC","CSD","PCM"}, 0)),
            _xlfn.TEXTBEFORE(J429,"-"),
            "Other"
        )
    ),
"Add")</f>
        <v>PCM</v>
      </c>
      <c r="B429" s="10" t="str">
        <f t="shared" si="7"/>
        <v>0035</v>
      </c>
      <c r="C429" s="10" t="str">
        <f>_xlfn.LET(
    _xlpm.val, IF(Datadetails[[#This Row],[Activity]]="D02","C20",Datadetails[[#This Row],[Activity]]),
    IF(ISNUMBER(MATCH(_xlpm.val,{"D04","C30","c40","C20"},0)), _xlpm.val, "Other")
)</f>
        <v>C30</v>
      </c>
      <c r="D429" s="10" t="str">
        <f>IFERROR(VLOOKUP(Datadetails[[#This Row],[Taskcode]],Dashboard!A:A,1,FALSE),"00 Err Missing")</f>
        <v>0035</v>
      </c>
      <c r="E429" s="79">
        <v>45779</v>
      </c>
      <c r="F429" s="80" t="s">
        <v>323</v>
      </c>
      <c r="G429" s="60" t="s">
        <v>40</v>
      </c>
      <c r="H429" s="80" t="s">
        <v>202</v>
      </c>
      <c r="I429" s="80" t="s">
        <v>34</v>
      </c>
      <c r="J429" s="80" t="s">
        <v>431</v>
      </c>
      <c r="K429" s="80" t="s">
        <v>346</v>
      </c>
      <c r="L429" s="80" t="s">
        <v>343</v>
      </c>
      <c r="M429" s="81">
        <v>0.25</v>
      </c>
      <c r="N429" s="82">
        <v>15</v>
      </c>
    </row>
    <row r="430" spans="1:14" x14ac:dyDescent="0.25">
      <c r="A430" s="10" t="str">
        <f>_xlfn.IFNA(
    IF(J430=
        "PCB-0001",
        "CSS",
        IF(
            ISNUMBER(MATCH(_xlfn.TEXTBEFORE(J430,"-"), {"CSS","CSN","PCB","PCF","BEC","CSD","PCM"}, 0)),
            _xlfn.TEXTBEFORE(J430,"-"),
            "Other"
        )
    ),
"Add")</f>
        <v>PCB</v>
      </c>
      <c r="B430" s="10" t="str">
        <f t="shared" si="7"/>
        <v>0019</v>
      </c>
      <c r="C430" s="10" t="str">
        <f>_xlfn.LET(
    _xlpm.val, IF(Datadetails[[#This Row],[Activity]]="D02","C20",Datadetails[[#This Row],[Activity]]),
    IF(ISNUMBER(MATCH(_xlpm.val,{"D04","C30","c40","C20"},0)), _xlpm.val, "Other")
)</f>
        <v>C30</v>
      </c>
      <c r="D430" s="10" t="str">
        <f>IFERROR(VLOOKUP(Datadetails[[#This Row],[Taskcode]],Dashboard!A:A,1,FALSE),"00 Err Missing")</f>
        <v>0019</v>
      </c>
      <c r="E430" s="79">
        <v>45779</v>
      </c>
      <c r="F430" s="80" t="s">
        <v>329</v>
      </c>
      <c r="G430" s="60" t="s">
        <v>40</v>
      </c>
      <c r="H430" s="80" t="s">
        <v>186</v>
      </c>
      <c r="I430" s="80" t="s">
        <v>34</v>
      </c>
      <c r="J430" s="80" t="s">
        <v>397</v>
      </c>
      <c r="K430" s="80" t="s">
        <v>347</v>
      </c>
      <c r="L430" s="80" t="s">
        <v>343</v>
      </c>
      <c r="M430" s="81">
        <v>0.17</v>
      </c>
      <c r="N430" s="82">
        <v>12.750000000000002</v>
      </c>
    </row>
    <row r="431" spans="1:14" x14ac:dyDescent="0.25">
      <c r="A431" s="10" t="str">
        <f>_xlfn.IFNA(
    IF(J431=
        "PCB-0001",
        "CSS",
        IF(
            ISNUMBER(MATCH(_xlfn.TEXTBEFORE(J431,"-"), {"CSS","CSN","PCB","PCF","BEC","CSD","PCM"}, 0)),
            _xlfn.TEXTBEFORE(J431,"-"),
            "Other"
        )
    ),
"Add")</f>
        <v>PCB</v>
      </c>
      <c r="B431" s="10" t="str">
        <f t="shared" si="7"/>
        <v>0030</v>
      </c>
      <c r="C431" s="10" t="str">
        <f>_xlfn.LET(
    _xlpm.val, IF(Datadetails[[#This Row],[Activity]]="D02","C20",Datadetails[[#This Row],[Activity]]),
    IF(ISNUMBER(MATCH(_xlpm.val,{"D04","C30","c40","C20"},0)), _xlpm.val, "Other")
)</f>
        <v>C30</v>
      </c>
      <c r="D431" s="10" t="str">
        <f>IFERROR(VLOOKUP(Datadetails[[#This Row],[Taskcode]],Dashboard!A:A,1,FALSE),"00 Err Missing")</f>
        <v>0030</v>
      </c>
      <c r="E431" s="79">
        <v>45779</v>
      </c>
      <c r="F431" s="80" t="s">
        <v>329</v>
      </c>
      <c r="G431" s="60" t="s">
        <v>40</v>
      </c>
      <c r="H431" s="80" t="s">
        <v>197</v>
      </c>
      <c r="I431" s="80" t="s">
        <v>34</v>
      </c>
      <c r="J431" s="80" t="s">
        <v>366</v>
      </c>
      <c r="K431" s="80" t="s">
        <v>347</v>
      </c>
      <c r="L431" s="80" t="s">
        <v>343</v>
      </c>
      <c r="M431" s="81">
        <v>0.17</v>
      </c>
      <c r="N431" s="82">
        <v>12.750000000000002</v>
      </c>
    </row>
    <row r="432" spans="1:14" x14ac:dyDescent="0.25">
      <c r="A432" s="10" t="str">
        <f>_xlfn.IFNA(
    IF(J432=
        "PCB-0001",
        "CSS",
        IF(
            ISNUMBER(MATCH(_xlfn.TEXTBEFORE(J432,"-"), {"CSS","CSN","PCB","PCF","BEC","CSD","PCM"}, 0)),
            _xlfn.TEXTBEFORE(J432,"-"),
            "Other"
        )
    ),
"Add")</f>
        <v>PCB</v>
      </c>
      <c r="B432" s="10" t="str">
        <f t="shared" si="7"/>
        <v>0123</v>
      </c>
      <c r="C432" s="10" t="str">
        <f>_xlfn.LET(
    _xlpm.val, IF(Datadetails[[#This Row],[Activity]]="D02","C20",Datadetails[[#This Row],[Activity]]),
    IF(ISNUMBER(MATCH(_xlpm.val,{"D04","C30","c40","C20"},0)), _xlpm.val, "Other")
)</f>
        <v>C20</v>
      </c>
      <c r="D432" s="10" t="str">
        <f>IFERROR(VLOOKUP(Datadetails[[#This Row],[Taskcode]],Dashboard!A:A,1,FALSE),"00 Err Missing")</f>
        <v>0123</v>
      </c>
      <c r="E432" s="79">
        <v>45779</v>
      </c>
      <c r="F432" s="80" t="s">
        <v>325</v>
      </c>
      <c r="G432" s="60" t="s">
        <v>40</v>
      </c>
      <c r="H432" s="80" t="s">
        <v>290</v>
      </c>
      <c r="I432" s="80" t="s">
        <v>36</v>
      </c>
      <c r="J432" s="80" t="s">
        <v>428</v>
      </c>
      <c r="K432" s="80" t="s">
        <v>347</v>
      </c>
      <c r="L432" s="80" t="s">
        <v>342</v>
      </c>
      <c r="M432" s="81">
        <v>0.92</v>
      </c>
      <c r="N432" s="82">
        <v>69</v>
      </c>
    </row>
    <row r="433" spans="1:14" x14ac:dyDescent="0.25">
      <c r="A433" s="10" t="str">
        <f>_xlfn.IFNA(
    IF(J433=
        "PCB-0001",
        "CSS",
        IF(
            ISNUMBER(MATCH(_xlfn.TEXTBEFORE(J433,"-"), {"CSS","CSN","PCB","PCF","BEC","CSD","PCM"}, 0)),
            _xlfn.TEXTBEFORE(J433,"-"),
            "Other"
        )
    ),
"Add")</f>
        <v>PCB</v>
      </c>
      <c r="B433" s="10" t="str">
        <f t="shared" si="7"/>
        <v>0003</v>
      </c>
      <c r="C433" s="10" t="str">
        <f>_xlfn.LET(
    _xlpm.val, IF(Datadetails[[#This Row],[Activity]]="D02","C20",Datadetails[[#This Row],[Activity]]),
    IF(ISNUMBER(MATCH(_xlpm.val,{"D04","C30","c40","C20"},0)), _xlpm.val, "Other")
)</f>
        <v>C30</v>
      </c>
      <c r="D433" s="10" t="str">
        <f>IFERROR(VLOOKUP(Datadetails[[#This Row],[Taskcode]],Dashboard!A:A,1,FALSE),"00 Err Missing")</f>
        <v>0003</v>
      </c>
      <c r="E433" s="79">
        <v>45779</v>
      </c>
      <c r="F433" s="80" t="s">
        <v>325</v>
      </c>
      <c r="G433" s="60" t="s">
        <v>40</v>
      </c>
      <c r="H433" s="80" t="s">
        <v>170</v>
      </c>
      <c r="I433" s="80" t="s">
        <v>34</v>
      </c>
      <c r="J433" s="80" t="s">
        <v>424</v>
      </c>
      <c r="K433" s="80" t="s">
        <v>347</v>
      </c>
      <c r="L433" s="80" t="s">
        <v>343</v>
      </c>
      <c r="M433" s="81">
        <v>0.17</v>
      </c>
      <c r="N433" s="82">
        <v>12.750000000000002</v>
      </c>
    </row>
    <row r="434" spans="1:14" x14ac:dyDescent="0.25">
      <c r="A434" s="10" t="str">
        <f>_xlfn.IFNA(
    IF(J434=
        "PCB-0001",
        "CSS",
        IF(
            ISNUMBER(MATCH(_xlfn.TEXTBEFORE(J434,"-"), {"CSS","CSN","PCB","PCF","BEC","CSD","PCM"}, 0)),
            _xlfn.TEXTBEFORE(J434,"-"),
            "Other"
        )
    ),
"Add")</f>
        <v>PCB</v>
      </c>
      <c r="B434" s="10" t="str">
        <f t="shared" si="7"/>
        <v>0054</v>
      </c>
      <c r="C434" s="10" t="str">
        <f>_xlfn.LET(
    _xlpm.val, IF(Datadetails[[#This Row],[Activity]]="D02","C20",Datadetails[[#This Row],[Activity]]),
    IF(ISNUMBER(MATCH(_xlpm.val,{"D04","C30","c40","C20"},0)), _xlpm.val, "Other")
)</f>
        <v>C30</v>
      </c>
      <c r="D434" s="10" t="str">
        <f>IFERROR(VLOOKUP(Datadetails[[#This Row],[Taskcode]],Dashboard!A:A,1,FALSE),"00 Err Missing")</f>
        <v>0054</v>
      </c>
      <c r="E434" s="79">
        <v>45779</v>
      </c>
      <c r="F434" s="80" t="s">
        <v>329</v>
      </c>
      <c r="G434" s="60" t="s">
        <v>40</v>
      </c>
      <c r="H434" s="80" t="s">
        <v>221</v>
      </c>
      <c r="I434" s="80" t="s">
        <v>34</v>
      </c>
      <c r="J434" s="80" t="s">
        <v>369</v>
      </c>
      <c r="K434" s="80" t="s">
        <v>347</v>
      </c>
      <c r="L434" s="80" t="s">
        <v>343</v>
      </c>
      <c r="M434" s="81">
        <v>0.17</v>
      </c>
      <c r="N434" s="82">
        <v>12.750000000000002</v>
      </c>
    </row>
    <row r="435" spans="1:14" x14ac:dyDescent="0.25">
      <c r="A435" s="10" t="str">
        <f>_xlfn.IFNA(
    IF(J435=
        "PCB-0001",
        "CSS",
        IF(
            ISNUMBER(MATCH(_xlfn.TEXTBEFORE(J435,"-"), {"CSS","CSN","PCB","PCF","BEC","CSD","PCM"}, 0)),
            _xlfn.TEXTBEFORE(J435,"-"),
            "Other"
        )
    ),
"Add")</f>
        <v>PCB</v>
      </c>
      <c r="B435" s="10" t="str">
        <f t="shared" si="7"/>
        <v>0062</v>
      </c>
      <c r="C435" s="10" t="str">
        <f>_xlfn.LET(
    _xlpm.val, IF(Datadetails[[#This Row],[Activity]]="D02","C20",Datadetails[[#This Row],[Activity]]),
    IF(ISNUMBER(MATCH(_xlpm.val,{"D04","C30","c40","C20"},0)), _xlpm.val, "Other")
)</f>
        <v>C30</v>
      </c>
      <c r="D435" s="10" t="str">
        <f>IFERROR(VLOOKUP(Datadetails[[#This Row],[Taskcode]],Dashboard!A:A,1,FALSE),"00 Err Missing")</f>
        <v>0062</v>
      </c>
      <c r="E435" s="79">
        <v>45779</v>
      </c>
      <c r="F435" s="80" t="s">
        <v>329</v>
      </c>
      <c r="G435" s="60" t="s">
        <v>40</v>
      </c>
      <c r="H435" s="80" t="s">
        <v>229</v>
      </c>
      <c r="I435" s="80" t="s">
        <v>34</v>
      </c>
      <c r="J435" s="80" t="s">
        <v>373</v>
      </c>
      <c r="K435" s="80" t="s">
        <v>347</v>
      </c>
      <c r="L435" s="80" t="s">
        <v>343</v>
      </c>
      <c r="M435" s="81">
        <v>0.08</v>
      </c>
      <c r="N435" s="82">
        <v>6</v>
      </c>
    </row>
    <row r="436" spans="1:14" x14ac:dyDescent="0.25">
      <c r="A436" s="10" t="str">
        <f>_xlfn.IFNA(
    IF(J436=
        "PCB-0001",
        "CSS",
        IF(
            ISNUMBER(MATCH(_xlfn.TEXTBEFORE(J436,"-"), {"CSS","CSN","PCB","PCF","BEC","CSD","PCM"}, 0)),
            _xlfn.TEXTBEFORE(J436,"-"),
            "Other"
        )
    ),
"Add")</f>
        <v>PCB</v>
      </c>
      <c r="B436" s="10" t="str">
        <f t="shared" si="7"/>
        <v>0080</v>
      </c>
      <c r="C436" s="10" t="str">
        <f>_xlfn.LET(
    _xlpm.val, IF(Datadetails[[#This Row],[Activity]]="D02","C20",Datadetails[[#This Row],[Activity]]),
    IF(ISNUMBER(MATCH(_xlpm.val,{"D04","C30","c40","C20"},0)), _xlpm.val, "Other")
)</f>
        <v>C30</v>
      </c>
      <c r="D436" s="10" t="str">
        <f>IFERROR(VLOOKUP(Datadetails[[#This Row],[Taskcode]],Dashboard!A:A,1,FALSE),"00 Err Missing")</f>
        <v>0080</v>
      </c>
      <c r="E436" s="79">
        <v>45779</v>
      </c>
      <c r="F436" s="80" t="s">
        <v>329</v>
      </c>
      <c r="G436" s="60" t="s">
        <v>40</v>
      </c>
      <c r="H436" s="80" t="s">
        <v>247</v>
      </c>
      <c r="I436" s="80" t="s">
        <v>34</v>
      </c>
      <c r="J436" s="80" t="s">
        <v>375</v>
      </c>
      <c r="K436" s="80" t="s">
        <v>347</v>
      </c>
      <c r="L436" s="80" t="s">
        <v>343</v>
      </c>
      <c r="M436" s="81">
        <v>0.08</v>
      </c>
      <c r="N436" s="82">
        <v>6</v>
      </c>
    </row>
    <row r="437" spans="1:14" x14ac:dyDescent="0.25">
      <c r="A437" s="10" t="str">
        <f>_xlfn.IFNA(
    IF(J437=
        "PCB-0001",
        "CSS",
        IF(
            ISNUMBER(MATCH(_xlfn.TEXTBEFORE(J437,"-"), {"CSS","CSN","PCB","PCF","BEC","CSD","PCM"}, 0)),
            _xlfn.TEXTBEFORE(J437,"-"),
            "Other"
        )
    ),
"Add")</f>
        <v>PCB</v>
      </c>
      <c r="B437" s="10" t="str">
        <f t="shared" si="7"/>
        <v>0120</v>
      </c>
      <c r="C437" s="10" t="str">
        <f>_xlfn.LET(
    _xlpm.val, IF(Datadetails[[#This Row],[Activity]]="D02","C20",Datadetails[[#This Row],[Activity]]),
    IF(ISNUMBER(MATCH(_xlpm.val,{"D04","C30","c40","C20"},0)), _xlpm.val, "Other")
)</f>
        <v>C30</v>
      </c>
      <c r="D437" s="10" t="str">
        <f>IFERROR(VLOOKUP(Datadetails[[#This Row],[Taskcode]],Dashboard!A:A,1,FALSE),"00 Err Missing")</f>
        <v>0120</v>
      </c>
      <c r="E437" s="79">
        <v>45779</v>
      </c>
      <c r="F437" s="80" t="s">
        <v>325</v>
      </c>
      <c r="G437" s="60" t="s">
        <v>40</v>
      </c>
      <c r="H437" s="80" t="s">
        <v>287</v>
      </c>
      <c r="I437" s="80" t="s">
        <v>34</v>
      </c>
      <c r="J437" s="80" t="s">
        <v>378</v>
      </c>
      <c r="K437" s="80" t="s">
        <v>347</v>
      </c>
      <c r="L437" s="80" t="s">
        <v>343</v>
      </c>
      <c r="M437" s="81">
        <v>0.17</v>
      </c>
      <c r="N437" s="82">
        <v>12.750000000000002</v>
      </c>
    </row>
    <row r="438" spans="1:14" x14ac:dyDescent="0.25">
      <c r="A438" s="10" t="str">
        <f>_xlfn.IFNA(
    IF(J438=
        "PCB-0001",
        "CSS",
        IF(
            ISNUMBER(MATCH(_xlfn.TEXTBEFORE(J438,"-"), {"CSS","CSN","PCB","PCF","BEC","CSD","PCM"}, 0)),
            _xlfn.TEXTBEFORE(J438,"-"),
            "Other"
        )
    ),
"Add")</f>
        <v>PCB</v>
      </c>
      <c r="B438" s="10" t="str">
        <f t="shared" si="7"/>
        <v>0128</v>
      </c>
      <c r="C438" s="10" t="str">
        <f>_xlfn.LET(
    _xlpm.val, IF(Datadetails[[#This Row],[Activity]]="D02","C20",Datadetails[[#This Row],[Activity]]),
    IF(ISNUMBER(MATCH(_xlpm.val,{"D04","C30","c40","C20"},0)), _xlpm.val, "Other")
)</f>
        <v>C30</v>
      </c>
      <c r="D438" s="10" t="str">
        <f>IFERROR(VLOOKUP(Datadetails[[#This Row],[Taskcode]],Dashboard!A:A,1,FALSE),"00 Err Missing")</f>
        <v>0128</v>
      </c>
      <c r="E438" s="79">
        <v>45779</v>
      </c>
      <c r="F438" s="80" t="s">
        <v>329</v>
      </c>
      <c r="G438" s="60" t="s">
        <v>40</v>
      </c>
      <c r="H438" s="80" t="s">
        <v>295</v>
      </c>
      <c r="I438" s="80" t="s">
        <v>34</v>
      </c>
      <c r="J438" s="80" t="s">
        <v>379</v>
      </c>
      <c r="K438" s="80" t="s">
        <v>347</v>
      </c>
      <c r="L438" s="80" t="s">
        <v>343</v>
      </c>
      <c r="M438" s="81">
        <v>0.17</v>
      </c>
      <c r="N438" s="82">
        <v>12.750000000000002</v>
      </c>
    </row>
    <row r="439" spans="1:14" x14ac:dyDescent="0.25">
      <c r="A439" s="10" t="str">
        <f>_xlfn.IFNA(
    IF(J439=
        "PCB-0001",
        "CSS",
        IF(
            ISNUMBER(MATCH(_xlfn.TEXTBEFORE(J439,"-"), {"CSS","CSN","PCB","PCF","BEC","CSD","PCM"}, 0)),
            _xlfn.TEXTBEFORE(J439,"-"),
            "Other"
        )
    ),
"Add")</f>
        <v>PCB</v>
      </c>
      <c r="B439" s="10" t="str">
        <f t="shared" si="7"/>
        <v>0094</v>
      </c>
      <c r="C439" s="10" t="str">
        <f>_xlfn.LET(
    _xlpm.val, IF(Datadetails[[#This Row],[Activity]]="D02","C20",Datadetails[[#This Row],[Activity]]),
    IF(ISNUMBER(MATCH(_xlpm.val,{"D04","C30","c40","C20"},0)), _xlpm.val, "Other")
)</f>
        <v>C30</v>
      </c>
      <c r="D439" s="10" t="str">
        <f>IFERROR(VLOOKUP(Datadetails[[#This Row],[Taskcode]],Dashboard!A:A,1,FALSE),"00 Err Missing")</f>
        <v>0094</v>
      </c>
      <c r="E439" s="79">
        <v>45779</v>
      </c>
      <c r="F439" s="80" t="s">
        <v>330</v>
      </c>
      <c r="G439" s="60" t="s">
        <v>40</v>
      </c>
      <c r="H439" s="80" t="s">
        <v>261</v>
      </c>
      <c r="I439" s="80" t="s">
        <v>34</v>
      </c>
      <c r="J439" s="80" t="s">
        <v>444</v>
      </c>
      <c r="K439" s="80" t="s">
        <v>347</v>
      </c>
      <c r="L439" s="80" t="s">
        <v>343</v>
      </c>
      <c r="M439" s="81">
        <v>0.5</v>
      </c>
      <c r="N439" s="82">
        <v>30</v>
      </c>
    </row>
    <row r="440" spans="1:14" x14ac:dyDescent="0.25">
      <c r="A440" s="10" t="str">
        <f>_xlfn.IFNA(
    IF(J440=
        "PCB-0001",
        "CSS",
        IF(
            ISNUMBER(MATCH(_xlfn.TEXTBEFORE(J440,"-"), {"CSS","CSN","PCB","PCF","BEC","CSD","PCM"}, 0)),
            _xlfn.TEXTBEFORE(J440,"-"),
            "Other"
        )
    ),
"Add")</f>
        <v>PCF</v>
      </c>
      <c r="B440" s="10" t="str">
        <f t="shared" si="7"/>
        <v>0040</v>
      </c>
      <c r="C440" s="10" t="str">
        <f>_xlfn.LET(
    _xlpm.val, IF(Datadetails[[#This Row],[Activity]]="D02","C20",Datadetails[[#This Row],[Activity]]),
    IF(ISNUMBER(MATCH(_xlpm.val,{"D04","C30","c40","C20"},0)), _xlpm.val, "Other")
)</f>
        <v>C20</v>
      </c>
      <c r="D440" s="10" t="str">
        <f>IFERROR(VLOOKUP(Datadetails[[#This Row],[Taskcode]],Dashboard!A:A,1,FALSE),"00 Err Missing")</f>
        <v>0040</v>
      </c>
      <c r="E440" s="79">
        <v>45779</v>
      </c>
      <c r="F440" s="80" t="s">
        <v>326</v>
      </c>
      <c r="G440" s="60" t="s">
        <v>40</v>
      </c>
      <c r="H440" s="80" t="s">
        <v>207</v>
      </c>
      <c r="I440" s="80" t="s">
        <v>36</v>
      </c>
      <c r="J440" s="80" t="s">
        <v>417</v>
      </c>
      <c r="K440" s="80" t="s">
        <v>348</v>
      </c>
      <c r="L440" s="80" t="s">
        <v>342</v>
      </c>
      <c r="M440" s="81">
        <v>0.25</v>
      </c>
      <c r="N440" s="82">
        <v>15</v>
      </c>
    </row>
    <row r="441" spans="1:14" x14ac:dyDescent="0.25">
      <c r="A441" s="10" t="str">
        <f>_xlfn.IFNA(
    IF(J441=
        "PCB-0001",
        "CSS",
        IF(
            ISNUMBER(MATCH(_xlfn.TEXTBEFORE(J441,"-"), {"CSS","CSN","PCB","PCF","BEC","CSD","PCM"}, 0)),
            _xlfn.TEXTBEFORE(J441,"-"),
            "Other"
        )
    ),
"Add")</f>
        <v>PCF</v>
      </c>
      <c r="B441" s="10" t="str">
        <f t="shared" si="7"/>
        <v>0040</v>
      </c>
      <c r="C441" s="10" t="str">
        <f>_xlfn.LET(
    _xlpm.val, IF(Datadetails[[#This Row],[Activity]]="D02","C20",Datadetails[[#This Row],[Activity]]),
    IF(ISNUMBER(MATCH(_xlpm.val,{"D04","C30","c40","C20"},0)), _xlpm.val, "Other")
)</f>
        <v>C30</v>
      </c>
      <c r="D441" s="10" t="str">
        <f>IFERROR(VLOOKUP(Datadetails[[#This Row],[Taskcode]],Dashboard!A:A,1,FALSE),"00 Err Missing")</f>
        <v>0040</v>
      </c>
      <c r="E441" s="79">
        <v>45779</v>
      </c>
      <c r="F441" s="80" t="s">
        <v>326</v>
      </c>
      <c r="G441" s="60" t="s">
        <v>40</v>
      </c>
      <c r="H441" s="80" t="s">
        <v>207</v>
      </c>
      <c r="I441" s="80" t="s">
        <v>34</v>
      </c>
      <c r="J441" s="80" t="s">
        <v>417</v>
      </c>
      <c r="K441" s="80" t="s">
        <v>348</v>
      </c>
      <c r="L441" s="80" t="s">
        <v>343</v>
      </c>
      <c r="M441" s="81">
        <v>0.25</v>
      </c>
      <c r="N441" s="82">
        <v>15</v>
      </c>
    </row>
    <row r="442" spans="1:14" x14ac:dyDescent="0.25">
      <c r="A442" s="10" t="str">
        <f>_xlfn.IFNA(
    IF(J442=
        "PCB-0001",
        "CSS",
        IF(
            ISNUMBER(MATCH(_xlfn.TEXTBEFORE(J442,"-"), {"CSS","CSN","PCB","PCF","BEC","CSD","PCM"}, 0)),
            _xlfn.TEXTBEFORE(J442,"-"),
            "Other"
        )
    ),
"Add")</f>
        <v>PCF</v>
      </c>
      <c r="B442" s="10" t="str">
        <f t="shared" si="7"/>
        <v>0098</v>
      </c>
      <c r="C442" s="10" t="str">
        <f>_xlfn.LET(
    _xlpm.val, IF(Datadetails[[#This Row],[Activity]]="D02","C20",Datadetails[[#This Row],[Activity]]),
    IF(ISNUMBER(MATCH(_xlpm.val,{"D04","C30","c40","C20"},0)), _xlpm.val, "Other")
)</f>
        <v>C30</v>
      </c>
      <c r="D442" s="10" t="str">
        <f>IFERROR(VLOOKUP(Datadetails[[#This Row],[Taskcode]],Dashboard!A:A,1,FALSE),"00 Err Missing")</f>
        <v>0098</v>
      </c>
      <c r="E442" s="79">
        <v>45779</v>
      </c>
      <c r="F442" s="80" t="s">
        <v>326</v>
      </c>
      <c r="G442" s="60" t="s">
        <v>40</v>
      </c>
      <c r="H442" s="80" t="s">
        <v>265</v>
      </c>
      <c r="I442" s="80" t="s">
        <v>34</v>
      </c>
      <c r="J442" s="80" t="s">
        <v>358</v>
      </c>
      <c r="K442" s="80" t="s">
        <v>348</v>
      </c>
      <c r="L442" s="80" t="s">
        <v>343</v>
      </c>
      <c r="M442" s="81">
        <v>1</v>
      </c>
      <c r="N442" s="82">
        <v>60</v>
      </c>
    </row>
    <row r="443" spans="1:14" x14ac:dyDescent="0.25">
      <c r="A443" s="10" t="str">
        <f>_xlfn.IFNA(
    IF(J443=
        "PCB-0001",
        "CSS",
        IF(
            ISNUMBER(MATCH(_xlfn.TEXTBEFORE(J443,"-"), {"CSS","CSN","PCB","PCF","BEC","CSD","PCM"}, 0)),
            _xlfn.TEXTBEFORE(J443,"-"),
            "Other"
        )
    ),
"Add")</f>
        <v>PCF</v>
      </c>
      <c r="B443" s="10" t="str">
        <f t="shared" si="7"/>
        <v>0040</v>
      </c>
      <c r="C443" s="10" t="str">
        <f>_xlfn.LET(
    _xlpm.val, IF(Datadetails[[#This Row],[Activity]]="D02","C20",Datadetails[[#This Row],[Activity]]),
    IF(ISNUMBER(MATCH(_xlpm.val,{"D04","C30","c40","C20"},0)), _xlpm.val, "Other")
)</f>
        <v>C40</v>
      </c>
      <c r="D443" s="10" t="str">
        <f>IFERROR(VLOOKUP(Datadetails[[#This Row],[Taskcode]],Dashboard!A:A,1,FALSE),"00 Err Missing")</f>
        <v>0040</v>
      </c>
      <c r="E443" s="79">
        <v>45779</v>
      </c>
      <c r="F443" s="80" t="s">
        <v>326</v>
      </c>
      <c r="G443" s="60" t="s">
        <v>40</v>
      </c>
      <c r="H443" s="80" t="s">
        <v>207</v>
      </c>
      <c r="I443" s="80" t="s">
        <v>341</v>
      </c>
      <c r="J443" s="80" t="s">
        <v>417</v>
      </c>
      <c r="K443" s="80" t="s">
        <v>348</v>
      </c>
      <c r="L443" s="80" t="s">
        <v>344</v>
      </c>
      <c r="M443" s="81">
        <v>2</v>
      </c>
      <c r="N443" s="82">
        <v>120</v>
      </c>
    </row>
    <row r="444" spans="1:14" x14ac:dyDescent="0.25">
      <c r="A444" s="10" t="str">
        <f>_xlfn.IFNA(
    IF(J444=
        "PCB-0001",
        "CSS",
        IF(
            ISNUMBER(MATCH(_xlfn.TEXTBEFORE(J444,"-"), {"CSS","CSN","PCB","PCF","BEC","CSD","PCM"}, 0)),
            _xlfn.TEXTBEFORE(J444,"-"),
            "Other"
        )
    ),
"Add")</f>
        <v>BEC</v>
      </c>
      <c r="B444" s="10" t="str">
        <f t="shared" si="7"/>
        <v>0001</v>
      </c>
      <c r="C444" s="10" t="str">
        <f>_xlfn.LET(
    _xlpm.val, IF(Datadetails[[#This Row],[Activity]]="D02","C20",Datadetails[[#This Row],[Activity]]),
    IF(ISNUMBER(MATCH(_xlpm.val,{"D04","C30","c40","C20"},0)), _xlpm.val, "Other")
)</f>
        <v>D04</v>
      </c>
      <c r="D444" s="10" t="str">
        <f>IFERROR(VLOOKUP(Datadetails[[#This Row],[Taskcode]],Dashboard!A:A,1,FALSE),"00 Err Missing")</f>
        <v>0001</v>
      </c>
      <c r="E444" s="79">
        <v>45779</v>
      </c>
      <c r="F444" s="80" t="s">
        <v>332</v>
      </c>
      <c r="G444" s="60" t="s">
        <v>40</v>
      </c>
      <c r="H444" s="80" t="s">
        <v>314</v>
      </c>
      <c r="I444" s="80" t="s">
        <v>35</v>
      </c>
      <c r="J444" s="80" t="s">
        <v>359</v>
      </c>
      <c r="K444" s="80" t="s">
        <v>339</v>
      </c>
      <c r="L444" s="80" t="s">
        <v>352</v>
      </c>
      <c r="M444" s="81">
        <v>8.5</v>
      </c>
      <c r="N444" s="82">
        <v>340</v>
      </c>
    </row>
    <row r="445" spans="1:14" x14ac:dyDescent="0.25">
      <c r="A445" s="10" t="str">
        <f>_xlfn.IFNA(
    IF(J445=
        "PCB-0001",
        "CSS",
        IF(
            ISNUMBER(MATCH(_xlfn.TEXTBEFORE(J445,"-"), {"CSS","CSN","PCB","PCF","BEC","CSD","PCM"}, 0)),
            _xlfn.TEXTBEFORE(J445,"-"),
            "Other"
        )
    ),
"Add")</f>
        <v>BEC</v>
      </c>
      <c r="B445" s="10" t="str">
        <f t="shared" si="7"/>
        <v>0001</v>
      </c>
      <c r="C445" s="10" t="str">
        <f>_xlfn.LET(
    _xlpm.val, IF(Datadetails[[#This Row],[Activity]]="D02","C20",Datadetails[[#This Row],[Activity]]),
    IF(ISNUMBER(MATCH(_xlpm.val,{"D04","C30","c40","C20"},0)), _xlpm.val, "Other")
)</f>
        <v>D04</v>
      </c>
      <c r="D445" s="10" t="str">
        <f>IFERROR(VLOOKUP(Datadetails[[#This Row],[Taskcode]],Dashboard!A:A,1,FALSE),"00 Err Missing")</f>
        <v>0001</v>
      </c>
      <c r="E445" s="79">
        <v>45779</v>
      </c>
      <c r="F445" s="80" t="s">
        <v>324</v>
      </c>
      <c r="G445" s="60" t="s">
        <v>40</v>
      </c>
      <c r="H445" s="80" t="s">
        <v>314</v>
      </c>
      <c r="I445" s="80" t="s">
        <v>35</v>
      </c>
      <c r="J445" s="80" t="s">
        <v>359</v>
      </c>
      <c r="K445" s="80" t="s">
        <v>339</v>
      </c>
      <c r="L445" s="80" t="s">
        <v>352</v>
      </c>
      <c r="M445" s="81">
        <v>4.67</v>
      </c>
      <c r="N445" s="82">
        <v>350.25</v>
      </c>
    </row>
    <row r="446" spans="1:14" x14ac:dyDescent="0.25">
      <c r="A446" s="10" t="str">
        <f>_xlfn.IFNA(
    IF(J446=
        "PCB-0001",
        "CSS",
        IF(
            ISNUMBER(MATCH(_xlfn.TEXTBEFORE(J446,"-"), {"CSS","CSN","PCB","PCF","BEC","CSD","PCM"}, 0)),
            _xlfn.TEXTBEFORE(J446,"-"),
            "Other"
        )
    ),
"Add")</f>
        <v>BEC</v>
      </c>
      <c r="B446" s="10" t="str">
        <f t="shared" si="7"/>
        <v>0001</v>
      </c>
      <c r="C446" s="10" t="str">
        <f>_xlfn.LET(
    _xlpm.val, IF(Datadetails[[#This Row],[Activity]]="D02","C20",Datadetails[[#This Row],[Activity]]),
    IF(ISNUMBER(MATCH(_xlpm.val,{"D04","C30","c40","C20"},0)), _xlpm.val, "Other")
)</f>
        <v>D04</v>
      </c>
      <c r="D446" s="10" t="str">
        <f>IFERROR(VLOOKUP(Datadetails[[#This Row],[Taskcode]],Dashboard!A:A,1,FALSE),"00 Err Missing")</f>
        <v>0001</v>
      </c>
      <c r="E446" s="79">
        <v>45780</v>
      </c>
      <c r="F446" s="80" t="s">
        <v>332</v>
      </c>
      <c r="G446" s="60" t="s">
        <v>40</v>
      </c>
      <c r="H446" s="80" t="s">
        <v>314</v>
      </c>
      <c r="I446" s="80" t="s">
        <v>35</v>
      </c>
      <c r="J446" s="80" t="s">
        <v>359</v>
      </c>
      <c r="K446" s="80" t="s">
        <v>339</v>
      </c>
      <c r="L446" s="80" t="s">
        <v>352</v>
      </c>
      <c r="M446" s="81">
        <v>4</v>
      </c>
      <c r="N446" s="82">
        <v>160</v>
      </c>
    </row>
    <row r="447" spans="1:14" x14ac:dyDescent="0.25">
      <c r="A447" s="10" t="str">
        <f>_xlfn.IFNA(
    IF(J447=
        "PCB-0001",
        "CSS",
        IF(
            ISNUMBER(MATCH(_xlfn.TEXTBEFORE(J447,"-"), {"CSS","CSN","PCB","PCF","BEC","CSD","PCM"}, 0)),
            _xlfn.TEXTBEFORE(J447,"-"),
            "Other"
        )
    ),
"Add")</f>
        <v>PCB</v>
      </c>
      <c r="B447" s="10" t="str">
        <f t="shared" si="7"/>
        <v>0103</v>
      </c>
      <c r="C447" s="10" t="str">
        <f>_xlfn.LET(
    _xlpm.val, IF(Datadetails[[#This Row],[Activity]]="D02","C20",Datadetails[[#This Row],[Activity]]),
    IF(ISNUMBER(MATCH(_xlpm.val,{"D04","C30","c40","C20"},0)), _xlpm.val, "Other")
)</f>
        <v>C30</v>
      </c>
      <c r="D447" s="10" t="str">
        <f>IFERROR(VLOOKUP(Datadetails[[#This Row],[Taskcode]],Dashboard!A:A,1,FALSE),"00 Err Missing")</f>
        <v>0103</v>
      </c>
      <c r="E447" s="79">
        <v>45783</v>
      </c>
      <c r="F447" s="80" t="s">
        <v>329</v>
      </c>
      <c r="G447" s="60" t="s">
        <v>40</v>
      </c>
      <c r="H447" s="80" t="s">
        <v>270</v>
      </c>
      <c r="I447" s="80" t="s">
        <v>34</v>
      </c>
      <c r="J447" s="80" t="s">
        <v>360</v>
      </c>
      <c r="K447" s="80" t="s">
        <v>347</v>
      </c>
      <c r="L447" s="80" t="s">
        <v>343</v>
      </c>
      <c r="M447" s="81">
        <v>0.08</v>
      </c>
      <c r="N447" s="82">
        <v>6</v>
      </c>
    </row>
    <row r="448" spans="1:14" x14ac:dyDescent="0.25">
      <c r="A448" s="10" t="str">
        <f>_xlfn.IFNA(
    IF(J448=
        "PCB-0001",
        "CSS",
        IF(
            ISNUMBER(MATCH(_xlfn.TEXTBEFORE(J448,"-"), {"CSS","CSN","PCB","PCF","BEC","CSD","PCM"}, 0)),
            _xlfn.TEXTBEFORE(J448,"-"),
            "Other"
        )
    ),
"Add")</f>
        <v>PCM</v>
      </c>
      <c r="B448" s="10" t="str">
        <f t="shared" si="7"/>
        <v>0035</v>
      </c>
      <c r="C448" s="10" t="str">
        <f>_xlfn.LET(
    _xlpm.val, IF(Datadetails[[#This Row],[Activity]]="D02","C20",Datadetails[[#This Row],[Activity]]),
    IF(ISNUMBER(MATCH(_xlpm.val,{"D04","C30","c40","C20"},0)), _xlpm.val, "Other")
)</f>
        <v>C20</v>
      </c>
      <c r="D448" s="10" t="str">
        <f>IFERROR(VLOOKUP(Datadetails[[#This Row],[Taskcode]],Dashboard!A:A,1,FALSE),"00 Err Missing")</f>
        <v>0035</v>
      </c>
      <c r="E448" s="79">
        <v>45783</v>
      </c>
      <c r="F448" s="80" t="s">
        <v>323</v>
      </c>
      <c r="G448" s="60" t="s">
        <v>40</v>
      </c>
      <c r="H448" s="80" t="s">
        <v>202</v>
      </c>
      <c r="I448" s="80" t="s">
        <v>36</v>
      </c>
      <c r="J448" s="80" t="s">
        <v>431</v>
      </c>
      <c r="K448" s="80" t="s">
        <v>346</v>
      </c>
      <c r="L448" s="80" t="s">
        <v>342</v>
      </c>
      <c r="M448" s="81">
        <v>0.25</v>
      </c>
      <c r="N448" s="82">
        <v>15</v>
      </c>
    </row>
    <row r="449" spans="1:14" x14ac:dyDescent="0.25">
      <c r="A449" s="10" t="str">
        <f>_xlfn.IFNA(
    IF(J449=
        "PCB-0001",
        "CSS",
        IF(
            ISNUMBER(MATCH(_xlfn.TEXTBEFORE(J449,"-"), {"CSS","CSN","PCB","PCF","BEC","CSD","PCM"}, 0)),
            _xlfn.TEXTBEFORE(J449,"-"),
            "Other"
        )
    ),
"Add")</f>
        <v>CSN</v>
      </c>
      <c r="B449" s="10" t="str">
        <f t="shared" si="7"/>
        <v>0001</v>
      </c>
      <c r="C449" s="10" t="str">
        <f>_xlfn.LET(
    _xlpm.val, IF(Datadetails[[#This Row],[Activity]]="D02","C20",Datadetails[[#This Row],[Activity]]),
    IF(ISNUMBER(MATCH(_xlpm.val,{"D04","C30","c40","C20"},0)), _xlpm.val, "Other")
)</f>
        <v>D04</v>
      </c>
      <c r="D449" s="10" t="str">
        <f>IFERROR(VLOOKUP(Datadetails[[#This Row],[Taskcode]],Dashboard!A:A,1,FALSE),"00 Err Missing")</f>
        <v>0001</v>
      </c>
      <c r="E449" s="79">
        <v>45783</v>
      </c>
      <c r="F449" s="80" t="s">
        <v>329</v>
      </c>
      <c r="G449" s="60" t="s">
        <v>40</v>
      </c>
      <c r="H449" s="80" t="s">
        <v>316</v>
      </c>
      <c r="I449" s="80" t="s">
        <v>35</v>
      </c>
      <c r="J449" s="80" t="s">
        <v>338</v>
      </c>
      <c r="K449" s="80" t="s">
        <v>337</v>
      </c>
      <c r="L449" s="80" t="s">
        <v>352</v>
      </c>
      <c r="M449" s="81">
        <v>1</v>
      </c>
      <c r="N449" s="82">
        <v>75</v>
      </c>
    </row>
    <row r="450" spans="1:14" x14ac:dyDescent="0.25">
      <c r="A450" s="10" t="str">
        <f>_xlfn.IFNA(
    IF(J450=
        "PCB-0001",
        "CSS",
        IF(
            ISNUMBER(MATCH(_xlfn.TEXTBEFORE(J450,"-"), {"CSS","CSN","PCB","PCF","BEC","CSD","PCM"}, 0)),
            _xlfn.TEXTBEFORE(J450,"-"),
            "Other"
        )
    ),
"Add")</f>
        <v>CSD</v>
      </c>
      <c r="B450" s="10" t="str">
        <f t="shared" si="7"/>
        <v>0001</v>
      </c>
      <c r="C450" s="10" t="str">
        <f>_xlfn.LET(
    _xlpm.val, IF(Datadetails[[#This Row],[Activity]]="D02","C20",Datadetails[[#This Row],[Activity]]),
    IF(ISNUMBER(MATCH(_xlpm.val,{"D04","C30","c40","C20"},0)), _xlpm.val, "Other")
)</f>
        <v>D04</v>
      </c>
      <c r="D450" s="10" t="str">
        <f>IFERROR(VLOOKUP(Datadetails[[#This Row],[Taskcode]],Dashboard!A:A,1,FALSE),"00 Err Missing")</f>
        <v>0001</v>
      </c>
      <c r="E450" s="79">
        <v>45783</v>
      </c>
      <c r="F450" s="80" t="s">
        <v>327</v>
      </c>
      <c r="G450" s="60" t="s">
        <v>40</v>
      </c>
      <c r="H450" s="80" t="s">
        <v>320</v>
      </c>
      <c r="I450" s="80" t="s">
        <v>35</v>
      </c>
      <c r="J450" s="80" t="s">
        <v>322</v>
      </c>
      <c r="K450" s="80" t="s">
        <v>319</v>
      </c>
      <c r="L450" s="80" t="s">
        <v>352</v>
      </c>
      <c r="M450" s="81">
        <v>7.5</v>
      </c>
      <c r="N450" s="82">
        <v>240</v>
      </c>
    </row>
    <row r="451" spans="1:14" x14ac:dyDescent="0.25">
      <c r="A451" s="10" t="str">
        <f>_xlfn.IFNA(
    IF(J451=
        "PCB-0001",
        "CSS",
        IF(
            ISNUMBER(MATCH(_xlfn.TEXTBEFORE(J451,"-"), {"CSS","CSN","PCB","PCF","BEC","CSD","PCM"}, 0)),
            _xlfn.TEXTBEFORE(J451,"-"),
            "Other"
        )
    ),
"Add")</f>
        <v>CSD</v>
      </c>
      <c r="B451" s="10" t="str">
        <f t="shared" si="7"/>
        <v>0001</v>
      </c>
      <c r="C451" s="10" t="str">
        <f>_xlfn.LET(
    _xlpm.val, IF(Datadetails[[#This Row],[Activity]]="D02","C20",Datadetails[[#This Row],[Activity]]),
    IF(ISNUMBER(MATCH(_xlpm.val,{"D04","C30","c40","C20"},0)), _xlpm.val, "Other")
)</f>
        <v>D04</v>
      </c>
      <c r="D451" s="10" t="str">
        <f>IFERROR(VLOOKUP(Datadetails[[#This Row],[Taskcode]],Dashboard!A:A,1,FALSE),"00 Err Missing")</f>
        <v>0001</v>
      </c>
      <c r="E451" s="79">
        <v>45783</v>
      </c>
      <c r="F451" s="80" t="s">
        <v>333</v>
      </c>
      <c r="G451" s="60" t="s">
        <v>40</v>
      </c>
      <c r="H451" s="80" t="s">
        <v>320</v>
      </c>
      <c r="I451" s="80" t="s">
        <v>35</v>
      </c>
      <c r="J451" s="80" t="s">
        <v>322</v>
      </c>
      <c r="K451" s="80" t="s">
        <v>319</v>
      </c>
      <c r="L451" s="80" t="s">
        <v>352</v>
      </c>
      <c r="M451" s="81">
        <v>7.38</v>
      </c>
      <c r="N451" s="82">
        <v>236.16</v>
      </c>
    </row>
    <row r="452" spans="1:14" x14ac:dyDescent="0.25">
      <c r="A452" s="10" t="str">
        <f>_xlfn.IFNA(
    IF(J452=
        "PCB-0001",
        "CSS",
        IF(
            ISNUMBER(MATCH(_xlfn.TEXTBEFORE(J452,"-"), {"CSS","CSN","PCB","PCF","BEC","CSD","PCM"}, 0)),
            _xlfn.TEXTBEFORE(J452,"-"),
            "Other"
        )
    ),
"Add")</f>
        <v>PCM</v>
      </c>
      <c r="B452" s="10" t="str">
        <f t="shared" ref="B452:B515" si="8">_xlfn.IFNA(_xlfn.TEXTAFTER(J452,"-"),"Data to C2")</f>
        <v>0116</v>
      </c>
      <c r="C452" s="10" t="str">
        <f>_xlfn.LET(
    _xlpm.val, IF(Datadetails[[#This Row],[Activity]]="D02","C20",Datadetails[[#This Row],[Activity]]),
    IF(ISNUMBER(MATCH(_xlpm.val,{"D04","C30","c40","C20"},0)), _xlpm.val, "Other")
)</f>
        <v>C20</v>
      </c>
      <c r="D452" s="10" t="str">
        <f>IFERROR(VLOOKUP(Datadetails[[#This Row],[Taskcode]],Dashboard!A:A,1,FALSE),"00 Err Missing")</f>
        <v>0116</v>
      </c>
      <c r="E452" s="79">
        <v>45783</v>
      </c>
      <c r="F452" s="80" t="s">
        <v>323</v>
      </c>
      <c r="G452" s="60" t="s">
        <v>40</v>
      </c>
      <c r="H452" s="80" t="s">
        <v>283</v>
      </c>
      <c r="I452" s="80" t="s">
        <v>36</v>
      </c>
      <c r="J452" s="80" t="s">
        <v>429</v>
      </c>
      <c r="K452" s="80" t="s">
        <v>346</v>
      </c>
      <c r="L452" s="80" t="s">
        <v>342</v>
      </c>
      <c r="M452" s="81">
        <v>0.25</v>
      </c>
      <c r="N452" s="82">
        <v>15</v>
      </c>
    </row>
    <row r="453" spans="1:14" x14ac:dyDescent="0.25">
      <c r="A453" s="10" t="str">
        <f>_xlfn.IFNA(
    IF(J453=
        "PCB-0001",
        "CSS",
        IF(
            ISNUMBER(MATCH(_xlfn.TEXTBEFORE(J453,"-"), {"CSS","CSN","PCB","PCF","BEC","CSD","PCM"}, 0)),
            _xlfn.TEXTBEFORE(J453,"-"),
            "Other"
        )
    ),
"Add")</f>
        <v>PCM</v>
      </c>
      <c r="B453" s="10" t="str">
        <f t="shared" si="8"/>
        <v>0113</v>
      </c>
      <c r="C453" s="10" t="str">
        <f>_xlfn.LET(
    _xlpm.val, IF(Datadetails[[#This Row],[Activity]]="D02","C20",Datadetails[[#This Row],[Activity]]),
    IF(ISNUMBER(MATCH(_xlpm.val,{"D04","C30","c40","C20"},0)), _xlpm.val, "Other")
)</f>
        <v>C20</v>
      </c>
      <c r="D453" s="10" t="str">
        <f>IFERROR(VLOOKUP(Datadetails[[#This Row],[Taskcode]],Dashboard!A:A,1,FALSE),"00 Err Missing")</f>
        <v>0113</v>
      </c>
      <c r="E453" s="79">
        <v>45783</v>
      </c>
      <c r="F453" s="80" t="s">
        <v>323</v>
      </c>
      <c r="G453" s="60" t="s">
        <v>40</v>
      </c>
      <c r="H453" s="80" t="s">
        <v>280</v>
      </c>
      <c r="I453" s="80" t="s">
        <v>36</v>
      </c>
      <c r="J453" s="80" t="s">
        <v>445</v>
      </c>
      <c r="K453" s="80" t="s">
        <v>346</v>
      </c>
      <c r="L453" s="80" t="s">
        <v>342</v>
      </c>
      <c r="M453" s="81">
        <v>0.25</v>
      </c>
      <c r="N453" s="82">
        <v>15</v>
      </c>
    </row>
    <row r="454" spans="1:14" x14ac:dyDescent="0.25">
      <c r="A454" s="10" t="str">
        <f>_xlfn.IFNA(
    IF(J454=
        "PCB-0001",
        "CSS",
        IF(
            ISNUMBER(MATCH(_xlfn.TEXTBEFORE(J454,"-"), {"CSS","CSN","PCB","PCF","BEC","CSD","PCM"}, 0)),
            _xlfn.TEXTBEFORE(J454,"-"),
            "Other"
        )
    ),
"Add")</f>
        <v>PCB</v>
      </c>
      <c r="B454" s="10" t="str">
        <f t="shared" si="8"/>
        <v>0019</v>
      </c>
      <c r="C454" s="10" t="str">
        <f>_xlfn.LET(
    _xlpm.val, IF(Datadetails[[#This Row],[Activity]]="D02","C20",Datadetails[[#This Row],[Activity]]),
    IF(ISNUMBER(MATCH(_xlpm.val,{"D04","C30","c40","C20"},0)), _xlpm.val, "Other")
)</f>
        <v>C30</v>
      </c>
      <c r="D454" s="10" t="str">
        <f>IFERROR(VLOOKUP(Datadetails[[#This Row],[Taskcode]],Dashboard!A:A,1,FALSE),"00 Err Missing")</f>
        <v>0019</v>
      </c>
      <c r="E454" s="79">
        <v>45783</v>
      </c>
      <c r="F454" s="80" t="s">
        <v>329</v>
      </c>
      <c r="G454" s="60" t="s">
        <v>40</v>
      </c>
      <c r="H454" s="80" t="s">
        <v>186</v>
      </c>
      <c r="I454" s="80" t="s">
        <v>34</v>
      </c>
      <c r="J454" s="80" t="s">
        <v>397</v>
      </c>
      <c r="K454" s="80" t="s">
        <v>347</v>
      </c>
      <c r="L454" s="80" t="s">
        <v>343</v>
      </c>
      <c r="M454" s="81">
        <v>0.08</v>
      </c>
      <c r="N454" s="82">
        <v>6</v>
      </c>
    </row>
    <row r="455" spans="1:14" x14ac:dyDescent="0.25">
      <c r="A455" s="10" t="str">
        <f>_xlfn.IFNA(
    IF(J455=
        "PCB-0001",
        "CSS",
        IF(
            ISNUMBER(MATCH(_xlfn.TEXTBEFORE(J455,"-"), {"CSS","CSN","PCB","PCF","BEC","CSD","PCM"}, 0)),
            _xlfn.TEXTBEFORE(J455,"-"),
            "Other"
        )
    ),
"Add")</f>
        <v>PCB</v>
      </c>
      <c r="B455" s="10" t="str">
        <f t="shared" si="8"/>
        <v>0029</v>
      </c>
      <c r="C455" s="10" t="str">
        <f>_xlfn.LET(
    _xlpm.val, IF(Datadetails[[#This Row],[Activity]]="D02","C20",Datadetails[[#This Row],[Activity]]),
    IF(ISNUMBER(MATCH(_xlpm.val,{"D04","C30","c40","C20"},0)), _xlpm.val, "Other")
)</f>
        <v>C30</v>
      </c>
      <c r="D455" s="10" t="str">
        <f>IFERROR(VLOOKUP(Datadetails[[#This Row],[Taskcode]],Dashboard!A:A,1,FALSE),"00 Err Missing")</f>
        <v>0029</v>
      </c>
      <c r="E455" s="79">
        <v>45783</v>
      </c>
      <c r="F455" s="80" t="s">
        <v>330</v>
      </c>
      <c r="G455" s="60" t="s">
        <v>40</v>
      </c>
      <c r="H455" s="80" t="s">
        <v>196</v>
      </c>
      <c r="I455" s="80" t="s">
        <v>34</v>
      </c>
      <c r="J455" s="80" t="s">
        <v>446</v>
      </c>
      <c r="K455" s="80" t="s">
        <v>347</v>
      </c>
      <c r="L455" s="80" t="s">
        <v>343</v>
      </c>
      <c r="M455" s="81">
        <v>0.25</v>
      </c>
      <c r="N455" s="82">
        <v>15</v>
      </c>
    </row>
    <row r="456" spans="1:14" x14ac:dyDescent="0.25">
      <c r="A456" s="10" t="str">
        <f>_xlfn.IFNA(
    IF(J456=
        "PCB-0001",
        "CSS",
        IF(
            ISNUMBER(MATCH(_xlfn.TEXTBEFORE(J456,"-"), {"CSS","CSN","PCB","PCF","BEC","CSD","PCM"}, 0)),
            _xlfn.TEXTBEFORE(J456,"-"),
            "Other"
        )
    ),
"Add")</f>
        <v>PCB</v>
      </c>
      <c r="B456" s="10" t="str">
        <f t="shared" si="8"/>
        <v>0031</v>
      </c>
      <c r="C456" s="10" t="str">
        <f>_xlfn.LET(
    _xlpm.val, IF(Datadetails[[#This Row],[Activity]]="D02","C20",Datadetails[[#This Row],[Activity]]),
    IF(ISNUMBER(MATCH(_xlpm.val,{"D04","C30","c40","C20"},0)), _xlpm.val, "Other")
)</f>
        <v>C30</v>
      </c>
      <c r="D456" s="10" t="str">
        <f>IFERROR(VLOOKUP(Datadetails[[#This Row],[Taskcode]],Dashboard!A:A,1,FALSE),"00 Err Missing")</f>
        <v>0031</v>
      </c>
      <c r="E456" s="79">
        <v>45783</v>
      </c>
      <c r="F456" s="80" t="s">
        <v>325</v>
      </c>
      <c r="G456" s="60" t="s">
        <v>40</v>
      </c>
      <c r="H456" s="80" t="s">
        <v>198</v>
      </c>
      <c r="I456" s="80" t="s">
        <v>34</v>
      </c>
      <c r="J456" s="80" t="s">
        <v>413</v>
      </c>
      <c r="K456" s="80" t="s">
        <v>347</v>
      </c>
      <c r="L456" s="80" t="s">
        <v>343</v>
      </c>
      <c r="M456" s="81">
        <v>0.17</v>
      </c>
      <c r="N456" s="82">
        <v>12.750000000000002</v>
      </c>
    </row>
    <row r="457" spans="1:14" x14ac:dyDescent="0.25">
      <c r="A457" s="10" t="str">
        <f>_xlfn.IFNA(
    IF(J457=
        "PCB-0001",
        "CSS",
        IF(
            ISNUMBER(MATCH(_xlfn.TEXTBEFORE(J457,"-"), {"CSS","CSN","PCB","PCF","BEC","CSD","PCM"}, 0)),
            _xlfn.TEXTBEFORE(J457,"-"),
            "Other"
        )
    ),
"Add")</f>
        <v>PCB</v>
      </c>
      <c r="B457" s="10" t="str">
        <f t="shared" si="8"/>
        <v>0054</v>
      </c>
      <c r="C457" s="10" t="str">
        <f>_xlfn.LET(
    _xlpm.val, IF(Datadetails[[#This Row],[Activity]]="D02","C20",Datadetails[[#This Row],[Activity]]),
    IF(ISNUMBER(MATCH(_xlpm.val,{"D04","C30","c40","C20"},0)), _xlpm.val, "Other")
)</f>
        <v>C30</v>
      </c>
      <c r="D457" s="10" t="str">
        <f>IFERROR(VLOOKUP(Datadetails[[#This Row],[Taskcode]],Dashboard!A:A,1,FALSE),"00 Err Missing")</f>
        <v>0054</v>
      </c>
      <c r="E457" s="79">
        <v>45783</v>
      </c>
      <c r="F457" s="80" t="s">
        <v>329</v>
      </c>
      <c r="G457" s="60" t="s">
        <v>40</v>
      </c>
      <c r="H457" s="80" t="s">
        <v>221</v>
      </c>
      <c r="I457" s="80" t="s">
        <v>34</v>
      </c>
      <c r="J457" s="80" t="s">
        <v>369</v>
      </c>
      <c r="K457" s="80" t="s">
        <v>347</v>
      </c>
      <c r="L457" s="80" t="s">
        <v>343</v>
      </c>
      <c r="M457" s="81">
        <v>0.25</v>
      </c>
      <c r="N457" s="82">
        <v>18.75</v>
      </c>
    </row>
    <row r="458" spans="1:14" x14ac:dyDescent="0.25">
      <c r="A458" s="10" t="str">
        <f>_xlfn.IFNA(
    IF(J458=
        "PCB-0001",
        "CSS",
        IF(
            ISNUMBER(MATCH(_xlfn.TEXTBEFORE(J458,"-"), {"CSS","CSN","PCB","PCF","BEC","CSD","PCM"}, 0)),
            _xlfn.TEXTBEFORE(J458,"-"),
            "Other"
        )
    ),
"Add")</f>
        <v>PCB</v>
      </c>
      <c r="B458" s="10" t="str">
        <f t="shared" si="8"/>
        <v>0043</v>
      </c>
      <c r="C458" s="10" t="str">
        <f>_xlfn.LET(
    _xlpm.val, IF(Datadetails[[#This Row],[Activity]]="D02","C20",Datadetails[[#This Row],[Activity]]),
    IF(ISNUMBER(MATCH(_xlpm.val,{"D04","C30","c40","C20"},0)), _xlpm.val, "Other")
)</f>
        <v>C30</v>
      </c>
      <c r="D458" s="10" t="str">
        <f>IFERROR(VLOOKUP(Datadetails[[#This Row],[Taskcode]],Dashboard!A:A,1,FALSE),"00 Err Missing")</f>
        <v>0043</v>
      </c>
      <c r="E458" s="79">
        <v>45783</v>
      </c>
      <c r="F458" s="80" t="s">
        <v>325</v>
      </c>
      <c r="G458" s="60" t="s">
        <v>40</v>
      </c>
      <c r="H458" s="80" t="s">
        <v>210</v>
      </c>
      <c r="I458" s="80" t="s">
        <v>34</v>
      </c>
      <c r="J458" s="80" t="s">
        <v>399</v>
      </c>
      <c r="K458" s="80" t="s">
        <v>347</v>
      </c>
      <c r="L458" s="80" t="s">
        <v>343</v>
      </c>
      <c r="M458" s="81">
        <v>0.5</v>
      </c>
      <c r="N458" s="82">
        <v>37.5</v>
      </c>
    </row>
    <row r="459" spans="1:14" x14ac:dyDescent="0.25">
      <c r="A459" s="10" t="str">
        <f>_xlfn.IFNA(
    IF(J459=
        "PCB-0001",
        "CSS",
        IF(
            ISNUMBER(MATCH(_xlfn.TEXTBEFORE(J459,"-"), {"CSS","CSN","PCB","PCF","BEC","CSD","PCM"}, 0)),
            _xlfn.TEXTBEFORE(J459,"-"),
            "Other"
        )
    ),
"Add")</f>
        <v>PCB</v>
      </c>
      <c r="B459" s="10" t="str">
        <f t="shared" si="8"/>
        <v>0055</v>
      </c>
      <c r="C459" s="10" t="str">
        <f>_xlfn.LET(
    _xlpm.val, IF(Datadetails[[#This Row],[Activity]]="D02","C20",Datadetails[[#This Row],[Activity]]),
    IF(ISNUMBER(MATCH(_xlpm.val,{"D04","C30","c40","C20"},0)), _xlpm.val, "Other")
)</f>
        <v>C30</v>
      </c>
      <c r="D459" s="10" t="str">
        <f>IFERROR(VLOOKUP(Datadetails[[#This Row],[Taskcode]],Dashboard!A:A,1,FALSE),"00 Err Missing")</f>
        <v>0055</v>
      </c>
      <c r="E459" s="79">
        <v>45783</v>
      </c>
      <c r="F459" s="80" t="s">
        <v>330</v>
      </c>
      <c r="G459" s="60" t="s">
        <v>40</v>
      </c>
      <c r="H459" s="80" t="s">
        <v>222</v>
      </c>
      <c r="I459" s="80" t="s">
        <v>34</v>
      </c>
      <c r="J459" s="80" t="s">
        <v>447</v>
      </c>
      <c r="K459" s="80" t="s">
        <v>347</v>
      </c>
      <c r="L459" s="80" t="s">
        <v>343</v>
      </c>
      <c r="M459" s="81">
        <v>0.25</v>
      </c>
      <c r="N459" s="82">
        <v>15</v>
      </c>
    </row>
    <row r="460" spans="1:14" x14ac:dyDescent="0.25">
      <c r="A460" s="10" t="str">
        <f>_xlfn.IFNA(
    IF(J460=
        "PCB-0001",
        "CSS",
        IF(
            ISNUMBER(MATCH(_xlfn.TEXTBEFORE(J460,"-"), {"CSS","CSN","PCB","PCF","BEC","CSD","PCM"}, 0)),
            _xlfn.TEXTBEFORE(J460,"-"),
            "Other"
        )
    ),
"Add")</f>
        <v>PCB</v>
      </c>
      <c r="B460" s="10" t="str">
        <f t="shared" si="8"/>
        <v>0073</v>
      </c>
      <c r="C460" s="10" t="str">
        <f>_xlfn.LET(
    _xlpm.val, IF(Datadetails[[#This Row],[Activity]]="D02","C20",Datadetails[[#This Row],[Activity]]),
    IF(ISNUMBER(MATCH(_xlpm.val,{"D04","C30","c40","C20"},0)), _xlpm.val, "Other")
)</f>
        <v>C30</v>
      </c>
      <c r="D460" s="10" t="str">
        <f>IFERROR(VLOOKUP(Datadetails[[#This Row],[Taskcode]],Dashboard!A:A,1,FALSE),"00 Err Missing")</f>
        <v>0073</v>
      </c>
      <c r="E460" s="79">
        <v>45783</v>
      </c>
      <c r="F460" s="80" t="s">
        <v>329</v>
      </c>
      <c r="G460" s="60" t="s">
        <v>40</v>
      </c>
      <c r="H460" s="80" t="s">
        <v>240</v>
      </c>
      <c r="I460" s="80" t="s">
        <v>34</v>
      </c>
      <c r="J460" s="80" t="s">
        <v>402</v>
      </c>
      <c r="K460" s="80" t="s">
        <v>347</v>
      </c>
      <c r="L460" s="80" t="s">
        <v>343</v>
      </c>
      <c r="M460" s="81">
        <v>0.08</v>
      </c>
      <c r="N460" s="82">
        <v>6</v>
      </c>
    </row>
    <row r="461" spans="1:14" x14ac:dyDescent="0.25">
      <c r="A461" s="10" t="str">
        <f>_xlfn.IFNA(
    IF(J461=
        "PCB-0001",
        "CSS",
        IF(
            ISNUMBER(MATCH(_xlfn.TEXTBEFORE(J461,"-"), {"CSS","CSN","PCB","PCF","BEC","CSD","PCM"}, 0)),
            _xlfn.TEXTBEFORE(J461,"-"),
            "Other"
        )
    ),
"Add")</f>
        <v>PCB</v>
      </c>
      <c r="B461" s="10" t="str">
        <f t="shared" si="8"/>
        <v>0074</v>
      </c>
      <c r="C461" s="10" t="str">
        <f>_xlfn.LET(
    _xlpm.val, IF(Datadetails[[#This Row],[Activity]]="D02","C20",Datadetails[[#This Row],[Activity]]),
    IF(ISNUMBER(MATCH(_xlpm.val,{"D04","C30","c40","C20"},0)), _xlpm.val, "Other")
)</f>
        <v>C30</v>
      </c>
      <c r="D461" s="10" t="str">
        <f>IFERROR(VLOOKUP(Datadetails[[#This Row],[Taskcode]],Dashboard!A:A,1,FALSE),"00 Err Missing")</f>
        <v>0074</v>
      </c>
      <c r="E461" s="79">
        <v>45783</v>
      </c>
      <c r="F461" s="80" t="s">
        <v>329</v>
      </c>
      <c r="G461" s="60" t="s">
        <v>40</v>
      </c>
      <c r="H461" s="80" t="s">
        <v>241</v>
      </c>
      <c r="I461" s="80" t="s">
        <v>34</v>
      </c>
      <c r="J461" s="80" t="s">
        <v>403</v>
      </c>
      <c r="K461" s="80" t="s">
        <v>347</v>
      </c>
      <c r="L461" s="80" t="s">
        <v>343</v>
      </c>
      <c r="M461" s="81">
        <v>1.25</v>
      </c>
      <c r="N461" s="82">
        <v>93.75</v>
      </c>
    </row>
    <row r="462" spans="1:14" x14ac:dyDescent="0.25">
      <c r="A462" s="10" t="str">
        <f>_xlfn.IFNA(
    IF(J462=
        "PCB-0001",
        "CSS",
        IF(
            ISNUMBER(MATCH(_xlfn.TEXTBEFORE(J462,"-"), {"CSS","CSN","PCB","PCF","BEC","CSD","PCM"}, 0)),
            _xlfn.TEXTBEFORE(J462,"-"),
            "Other"
        )
    ),
"Add")</f>
        <v>PCB</v>
      </c>
      <c r="B462" s="10" t="str">
        <f t="shared" si="8"/>
        <v>0126</v>
      </c>
      <c r="C462" s="10" t="str">
        <f>_xlfn.LET(
    _xlpm.val, IF(Datadetails[[#This Row],[Activity]]="D02","C20",Datadetails[[#This Row],[Activity]]),
    IF(ISNUMBER(MATCH(_xlpm.val,{"D04","C30","c40","C20"},0)), _xlpm.val, "Other")
)</f>
        <v>C30</v>
      </c>
      <c r="D462" s="10" t="str">
        <f>IFERROR(VLOOKUP(Datadetails[[#This Row],[Taskcode]],Dashboard!A:A,1,FALSE),"00 Err Missing")</f>
        <v>0126</v>
      </c>
      <c r="E462" s="79">
        <v>45783</v>
      </c>
      <c r="F462" s="80" t="s">
        <v>329</v>
      </c>
      <c r="G462" s="60" t="s">
        <v>40</v>
      </c>
      <c r="H462" s="80" t="s">
        <v>293</v>
      </c>
      <c r="I462" s="80" t="s">
        <v>34</v>
      </c>
      <c r="J462" s="80" t="s">
        <v>376</v>
      </c>
      <c r="K462" s="80" t="s">
        <v>347</v>
      </c>
      <c r="L462" s="80" t="s">
        <v>343</v>
      </c>
      <c r="M462" s="81">
        <v>0.33</v>
      </c>
      <c r="N462" s="82">
        <v>24.75</v>
      </c>
    </row>
    <row r="463" spans="1:14" x14ac:dyDescent="0.25">
      <c r="A463" s="10" t="str">
        <f>_xlfn.IFNA(
    IF(J463=
        "PCB-0001",
        "CSS",
        IF(
            ISNUMBER(MATCH(_xlfn.TEXTBEFORE(J463,"-"), {"CSS","CSN","PCB","PCF","BEC","CSD","PCM"}, 0)),
            _xlfn.TEXTBEFORE(J463,"-"),
            "Other"
        )
    ),
"Add")</f>
        <v>PCB</v>
      </c>
      <c r="B463" s="10" t="str">
        <f t="shared" si="8"/>
        <v>0127</v>
      </c>
      <c r="C463" s="10" t="str">
        <f>_xlfn.LET(
    _xlpm.val, IF(Datadetails[[#This Row],[Activity]]="D02","C20",Datadetails[[#This Row],[Activity]]),
    IF(ISNUMBER(MATCH(_xlpm.val,{"D04","C30","c40","C20"},0)), _xlpm.val, "Other")
)</f>
        <v>C30</v>
      </c>
      <c r="D463" s="10" t="str">
        <f>IFERROR(VLOOKUP(Datadetails[[#This Row],[Taskcode]],Dashboard!A:A,1,FALSE),"00 Err Missing")</f>
        <v>0127</v>
      </c>
      <c r="E463" s="79">
        <v>45783</v>
      </c>
      <c r="F463" s="80" t="s">
        <v>329</v>
      </c>
      <c r="G463" s="60" t="s">
        <v>40</v>
      </c>
      <c r="H463" s="80" t="s">
        <v>294</v>
      </c>
      <c r="I463" s="80" t="s">
        <v>34</v>
      </c>
      <c r="J463" s="80" t="s">
        <v>377</v>
      </c>
      <c r="K463" s="80" t="s">
        <v>347</v>
      </c>
      <c r="L463" s="80" t="s">
        <v>343</v>
      </c>
      <c r="M463" s="81">
        <v>0.08</v>
      </c>
      <c r="N463" s="82">
        <v>6</v>
      </c>
    </row>
    <row r="464" spans="1:14" x14ac:dyDescent="0.25">
      <c r="A464" s="10" t="str">
        <f>_xlfn.IFNA(
    IF(J464=
        "PCB-0001",
        "CSS",
        IF(
            ISNUMBER(MATCH(_xlfn.TEXTBEFORE(J464,"-"), {"CSS","CSN","PCB","PCF","BEC","CSD","PCM"}, 0)),
            _xlfn.TEXTBEFORE(J464,"-"),
            "Other"
        )
    ),
"Add")</f>
        <v>PCB</v>
      </c>
      <c r="B464" s="10" t="str">
        <f t="shared" si="8"/>
        <v>0128</v>
      </c>
      <c r="C464" s="10" t="str">
        <f>_xlfn.LET(
    _xlpm.val, IF(Datadetails[[#This Row],[Activity]]="D02","C20",Datadetails[[#This Row],[Activity]]),
    IF(ISNUMBER(MATCH(_xlpm.val,{"D04","C30","c40","C20"},0)), _xlpm.val, "Other")
)</f>
        <v>C30</v>
      </c>
      <c r="D464" s="10" t="str">
        <f>IFERROR(VLOOKUP(Datadetails[[#This Row],[Taskcode]],Dashboard!A:A,1,FALSE),"00 Err Missing")</f>
        <v>0128</v>
      </c>
      <c r="E464" s="79">
        <v>45783</v>
      </c>
      <c r="F464" s="80" t="s">
        <v>329</v>
      </c>
      <c r="G464" s="60" t="s">
        <v>40</v>
      </c>
      <c r="H464" s="80" t="s">
        <v>295</v>
      </c>
      <c r="I464" s="80" t="s">
        <v>34</v>
      </c>
      <c r="J464" s="80" t="s">
        <v>379</v>
      </c>
      <c r="K464" s="80" t="s">
        <v>347</v>
      </c>
      <c r="L464" s="80" t="s">
        <v>343</v>
      </c>
      <c r="M464" s="81">
        <v>0.17</v>
      </c>
      <c r="N464" s="82">
        <v>12.750000000000002</v>
      </c>
    </row>
    <row r="465" spans="1:14" x14ac:dyDescent="0.25">
      <c r="A465" s="10" t="str">
        <f>_xlfn.IFNA(
    IF(J465=
        "PCB-0001",
        "CSS",
        IF(
            ISNUMBER(MATCH(_xlfn.TEXTBEFORE(J465,"-"), {"CSS","CSN","PCB","PCF","BEC","CSD","PCM"}, 0)),
            _xlfn.TEXTBEFORE(J465,"-"),
            "Other"
        )
    ),
"Add")</f>
        <v>PCB</v>
      </c>
      <c r="B465" s="10" t="str">
        <f t="shared" si="8"/>
        <v>0085</v>
      </c>
      <c r="C465" s="10" t="str">
        <f>_xlfn.LET(
    _xlpm.val, IF(Datadetails[[#This Row],[Activity]]="D02","C20",Datadetails[[#This Row],[Activity]]),
    IF(ISNUMBER(MATCH(_xlpm.val,{"D04","C30","c40","C20"},0)), _xlpm.val, "Other")
)</f>
        <v>C30</v>
      </c>
      <c r="D465" s="10" t="str">
        <f>IFERROR(VLOOKUP(Datadetails[[#This Row],[Taskcode]],Dashboard!A:A,1,FALSE),"00 Err Missing")</f>
        <v>0085</v>
      </c>
      <c r="E465" s="79">
        <v>45783</v>
      </c>
      <c r="F465" s="80" t="s">
        <v>330</v>
      </c>
      <c r="G465" s="60" t="s">
        <v>40</v>
      </c>
      <c r="H465" s="80" t="s">
        <v>252</v>
      </c>
      <c r="I465" s="80" t="s">
        <v>34</v>
      </c>
      <c r="J465" s="80" t="s">
        <v>416</v>
      </c>
      <c r="K465" s="80" t="s">
        <v>347</v>
      </c>
      <c r="L465" s="80" t="s">
        <v>343</v>
      </c>
      <c r="M465" s="81">
        <v>0.25</v>
      </c>
      <c r="N465" s="82">
        <v>15</v>
      </c>
    </row>
    <row r="466" spans="1:14" x14ac:dyDescent="0.25">
      <c r="A466" s="10" t="str">
        <f>_xlfn.IFNA(
    IF(J466=
        "PCB-0001",
        "CSS",
        IF(
            ISNUMBER(MATCH(_xlfn.TEXTBEFORE(J466,"-"), {"CSS","CSN","PCB","PCF","BEC","CSD","PCM"}, 0)),
            _xlfn.TEXTBEFORE(J466,"-"),
            "Other"
        )
    ),
"Add")</f>
        <v>PCB</v>
      </c>
      <c r="B466" s="10" t="str">
        <f t="shared" si="8"/>
        <v>0082</v>
      </c>
      <c r="C466" s="10" t="str">
        <f>_xlfn.LET(
    _xlpm.val, IF(Datadetails[[#This Row],[Activity]]="D02","C20",Datadetails[[#This Row],[Activity]]),
    IF(ISNUMBER(MATCH(_xlpm.val,{"D04","C30","c40","C20"},0)), _xlpm.val, "Other")
)</f>
        <v>C30</v>
      </c>
      <c r="D466" s="10" t="str">
        <f>IFERROR(VLOOKUP(Datadetails[[#This Row],[Taskcode]],Dashboard!A:A,1,FALSE),"00 Err Missing")</f>
        <v>0082</v>
      </c>
      <c r="E466" s="79">
        <v>45783</v>
      </c>
      <c r="F466" s="80" t="s">
        <v>325</v>
      </c>
      <c r="G466" s="60" t="s">
        <v>40</v>
      </c>
      <c r="H466" s="80" t="s">
        <v>249</v>
      </c>
      <c r="I466" s="80" t="s">
        <v>34</v>
      </c>
      <c r="J466" s="80" t="s">
        <v>409</v>
      </c>
      <c r="K466" s="80" t="s">
        <v>347</v>
      </c>
      <c r="L466" s="80" t="s">
        <v>343</v>
      </c>
      <c r="M466" s="81">
        <v>0.17</v>
      </c>
      <c r="N466" s="82">
        <v>12.750000000000002</v>
      </c>
    </row>
    <row r="467" spans="1:14" x14ac:dyDescent="0.25">
      <c r="A467" s="10" t="str">
        <f>_xlfn.IFNA(
    IF(J467=
        "PCB-0001",
        "CSS",
        IF(
            ISNUMBER(MATCH(_xlfn.TEXTBEFORE(J467,"-"), {"CSS","CSN","PCB","PCF","BEC","CSD","PCM"}, 0)),
            _xlfn.TEXTBEFORE(J467,"-"),
            "Other"
        )
    ),
"Add")</f>
        <v>PCB</v>
      </c>
      <c r="B467" s="10" t="str">
        <f t="shared" si="8"/>
        <v>0081</v>
      </c>
      <c r="C467" s="10" t="str">
        <f>_xlfn.LET(
    _xlpm.val, IF(Datadetails[[#This Row],[Activity]]="D02","C20",Datadetails[[#This Row],[Activity]]),
    IF(ISNUMBER(MATCH(_xlpm.val,{"D04","C30","c40","C20"},0)), _xlpm.val, "Other")
)</f>
        <v>C30</v>
      </c>
      <c r="D467" s="10" t="str">
        <f>IFERROR(VLOOKUP(Datadetails[[#This Row],[Taskcode]],Dashboard!A:A,1,FALSE),"00 Err Missing")</f>
        <v>0081</v>
      </c>
      <c r="E467" s="79">
        <v>45783</v>
      </c>
      <c r="F467" s="80" t="s">
        <v>329</v>
      </c>
      <c r="G467" s="60" t="s">
        <v>40</v>
      </c>
      <c r="H467" s="80" t="s">
        <v>248</v>
      </c>
      <c r="I467" s="80" t="s">
        <v>34</v>
      </c>
      <c r="J467" s="80" t="s">
        <v>385</v>
      </c>
      <c r="K467" s="80" t="s">
        <v>347</v>
      </c>
      <c r="L467" s="80" t="s">
        <v>343</v>
      </c>
      <c r="M467" s="81">
        <v>0.17</v>
      </c>
      <c r="N467" s="82">
        <v>12.750000000000002</v>
      </c>
    </row>
    <row r="468" spans="1:14" x14ac:dyDescent="0.25">
      <c r="A468" s="10" t="str">
        <f>_xlfn.IFNA(
    IF(J468=
        "PCB-0001",
        "CSS",
        IF(
            ISNUMBER(MATCH(_xlfn.TEXTBEFORE(J468,"-"), {"CSS","CSN","PCB","PCF","BEC","CSD","PCM"}, 0)),
            _xlfn.TEXTBEFORE(J468,"-"),
            "Other"
        )
    ),
"Add")</f>
        <v>PCB</v>
      </c>
      <c r="B468" s="10" t="str">
        <f t="shared" si="8"/>
        <v>0101</v>
      </c>
      <c r="C468" s="10" t="str">
        <f>_xlfn.LET(
    _xlpm.val, IF(Datadetails[[#This Row],[Activity]]="D02","C20",Datadetails[[#This Row],[Activity]]),
    IF(ISNUMBER(MATCH(_xlpm.val,{"D04","C30","c40","C20"},0)), _xlpm.val, "Other")
)</f>
        <v>C30</v>
      </c>
      <c r="D468" s="10" t="str">
        <f>IFERROR(VLOOKUP(Datadetails[[#This Row],[Taskcode]],Dashboard!A:A,1,FALSE),"00 Err Missing")</f>
        <v>0101</v>
      </c>
      <c r="E468" s="79">
        <v>45783</v>
      </c>
      <c r="F468" s="80" t="s">
        <v>329</v>
      </c>
      <c r="G468" s="60" t="s">
        <v>40</v>
      </c>
      <c r="H468" s="80" t="s">
        <v>268</v>
      </c>
      <c r="I468" s="80" t="s">
        <v>34</v>
      </c>
      <c r="J468" s="80" t="s">
        <v>386</v>
      </c>
      <c r="K468" s="80" t="s">
        <v>347</v>
      </c>
      <c r="L468" s="80" t="s">
        <v>343</v>
      </c>
      <c r="M468" s="81">
        <v>0.17</v>
      </c>
      <c r="N468" s="82">
        <v>12.750000000000002</v>
      </c>
    </row>
    <row r="469" spans="1:14" x14ac:dyDescent="0.25">
      <c r="A469" s="10" t="str">
        <f>_xlfn.IFNA(
    IF(J469=
        "PCB-0001",
        "CSS",
        IF(
            ISNUMBER(MATCH(_xlfn.TEXTBEFORE(J469,"-"), {"CSS","CSN","PCB","PCF","BEC","CSD","PCM"}, 0)),
            _xlfn.TEXTBEFORE(J469,"-"),
            "Other"
        )
    ),
"Add")</f>
        <v>PCF</v>
      </c>
      <c r="B469" s="10" t="str">
        <f t="shared" si="8"/>
        <v>0040</v>
      </c>
      <c r="C469" s="10" t="str">
        <f>_xlfn.LET(
    _xlpm.val, IF(Datadetails[[#This Row],[Activity]]="D02","C20",Datadetails[[#This Row],[Activity]]),
    IF(ISNUMBER(MATCH(_xlpm.val,{"D04","C30","c40","C20"},0)), _xlpm.val, "Other")
)</f>
        <v>C30</v>
      </c>
      <c r="D469" s="10" t="str">
        <f>IFERROR(VLOOKUP(Datadetails[[#This Row],[Taskcode]],Dashboard!A:A,1,FALSE),"00 Err Missing")</f>
        <v>0040</v>
      </c>
      <c r="E469" s="79">
        <v>45783</v>
      </c>
      <c r="F469" s="80" t="s">
        <v>326</v>
      </c>
      <c r="G469" s="60" t="s">
        <v>40</v>
      </c>
      <c r="H469" s="80" t="s">
        <v>207</v>
      </c>
      <c r="I469" s="80" t="s">
        <v>34</v>
      </c>
      <c r="J469" s="80" t="s">
        <v>417</v>
      </c>
      <c r="K469" s="80" t="s">
        <v>348</v>
      </c>
      <c r="L469" s="80" t="s">
        <v>343</v>
      </c>
      <c r="M469" s="81">
        <v>0.92</v>
      </c>
      <c r="N469" s="82">
        <v>55.2</v>
      </c>
    </row>
    <row r="470" spans="1:14" x14ac:dyDescent="0.25">
      <c r="A470" s="10" t="str">
        <f>_xlfn.IFNA(
    IF(J470=
        "PCB-0001",
        "CSS",
        IF(
            ISNUMBER(MATCH(_xlfn.TEXTBEFORE(J470,"-"), {"CSS","CSN","PCB","PCF","BEC","CSD","PCM"}, 0)),
            _xlfn.TEXTBEFORE(J470,"-"),
            "Other"
        )
    ),
"Add")</f>
        <v>BEC</v>
      </c>
      <c r="B470" s="10" t="str">
        <f t="shared" si="8"/>
        <v>0001</v>
      </c>
      <c r="C470" s="10" t="str">
        <f>_xlfn.LET(
    _xlpm.val, IF(Datadetails[[#This Row],[Activity]]="D02","C20",Datadetails[[#This Row],[Activity]]),
    IF(ISNUMBER(MATCH(_xlpm.val,{"D04","C30","c40","C20"},0)), _xlpm.val, "Other")
)</f>
        <v>D04</v>
      </c>
      <c r="D470" s="10" t="str">
        <f>IFERROR(VLOOKUP(Datadetails[[#This Row],[Taskcode]],Dashboard!A:A,1,FALSE),"00 Err Missing")</f>
        <v>0001</v>
      </c>
      <c r="E470" s="79">
        <v>45783</v>
      </c>
      <c r="F470" s="80" t="s">
        <v>332</v>
      </c>
      <c r="G470" s="60" t="s">
        <v>40</v>
      </c>
      <c r="H470" s="80" t="s">
        <v>314</v>
      </c>
      <c r="I470" s="80" t="s">
        <v>35</v>
      </c>
      <c r="J470" s="80" t="s">
        <v>359</v>
      </c>
      <c r="K470" s="80" t="s">
        <v>339</v>
      </c>
      <c r="L470" s="80" t="s">
        <v>352</v>
      </c>
      <c r="M470" s="81">
        <v>8.5</v>
      </c>
      <c r="N470" s="82">
        <v>340</v>
      </c>
    </row>
    <row r="471" spans="1:14" x14ac:dyDescent="0.25">
      <c r="A471" s="10" t="str">
        <f>_xlfn.IFNA(
    IF(J471=
        "PCB-0001",
        "CSS",
        IF(
            ISNUMBER(MATCH(_xlfn.TEXTBEFORE(J471,"-"), {"CSS","CSN","PCB","PCF","BEC","CSD","PCM"}, 0)),
            _xlfn.TEXTBEFORE(J471,"-"),
            "Other"
        )
    ),
"Add")</f>
        <v>BEC</v>
      </c>
      <c r="B471" s="10" t="str">
        <f t="shared" si="8"/>
        <v>0001</v>
      </c>
      <c r="C471" s="10" t="str">
        <f>_xlfn.LET(
    _xlpm.val, IF(Datadetails[[#This Row],[Activity]]="D02","C20",Datadetails[[#This Row],[Activity]]),
    IF(ISNUMBER(MATCH(_xlpm.val,{"D04","C30","c40","C20"},0)), _xlpm.val, "Other")
)</f>
        <v>D04</v>
      </c>
      <c r="D471" s="10" t="str">
        <f>IFERROR(VLOOKUP(Datadetails[[#This Row],[Taskcode]],Dashboard!A:A,1,FALSE),"00 Err Missing")</f>
        <v>0001</v>
      </c>
      <c r="E471" s="79">
        <v>45783</v>
      </c>
      <c r="F471" s="80" t="s">
        <v>324</v>
      </c>
      <c r="G471" s="60" t="s">
        <v>40</v>
      </c>
      <c r="H471" s="80" t="s">
        <v>314</v>
      </c>
      <c r="I471" s="80" t="s">
        <v>35</v>
      </c>
      <c r="J471" s="80" t="s">
        <v>359</v>
      </c>
      <c r="K471" s="80" t="s">
        <v>339</v>
      </c>
      <c r="L471" s="80" t="s">
        <v>352</v>
      </c>
      <c r="M471" s="81">
        <v>8</v>
      </c>
      <c r="N471" s="82">
        <v>600</v>
      </c>
    </row>
    <row r="472" spans="1:14" x14ac:dyDescent="0.25">
      <c r="A472" s="10" t="str">
        <f>_xlfn.IFNA(
    IF(J472=
        "PCB-0001",
        "CSS",
        IF(
            ISNUMBER(MATCH(_xlfn.TEXTBEFORE(J472,"-"), {"CSS","CSN","PCB","PCF","BEC","CSD","PCM"}, 0)),
            _xlfn.TEXTBEFORE(J472,"-"),
            "Other"
        )
    ),
"Add")</f>
        <v>PCB</v>
      </c>
      <c r="B472" s="10" t="str">
        <f t="shared" si="8"/>
        <v>0019</v>
      </c>
      <c r="C472" s="10" t="str">
        <f>_xlfn.LET(
    _xlpm.val, IF(Datadetails[[#This Row],[Activity]]="D02","C20",Datadetails[[#This Row],[Activity]]),
    IF(ISNUMBER(MATCH(_xlpm.val,{"D04","C30","c40","C20"},0)), _xlpm.val, "Other")
)</f>
        <v>C40</v>
      </c>
      <c r="D472" s="10" t="str">
        <f>IFERROR(VLOOKUP(Datadetails[[#This Row],[Taskcode]],Dashboard!A:A,1,FALSE),"00 Err Missing")</f>
        <v>0019</v>
      </c>
      <c r="E472" s="79">
        <v>45784</v>
      </c>
      <c r="F472" s="80" t="s">
        <v>329</v>
      </c>
      <c r="G472" s="60" t="s">
        <v>40</v>
      </c>
      <c r="H472" s="80" t="s">
        <v>186</v>
      </c>
      <c r="I472" s="80" t="s">
        <v>341</v>
      </c>
      <c r="J472" s="80" t="s">
        <v>397</v>
      </c>
      <c r="K472" s="80" t="s">
        <v>347</v>
      </c>
      <c r="L472" s="80" t="s">
        <v>344</v>
      </c>
      <c r="M472" s="81">
        <v>1.5</v>
      </c>
      <c r="N472" s="82">
        <v>112.5</v>
      </c>
    </row>
    <row r="473" spans="1:14" x14ac:dyDescent="0.25">
      <c r="A473" s="10" t="str">
        <f>_xlfn.IFNA(
    IF(J473=
        "PCB-0001",
        "CSS",
        IF(
            ISNUMBER(MATCH(_xlfn.TEXTBEFORE(J473,"-"), {"CSS","CSN","PCB","PCF","BEC","CSD","PCM"}, 0)),
            _xlfn.TEXTBEFORE(J473,"-"),
            "Other"
        )
    ),
"Add")</f>
        <v>PCM</v>
      </c>
      <c r="B473" s="10" t="str">
        <f t="shared" si="8"/>
        <v>0002</v>
      </c>
      <c r="C473" s="10" t="str">
        <f>_xlfn.LET(
    _xlpm.val, IF(Datadetails[[#This Row],[Activity]]="D02","C20",Datadetails[[#This Row],[Activity]]),
    IF(ISNUMBER(MATCH(_xlpm.val,{"D04","C30","c40","C20"},0)), _xlpm.val, "Other")
)</f>
        <v>C20</v>
      </c>
      <c r="D473" s="10" t="str">
        <f>IFERROR(VLOOKUP(Datadetails[[#This Row],[Taskcode]],Dashboard!A:A,1,FALSE),"00 Err Missing")</f>
        <v>0002</v>
      </c>
      <c r="E473" s="79">
        <v>45784</v>
      </c>
      <c r="F473" s="80" t="s">
        <v>323</v>
      </c>
      <c r="G473" s="60" t="s">
        <v>40</v>
      </c>
      <c r="H473" s="80" t="s">
        <v>169</v>
      </c>
      <c r="I473" s="80" t="s">
        <v>36</v>
      </c>
      <c r="J473" s="80" t="s">
        <v>433</v>
      </c>
      <c r="K473" s="80" t="s">
        <v>346</v>
      </c>
      <c r="L473" s="80" t="s">
        <v>342</v>
      </c>
      <c r="M473" s="81">
        <v>0.25</v>
      </c>
      <c r="N473" s="82">
        <v>15</v>
      </c>
    </row>
    <row r="474" spans="1:14" x14ac:dyDescent="0.25">
      <c r="A474" s="10" t="str">
        <f>_xlfn.IFNA(
    IF(J474=
        "PCB-0001",
        "CSS",
        IF(
            ISNUMBER(MATCH(_xlfn.TEXTBEFORE(J474,"-"), {"CSS","CSN","PCB","PCF","BEC","CSD","PCM"}, 0)),
            _xlfn.TEXTBEFORE(J474,"-"),
            "Other"
        )
    ),
"Add")</f>
        <v>PCM</v>
      </c>
      <c r="B474" s="10" t="str">
        <f t="shared" si="8"/>
        <v>0035</v>
      </c>
      <c r="C474" s="10" t="str">
        <f>_xlfn.LET(
    _xlpm.val, IF(Datadetails[[#This Row],[Activity]]="D02","C20",Datadetails[[#This Row],[Activity]]),
    IF(ISNUMBER(MATCH(_xlpm.val,{"D04","C30","c40","C20"},0)), _xlpm.val, "Other")
)</f>
        <v>C20</v>
      </c>
      <c r="D474" s="10" t="str">
        <f>IFERROR(VLOOKUP(Datadetails[[#This Row],[Taskcode]],Dashboard!A:A,1,FALSE),"00 Err Missing")</f>
        <v>0035</v>
      </c>
      <c r="E474" s="79">
        <v>45784</v>
      </c>
      <c r="F474" s="80" t="s">
        <v>323</v>
      </c>
      <c r="G474" s="60" t="s">
        <v>40</v>
      </c>
      <c r="H474" s="80" t="s">
        <v>202</v>
      </c>
      <c r="I474" s="80" t="s">
        <v>36</v>
      </c>
      <c r="J474" s="80" t="s">
        <v>431</v>
      </c>
      <c r="K474" s="80" t="s">
        <v>346</v>
      </c>
      <c r="L474" s="80" t="s">
        <v>342</v>
      </c>
      <c r="M474" s="81">
        <v>0.25</v>
      </c>
      <c r="N474" s="82">
        <v>15</v>
      </c>
    </row>
    <row r="475" spans="1:14" x14ac:dyDescent="0.25">
      <c r="A475" s="10" t="str">
        <f>_xlfn.IFNA(
    IF(J475=
        "PCB-0001",
        "CSS",
        IF(
            ISNUMBER(MATCH(_xlfn.TEXTBEFORE(J475,"-"), {"CSS","CSN","PCB","PCF","BEC","CSD","PCM"}, 0)),
            _xlfn.TEXTBEFORE(J475,"-"),
            "Other"
        )
    ),
"Add")</f>
        <v>CSN</v>
      </c>
      <c r="B475" s="10" t="str">
        <f t="shared" si="8"/>
        <v>0001</v>
      </c>
      <c r="C475" s="10" t="str">
        <f>_xlfn.LET(
    _xlpm.val, IF(Datadetails[[#This Row],[Activity]]="D02","C20",Datadetails[[#This Row],[Activity]]),
    IF(ISNUMBER(MATCH(_xlpm.val,{"D04","C30","c40","C20"},0)), _xlpm.val, "Other")
)</f>
        <v>D04</v>
      </c>
      <c r="D475" s="10" t="str">
        <f>IFERROR(VLOOKUP(Datadetails[[#This Row],[Taskcode]],Dashboard!A:A,1,FALSE),"00 Err Missing")</f>
        <v>0001</v>
      </c>
      <c r="E475" s="79">
        <v>45784</v>
      </c>
      <c r="F475" s="80" t="s">
        <v>329</v>
      </c>
      <c r="G475" s="60" t="s">
        <v>40</v>
      </c>
      <c r="H475" s="80" t="s">
        <v>316</v>
      </c>
      <c r="I475" s="80" t="s">
        <v>35</v>
      </c>
      <c r="J475" s="80" t="s">
        <v>338</v>
      </c>
      <c r="K475" s="80" t="s">
        <v>337</v>
      </c>
      <c r="L475" s="80" t="s">
        <v>352</v>
      </c>
      <c r="M475" s="81">
        <v>0.5</v>
      </c>
      <c r="N475" s="82">
        <v>37.5</v>
      </c>
    </row>
    <row r="476" spans="1:14" x14ac:dyDescent="0.25">
      <c r="A476" s="10" t="str">
        <f>_xlfn.IFNA(
    IF(J476=
        "PCB-0001",
        "CSS",
        IF(
            ISNUMBER(MATCH(_xlfn.TEXTBEFORE(J476,"-"), {"CSS","CSN","PCB","PCF","BEC","CSD","PCM"}, 0)),
            _xlfn.TEXTBEFORE(J476,"-"),
            "Other"
        )
    ),
"Add")</f>
        <v>CSD</v>
      </c>
      <c r="B476" s="10" t="str">
        <f t="shared" si="8"/>
        <v>0001</v>
      </c>
      <c r="C476" s="10" t="str">
        <f>_xlfn.LET(
    _xlpm.val, IF(Datadetails[[#This Row],[Activity]]="D02","C20",Datadetails[[#This Row],[Activity]]),
    IF(ISNUMBER(MATCH(_xlpm.val,{"D04","C30","c40","C20"},0)), _xlpm.val, "Other")
)</f>
        <v>D04</v>
      </c>
      <c r="D476" s="10" t="str">
        <f>IFERROR(VLOOKUP(Datadetails[[#This Row],[Taskcode]],Dashboard!A:A,1,FALSE),"00 Err Missing")</f>
        <v>0001</v>
      </c>
      <c r="E476" s="79">
        <v>45784</v>
      </c>
      <c r="F476" s="80" t="s">
        <v>327</v>
      </c>
      <c r="G476" s="60" t="s">
        <v>40</v>
      </c>
      <c r="H476" s="80" t="s">
        <v>320</v>
      </c>
      <c r="I476" s="80" t="s">
        <v>35</v>
      </c>
      <c r="J476" s="80" t="s">
        <v>322</v>
      </c>
      <c r="K476" s="80" t="s">
        <v>319</v>
      </c>
      <c r="L476" s="80" t="s">
        <v>352</v>
      </c>
      <c r="M476" s="81">
        <v>2.25</v>
      </c>
      <c r="N476" s="82">
        <v>72</v>
      </c>
    </row>
    <row r="477" spans="1:14" x14ac:dyDescent="0.25">
      <c r="A477" s="10" t="str">
        <f>_xlfn.IFNA(
    IF(J477=
        "PCB-0001",
        "CSS",
        IF(
            ISNUMBER(MATCH(_xlfn.TEXTBEFORE(J477,"-"), {"CSS","CSN","PCB","PCF","BEC","CSD","PCM"}, 0)),
            _xlfn.TEXTBEFORE(J477,"-"),
            "Other"
        )
    ),
"Add")</f>
        <v>CSD</v>
      </c>
      <c r="B477" s="10" t="str">
        <f t="shared" si="8"/>
        <v>0001</v>
      </c>
      <c r="C477" s="10" t="str">
        <f>_xlfn.LET(
    _xlpm.val, IF(Datadetails[[#This Row],[Activity]]="D02","C20",Datadetails[[#This Row],[Activity]]),
    IF(ISNUMBER(MATCH(_xlpm.val,{"D04","C30","c40","C20"},0)), _xlpm.val, "Other")
)</f>
        <v>D04</v>
      </c>
      <c r="D477" s="10" t="str">
        <f>IFERROR(VLOOKUP(Datadetails[[#This Row],[Taskcode]],Dashboard!A:A,1,FALSE),"00 Err Missing")</f>
        <v>0001</v>
      </c>
      <c r="E477" s="79">
        <v>45784</v>
      </c>
      <c r="F477" s="80" t="s">
        <v>333</v>
      </c>
      <c r="G477" s="60" t="s">
        <v>40</v>
      </c>
      <c r="H477" s="80" t="s">
        <v>320</v>
      </c>
      <c r="I477" s="80" t="s">
        <v>35</v>
      </c>
      <c r="J477" s="80" t="s">
        <v>322</v>
      </c>
      <c r="K477" s="80" t="s">
        <v>319</v>
      </c>
      <c r="L477" s="80" t="s">
        <v>352</v>
      </c>
      <c r="M477" s="81">
        <v>3.07</v>
      </c>
      <c r="N477" s="82">
        <v>98.24</v>
      </c>
    </row>
    <row r="478" spans="1:14" x14ac:dyDescent="0.25">
      <c r="A478" s="10" t="str">
        <f>_xlfn.IFNA(
    IF(J478=
        "PCB-0001",
        "CSS",
        IF(
            ISNUMBER(MATCH(_xlfn.TEXTBEFORE(J478,"-"), {"CSS","CSN","PCB","PCF","BEC","CSD","PCM"}, 0)),
            _xlfn.TEXTBEFORE(J478,"-"),
            "Other"
        )
    ),
"Add")</f>
        <v>PCB</v>
      </c>
      <c r="B478" s="10" t="str">
        <f t="shared" si="8"/>
        <v>0019</v>
      </c>
      <c r="C478" s="10" t="str">
        <f>_xlfn.LET(
    _xlpm.val, IF(Datadetails[[#This Row],[Activity]]="D02","C20",Datadetails[[#This Row],[Activity]]),
    IF(ISNUMBER(MATCH(_xlpm.val,{"D04","C30","c40","C20"},0)), _xlpm.val, "Other")
)</f>
        <v>C30</v>
      </c>
      <c r="D478" s="10" t="str">
        <f>IFERROR(VLOOKUP(Datadetails[[#This Row],[Taskcode]],Dashboard!A:A,1,FALSE),"00 Err Missing")</f>
        <v>0019</v>
      </c>
      <c r="E478" s="79">
        <v>45784</v>
      </c>
      <c r="F478" s="80" t="s">
        <v>329</v>
      </c>
      <c r="G478" s="60" t="s">
        <v>40</v>
      </c>
      <c r="H478" s="80" t="s">
        <v>186</v>
      </c>
      <c r="I478" s="80" t="s">
        <v>34</v>
      </c>
      <c r="J478" s="80" t="s">
        <v>397</v>
      </c>
      <c r="K478" s="80" t="s">
        <v>347</v>
      </c>
      <c r="L478" s="80" t="s">
        <v>343</v>
      </c>
      <c r="M478" s="81">
        <v>0.17</v>
      </c>
      <c r="N478" s="82">
        <v>12.750000000000002</v>
      </c>
    </row>
    <row r="479" spans="1:14" x14ac:dyDescent="0.25">
      <c r="A479" s="10" t="str">
        <f>_xlfn.IFNA(
    IF(J479=
        "PCB-0001",
        "CSS",
        IF(
            ISNUMBER(MATCH(_xlfn.TEXTBEFORE(J479,"-"), {"CSS","CSN","PCB","PCF","BEC","CSD","PCM"}, 0)),
            _xlfn.TEXTBEFORE(J479,"-"),
            "Other"
        )
    ),
"Add")</f>
        <v>BEC</v>
      </c>
      <c r="B479" s="10" t="str">
        <f t="shared" si="8"/>
        <v>0001</v>
      </c>
      <c r="C479" s="10" t="str">
        <f>_xlfn.LET(
    _xlpm.val, IF(Datadetails[[#This Row],[Activity]]="D02","C20",Datadetails[[#This Row],[Activity]]),
    IF(ISNUMBER(MATCH(_xlpm.val,{"D04","C30","c40","C20"},0)), _xlpm.val, "Other")
)</f>
        <v>D04</v>
      </c>
      <c r="D479" s="10" t="str">
        <f>IFERROR(VLOOKUP(Datadetails[[#This Row],[Taskcode]],Dashboard!A:A,1,FALSE),"00 Err Missing")</f>
        <v>0001</v>
      </c>
      <c r="E479" s="79">
        <v>45784</v>
      </c>
      <c r="F479" s="80" t="s">
        <v>332</v>
      </c>
      <c r="G479" s="60" t="s">
        <v>40</v>
      </c>
      <c r="H479" s="80" t="s">
        <v>314</v>
      </c>
      <c r="I479" s="80" t="s">
        <v>35</v>
      </c>
      <c r="J479" s="80" t="s">
        <v>359</v>
      </c>
      <c r="K479" s="80" t="s">
        <v>339</v>
      </c>
      <c r="L479" s="80" t="s">
        <v>352</v>
      </c>
      <c r="M479" s="81">
        <v>4.83</v>
      </c>
      <c r="N479" s="82">
        <v>193.2</v>
      </c>
    </row>
    <row r="480" spans="1:14" x14ac:dyDescent="0.25">
      <c r="A480" s="10" t="str">
        <f>_xlfn.IFNA(
    IF(J480=
        "PCB-0001",
        "CSS",
        IF(
            ISNUMBER(MATCH(_xlfn.TEXTBEFORE(J480,"-"), {"CSS","CSN","PCB","PCF","BEC","CSD","PCM"}, 0)),
            _xlfn.TEXTBEFORE(J480,"-"),
            "Other"
        )
    ),
"Add")</f>
        <v>BEC</v>
      </c>
      <c r="B480" s="10" t="str">
        <f t="shared" si="8"/>
        <v>0001</v>
      </c>
      <c r="C480" s="10" t="str">
        <f>_xlfn.LET(
    _xlpm.val, IF(Datadetails[[#This Row],[Activity]]="D02","C20",Datadetails[[#This Row],[Activity]]),
    IF(ISNUMBER(MATCH(_xlpm.val,{"D04","C30","c40","C20"},0)), _xlpm.val, "Other")
)</f>
        <v>D04</v>
      </c>
      <c r="D480" s="10" t="str">
        <f>IFERROR(VLOOKUP(Datadetails[[#This Row],[Taskcode]],Dashboard!A:A,1,FALSE),"00 Err Missing")</f>
        <v>0001</v>
      </c>
      <c r="E480" s="79">
        <v>45784</v>
      </c>
      <c r="F480" s="80" t="s">
        <v>324</v>
      </c>
      <c r="G480" s="60" t="s">
        <v>40</v>
      </c>
      <c r="H480" s="80" t="s">
        <v>314</v>
      </c>
      <c r="I480" s="80" t="s">
        <v>35</v>
      </c>
      <c r="J480" s="80" t="s">
        <v>359</v>
      </c>
      <c r="K480" s="80" t="s">
        <v>339</v>
      </c>
      <c r="L480" s="80" t="s">
        <v>352</v>
      </c>
      <c r="M480" s="81">
        <v>2.75</v>
      </c>
      <c r="N480" s="82">
        <v>206.25</v>
      </c>
    </row>
    <row r="481" spans="1:14" x14ac:dyDescent="0.25">
      <c r="A481" s="10" t="str">
        <f>_xlfn.IFNA(
    IF(J481=
        "PCB-0001",
        "CSS",
        IF(
            ISNUMBER(MATCH(_xlfn.TEXTBEFORE(J481,"-"), {"CSS","CSN","PCB","PCF","BEC","CSD","PCM"}, 0)),
            _xlfn.TEXTBEFORE(J481,"-"),
            "Other"
        )
    ),
"Add")</f>
        <v>PCB</v>
      </c>
      <c r="B481" s="10" t="str">
        <f t="shared" si="8"/>
        <v>0080</v>
      </c>
      <c r="C481" s="10" t="str">
        <f>_xlfn.LET(
    _xlpm.val, IF(Datadetails[[#This Row],[Activity]]="D02","C20",Datadetails[[#This Row],[Activity]]),
    IF(ISNUMBER(MATCH(_xlpm.val,{"D04","C30","c40","C20"},0)), _xlpm.val, "Other")
)</f>
        <v>C40</v>
      </c>
      <c r="D481" s="10" t="str">
        <f>IFERROR(VLOOKUP(Datadetails[[#This Row],[Taskcode]],Dashboard!A:A,1,FALSE),"00 Err Missing")</f>
        <v>0080</v>
      </c>
      <c r="E481" s="79">
        <v>45785</v>
      </c>
      <c r="F481" s="80" t="s">
        <v>329</v>
      </c>
      <c r="G481" s="60" t="s">
        <v>40</v>
      </c>
      <c r="H481" s="80" t="s">
        <v>247</v>
      </c>
      <c r="I481" s="80" t="s">
        <v>341</v>
      </c>
      <c r="J481" s="80" t="s">
        <v>375</v>
      </c>
      <c r="K481" s="80" t="s">
        <v>347</v>
      </c>
      <c r="L481" s="80" t="s">
        <v>344</v>
      </c>
      <c r="M481" s="81">
        <v>2.25</v>
      </c>
      <c r="N481" s="82">
        <v>168.75</v>
      </c>
    </row>
    <row r="482" spans="1:14" x14ac:dyDescent="0.25">
      <c r="A482" s="10" t="str">
        <f>_xlfn.IFNA(
    IF(J482=
        "PCB-0001",
        "CSS",
        IF(
            ISNUMBER(MATCH(_xlfn.TEXTBEFORE(J482,"-"), {"CSS","CSN","PCB","PCF","BEC","CSD","PCM"}, 0)),
            _xlfn.TEXTBEFORE(J482,"-"),
            "Other"
        )
    ),
"Add")</f>
        <v>PCM</v>
      </c>
      <c r="B482" s="10" t="str">
        <f t="shared" si="8"/>
        <v>0002</v>
      </c>
      <c r="C482" s="10" t="str">
        <f>_xlfn.LET(
    _xlpm.val, IF(Datadetails[[#This Row],[Activity]]="D02","C20",Datadetails[[#This Row],[Activity]]),
    IF(ISNUMBER(MATCH(_xlpm.val,{"D04","C30","c40","C20"},0)), _xlpm.val, "Other")
)</f>
        <v>C20</v>
      </c>
      <c r="D482" s="10" t="str">
        <f>IFERROR(VLOOKUP(Datadetails[[#This Row],[Taskcode]],Dashboard!A:A,1,FALSE),"00 Err Missing")</f>
        <v>0002</v>
      </c>
      <c r="E482" s="79">
        <v>45785</v>
      </c>
      <c r="F482" s="80" t="s">
        <v>323</v>
      </c>
      <c r="G482" s="60" t="s">
        <v>40</v>
      </c>
      <c r="H482" s="80" t="s">
        <v>169</v>
      </c>
      <c r="I482" s="80" t="s">
        <v>36</v>
      </c>
      <c r="J482" s="80" t="s">
        <v>433</v>
      </c>
      <c r="K482" s="80" t="s">
        <v>346</v>
      </c>
      <c r="L482" s="80" t="s">
        <v>342</v>
      </c>
      <c r="M482" s="81">
        <v>0.25</v>
      </c>
      <c r="N482" s="82">
        <v>15</v>
      </c>
    </row>
    <row r="483" spans="1:14" x14ac:dyDescent="0.25">
      <c r="A483" s="10" t="str">
        <f>_xlfn.IFNA(
    IF(J483=
        "PCB-0001",
        "CSS",
        IF(
            ISNUMBER(MATCH(_xlfn.TEXTBEFORE(J483,"-"), {"CSS","CSN","PCB","PCF","BEC","CSD","PCM"}, 0)),
            _xlfn.TEXTBEFORE(J483,"-"),
            "Other"
        )
    ),
"Add")</f>
        <v>CSN</v>
      </c>
      <c r="B483" s="10" t="str">
        <f t="shared" si="8"/>
        <v>0001</v>
      </c>
      <c r="C483" s="10" t="str">
        <f>_xlfn.LET(
    _xlpm.val, IF(Datadetails[[#This Row],[Activity]]="D02","C20",Datadetails[[#This Row],[Activity]]),
    IF(ISNUMBER(MATCH(_xlpm.val,{"D04","C30","c40","C20"},0)), _xlpm.val, "Other")
)</f>
        <v>D04</v>
      </c>
      <c r="D483" s="10" t="str">
        <f>IFERROR(VLOOKUP(Datadetails[[#This Row],[Taskcode]],Dashboard!A:A,1,FALSE),"00 Err Missing")</f>
        <v>0001</v>
      </c>
      <c r="E483" s="79">
        <v>45785</v>
      </c>
      <c r="F483" s="80" t="s">
        <v>329</v>
      </c>
      <c r="G483" s="60" t="s">
        <v>40</v>
      </c>
      <c r="H483" s="80" t="s">
        <v>316</v>
      </c>
      <c r="I483" s="80" t="s">
        <v>35</v>
      </c>
      <c r="J483" s="80" t="s">
        <v>338</v>
      </c>
      <c r="K483" s="80" t="s">
        <v>337</v>
      </c>
      <c r="L483" s="80" t="s">
        <v>352</v>
      </c>
      <c r="M483" s="81">
        <v>1.25</v>
      </c>
      <c r="N483" s="82">
        <v>93.75</v>
      </c>
    </row>
    <row r="484" spans="1:14" x14ac:dyDescent="0.25">
      <c r="A484" s="10" t="str">
        <f>_xlfn.IFNA(
    IF(J484=
        "PCB-0001",
        "CSS",
        IF(
            ISNUMBER(MATCH(_xlfn.TEXTBEFORE(J484,"-"), {"CSS","CSN","PCB","PCF","BEC","CSD","PCM"}, 0)),
            _xlfn.TEXTBEFORE(J484,"-"),
            "Other"
        )
    ),
"Add")</f>
        <v>CSN</v>
      </c>
      <c r="B484" s="10" t="str">
        <f t="shared" si="8"/>
        <v>0001</v>
      </c>
      <c r="C484" s="10" t="str">
        <f>_xlfn.LET(
    _xlpm.val, IF(Datadetails[[#This Row],[Activity]]="D02","C20",Datadetails[[#This Row],[Activity]]),
    IF(ISNUMBER(MATCH(_xlpm.val,{"D04","C30","c40","C20"},0)), _xlpm.val, "Other")
)</f>
        <v>D04</v>
      </c>
      <c r="D484" s="10" t="str">
        <f>IFERROR(VLOOKUP(Datadetails[[#This Row],[Taskcode]],Dashboard!A:A,1,FALSE),"00 Err Missing")</f>
        <v>0001</v>
      </c>
      <c r="E484" s="79">
        <v>45785</v>
      </c>
      <c r="F484" s="80" t="s">
        <v>331</v>
      </c>
      <c r="G484" s="60" t="s">
        <v>40</v>
      </c>
      <c r="H484" s="80" t="s">
        <v>316</v>
      </c>
      <c r="I484" s="80" t="s">
        <v>35</v>
      </c>
      <c r="J484" s="80" t="s">
        <v>338</v>
      </c>
      <c r="K484" s="80" t="s">
        <v>337</v>
      </c>
      <c r="L484" s="80" t="s">
        <v>352</v>
      </c>
      <c r="M484" s="81">
        <v>1</v>
      </c>
      <c r="N484" s="82">
        <v>32</v>
      </c>
    </row>
    <row r="485" spans="1:14" x14ac:dyDescent="0.25">
      <c r="A485" s="10" t="str">
        <f>_xlfn.IFNA(
    IF(J485=
        "PCB-0001",
        "CSS",
        IF(
            ISNUMBER(MATCH(_xlfn.TEXTBEFORE(J485,"-"), {"CSS","CSN","PCB","PCF","BEC","CSD","PCM"}, 0)),
            _xlfn.TEXTBEFORE(J485,"-"),
            "Other"
        )
    ),
"Add")</f>
        <v>CSD</v>
      </c>
      <c r="B485" s="10" t="str">
        <f t="shared" si="8"/>
        <v>0001</v>
      </c>
      <c r="C485" s="10" t="str">
        <f>_xlfn.LET(
    _xlpm.val, IF(Datadetails[[#This Row],[Activity]]="D02","C20",Datadetails[[#This Row],[Activity]]),
    IF(ISNUMBER(MATCH(_xlpm.val,{"D04","C30","c40","C20"},0)), _xlpm.val, "Other")
)</f>
        <v>D04</v>
      </c>
      <c r="D485" s="10" t="str">
        <f>IFERROR(VLOOKUP(Datadetails[[#This Row],[Taskcode]],Dashboard!A:A,1,FALSE),"00 Err Missing")</f>
        <v>0001</v>
      </c>
      <c r="E485" s="79">
        <v>45785</v>
      </c>
      <c r="F485" s="80" t="s">
        <v>327</v>
      </c>
      <c r="G485" s="60" t="s">
        <v>40</v>
      </c>
      <c r="H485" s="80" t="s">
        <v>320</v>
      </c>
      <c r="I485" s="80" t="s">
        <v>35</v>
      </c>
      <c r="J485" s="80" t="s">
        <v>322</v>
      </c>
      <c r="K485" s="80" t="s">
        <v>319</v>
      </c>
      <c r="L485" s="80" t="s">
        <v>352</v>
      </c>
      <c r="M485" s="81">
        <v>7.42</v>
      </c>
      <c r="N485" s="82">
        <v>237.44</v>
      </c>
    </row>
    <row r="486" spans="1:14" x14ac:dyDescent="0.25">
      <c r="A486" s="10" t="str">
        <f>_xlfn.IFNA(
    IF(J486=
        "PCB-0001",
        "CSS",
        IF(
            ISNUMBER(MATCH(_xlfn.TEXTBEFORE(J486,"-"), {"CSS","CSN","PCB","PCF","BEC","CSD","PCM"}, 0)),
            _xlfn.TEXTBEFORE(J486,"-"),
            "Other"
        )
    ),
"Add")</f>
        <v>CSD</v>
      </c>
      <c r="B486" s="10" t="str">
        <f t="shared" si="8"/>
        <v>0001</v>
      </c>
      <c r="C486" s="10" t="str">
        <f>_xlfn.LET(
    _xlpm.val, IF(Datadetails[[#This Row],[Activity]]="D02","C20",Datadetails[[#This Row],[Activity]]),
    IF(ISNUMBER(MATCH(_xlpm.val,{"D04","C30","c40","C20"},0)), _xlpm.val, "Other")
)</f>
        <v>D04</v>
      </c>
      <c r="D486" s="10" t="str">
        <f>IFERROR(VLOOKUP(Datadetails[[#This Row],[Taskcode]],Dashboard!A:A,1,FALSE),"00 Err Missing")</f>
        <v>0001</v>
      </c>
      <c r="E486" s="79">
        <v>45785</v>
      </c>
      <c r="F486" s="80" t="s">
        <v>333</v>
      </c>
      <c r="G486" s="60" t="s">
        <v>40</v>
      </c>
      <c r="H486" s="80" t="s">
        <v>320</v>
      </c>
      <c r="I486" s="80" t="s">
        <v>35</v>
      </c>
      <c r="J486" s="80" t="s">
        <v>322</v>
      </c>
      <c r="K486" s="80" t="s">
        <v>319</v>
      </c>
      <c r="L486" s="80" t="s">
        <v>352</v>
      </c>
      <c r="M486" s="81">
        <v>7.55</v>
      </c>
      <c r="N486" s="82">
        <v>241.6</v>
      </c>
    </row>
    <row r="487" spans="1:14" x14ac:dyDescent="0.25">
      <c r="A487" s="10" t="str">
        <f>_xlfn.IFNA(
    IF(J487=
        "PCB-0001",
        "CSS",
        IF(
            ISNUMBER(MATCH(_xlfn.TEXTBEFORE(J487,"-"), {"CSS","CSN","PCB","PCF","BEC","CSD","PCM"}, 0)),
            _xlfn.TEXTBEFORE(J487,"-"),
            "Other"
        )
    ),
"Add")</f>
        <v>PCM</v>
      </c>
      <c r="B487" s="10" t="str">
        <f t="shared" si="8"/>
        <v>0065</v>
      </c>
      <c r="C487" s="10" t="str">
        <f>_xlfn.LET(
    _xlpm.val, IF(Datadetails[[#This Row],[Activity]]="D02","C20",Datadetails[[#This Row],[Activity]]),
    IF(ISNUMBER(MATCH(_xlpm.val,{"D04","C30","c40","C20"},0)), _xlpm.val, "Other")
)</f>
        <v>C20</v>
      </c>
      <c r="D487" s="10" t="str">
        <f>IFERROR(VLOOKUP(Datadetails[[#This Row],[Taskcode]],Dashboard!A:A,1,FALSE),"00 Err Missing")</f>
        <v>0065</v>
      </c>
      <c r="E487" s="79">
        <v>45785</v>
      </c>
      <c r="F487" s="80" t="s">
        <v>323</v>
      </c>
      <c r="G487" s="60" t="s">
        <v>40</v>
      </c>
      <c r="H487" s="80" t="s">
        <v>232</v>
      </c>
      <c r="I487" s="80" t="s">
        <v>36</v>
      </c>
      <c r="J487" s="80" t="s">
        <v>393</v>
      </c>
      <c r="K487" s="80" t="s">
        <v>346</v>
      </c>
      <c r="L487" s="80" t="s">
        <v>342</v>
      </c>
      <c r="M487" s="81">
        <v>0.25</v>
      </c>
      <c r="N487" s="82">
        <v>15</v>
      </c>
    </row>
    <row r="488" spans="1:14" x14ac:dyDescent="0.25">
      <c r="A488" s="10" t="str">
        <f>_xlfn.IFNA(
    IF(J488=
        "PCB-0001",
        "CSS",
        IF(
            ISNUMBER(MATCH(_xlfn.TEXTBEFORE(J488,"-"), {"CSS","CSN","PCB","PCF","BEC","CSD","PCM"}, 0)),
            _xlfn.TEXTBEFORE(J488,"-"),
            "Other"
        )
    ),
"Add")</f>
        <v>PCM</v>
      </c>
      <c r="B488" s="10" t="str">
        <f t="shared" si="8"/>
        <v>0118</v>
      </c>
      <c r="C488" s="10" t="str">
        <f>_xlfn.LET(
    _xlpm.val, IF(Datadetails[[#This Row],[Activity]]="D02","C20",Datadetails[[#This Row],[Activity]]),
    IF(ISNUMBER(MATCH(_xlpm.val,{"D04","C30","c40","C20"},0)), _xlpm.val, "Other")
)</f>
        <v>C20</v>
      </c>
      <c r="D488" s="10" t="str">
        <f>IFERROR(VLOOKUP(Datadetails[[#This Row],[Taskcode]],Dashboard!A:A,1,FALSE),"00 Err Missing")</f>
        <v>0118</v>
      </c>
      <c r="E488" s="79">
        <v>45785</v>
      </c>
      <c r="F488" s="80" t="s">
        <v>323</v>
      </c>
      <c r="G488" s="60" t="s">
        <v>40</v>
      </c>
      <c r="H488" s="80" t="s">
        <v>285</v>
      </c>
      <c r="I488" s="80" t="s">
        <v>36</v>
      </c>
      <c r="J488" s="80" t="s">
        <v>448</v>
      </c>
      <c r="K488" s="80" t="s">
        <v>346</v>
      </c>
      <c r="L488" s="80" t="s">
        <v>342</v>
      </c>
      <c r="M488" s="81">
        <v>0.25</v>
      </c>
      <c r="N488" s="82">
        <v>15</v>
      </c>
    </row>
    <row r="489" spans="1:14" x14ac:dyDescent="0.25">
      <c r="A489" s="10" t="str">
        <f>_xlfn.IFNA(
    IF(J489=
        "PCB-0001",
        "CSS",
        IF(
            ISNUMBER(MATCH(_xlfn.TEXTBEFORE(J489,"-"), {"CSS","CSN","PCB","PCF","BEC","CSD","PCM"}, 0)),
            _xlfn.TEXTBEFORE(J489,"-"),
            "Other"
        )
    ),
"Add")</f>
        <v>PCM</v>
      </c>
      <c r="B489" s="10" t="str">
        <f t="shared" si="8"/>
        <v>0107</v>
      </c>
      <c r="C489" s="10" t="str">
        <f>_xlfn.LET(
    _xlpm.val, IF(Datadetails[[#This Row],[Activity]]="D02","C20",Datadetails[[#This Row],[Activity]]),
    IF(ISNUMBER(MATCH(_xlpm.val,{"D04","C30","c40","C20"},0)), _xlpm.val, "Other")
)</f>
        <v>C20</v>
      </c>
      <c r="D489" s="10" t="str">
        <f>IFERROR(VLOOKUP(Datadetails[[#This Row],[Taskcode]],Dashboard!A:A,1,FALSE),"00 Err Missing")</f>
        <v>0107</v>
      </c>
      <c r="E489" s="79">
        <v>45785</v>
      </c>
      <c r="F489" s="80" t="s">
        <v>323</v>
      </c>
      <c r="G489" s="60" t="s">
        <v>40</v>
      </c>
      <c r="H489" s="80" t="s">
        <v>274</v>
      </c>
      <c r="I489" s="80" t="s">
        <v>36</v>
      </c>
      <c r="J489" s="80" t="s">
        <v>421</v>
      </c>
      <c r="K489" s="80" t="s">
        <v>346</v>
      </c>
      <c r="L489" s="80" t="s">
        <v>342</v>
      </c>
      <c r="M489" s="81">
        <v>0.25</v>
      </c>
      <c r="N489" s="82">
        <v>15</v>
      </c>
    </row>
    <row r="490" spans="1:14" x14ac:dyDescent="0.25">
      <c r="A490" s="10" t="str">
        <f>_xlfn.IFNA(
    IF(J490=
        "PCB-0001",
        "CSS",
        IF(
            ISNUMBER(MATCH(_xlfn.TEXTBEFORE(J490,"-"), {"CSS","CSN","PCB","PCF","BEC","CSD","PCM"}, 0)),
            _xlfn.TEXTBEFORE(J490,"-"),
            "Other"
        )
    ),
"Add")</f>
        <v>PCM</v>
      </c>
      <c r="B490" s="10" t="str">
        <f t="shared" si="8"/>
        <v>0064</v>
      </c>
      <c r="C490" s="10" t="str">
        <f>_xlfn.LET(
    _xlpm.val, IF(Datadetails[[#This Row],[Activity]]="D02","C20",Datadetails[[#This Row],[Activity]]),
    IF(ISNUMBER(MATCH(_xlpm.val,{"D04","C30","c40","C20"},0)), _xlpm.val, "Other")
)</f>
        <v>C30</v>
      </c>
      <c r="D490" s="10" t="str">
        <f>IFERROR(VLOOKUP(Datadetails[[#This Row],[Taskcode]],Dashboard!A:A,1,FALSE),"00 Err Missing")</f>
        <v>0064</v>
      </c>
      <c r="E490" s="79">
        <v>45785</v>
      </c>
      <c r="F490" s="80" t="s">
        <v>323</v>
      </c>
      <c r="G490" s="60" t="s">
        <v>40</v>
      </c>
      <c r="H490" s="80" t="s">
        <v>231</v>
      </c>
      <c r="I490" s="80" t="s">
        <v>34</v>
      </c>
      <c r="J490" s="80" t="s">
        <v>420</v>
      </c>
      <c r="K490" s="80" t="s">
        <v>346</v>
      </c>
      <c r="L490" s="80" t="s">
        <v>343</v>
      </c>
      <c r="M490" s="81">
        <v>0.25</v>
      </c>
      <c r="N490" s="82">
        <v>15</v>
      </c>
    </row>
    <row r="491" spans="1:14" x14ac:dyDescent="0.25">
      <c r="A491" s="10" t="str">
        <f>_xlfn.IFNA(
    IF(J491=
        "PCB-0001",
        "CSS",
        IF(
            ISNUMBER(MATCH(_xlfn.TEXTBEFORE(J491,"-"), {"CSS","CSN","PCB","PCF","BEC","CSD","PCM"}, 0)),
            _xlfn.TEXTBEFORE(J491,"-"),
            "Other"
        )
    ),
"Add")</f>
        <v>PCB</v>
      </c>
      <c r="B491" s="10" t="str">
        <f t="shared" si="8"/>
        <v>0028</v>
      </c>
      <c r="C491" s="10" t="str">
        <f>_xlfn.LET(
    _xlpm.val, IF(Datadetails[[#This Row],[Activity]]="D02","C20",Datadetails[[#This Row],[Activity]]),
    IF(ISNUMBER(MATCH(_xlpm.val,{"D04","C30","c40","C20"},0)), _xlpm.val, "Other")
)</f>
        <v>C30</v>
      </c>
      <c r="D491" s="10" t="str">
        <f>IFERROR(VLOOKUP(Datadetails[[#This Row],[Taskcode]],Dashboard!A:A,1,FALSE),"00 Err Missing")</f>
        <v>0028</v>
      </c>
      <c r="E491" s="79">
        <v>45785</v>
      </c>
      <c r="F491" s="80" t="s">
        <v>330</v>
      </c>
      <c r="G491" s="60" t="s">
        <v>40</v>
      </c>
      <c r="H491" s="80" t="s">
        <v>195</v>
      </c>
      <c r="I491" s="80" t="s">
        <v>34</v>
      </c>
      <c r="J491" s="80" t="s">
        <v>449</v>
      </c>
      <c r="K491" s="80" t="s">
        <v>347</v>
      </c>
      <c r="L491" s="80" t="s">
        <v>343</v>
      </c>
      <c r="M491" s="81">
        <v>0.25</v>
      </c>
      <c r="N491" s="82">
        <v>15</v>
      </c>
    </row>
    <row r="492" spans="1:14" x14ac:dyDescent="0.25">
      <c r="A492" s="10" t="str">
        <f>_xlfn.IFNA(
    IF(J492=
        "PCB-0001",
        "CSS",
        IF(
            ISNUMBER(MATCH(_xlfn.TEXTBEFORE(J492,"-"), {"CSS","CSN","PCB","PCF","BEC","CSD","PCM"}, 0)),
            _xlfn.TEXTBEFORE(J492,"-"),
            "Other"
        )
    ),
"Add")</f>
        <v>PCB</v>
      </c>
      <c r="B492" s="10" t="str">
        <f t="shared" si="8"/>
        <v>0030</v>
      </c>
      <c r="C492" s="10" t="str">
        <f>_xlfn.LET(
    _xlpm.val, IF(Datadetails[[#This Row],[Activity]]="D02","C20",Datadetails[[#This Row],[Activity]]),
    IF(ISNUMBER(MATCH(_xlpm.val,{"D04","C30","c40","C20"},0)), _xlpm.val, "Other")
)</f>
        <v>C30</v>
      </c>
      <c r="D492" s="10" t="str">
        <f>IFERROR(VLOOKUP(Datadetails[[#This Row],[Taskcode]],Dashboard!A:A,1,FALSE),"00 Err Missing")</f>
        <v>0030</v>
      </c>
      <c r="E492" s="79">
        <v>45785</v>
      </c>
      <c r="F492" s="80" t="s">
        <v>329</v>
      </c>
      <c r="G492" s="60" t="s">
        <v>40</v>
      </c>
      <c r="H492" s="80" t="s">
        <v>197</v>
      </c>
      <c r="I492" s="80" t="s">
        <v>34</v>
      </c>
      <c r="J492" s="80" t="s">
        <v>366</v>
      </c>
      <c r="K492" s="80" t="s">
        <v>347</v>
      </c>
      <c r="L492" s="80" t="s">
        <v>343</v>
      </c>
      <c r="M492" s="81">
        <v>0.17</v>
      </c>
      <c r="N492" s="82">
        <v>12.750000000000002</v>
      </c>
    </row>
    <row r="493" spans="1:14" x14ac:dyDescent="0.25">
      <c r="A493" s="10" t="str">
        <f>_xlfn.IFNA(
    IF(J493=
        "PCB-0001",
        "CSS",
        IF(
            ISNUMBER(MATCH(_xlfn.TEXTBEFORE(J493,"-"), {"CSS","CSN","PCB","PCF","BEC","CSD","PCM"}, 0)),
            _xlfn.TEXTBEFORE(J493,"-"),
            "Other"
        )
    ),
"Add")</f>
        <v>PCB</v>
      </c>
      <c r="B493" s="10" t="str">
        <f t="shared" si="8"/>
        <v>0032</v>
      </c>
      <c r="C493" s="10" t="str">
        <f>_xlfn.LET(
    _xlpm.val, IF(Datadetails[[#This Row],[Activity]]="D02","C20",Datadetails[[#This Row],[Activity]]),
    IF(ISNUMBER(MATCH(_xlpm.val,{"D04","C30","c40","C20"},0)), _xlpm.val, "Other")
)</f>
        <v>C30</v>
      </c>
      <c r="D493" s="10" t="str">
        <f>IFERROR(VLOOKUP(Datadetails[[#This Row],[Taskcode]],Dashboard!A:A,1,FALSE),"00 Err Missing")</f>
        <v>0032</v>
      </c>
      <c r="E493" s="79">
        <v>45785</v>
      </c>
      <c r="F493" s="80" t="s">
        <v>330</v>
      </c>
      <c r="G493" s="60" t="s">
        <v>40</v>
      </c>
      <c r="H493" s="80" t="s">
        <v>199</v>
      </c>
      <c r="I493" s="80" t="s">
        <v>34</v>
      </c>
      <c r="J493" s="80" t="s">
        <v>414</v>
      </c>
      <c r="K493" s="80" t="s">
        <v>347</v>
      </c>
      <c r="L493" s="80" t="s">
        <v>343</v>
      </c>
      <c r="M493" s="81">
        <v>0.25</v>
      </c>
      <c r="N493" s="82">
        <v>15</v>
      </c>
    </row>
    <row r="494" spans="1:14" x14ac:dyDescent="0.25">
      <c r="A494" s="10" t="str">
        <f>_xlfn.IFNA(
    IF(J494=
        "PCB-0001",
        "CSS",
        IF(
            ISNUMBER(MATCH(_xlfn.TEXTBEFORE(J494,"-"), {"CSS","CSN","PCB","PCF","BEC","CSD","PCM"}, 0)),
            _xlfn.TEXTBEFORE(J494,"-"),
            "Other"
        )
    ),
"Add")</f>
        <v>PCB</v>
      </c>
      <c r="B494" s="10" t="str">
        <f t="shared" si="8"/>
        <v>0014</v>
      </c>
      <c r="C494" s="10" t="str">
        <f>_xlfn.LET(
    _xlpm.val, IF(Datadetails[[#This Row],[Activity]]="D02","C20",Datadetails[[#This Row],[Activity]]),
    IF(ISNUMBER(MATCH(_xlpm.val,{"D04","C30","c40","C20"},0)), _xlpm.val, "Other")
)</f>
        <v>C30</v>
      </c>
      <c r="D494" s="10" t="str">
        <f>IFERROR(VLOOKUP(Datadetails[[#This Row],[Taskcode]],Dashboard!A:A,1,FALSE),"00 Err Missing")</f>
        <v>0014</v>
      </c>
      <c r="E494" s="79">
        <v>45785</v>
      </c>
      <c r="F494" s="80" t="s">
        <v>329</v>
      </c>
      <c r="G494" s="60" t="s">
        <v>40</v>
      </c>
      <c r="H494" s="80" t="s">
        <v>181</v>
      </c>
      <c r="I494" s="80" t="s">
        <v>34</v>
      </c>
      <c r="J494" s="80" t="s">
        <v>396</v>
      </c>
      <c r="K494" s="80" t="s">
        <v>347</v>
      </c>
      <c r="L494" s="80" t="s">
        <v>343</v>
      </c>
      <c r="M494" s="81">
        <v>0.08</v>
      </c>
      <c r="N494" s="82">
        <v>6</v>
      </c>
    </row>
    <row r="495" spans="1:14" x14ac:dyDescent="0.25">
      <c r="A495" s="10" t="str">
        <f>_xlfn.IFNA(
    IF(J495=
        "PCB-0001",
        "CSS",
        IF(
            ISNUMBER(MATCH(_xlfn.TEXTBEFORE(J495,"-"), {"CSS","CSN","PCB","PCF","BEC","CSD","PCM"}, 0)),
            _xlfn.TEXTBEFORE(J495,"-"),
            "Other"
        )
    ),
"Add")</f>
        <v>PCB</v>
      </c>
      <c r="B495" s="10" t="str">
        <f t="shared" si="8"/>
        <v>0019</v>
      </c>
      <c r="C495" s="10" t="str">
        <f>_xlfn.LET(
    _xlpm.val, IF(Datadetails[[#This Row],[Activity]]="D02","C20",Datadetails[[#This Row],[Activity]]),
    IF(ISNUMBER(MATCH(_xlpm.val,{"D04","C30","c40","C20"},0)), _xlpm.val, "Other")
)</f>
        <v>C30</v>
      </c>
      <c r="D495" s="10" t="str">
        <f>IFERROR(VLOOKUP(Datadetails[[#This Row],[Taskcode]],Dashboard!A:A,1,FALSE),"00 Err Missing")</f>
        <v>0019</v>
      </c>
      <c r="E495" s="79">
        <v>45785</v>
      </c>
      <c r="F495" s="80" t="s">
        <v>329</v>
      </c>
      <c r="G495" s="60" t="s">
        <v>40</v>
      </c>
      <c r="H495" s="80" t="s">
        <v>186</v>
      </c>
      <c r="I495" s="80" t="s">
        <v>34</v>
      </c>
      <c r="J495" s="80" t="s">
        <v>397</v>
      </c>
      <c r="K495" s="80" t="s">
        <v>347</v>
      </c>
      <c r="L495" s="80" t="s">
        <v>343</v>
      </c>
      <c r="M495" s="81">
        <v>0.17</v>
      </c>
      <c r="N495" s="82">
        <v>12.750000000000002</v>
      </c>
    </row>
    <row r="496" spans="1:14" x14ac:dyDescent="0.25">
      <c r="A496" s="10" t="str">
        <f>_xlfn.IFNA(
    IF(J496=
        "PCB-0001",
        "CSS",
        IF(
            ISNUMBER(MATCH(_xlfn.TEXTBEFORE(J496,"-"), {"CSS","CSN","PCB","PCF","BEC","CSD","PCM"}, 0)),
            _xlfn.TEXTBEFORE(J496,"-"),
            "Other"
        )
    ),
"Add")</f>
        <v>PCB</v>
      </c>
      <c r="B496" s="10" t="str">
        <f t="shared" si="8"/>
        <v>0048</v>
      </c>
      <c r="C496" s="10" t="str">
        <f>_xlfn.LET(
    _xlpm.val, IF(Datadetails[[#This Row],[Activity]]="D02","C20",Datadetails[[#This Row],[Activity]]),
    IF(ISNUMBER(MATCH(_xlpm.val,{"D04","C30","c40","C20"},0)), _xlpm.val, "Other")
)</f>
        <v>C30</v>
      </c>
      <c r="D496" s="10" t="str">
        <f>IFERROR(VLOOKUP(Datadetails[[#This Row],[Taskcode]],Dashboard!A:A,1,FALSE),"00 Err Missing")</f>
        <v>0048</v>
      </c>
      <c r="E496" s="79">
        <v>45785</v>
      </c>
      <c r="F496" s="80" t="s">
        <v>330</v>
      </c>
      <c r="G496" s="60" t="s">
        <v>40</v>
      </c>
      <c r="H496" s="80" t="s">
        <v>215</v>
      </c>
      <c r="I496" s="80" t="s">
        <v>34</v>
      </c>
      <c r="J496" s="80" t="s">
        <v>450</v>
      </c>
      <c r="K496" s="80" t="s">
        <v>347</v>
      </c>
      <c r="L496" s="80" t="s">
        <v>343</v>
      </c>
      <c r="M496" s="81">
        <v>0.25</v>
      </c>
      <c r="N496" s="82">
        <v>15</v>
      </c>
    </row>
    <row r="497" spans="1:14" x14ac:dyDescent="0.25">
      <c r="A497" s="10" t="str">
        <f>_xlfn.IFNA(
    IF(J497=
        "PCB-0001",
        "CSS",
        IF(
            ISNUMBER(MATCH(_xlfn.TEXTBEFORE(J497,"-"), {"CSS","CSN","PCB","PCF","BEC","CSD","PCM"}, 0)),
            _xlfn.TEXTBEFORE(J497,"-"),
            "Other"
        )
    ),
"Add")</f>
        <v>PCB</v>
      </c>
      <c r="B497" s="10" t="str">
        <f t="shared" si="8"/>
        <v>0062</v>
      </c>
      <c r="C497" s="10" t="str">
        <f>_xlfn.LET(
    _xlpm.val, IF(Datadetails[[#This Row],[Activity]]="D02","C20",Datadetails[[#This Row],[Activity]]),
    IF(ISNUMBER(MATCH(_xlpm.val,{"D04","C30","c40","C20"},0)), _xlpm.val, "Other")
)</f>
        <v>C30</v>
      </c>
      <c r="D497" s="10" t="str">
        <f>IFERROR(VLOOKUP(Datadetails[[#This Row],[Taskcode]],Dashboard!A:A,1,FALSE),"00 Err Missing")</f>
        <v>0062</v>
      </c>
      <c r="E497" s="79">
        <v>45785</v>
      </c>
      <c r="F497" s="80" t="s">
        <v>329</v>
      </c>
      <c r="G497" s="60" t="s">
        <v>40</v>
      </c>
      <c r="H497" s="80" t="s">
        <v>229</v>
      </c>
      <c r="I497" s="80" t="s">
        <v>34</v>
      </c>
      <c r="J497" s="80" t="s">
        <v>373</v>
      </c>
      <c r="K497" s="80" t="s">
        <v>347</v>
      </c>
      <c r="L497" s="80" t="s">
        <v>343</v>
      </c>
      <c r="M497" s="81">
        <v>0.08</v>
      </c>
      <c r="N497" s="82">
        <v>6</v>
      </c>
    </row>
    <row r="498" spans="1:14" x14ac:dyDescent="0.25">
      <c r="A498" s="10" t="str">
        <f>_xlfn.IFNA(
    IF(J498=
        "PCB-0001",
        "CSS",
        IF(
            ISNUMBER(MATCH(_xlfn.TEXTBEFORE(J498,"-"), {"CSS","CSN","PCB","PCF","BEC","CSD","PCM"}, 0)),
            _xlfn.TEXTBEFORE(J498,"-"),
            "Other"
        )
    ),
"Add")</f>
        <v>PCB</v>
      </c>
      <c r="B498" s="10" t="str">
        <f t="shared" si="8"/>
        <v>0055</v>
      </c>
      <c r="C498" s="10" t="str">
        <f>_xlfn.LET(
    _xlpm.val, IF(Datadetails[[#This Row],[Activity]]="D02","C20",Datadetails[[#This Row],[Activity]]),
    IF(ISNUMBER(MATCH(_xlpm.val,{"D04","C30","c40","C20"},0)), _xlpm.val, "Other")
)</f>
        <v>C30</v>
      </c>
      <c r="D498" s="10" t="str">
        <f>IFERROR(VLOOKUP(Datadetails[[#This Row],[Taskcode]],Dashboard!A:A,1,FALSE),"00 Err Missing")</f>
        <v>0055</v>
      </c>
      <c r="E498" s="79">
        <v>45785</v>
      </c>
      <c r="F498" s="80" t="s">
        <v>330</v>
      </c>
      <c r="G498" s="60" t="s">
        <v>40</v>
      </c>
      <c r="H498" s="80" t="s">
        <v>222</v>
      </c>
      <c r="I498" s="80" t="s">
        <v>34</v>
      </c>
      <c r="J498" s="80" t="s">
        <v>447</v>
      </c>
      <c r="K498" s="80" t="s">
        <v>347</v>
      </c>
      <c r="L498" s="80" t="s">
        <v>343</v>
      </c>
      <c r="M498" s="81">
        <v>0.5</v>
      </c>
      <c r="N498" s="82">
        <v>30</v>
      </c>
    </row>
    <row r="499" spans="1:14" x14ac:dyDescent="0.25">
      <c r="A499" s="10" t="str">
        <f>_xlfn.IFNA(
    IF(J499=
        "PCB-0001",
        "CSS",
        IF(
            ISNUMBER(MATCH(_xlfn.TEXTBEFORE(J499,"-"), {"CSS","CSN","PCB","PCF","BEC","CSD","PCM"}, 0)),
            _xlfn.TEXTBEFORE(J499,"-"),
            "Other"
        )
    ),
"Add")</f>
        <v>PCB</v>
      </c>
      <c r="B499" s="10" t="str">
        <f t="shared" si="8"/>
        <v>0071</v>
      </c>
      <c r="C499" s="10" t="str">
        <f>_xlfn.LET(
    _xlpm.val, IF(Datadetails[[#This Row],[Activity]]="D02","C20",Datadetails[[#This Row],[Activity]]),
    IF(ISNUMBER(MATCH(_xlpm.val,{"D04","C30","c40","C20"},0)), _xlpm.val, "Other")
)</f>
        <v>C30</v>
      </c>
      <c r="D499" s="10" t="str">
        <f>IFERROR(VLOOKUP(Datadetails[[#This Row],[Taskcode]],Dashboard!A:A,1,FALSE),"00 Err Missing")</f>
        <v>0071</v>
      </c>
      <c r="E499" s="79">
        <v>45785</v>
      </c>
      <c r="F499" s="80" t="s">
        <v>329</v>
      </c>
      <c r="G499" s="60" t="s">
        <v>40</v>
      </c>
      <c r="H499" s="80" t="s">
        <v>238</v>
      </c>
      <c r="I499" s="80" t="s">
        <v>34</v>
      </c>
      <c r="J499" s="80" t="s">
        <v>374</v>
      </c>
      <c r="K499" s="80" t="s">
        <v>347</v>
      </c>
      <c r="L499" s="80" t="s">
        <v>343</v>
      </c>
      <c r="M499" s="81">
        <v>0.17</v>
      </c>
      <c r="N499" s="82">
        <v>12.750000000000002</v>
      </c>
    </row>
    <row r="500" spans="1:14" x14ac:dyDescent="0.25">
      <c r="A500" s="10" t="str">
        <f>_xlfn.IFNA(
    IF(J500=
        "PCB-0001",
        "CSS",
        IF(
            ISNUMBER(MATCH(_xlfn.TEXTBEFORE(J500,"-"), {"CSS","CSN","PCB","PCF","BEC","CSD","PCM"}, 0)),
            _xlfn.TEXTBEFORE(J500,"-"),
            "Other"
        )
    ),
"Add")</f>
        <v>PCB</v>
      </c>
      <c r="B500" s="10" t="str">
        <f t="shared" si="8"/>
        <v>0075</v>
      </c>
      <c r="C500" s="10" t="str">
        <f>_xlfn.LET(
    _xlpm.val, IF(Datadetails[[#This Row],[Activity]]="D02","C20",Datadetails[[#This Row],[Activity]]),
    IF(ISNUMBER(MATCH(_xlpm.val,{"D04","C30","c40","C20"},0)), _xlpm.val, "Other")
)</f>
        <v>C30</v>
      </c>
      <c r="D500" s="10" t="str">
        <f>IFERROR(VLOOKUP(Datadetails[[#This Row],[Taskcode]],Dashboard!A:A,1,FALSE),"00 Err Missing")</f>
        <v>0075</v>
      </c>
      <c r="E500" s="79">
        <v>45785</v>
      </c>
      <c r="F500" s="80" t="s">
        <v>329</v>
      </c>
      <c r="G500" s="60" t="s">
        <v>40</v>
      </c>
      <c r="H500" s="80" t="s">
        <v>242</v>
      </c>
      <c r="I500" s="80" t="s">
        <v>34</v>
      </c>
      <c r="J500" s="80" t="s">
        <v>404</v>
      </c>
      <c r="K500" s="80" t="s">
        <v>347</v>
      </c>
      <c r="L500" s="80" t="s">
        <v>343</v>
      </c>
      <c r="M500" s="81">
        <v>0.08</v>
      </c>
      <c r="N500" s="82">
        <v>6</v>
      </c>
    </row>
    <row r="501" spans="1:14" x14ac:dyDescent="0.25">
      <c r="A501" s="10" t="str">
        <f>_xlfn.IFNA(
    IF(J501=
        "PCB-0001",
        "CSS",
        IF(
            ISNUMBER(MATCH(_xlfn.TEXTBEFORE(J501,"-"), {"CSS","CSN","PCB","PCF","BEC","CSD","PCM"}, 0)),
            _xlfn.TEXTBEFORE(J501,"-"),
            "Other"
        )
    ),
"Add")</f>
        <v>PCB</v>
      </c>
      <c r="B501" s="10" t="str">
        <f t="shared" si="8"/>
        <v>0080</v>
      </c>
      <c r="C501" s="10" t="str">
        <f>_xlfn.LET(
    _xlpm.val, IF(Datadetails[[#This Row],[Activity]]="D02","C20",Datadetails[[#This Row],[Activity]]),
    IF(ISNUMBER(MATCH(_xlpm.val,{"D04","C30","c40","C20"},0)), _xlpm.val, "Other")
)</f>
        <v>C30</v>
      </c>
      <c r="D501" s="10" t="str">
        <f>IFERROR(VLOOKUP(Datadetails[[#This Row],[Taskcode]],Dashboard!A:A,1,FALSE),"00 Err Missing")</f>
        <v>0080</v>
      </c>
      <c r="E501" s="79">
        <v>45785</v>
      </c>
      <c r="F501" s="80" t="s">
        <v>329</v>
      </c>
      <c r="G501" s="60" t="s">
        <v>40</v>
      </c>
      <c r="H501" s="80" t="s">
        <v>247</v>
      </c>
      <c r="I501" s="80" t="s">
        <v>34</v>
      </c>
      <c r="J501" s="80" t="s">
        <v>375</v>
      </c>
      <c r="K501" s="80" t="s">
        <v>347</v>
      </c>
      <c r="L501" s="80" t="s">
        <v>343</v>
      </c>
      <c r="M501" s="81">
        <v>0.17</v>
      </c>
      <c r="N501" s="82">
        <v>12.750000000000002</v>
      </c>
    </row>
    <row r="502" spans="1:14" x14ac:dyDescent="0.25">
      <c r="A502" s="10" t="str">
        <f>_xlfn.IFNA(
    IF(J502=
        "PCB-0001",
        "CSS",
        IF(
            ISNUMBER(MATCH(_xlfn.TEXTBEFORE(J502,"-"), {"CSS","CSN","PCB","PCF","BEC","CSD","PCM"}, 0)),
            _xlfn.TEXTBEFORE(J502,"-"),
            "Other"
        )
    ),
"Add")</f>
        <v>PCB</v>
      </c>
      <c r="B502" s="10" t="str">
        <f t="shared" si="8"/>
        <v>0126</v>
      </c>
      <c r="C502" s="10" t="str">
        <f>_xlfn.LET(
    _xlpm.val, IF(Datadetails[[#This Row],[Activity]]="D02","C20",Datadetails[[#This Row],[Activity]]),
    IF(ISNUMBER(MATCH(_xlpm.val,{"D04","C30","c40","C20"},0)), _xlpm.val, "Other")
)</f>
        <v>C30</v>
      </c>
      <c r="D502" s="10" t="str">
        <f>IFERROR(VLOOKUP(Datadetails[[#This Row],[Taskcode]],Dashboard!A:A,1,FALSE),"00 Err Missing")</f>
        <v>0126</v>
      </c>
      <c r="E502" s="79">
        <v>45785</v>
      </c>
      <c r="F502" s="80" t="s">
        <v>329</v>
      </c>
      <c r="G502" s="60" t="s">
        <v>40</v>
      </c>
      <c r="H502" s="80" t="s">
        <v>293</v>
      </c>
      <c r="I502" s="80" t="s">
        <v>34</v>
      </c>
      <c r="J502" s="80" t="s">
        <v>376</v>
      </c>
      <c r="K502" s="80" t="s">
        <v>347</v>
      </c>
      <c r="L502" s="80" t="s">
        <v>343</v>
      </c>
      <c r="M502" s="81">
        <v>0.33</v>
      </c>
      <c r="N502" s="82">
        <v>24.75</v>
      </c>
    </row>
    <row r="503" spans="1:14" x14ac:dyDescent="0.25">
      <c r="A503" s="10" t="str">
        <f>_xlfn.IFNA(
    IF(J503=
        "PCB-0001",
        "CSS",
        IF(
            ISNUMBER(MATCH(_xlfn.TEXTBEFORE(J503,"-"), {"CSS","CSN","PCB","PCF","BEC","CSD","PCM"}, 0)),
            _xlfn.TEXTBEFORE(J503,"-"),
            "Other"
        )
    ),
"Add")</f>
        <v>PCB</v>
      </c>
      <c r="B503" s="10" t="str">
        <f t="shared" si="8"/>
        <v>0128</v>
      </c>
      <c r="C503" s="10" t="str">
        <f>_xlfn.LET(
    _xlpm.val, IF(Datadetails[[#This Row],[Activity]]="D02","C20",Datadetails[[#This Row],[Activity]]),
    IF(ISNUMBER(MATCH(_xlpm.val,{"D04","C30","c40","C20"},0)), _xlpm.val, "Other")
)</f>
        <v>C30</v>
      </c>
      <c r="D503" s="10" t="str">
        <f>IFERROR(VLOOKUP(Datadetails[[#This Row],[Taskcode]],Dashboard!A:A,1,FALSE),"00 Err Missing")</f>
        <v>0128</v>
      </c>
      <c r="E503" s="79">
        <v>45785</v>
      </c>
      <c r="F503" s="80" t="s">
        <v>329</v>
      </c>
      <c r="G503" s="60" t="s">
        <v>40</v>
      </c>
      <c r="H503" s="80" t="s">
        <v>295</v>
      </c>
      <c r="I503" s="80" t="s">
        <v>34</v>
      </c>
      <c r="J503" s="80" t="s">
        <v>379</v>
      </c>
      <c r="K503" s="80" t="s">
        <v>347</v>
      </c>
      <c r="L503" s="80" t="s">
        <v>343</v>
      </c>
      <c r="M503" s="81">
        <v>0.08</v>
      </c>
      <c r="N503" s="82">
        <v>6</v>
      </c>
    </row>
    <row r="504" spans="1:14" x14ac:dyDescent="0.25">
      <c r="A504" s="10" t="str">
        <f>_xlfn.IFNA(
    IF(J504=
        "PCB-0001",
        "CSS",
        IF(
            ISNUMBER(MATCH(_xlfn.TEXTBEFORE(J504,"-"), {"CSS","CSN","PCB","PCF","BEC","CSD","PCM"}, 0)),
            _xlfn.TEXTBEFORE(J504,"-"),
            "Other"
        )
    ),
"Add")</f>
        <v>PCB</v>
      </c>
      <c r="B504" s="10" t="str">
        <f t="shared" si="8"/>
        <v>0085</v>
      </c>
      <c r="C504" s="10" t="str">
        <f>_xlfn.LET(
    _xlpm.val, IF(Datadetails[[#This Row],[Activity]]="D02","C20",Datadetails[[#This Row],[Activity]]),
    IF(ISNUMBER(MATCH(_xlpm.val,{"D04","C30","c40","C20"},0)), _xlpm.val, "Other")
)</f>
        <v>C30</v>
      </c>
      <c r="D504" s="10" t="str">
        <f>IFERROR(VLOOKUP(Datadetails[[#This Row],[Taskcode]],Dashboard!A:A,1,FALSE),"00 Err Missing")</f>
        <v>0085</v>
      </c>
      <c r="E504" s="79">
        <v>45785</v>
      </c>
      <c r="F504" s="80" t="s">
        <v>330</v>
      </c>
      <c r="G504" s="60" t="s">
        <v>40</v>
      </c>
      <c r="H504" s="80" t="s">
        <v>252</v>
      </c>
      <c r="I504" s="80" t="s">
        <v>34</v>
      </c>
      <c r="J504" s="80" t="s">
        <v>416</v>
      </c>
      <c r="K504" s="80" t="s">
        <v>347</v>
      </c>
      <c r="L504" s="80" t="s">
        <v>343</v>
      </c>
      <c r="M504" s="81">
        <v>0.75</v>
      </c>
      <c r="N504" s="82">
        <v>45</v>
      </c>
    </row>
    <row r="505" spans="1:14" x14ac:dyDescent="0.25">
      <c r="A505" s="10" t="str">
        <f>_xlfn.IFNA(
    IF(J505=
        "PCB-0001",
        "CSS",
        IF(
            ISNUMBER(MATCH(_xlfn.TEXTBEFORE(J505,"-"), {"CSS","CSN","PCB","PCF","BEC","CSD","PCM"}, 0)),
            _xlfn.TEXTBEFORE(J505,"-"),
            "Other"
        )
    ),
"Add")</f>
        <v>PCB</v>
      </c>
      <c r="B505" s="10" t="str">
        <f t="shared" si="8"/>
        <v>0081</v>
      </c>
      <c r="C505" s="10" t="str">
        <f>_xlfn.LET(
    _xlpm.val, IF(Datadetails[[#This Row],[Activity]]="D02","C20",Datadetails[[#This Row],[Activity]]),
    IF(ISNUMBER(MATCH(_xlpm.val,{"D04","C30","c40","C20"},0)), _xlpm.val, "Other")
)</f>
        <v>C30</v>
      </c>
      <c r="D505" s="10" t="str">
        <f>IFERROR(VLOOKUP(Datadetails[[#This Row],[Taskcode]],Dashboard!A:A,1,FALSE),"00 Err Missing")</f>
        <v>0081</v>
      </c>
      <c r="E505" s="79">
        <v>45785</v>
      </c>
      <c r="F505" s="80" t="s">
        <v>329</v>
      </c>
      <c r="G505" s="60" t="s">
        <v>40</v>
      </c>
      <c r="H505" s="80" t="s">
        <v>248</v>
      </c>
      <c r="I505" s="80" t="s">
        <v>34</v>
      </c>
      <c r="J505" s="80" t="s">
        <v>385</v>
      </c>
      <c r="K505" s="80" t="s">
        <v>347</v>
      </c>
      <c r="L505" s="80" t="s">
        <v>343</v>
      </c>
      <c r="M505" s="81">
        <v>0.08</v>
      </c>
      <c r="N505" s="82">
        <v>6</v>
      </c>
    </row>
    <row r="506" spans="1:14" x14ac:dyDescent="0.25">
      <c r="A506" s="10" t="str">
        <f>_xlfn.IFNA(
    IF(J506=
        "PCB-0001",
        "CSS",
        IF(
            ISNUMBER(MATCH(_xlfn.TEXTBEFORE(J506,"-"), {"CSS","CSN","PCB","PCF","BEC","CSD","PCM"}, 0)),
            _xlfn.TEXTBEFORE(J506,"-"),
            "Other"
        )
    ),
"Add")</f>
        <v>PCB</v>
      </c>
      <c r="B506" s="10" t="str">
        <f t="shared" si="8"/>
        <v>0063</v>
      </c>
      <c r="C506" s="10" t="str">
        <f>_xlfn.LET(
    _xlpm.val, IF(Datadetails[[#This Row],[Activity]]="D02","C20",Datadetails[[#This Row],[Activity]]),
    IF(ISNUMBER(MATCH(_xlpm.val,{"D04","C30","c40","C20"},0)), _xlpm.val, "Other")
)</f>
        <v>C30</v>
      </c>
      <c r="D506" s="10" t="str">
        <f>IFERROR(VLOOKUP(Datadetails[[#This Row],[Taskcode]],Dashboard!A:A,1,FALSE),"00 Err Missing")</f>
        <v>0063</v>
      </c>
      <c r="E506" s="79">
        <v>45785</v>
      </c>
      <c r="F506" s="80" t="s">
        <v>329</v>
      </c>
      <c r="G506" s="60" t="s">
        <v>40</v>
      </c>
      <c r="H506" s="80" t="s">
        <v>230</v>
      </c>
      <c r="I506" s="80" t="s">
        <v>34</v>
      </c>
      <c r="J506" s="80" t="s">
        <v>410</v>
      </c>
      <c r="K506" s="80" t="s">
        <v>347</v>
      </c>
      <c r="L506" s="80" t="s">
        <v>343</v>
      </c>
      <c r="M506" s="81">
        <v>0.25</v>
      </c>
      <c r="N506" s="82">
        <v>18.75</v>
      </c>
    </row>
    <row r="507" spans="1:14" x14ac:dyDescent="0.25">
      <c r="A507" s="10" t="str">
        <f>_xlfn.IFNA(
    IF(J507=
        "PCB-0001",
        "CSS",
        IF(
            ISNUMBER(MATCH(_xlfn.TEXTBEFORE(J507,"-"), {"CSS","CSN","PCB","PCF","BEC","CSD","PCM"}, 0)),
            _xlfn.TEXTBEFORE(J507,"-"),
            "Other"
        )
    ),
"Add")</f>
        <v>BEC</v>
      </c>
      <c r="B507" s="10" t="str">
        <f t="shared" si="8"/>
        <v>0001</v>
      </c>
      <c r="C507" s="10" t="str">
        <f>_xlfn.LET(
    _xlpm.val, IF(Datadetails[[#This Row],[Activity]]="D02","C20",Datadetails[[#This Row],[Activity]]),
    IF(ISNUMBER(MATCH(_xlpm.val,{"D04","C30","c40","C20"},0)), _xlpm.val, "Other")
)</f>
        <v>D04</v>
      </c>
      <c r="D507" s="10" t="str">
        <f>IFERROR(VLOOKUP(Datadetails[[#This Row],[Taskcode]],Dashboard!A:A,1,FALSE),"00 Err Missing")</f>
        <v>0001</v>
      </c>
      <c r="E507" s="79">
        <v>45785</v>
      </c>
      <c r="F507" s="80" t="s">
        <v>332</v>
      </c>
      <c r="G507" s="60" t="s">
        <v>40</v>
      </c>
      <c r="H507" s="80" t="s">
        <v>314</v>
      </c>
      <c r="I507" s="80" t="s">
        <v>35</v>
      </c>
      <c r="J507" s="80" t="s">
        <v>359</v>
      </c>
      <c r="K507" s="80" t="s">
        <v>339</v>
      </c>
      <c r="L507" s="80" t="s">
        <v>352</v>
      </c>
      <c r="M507" s="81">
        <v>8.83</v>
      </c>
      <c r="N507" s="82">
        <v>353.2</v>
      </c>
    </row>
    <row r="508" spans="1:14" x14ac:dyDescent="0.25">
      <c r="A508" s="10" t="str">
        <f>_xlfn.IFNA(
    IF(J508=
        "PCB-0001",
        "CSS",
        IF(
            ISNUMBER(MATCH(_xlfn.TEXTBEFORE(J508,"-"), {"CSS","CSN","PCB","PCF","BEC","CSD","PCM"}, 0)),
            _xlfn.TEXTBEFORE(J508,"-"),
            "Other"
        )
    ),
"Add")</f>
        <v>BEC</v>
      </c>
      <c r="B508" s="10" t="str">
        <f t="shared" si="8"/>
        <v>0001</v>
      </c>
      <c r="C508" s="10" t="str">
        <f>_xlfn.LET(
    _xlpm.val, IF(Datadetails[[#This Row],[Activity]]="D02","C20",Datadetails[[#This Row],[Activity]]),
    IF(ISNUMBER(MATCH(_xlpm.val,{"D04","C30","c40","C20"},0)), _xlpm.val, "Other")
)</f>
        <v>D04</v>
      </c>
      <c r="D508" s="10" t="str">
        <f>IFERROR(VLOOKUP(Datadetails[[#This Row],[Taskcode]],Dashboard!A:A,1,FALSE),"00 Err Missing")</f>
        <v>0001</v>
      </c>
      <c r="E508" s="79">
        <v>45785</v>
      </c>
      <c r="F508" s="80" t="s">
        <v>324</v>
      </c>
      <c r="G508" s="60" t="s">
        <v>40</v>
      </c>
      <c r="H508" s="80" t="s">
        <v>314</v>
      </c>
      <c r="I508" s="80" t="s">
        <v>35</v>
      </c>
      <c r="J508" s="80" t="s">
        <v>359</v>
      </c>
      <c r="K508" s="80" t="s">
        <v>339</v>
      </c>
      <c r="L508" s="80" t="s">
        <v>352</v>
      </c>
      <c r="M508" s="81">
        <v>4.5</v>
      </c>
      <c r="N508" s="82">
        <v>337.5</v>
      </c>
    </row>
    <row r="509" spans="1:14" x14ac:dyDescent="0.25">
      <c r="A509" s="10" t="str">
        <f>_xlfn.IFNA(
    IF(J509=
        "PCB-0001",
        "CSS",
        IF(
            ISNUMBER(MATCH(_xlfn.TEXTBEFORE(J509,"-"), {"CSS","CSN","PCB","PCF","BEC","CSD","PCM"}, 0)),
            _xlfn.TEXTBEFORE(J509,"-"),
            "Other"
        )
    ),
"Add")</f>
        <v>PCB</v>
      </c>
      <c r="B509" s="10" t="str">
        <f t="shared" si="8"/>
        <v>0105</v>
      </c>
      <c r="C509" s="10" t="str">
        <f>_xlfn.LET(
    _xlpm.val, IF(Datadetails[[#This Row],[Activity]]="D02","C20",Datadetails[[#This Row],[Activity]]),
    IF(ISNUMBER(MATCH(_xlpm.val,{"D04","C30","c40","C20"},0)), _xlpm.val, "Other")
)</f>
        <v>C30</v>
      </c>
      <c r="D509" s="10" t="str">
        <f>IFERROR(VLOOKUP(Datadetails[[#This Row],[Taskcode]],Dashboard!A:A,1,FALSE),"00 Err Missing")</f>
        <v>0105</v>
      </c>
      <c r="E509" s="79">
        <v>45786</v>
      </c>
      <c r="F509" s="80" t="s">
        <v>329</v>
      </c>
      <c r="G509" s="60" t="s">
        <v>40</v>
      </c>
      <c r="H509" s="80" t="s">
        <v>272</v>
      </c>
      <c r="I509" s="80" t="s">
        <v>34</v>
      </c>
      <c r="J509" s="80" t="s">
        <v>362</v>
      </c>
      <c r="K509" s="80" t="s">
        <v>347</v>
      </c>
      <c r="L509" s="80" t="s">
        <v>343</v>
      </c>
      <c r="M509" s="81">
        <v>0.17</v>
      </c>
      <c r="N509" s="82">
        <v>12.750000000000002</v>
      </c>
    </row>
    <row r="510" spans="1:14" x14ac:dyDescent="0.25">
      <c r="A510" s="10" t="str">
        <f>_xlfn.IFNA(
    IF(J510=
        "PCB-0001",
        "CSS",
        IF(
            ISNUMBER(MATCH(_xlfn.TEXTBEFORE(J510,"-"), {"CSS","CSN","PCB","PCF","BEC","CSD","PCM"}, 0)),
            _xlfn.TEXTBEFORE(J510,"-"),
            "Other"
        )
    ),
"Add")</f>
        <v>PCM</v>
      </c>
      <c r="B510" s="10" t="str">
        <f t="shared" si="8"/>
        <v>0001</v>
      </c>
      <c r="C510" s="10" t="str">
        <f>_xlfn.LET(
    _xlpm.val, IF(Datadetails[[#This Row],[Activity]]="D02","C20",Datadetails[[#This Row],[Activity]]),
    IF(ISNUMBER(MATCH(_xlpm.val,{"D04","C30","c40","C20"},0)), _xlpm.val, "Other")
)</f>
        <v>C20</v>
      </c>
      <c r="D510" s="10" t="str">
        <f>IFERROR(VLOOKUP(Datadetails[[#This Row],[Taskcode]],Dashboard!A:A,1,FALSE),"00 Err Missing")</f>
        <v>0001</v>
      </c>
      <c r="E510" s="79">
        <v>45786</v>
      </c>
      <c r="F510" s="80" t="s">
        <v>323</v>
      </c>
      <c r="G510" s="60" t="s">
        <v>40</v>
      </c>
      <c r="H510" s="80" t="s">
        <v>168</v>
      </c>
      <c r="I510" s="80" t="s">
        <v>36</v>
      </c>
      <c r="J510" s="80" t="s">
        <v>419</v>
      </c>
      <c r="K510" s="80" t="s">
        <v>346</v>
      </c>
      <c r="L510" s="80" t="s">
        <v>342</v>
      </c>
      <c r="M510" s="81">
        <v>0.33</v>
      </c>
      <c r="N510" s="82">
        <v>19.8</v>
      </c>
    </row>
    <row r="511" spans="1:14" x14ac:dyDescent="0.25">
      <c r="A511" s="10" t="str">
        <f>_xlfn.IFNA(
    IF(J511=
        "PCB-0001",
        "CSS",
        IF(
            ISNUMBER(MATCH(_xlfn.TEXTBEFORE(J511,"-"), {"CSS","CSN","PCB","PCF","BEC","CSD","PCM"}, 0)),
            _xlfn.TEXTBEFORE(J511,"-"),
            "Other"
        )
    ),
"Add")</f>
        <v>PCM</v>
      </c>
      <c r="B511" s="10" t="str">
        <f t="shared" si="8"/>
        <v>0034</v>
      </c>
      <c r="C511" s="10" t="str">
        <f>_xlfn.LET(
    _xlpm.val, IF(Datadetails[[#This Row],[Activity]]="D02","C20",Datadetails[[#This Row],[Activity]]),
    IF(ISNUMBER(MATCH(_xlpm.val,{"D04","C30","c40","C20"},0)), _xlpm.val, "Other")
)</f>
        <v>C20</v>
      </c>
      <c r="D511" s="10" t="str">
        <f>IFERROR(VLOOKUP(Datadetails[[#This Row],[Taskcode]],Dashboard!A:A,1,FALSE),"00 Err Missing")</f>
        <v>0034</v>
      </c>
      <c r="E511" s="79">
        <v>45786</v>
      </c>
      <c r="F511" s="80" t="s">
        <v>323</v>
      </c>
      <c r="G511" s="60" t="s">
        <v>40</v>
      </c>
      <c r="H511" s="80" t="s">
        <v>201</v>
      </c>
      <c r="I511" s="80" t="s">
        <v>36</v>
      </c>
      <c r="J511" s="80" t="s">
        <v>395</v>
      </c>
      <c r="K511" s="80" t="s">
        <v>346</v>
      </c>
      <c r="L511" s="80" t="s">
        <v>342</v>
      </c>
      <c r="M511" s="81">
        <v>0.25</v>
      </c>
      <c r="N511" s="82">
        <v>15</v>
      </c>
    </row>
    <row r="512" spans="1:14" x14ac:dyDescent="0.25">
      <c r="A512" s="10" t="str">
        <f>_xlfn.IFNA(
    IF(J512=
        "PCB-0001",
        "CSS",
        IF(
            ISNUMBER(MATCH(_xlfn.TEXTBEFORE(J512,"-"), {"CSS","CSN","PCB","PCF","BEC","CSD","PCM"}, 0)),
            _xlfn.TEXTBEFORE(J512,"-"),
            "Other"
        )
    ),
"Add")</f>
        <v>CSN</v>
      </c>
      <c r="B512" s="10" t="str">
        <f t="shared" si="8"/>
        <v>0001</v>
      </c>
      <c r="C512" s="10" t="str">
        <f>_xlfn.LET(
    _xlpm.val, IF(Datadetails[[#This Row],[Activity]]="D02","C20",Datadetails[[#This Row],[Activity]]),
    IF(ISNUMBER(MATCH(_xlpm.val,{"D04","C30","c40","C20"},0)), _xlpm.val, "Other")
)</f>
        <v>D04</v>
      </c>
      <c r="D512" s="10" t="str">
        <f>IFERROR(VLOOKUP(Datadetails[[#This Row],[Taskcode]],Dashboard!A:A,1,FALSE),"00 Err Missing")</f>
        <v>0001</v>
      </c>
      <c r="E512" s="79">
        <v>45786</v>
      </c>
      <c r="F512" s="80" t="s">
        <v>329</v>
      </c>
      <c r="G512" s="60" t="s">
        <v>40</v>
      </c>
      <c r="H512" s="80" t="s">
        <v>316</v>
      </c>
      <c r="I512" s="80" t="s">
        <v>35</v>
      </c>
      <c r="J512" s="80" t="s">
        <v>338</v>
      </c>
      <c r="K512" s="80" t="s">
        <v>337</v>
      </c>
      <c r="L512" s="80" t="s">
        <v>352</v>
      </c>
      <c r="M512" s="81">
        <v>0.17</v>
      </c>
      <c r="N512" s="82">
        <v>12.750000000000002</v>
      </c>
    </row>
    <row r="513" spans="1:14" x14ac:dyDescent="0.25">
      <c r="A513" s="10" t="str">
        <f>_xlfn.IFNA(
    IF(J513=
        "PCB-0001",
        "CSS",
        IF(
            ISNUMBER(MATCH(_xlfn.TEXTBEFORE(J513,"-"), {"CSS","CSN","PCB","PCF","BEC","CSD","PCM"}, 0)),
            _xlfn.TEXTBEFORE(J513,"-"),
            "Other"
        )
    ),
"Add")</f>
        <v>CSN</v>
      </c>
      <c r="B513" s="10" t="str">
        <f t="shared" si="8"/>
        <v>0001</v>
      </c>
      <c r="C513" s="10" t="str">
        <f>_xlfn.LET(
    _xlpm.val, IF(Datadetails[[#This Row],[Activity]]="D02","C20",Datadetails[[#This Row],[Activity]]),
    IF(ISNUMBER(MATCH(_xlpm.val,{"D04","C30","c40","C20"},0)), _xlpm.val, "Other")
)</f>
        <v>D04</v>
      </c>
      <c r="D513" s="10" t="str">
        <f>IFERROR(VLOOKUP(Datadetails[[#This Row],[Taskcode]],Dashboard!A:A,1,FALSE),"00 Err Missing")</f>
        <v>0001</v>
      </c>
      <c r="E513" s="79">
        <v>45786</v>
      </c>
      <c r="F513" s="80" t="s">
        <v>331</v>
      </c>
      <c r="G513" s="60" t="s">
        <v>40</v>
      </c>
      <c r="H513" s="80" t="s">
        <v>316</v>
      </c>
      <c r="I513" s="80" t="s">
        <v>35</v>
      </c>
      <c r="J513" s="80" t="s">
        <v>338</v>
      </c>
      <c r="K513" s="80" t="s">
        <v>337</v>
      </c>
      <c r="L513" s="80" t="s">
        <v>352</v>
      </c>
      <c r="M513" s="81">
        <v>4</v>
      </c>
      <c r="N513" s="82">
        <v>128</v>
      </c>
    </row>
    <row r="514" spans="1:14" x14ac:dyDescent="0.25">
      <c r="A514" s="10" t="str">
        <f>_xlfn.IFNA(
    IF(J514=
        "PCB-0001",
        "CSS",
        IF(
            ISNUMBER(MATCH(_xlfn.TEXTBEFORE(J514,"-"), {"CSS","CSN","PCB","PCF","BEC","CSD","PCM"}, 0)),
            _xlfn.TEXTBEFORE(J514,"-"),
            "Other"
        )
    ),
"Add")</f>
        <v>CSD</v>
      </c>
      <c r="B514" s="10" t="str">
        <f t="shared" si="8"/>
        <v>0001</v>
      </c>
      <c r="C514" s="10" t="str">
        <f>_xlfn.LET(
    _xlpm.val, IF(Datadetails[[#This Row],[Activity]]="D02","C20",Datadetails[[#This Row],[Activity]]),
    IF(ISNUMBER(MATCH(_xlpm.val,{"D04","C30","c40","C20"},0)), _xlpm.val, "Other")
)</f>
        <v>D04</v>
      </c>
      <c r="D514" s="10" t="str">
        <f>IFERROR(VLOOKUP(Datadetails[[#This Row],[Taskcode]],Dashboard!A:A,1,FALSE),"00 Err Missing")</f>
        <v>0001</v>
      </c>
      <c r="E514" s="79">
        <v>45786</v>
      </c>
      <c r="F514" s="80" t="s">
        <v>327</v>
      </c>
      <c r="G514" s="60" t="s">
        <v>40</v>
      </c>
      <c r="H514" s="80" t="s">
        <v>320</v>
      </c>
      <c r="I514" s="80" t="s">
        <v>35</v>
      </c>
      <c r="J514" s="80" t="s">
        <v>322</v>
      </c>
      <c r="K514" s="80" t="s">
        <v>319</v>
      </c>
      <c r="L514" s="80" t="s">
        <v>352</v>
      </c>
      <c r="M514" s="81">
        <v>7.25</v>
      </c>
      <c r="N514" s="82">
        <v>232</v>
      </c>
    </row>
    <row r="515" spans="1:14" x14ac:dyDescent="0.25">
      <c r="A515" s="10" t="str">
        <f>_xlfn.IFNA(
    IF(J515=
        "PCB-0001",
        "CSS",
        IF(
            ISNUMBER(MATCH(_xlfn.TEXTBEFORE(J515,"-"), {"CSS","CSN","PCB","PCF","BEC","CSD","PCM"}, 0)),
            _xlfn.TEXTBEFORE(J515,"-"),
            "Other"
        )
    ),
"Add")</f>
        <v>CSD</v>
      </c>
      <c r="B515" s="10" t="str">
        <f t="shared" si="8"/>
        <v>0001</v>
      </c>
      <c r="C515" s="10" t="str">
        <f>_xlfn.LET(
    _xlpm.val, IF(Datadetails[[#This Row],[Activity]]="D02","C20",Datadetails[[#This Row],[Activity]]),
    IF(ISNUMBER(MATCH(_xlpm.val,{"D04","C30","c40","C20"},0)), _xlpm.val, "Other")
)</f>
        <v>D04</v>
      </c>
      <c r="D515" s="10" t="str">
        <f>IFERROR(VLOOKUP(Datadetails[[#This Row],[Taskcode]],Dashboard!A:A,1,FALSE),"00 Err Missing")</f>
        <v>0001</v>
      </c>
      <c r="E515" s="79">
        <v>45786</v>
      </c>
      <c r="F515" s="80" t="s">
        <v>333</v>
      </c>
      <c r="G515" s="60" t="s">
        <v>40</v>
      </c>
      <c r="H515" s="80" t="s">
        <v>320</v>
      </c>
      <c r="I515" s="80" t="s">
        <v>35</v>
      </c>
      <c r="J515" s="80" t="s">
        <v>322</v>
      </c>
      <c r="K515" s="80" t="s">
        <v>319</v>
      </c>
      <c r="L515" s="80" t="s">
        <v>352</v>
      </c>
      <c r="M515" s="81">
        <v>7.9</v>
      </c>
      <c r="N515" s="82">
        <v>252.8</v>
      </c>
    </row>
    <row r="516" spans="1:14" x14ac:dyDescent="0.25">
      <c r="A516" s="10" t="str">
        <f>_xlfn.IFNA(
    IF(J516=
        "PCB-0001",
        "CSS",
        IF(
            ISNUMBER(MATCH(_xlfn.TEXTBEFORE(J516,"-"), {"CSS","CSN","PCB","PCF","BEC","CSD","PCM"}, 0)),
            _xlfn.TEXTBEFORE(J516,"-"),
            "Other"
        )
    ),
"Add")</f>
        <v>PCM</v>
      </c>
      <c r="B516" s="10" t="str">
        <f t="shared" ref="B516:B579" si="9">_xlfn.IFNA(_xlfn.TEXTAFTER(J516,"-"),"Data to C2")</f>
        <v>0065</v>
      </c>
      <c r="C516" s="10" t="str">
        <f>_xlfn.LET(
    _xlpm.val, IF(Datadetails[[#This Row],[Activity]]="D02","C20",Datadetails[[#This Row],[Activity]]),
    IF(ISNUMBER(MATCH(_xlpm.val,{"D04","C30","c40","C20"},0)), _xlpm.val, "Other")
)</f>
        <v>C20</v>
      </c>
      <c r="D516" s="10" t="str">
        <f>IFERROR(VLOOKUP(Datadetails[[#This Row],[Taskcode]],Dashboard!A:A,1,FALSE),"00 Err Missing")</f>
        <v>0065</v>
      </c>
      <c r="E516" s="79">
        <v>45786</v>
      </c>
      <c r="F516" s="80" t="s">
        <v>323</v>
      </c>
      <c r="G516" s="60" t="s">
        <v>40</v>
      </c>
      <c r="H516" s="80" t="s">
        <v>232</v>
      </c>
      <c r="I516" s="80" t="s">
        <v>36</v>
      </c>
      <c r="J516" s="80" t="s">
        <v>393</v>
      </c>
      <c r="K516" s="80" t="s">
        <v>346</v>
      </c>
      <c r="L516" s="80" t="s">
        <v>342</v>
      </c>
      <c r="M516" s="81">
        <v>0.25</v>
      </c>
      <c r="N516" s="82">
        <v>15</v>
      </c>
    </row>
    <row r="517" spans="1:14" x14ac:dyDescent="0.25">
      <c r="A517" s="10" t="str">
        <f>_xlfn.IFNA(
    IF(J517=
        "PCB-0001",
        "CSS",
        IF(
            ISNUMBER(MATCH(_xlfn.TEXTBEFORE(J517,"-"), {"CSS","CSN","PCB","PCF","BEC","CSD","PCM"}, 0)),
            _xlfn.TEXTBEFORE(J517,"-"),
            "Other"
        )
    ),
"Add")</f>
        <v>PCM</v>
      </c>
      <c r="B517" s="10" t="str">
        <f t="shared" si="9"/>
        <v>0116</v>
      </c>
      <c r="C517" s="10" t="str">
        <f>_xlfn.LET(
    _xlpm.val, IF(Datadetails[[#This Row],[Activity]]="D02","C20",Datadetails[[#This Row],[Activity]]),
    IF(ISNUMBER(MATCH(_xlpm.val,{"D04","C30","c40","C20"},0)), _xlpm.val, "Other")
)</f>
        <v>C20</v>
      </c>
      <c r="D517" s="10" t="str">
        <f>IFERROR(VLOOKUP(Datadetails[[#This Row],[Taskcode]],Dashboard!A:A,1,FALSE),"00 Err Missing")</f>
        <v>0116</v>
      </c>
      <c r="E517" s="79">
        <v>45786</v>
      </c>
      <c r="F517" s="80" t="s">
        <v>323</v>
      </c>
      <c r="G517" s="60" t="s">
        <v>40</v>
      </c>
      <c r="H517" s="80" t="s">
        <v>283</v>
      </c>
      <c r="I517" s="80" t="s">
        <v>36</v>
      </c>
      <c r="J517" s="80" t="s">
        <v>429</v>
      </c>
      <c r="K517" s="80" t="s">
        <v>346</v>
      </c>
      <c r="L517" s="80" t="s">
        <v>342</v>
      </c>
      <c r="M517" s="81">
        <v>0.25</v>
      </c>
      <c r="N517" s="82">
        <v>15</v>
      </c>
    </row>
    <row r="518" spans="1:14" x14ac:dyDescent="0.25">
      <c r="A518" s="10" t="str">
        <f>_xlfn.IFNA(
    IF(J518=
        "PCB-0001",
        "CSS",
        IF(
            ISNUMBER(MATCH(_xlfn.TEXTBEFORE(J518,"-"), {"CSS","CSN","PCB","PCF","BEC","CSD","PCM"}, 0)),
            _xlfn.TEXTBEFORE(J518,"-"),
            "Other"
        )
    ),
"Add")</f>
        <v>PCM</v>
      </c>
      <c r="B518" s="10" t="str">
        <f t="shared" si="9"/>
        <v>0113</v>
      </c>
      <c r="C518" s="10" t="str">
        <f>_xlfn.LET(
    _xlpm.val, IF(Datadetails[[#This Row],[Activity]]="D02","C20",Datadetails[[#This Row],[Activity]]),
    IF(ISNUMBER(MATCH(_xlpm.val,{"D04","C30","c40","C20"},0)), _xlpm.val, "Other")
)</f>
        <v>C20</v>
      </c>
      <c r="D518" s="10" t="str">
        <f>IFERROR(VLOOKUP(Datadetails[[#This Row],[Taskcode]],Dashboard!A:A,1,FALSE),"00 Err Missing")</f>
        <v>0113</v>
      </c>
      <c r="E518" s="79">
        <v>45786</v>
      </c>
      <c r="F518" s="80" t="s">
        <v>323</v>
      </c>
      <c r="G518" s="60" t="s">
        <v>40</v>
      </c>
      <c r="H518" s="80" t="s">
        <v>280</v>
      </c>
      <c r="I518" s="80" t="s">
        <v>36</v>
      </c>
      <c r="J518" s="80" t="s">
        <v>445</v>
      </c>
      <c r="K518" s="80" t="s">
        <v>346</v>
      </c>
      <c r="L518" s="80" t="s">
        <v>342</v>
      </c>
      <c r="M518" s="81">
        <v>0.25</v>
      </c>
      <c r="N518" s="82">
        <v>15</v>
      </c>
    </row>
    <row r="519" spans="1:14" x14ac:dyDescent="0.25">
      <c r="A519" s="10" t="str">
        <f>_xlfn.IFNA(
    IF(J519=
        "PCB-0001",
        "CSS",
        IF(
            ISNUMBER(MATCH(_xlfn.TEXTBEFORE(J519,"-"), {"CSS","CSN","PCB","PCF","BEC","CSD","PCM"}, 0)),
            _xlfn.TEXTBEFORE(J519,"-"),
            "Other"
        )
    ),
"Add")</f>
        <v>PCM</v>
      </c>
      <c r="B519" s="10" t="str">
        <f t="shared" si="9"/>
        <v>0114</v>
      </c>
      <c r="C519" s="10" t="str">
        <f>_xlfn.LET(
    _xlpm.val, IF(Datadetails[[#This Row],[Activity]]="D02","C20",Datadetails[[#This Row],[Activity]]),
    IF(ISNUMBER(MATCH(_xlpm.val,{"D04","C30","c40","C20"},0)), _xlpm.val, "Other")
)</f>
        <v>C20</v>
      </c>
      <c r="D519" s="10" t="str">
        <f>IFERROR(VLOOKUP(Datadetails[[#This Row],[Taskcode]],Dashboard!A:A,1,FALSE),"00 Err Missing")</f>
        <v>0114</v>
      </c>
      <c r="E519" s="79">
        <v>45786</v>
      </c>
      <c r="F519" s="80" t="s">
        <v>323</v>
      </c>
      <c r="G519" s="60" t="s">
        <v>40</v>
      </c>
      <c r="H519" s="80" t="s">
        <v>281</v>
      </c>
      <c r="I519" s="80" t="s">
        <v>36</v>
      </c>
      <c r="J519" s="80" t="s">
        <v>430</v>
      </c>
      <c r="K519" s="80" t="s">
        <v>346</v>
      </c>
      <c r="L519" s="80" t="s">
        <v>342</v>
      </c>
      <c r="M519" s="81">
        <v>0.25</v>
      </c>
      <c r="N519" s="82">
        <v>15</v>
      </c>
    </row>
    <row r="520" spans="1:14" x14ac:dyDescent="0.25">
      <c r="A520" s="10" t="str">
        <f>_xlfn.IFNA(
    IF(J520=
        "PCB-0001",
        "CSS",
        IF(
            ISNUMBER(MATCH(_xlfn.TEXTBEFORE(J520,"-"), {"CSS","CSN","PCB","PCF","BEC","CSD","PCM"}, 0)),
            _xlfn.TEXTBEFORE(J520,"-"),
            "Other"
        )
    ),
"Add")</f>
        <v>PCM</v>
      </c>
      <c r="B520" s="10" t="str">
        <f t="shared" si="9"/>
        <v>0115</v>
      </c>
      <c r="C520" s="10" t="str">
        <f>_xlfn.LET(
    _xlpm.val, IF(Datadetails[[#This Row],[Activity]]="D02","C20",Datadetails[[#This Row],[Activity]]),
    IF(ISNUMBER(MATCH(_xlpm.val,{"D04","C30","c40","C20"},0)), _xlpm.val, "Other")
)</f>
        <v>C20</v>
      </c>
      <c r="D520" s="10" t="str">
        <f>IFERROR(VLOOKUP(Datadetails[[#This Row],[Taskcode]],Dashboard!A:A,1,FALSE),"00 Err Missing")</f>
        <v>0115</v>
      </c>
      <c r="E520" s="79">
        <v>45786</v>
      </c>
      <c r="F520" s="80" t="s">
        <v>323</v>
      </c>
      <c r="G520" s="60" t="s">
        <v>40</v>
      </c>
      <c r="H520" s="80" t="s">
        <v>282</v>
      </c>
      <c r="I520" s="80" t="s">
        <v>36</v>
      </c>
      <c r="J520" s="80" t="s">
        <v>451</v>
      </c>
      <c r="K520" s="80" t="s">
        <v>346</v>
      </c>
      <c r="L520" s="80" t="s">
        <v>342</v>
      </c>
      <c r="M520" s="81">
        <v>0.25</v>
      </c>
      <c r="N520" s="82">
        <v>15</v>
      </c>
    </row>
    <row r="521" spans="1:14" x14ac:dyDescent="0.25">
      <c r="A521" s="10" t="str">
        <f>_xlfn.IFNA(
    IF(J521=
        "PCB-0001",
        "CSS",
        IF(
            ISNUMBER(MATCH(_xlfn.TEXTBEFORE(J521,"-"), {"CSS","CSN","PCB","PCF","BEC","CSD","PCM"}, 0)),
            _xlfn.TEXTBEFORE(J521,"-"),
            "Other"
        )
    ),
"Add")</f>
        <v>PCM</v>
      </c>
      <c r="B521" s="10" t="str">
        <f t="shared" si="9"/>
        <v>0064</v>
      </c>
      <c r="C521" s="10" t="str">
        <f>_xlfn.LET(
    _xlpm.val, IF(Datadetails[[#This Row],[Activity]]="D02","C20",Datadetails[[#This Row],[Activity]]),
    IF(ISNUMBER(MATCH(_xlpm.val,{"D04","C30","c40","C20"},0)), _xlpm.val, "Other")
)</f>
        <v>C30</v>
      </c>
      <c r="D521" s="10" t="str">
        <f>IFERROR(VLOOKUP(Datadetails[[#This Row],[Taskcode]],Dashboard!A:A,1,FALSE),"00 Err Missing")</f>
        <v>0064</v>
      </c>
      <c r="E521" s="79">
        <v>45786</v>
      </c>
      <c r="F521" s="80" t="s">
        <v>323</v>
      </c>
      <c r="G521" s="60" t="s">
        <v>40</v>
      </c>
      <c r="H521" s="80" t="s">
        <v>231</v>
      </c>
      <c r="I521" s="80" t="s">
        <v>34</v>
      </c>
      <c r="J521" s="80" t="s">
        <v>420</v>
      </c>
      <c r="K521" s="80" t="s">
        <v>346</v>
      </c>
      <c r="L521" s="80" t="s">
        <v>343</v>
      </c>
      <c r="M521" s="81">
        <v>0.5</v>
      </c>
      <c r="N521" s="82">
        <v>30</v>
      </c>
    </row>
    <row r="522" spans="1:14" x14ac:dyDescent="0.25">
      <c r="A522" s="10" t="str">
        <f>_xlfn.IFNA(
    IF(J522=
        "PCB-0001",
        "CSS",
        IF(
            ISNUMBER(MATCH(_xlfn.TEXTBEFORE(J522,"-"), {"CSS","CSN","PCB","PCF","BEC","CSD","PCM"}, 0)),
            _xlfn.TEXTBEFORE(J522,"-"),
            "Other"
        )
    ),
"Add")</f>
        <v>PCB</v>
      </c>
      <c r="B522" s="10" t="str">
        <f t="shared" si="9"/>
        <v>0030</v>
      </c>
      <c r="C522" s="10" t="str">
        <f>_xlfn.LET(
    _xlpm.val, IF(Datadetails[[#This Row],[Activity]]="D02","C20",Datadetails[[#This Row],[Activity]]),
    IF(ISNUMBER(MATCH(_xlpm.val,{"D04","C30","c40","C20"},0)), _xlpm.val, "Other")
)</f>
        <v>C30</v>
      </c>
      <c r="D522" s="10" t="str">
        <f>IFERROR(VLOOKUP(Datadetails[[#This Row],[Taskcode]],Dashboard!A:A,1,FALSE),"00 Err Missing")</f>
        <v>0030</v>
      </c>
      <c r="E522" s="79">
        <v>45786</v>
      </c>
      <c r="F522" s="80" t="s">
        <v>329</v>
      </c>
      <c r="G522" s="60" t="s">
        <v>40</v>
      </c>
      <c r="H522" s="80" t="s">
        <v>197</v>
      </c>
      <c r="I522" s="80" t="s">
        <v>34</v>
      </c>
      <c r="J522" s="80" t="s">
        <v>366</v>
      </c>
      <c r="K522" s="80" t="s">
        <v>347</v>
      </c>
      <c r="L522" s="80" t="s">
        <v>343</v>
      </c>
      <c r="M522" s="81">
        <v>0.33</v>
      </c>
      <c r="N522" s="82">
        <v>24.75</v>
      </c>
    </row>
    <row r="523" spans="1:14" x14ac:dyDescent="0.25">
      <c r="A523" s="10" t="str">
        <f>_xlfn.IFNA(
    IF(J523=
        "PCB-0001",
        "CSS",
        IF(
            ISNUMBER(MATCH(_xlfn.TEXTBEFORE(J523,"-"), {"CSS","CSN","PCB","PCF","BEC","CSD","PCM"}, 0)),
            _xlfn.TEXTBEFORE(J523,"-"),
            "Other"
        )
    ),
"Add")</f>
        <v>PCB</v>
      </c>
      <c r="B523" s="10" t="str">
        <f t="shared" si="9"/>
        <v>0016</v>
      </c>
      <c r="C523" s="10" t="str">
        <f>_xlfn.LET(
    _xlpm.val, IF(Datadetails[[#This Row],[Activity]]="D02","C20",Datadetails[[#This Row],[Activity]]),
    IF(ISNUMBER(MATCH(_xlpm.val,{"D04","C30","c40","C20"},0)), _xlpm.val, "Other")
)</f>
        <v>C30</v>
      </c>
      <c r="D523" s="10" t="str">
        <f>IFERROR(VLOOKUP(Datadetails[[#This Row],[Taskcode]],Dashboard!A:A,1,FALSE),"00 Err Missing")</f>
        <v>0016</v>
      </c>
      <c r="E523" s="79">
        <v>45786</v>
      </c>
      <c r="F523" s="80" t="s">
        <v>329</v>
      </c>
      <c r="G523" s="60" t="s">
        <v>40</v>
      </c>
      <c r="H523" s="80" t="s">
        <v>183</v>
      </c>
      <c r="I523" s="80" t="s">
        <v>34</v>
      </c>
      <c r="J523" s="80" t="s">
        <v>368</v>
      </c>
      <c r="K523" s="80" t="s">
        <v>347</v>
      </c>
      <c r="L523" s="80" t="s">
        <v>343</v>
      </c>
      <c r="M523" s="81">
        <v>0.33</v>
      </c>
      <c r="N523" s="82">
        <v>24.75</v>
      </c>
    </row>
    <row r="524" spans="1:14" x14ac:dyDescent="0.25">
      <c r="A524" s="10" t="str">
        <f>_xlfn.IFNA(
    IF(J524=
        "PCB-0001",
        "CSS",
        IF(
            ISNUMBER(MATCH(_xlfn.TEXTBEFORE(J524,"-"), {"CSS","CSN","PCB","PCF","BEC","CSD","PCM"}, 0)),
            _xlfn.TEXTBEFORE(J524,"-"),
            "Other"
        )
    ),
"Add")</f>
        <v>PCB</v>
      </c>
      <c r="B524" s="10" t="str">
        <f t="shared" si="9"/>
        <v>0019</v>
      </c>
      <c r="C524" s="10" t="str">
        <f>_xlfn.LET(
    _xlpm.val, IF(Datadetails[[#This Row],[Activity]]="D02","C20",Datadetails[[#This Row],[Activity]]),
    IF(ISNUMBER(MATCH(_xlpm.val,{"D04","C30","c40","C20"},0)), _xlpm.val, "Other")
)</f>
        <v>C30</v>
      </c>
      <c r="D524" s="10" t="str">
        <f>IFERROR(VLOOKUP(Datadetails[[#This Row],[Taskcode]],Dashboard!A:A,1,FALSE),"00 Err Missing")</f>
        <v>0019</v>
      </c>
      <c r="E524" s="79">
        <v>45786</v>
      </c>
      <c r="F524" s="80" t="s">
        <v>329</v>
      </c>
      <c r="G524" s="60" t="s">
        <v>40</v>
      </c>
      <c r="H524" s="80" t="s">
        <v>186</v>
      </c>
      <c r="I524" s="80" t="s">
        <v>34</v>
      </c>
      <c r="J524" s="80" t="s">
        <v>397</v>
      </c>
      <c r="K524" s="80" t="s">
        <v>347</v>
      </c>
      <c r="L524" s="80" t="s">
        <v>343</v>
      </c>
      <c r="M524" s="81">
        <v>0.33</v>
      </c>
      <c r="N524" s="82">
        <v>24.75</v>
      </c>
    </row>
    <row r="525" spans="1:14" x14ac:dyDescent="0.25">
      <c r="A525" s="10" t="str">
        <f>_xlfn.IFNA(
    IF(J525=
        "PCB-0001",
        "CSS",
        IF(
            ISNUMBER(MATCH(_xlfn.TEXTBEFORE(J525,"-"), {"CSS","CSN","PCB","PCF","BEC","CSD","PCM"}, 0)),
            _xlfn.TEXTBEFORE(J525,"-"),
            "Other"
        )
    ),
"Add")</f>
        <v>PCB</v>
      </c>
      <c r="B525" s="10" t="str">
        <f t="shared" si="9"/>
        <v>0054</v>
      </c>
      <c r="C525" s="10" t="str">
        <f>_xlfn.LET(
    _xlpm.val, IF(Datadetails[[#This Row],[Activity]]="D02","C20",Datadetails[[#This Row],[Activity]]),
    IF(ISNUMBER(MATCH(_xlpm.val,{"D04","C30","c40","C20"},0)), _xlpm.val, "Other")
)</f>
        <v>C30</v>
      </c>
      <c r="D525" s="10" t="str">
        <f>IFERROR(VLOOKUP(Datadetails[[#This Row],[Taskcode]],Dashboard!A:A,1,FALSE),"00 Err Missing")</f>
        <v>0054</v>
      </c>
      <c r="E525" s="79">
        <v>45786</v>
      </c>
      <c r="F525" s="80" t="s">
        <v>329</v>
      </c>
      <c r="G525" s="60" t="s">
        <v>40</v>
      </c>
      <c r="H525" s="80" t="s">
        <v>221</v>
      </c>
      <c r="I525" s="80" t="s">
        <v>34</v>
      </c>
      <c r="J525" s="80" t="s">
        <v>369</v>
      </c>
      <c r="K525" s="80" t="s">
        <v>347</v>
      </c>
      <c r="L525" s="80" t="s">
        <v>343</v>
      </c>
      <c r="M525" s="81">
        <v>0.17</v>
      </c>
      <c r="N525" s="82">
        <v>12.750000000000002</v>
      </c>
    </row>
    <row r="526" spans="1:14" x14ac:dyDescent="0.25">
      <c r="A526" s="10" t="str">
        <f>_xlfn.IFNA(
    IF(J526=
        "PCB-0001",
        "CSS",
        IF(
            ISNUMBER(MATCH(_xlfn.TEXTBEFORE(J526,"-"), {"CSS","CSN","PCB","PCF","BEC","CSD","PCM"}, 0)),
            _xlfn.TEXTBEFORE(J526,"-"),
            "Other"
        )
    ),
"Add")</f>
        <v>PCB</v>
      </c>
      <c r="B526" s="10" t="str">
        <f t="shared" si="9"/>
        <v>0043</v>
      </c>
      <c r="C526" s="10" t="str">
        <f>_xlfn.LET(
    _xlpm.val, IF(Datadetails[[#This Row],[Activity]]="D02","C20",Datadetails[[#This Row],[Activity]]),
    IF(ISNUMBER(MATCH(_xlpm.val,{"D04","C30","c40","C20"},0)), _xlpm.val, "Other")
)</f>
        <v>C30</v>
      </c>
      <c r="D526" s="10" t="str">
        <f>IFERROR(VLOOKUP(Datadetails[[#This Row],[Taskcode]],Dashboard!A:A,1,FALSE),"00 Err Missing")</f>
        <v>0043</v>
      </c>
      <c r="E526" s="79">
        <v>45786</v>
      </c>
      <c r="F526" s="80" t="s">
        <v>325</v>
      </c>
      <c r="G526" s="60" t="s">
        <v>40</v>
      </c>
      <c r="H526" s="80" t="s">
        <v>210</v>
      </c>
      <c r="I526" s="80" t="s">
        <v>34</v>
      </c>
      <c r="J526" s="80" t="s">
        <v>399</v>
      </c>
      <c r="K526" s="80" t="s">
        <v>347</v>
      </c>
      <c r="L526" s="80" t="s">
        <v>343</v>
      </c>
      <c r="M526" s="81">
        <v>0.17</v>
      </c>
      <c r="N526" s="82">
        <v>12.750000000000002</v>
      </c>
    </row>
    <row r="527" spans="1:14" x14ac:dyDescent="0.25">
      <c r="A527" s="10" t="str">
        <f>_xlfn.IFNA(
    IF(J527=
        "PCB-0001",
        "CSS",
        IF(
            ISNUMBER(MATCH(_xlfn.TEXTBEFORE(J527,"-"), {"CSS","CSN","PCB","PCF","BEC","CSD","PCM"}, 0)),
            _xlfn.TEXTBEFORE(J527,"-"),
            "Other"
        )
    ),
"Add")</f>
        <v>PCB</v>
      </c>
      <c r="B527" s="10" t="str">
        <f t="shared" si="9"/>
        <v>0071</v>
      </c>
      <c r="C527" s="10" t="str">
        <f>_xlfn.LET(
    _xlpm.val, IF(Datadetails[[#This Row],[Activity]]="D02","C20",Datadetails[[#This Row],[Activity]]),
    IF(ISNUMBER(MATCH(_xlpm.val,{"D04","C30","c40","C20"},0)), _xlpm.val, "Other")
)</f>
        <v>C30</v>
      </c>
      <c r="D527" s="10" t="str">
        <f>IFERROR(VLOOKUP(Datadetails[[#This Row],[Taskcode]],Dashboard!A:A,1,FALSE),"00 Err Missing")</f>
        <v>0071</v>
      </c>
      <c r="E527" s="79">
        <v>45786</v>
      </c>
      <c r="F527" s="80" t="s">
        <v>329</v>
      </c>
      <c r="G527" s="60" t="s">
        <v>40</v>
      </c>
      <c r="H527" s="80" t="s">
        <v>238</v>
      </c>
      <c r="I527" s="80" t="s">
        <v>34</v>
      </c>
      <c r="J527" s="80" t="s">
        <v>374</v>
      </c>
      <c r="K527" s="80" t="s">
        <v>347</v>
      </c>
      <c r="L527" s="80" t="s">
        <v>343</v>
      </c>
      <c r="M527" s="81">
        <v>0.5</v>
      </c>
      <c r="N527" s="82">
        <v>37.5</v>
      </c>
    </row>
    <row r="528" spans="1:14" x14ac:dyDescent="0.25">
      <c r="A528" s="10" t="str">
        <f>_xlfn.IFNA(
    IF(J528=
        "PCB-0001",
        "CSS",
        IF(
            ISNUMBER(MATCH(_xlfn.TEXTBEFORE(J528,"-"), {"CSS","CSN","PCB","PCF","BEC","CSD","PCM"}, 0)),
            _xlfn.TEXTBEFORE(J528,"-"),
            "Other"
        )
    ),
"Add")</f>
        <v>PCB</v>
      </c>
      <c r="B528" s="10" t="str">
        <f t="shared" si="9"/>
        <v>0074</v>
      </c>
      <c r="C528" s="10" t="str">
        <f>_xlfn.LET(
    _xlpm.val, IF(Datadetails[[#This Row],[Activity]]="D02","C20",Datadetails[[#This Row],[Activity]]),
    IF(ISNUMBER(MATCH(_xlpm.val,{"D04","C30","c40","C20"},0)), _xlpm.val, "Other")
)</f>
        <v>C30</v>
      </c>
      <c r="D528" s="10" t="str">
        <f>IFERROR(VLOOKUP(Datadetails[[#This Row],[Taskcode]],Dashboard!A:A,1,FALSE),"00 Err Missing")</f>
        <v>0074</v>
      </c>
      <c r="E528" s="79">
        <v>45786</v>
      </c>
      <c r="F528" s="80" t="s">
        <v>329</v>
      </c>
      <c r="G528" s="60" t="s">
        <v>40</v>
      </c>
      <c r="H528" s="80" t="s">
        <v>241</v>
      </c>
      <c r="I528" s="80" t="s">
        <v>34</v>
      </c>
      <c r="J528" s="80" t="s">
        <v>403</v>
      </c>
      <c r="K528" s="80" t="s">
        <v>347</v>
      </c>
      <c r="L528" s="80" t="s">
        <v>343</v>
      </c>
      <c r="M528" s="81">
        <v>1</v>
      </c>
      <c r="N528" s="82">
        <v>75</v>
      </c>
    </row>
    <row r="529" spans="1:14" x14ac:dyDescent="0.25">
      <c r="A529" s="10" t="str">
        <f>_xlfn.IFNA(
    IF(J529=
        "PCB-0001",
        "CSS",
        IF(
            ISNUMBER(MATCH(_xlfn.TEXTBEFORE(J529,"-"), {"CSS","CSN","PCB","PCF","BEC","CSD","PCM"}, 0)),
            _xlfn.TEXTBEFORE(J529,"-"),
            "Other"
        )
    ),
"Add")</f>
        <v>PCB</v>
      </c>
      <c r="B529" s="10" t="str">
        <f t="shared" si="9"/>
        <v>0080</v>
      </c>
      <c r="C529" s="10" t="str">
        <f>_xlfn.LET(
    _xlpm.val, IF(Datadetails[[#This Row],[Activity]]="D02","C20",Datadetails[[#This Row],[Activity]]),
    IF(ISNUMBER(MATCH(_xlpm.val,{"D04","C30","c40","C20"},0)), _xlpm.val, "Other")
)</f>
        <v>C30</v>
      </c>
      <c r="D529" s="10" t="str">
        <f>IFERROR(VLOOKUP(Datadetails[[#This Row],[Taskcode]],Dashboard!A:A,1,FALSE),"00 Err Missing")</f>
        <v>0080</v>
      </c>
      <c r="E529" s="79">
        <v>45786</v>
      </c>
      <c r="F529" s="80" t="s">
        <v>329</v>
      </c>
      <c r="G529" s="60" t="s">
        <v>40</v>
      </c>
      <c r="H529" s="80" t="s">
        <v>247</v>
      </c>
      <c r="I529" s="80" t="s">
        <v>34</v>
      </c>
      <c r="J529" s="80" t="s">
        <v>375</v>
      </c>
      <c r="K529" s="80" t="s">
        <v>347</v>
      </c>
      <c r="L529" s="80" t="s">
        <v>343</v>
      </c>
      <c r="M529" s="81">
        <v>0.25</v>
      </c>
      <c r="N529" s="82">
        <v>18.75</v>
      </c>
    </row>
    <row r="530" spans="1:14" x14ac:dyDescent="0.25">
      <c r="A530" s="10" t="str">
        <f>_xlfn.IFNA(
    IF(J530=
        "PCB-0001",
        "CSS",
        IF(
            ISNUMBER(MATCH(_xlfn.TEXTBEFORE(J530,"-"), {"CSS","CSN","PCB","PCF","BEC","CSD","PCM"}, 0)),
            _xlfn.TEXTBEFORE(J530,"-"),
            "Other"
        )
    ),
"Add")</f>
        <v>PCB</v>
      </c>
      <c r="B530" s="10" t="str">
        <f t="shared" si="9"/>
        <v>0126</v>
      </c>
      <c r="C530" s="10" t="str">
        <f>_xlfn.LET(
    _xlpm.val, IF(Datadetails[[#This Row],[Activity]]="D02","C20",Datadetails[[#This Row],[Activity]]),
    IF(ISNUMBER(MATCH(_xlpm.val,{"D04","C30","c40","C20"},0)), _xlpm.val, "Other")
)</f>
        <v>C30</v>
      </c>
      <c r="D530" s="10" t="str">
        <f>IFERROR(VLOOKUP(Datadetails[[#This Row],[Taskcode]],Dashboard!A:A,1,FALSE),"00 Err Missing")</f>
        <v>0126</v>
      </c>
      <c r="E530" s="79">
        <v>45786</v>
      </c>
      <c r="F530" s="80" t="s">
        <v>329</v>
      </c>
      <c r="G530" s="60" t="s">
        <v>40</v>
      </c>
      <c r="H530" s="80" t="s">
        <v>293</v>
      </c>
      <c r="I530" s="80" t="s">
        <v>34</v>
      </c>
      <c r="J530" s="80" t="s">
        <v>376</v>
      </c>
      <c r="K530" s="80" t="s">
        <v>347</v>
      </c>
      <c r="L530" s="80" t="s">
        <v>343</v>
      </c>
      <c r="M530" s="81">
        <v>0.25</v>
      </c>
      <c r="N530" s="82">
        <v>18.75</v>
      </c>
    </row>
    <row r="531" spans="1:14" x14ac:dyDescent="0.25">
      <c r="A531" s="10" t="str">
        <f>_xlfn.IFNA(
    IF(J531=
        "PCB-0001",
        "CSS",
        IF(
            ISNUMBER(MATCH(_xlfn.TEXTBEFORE(J531,"-"), {"CSS","CSN","PCB","PCF","BEC","CSD","PCM"}, 0)),
            _xlfn.TEXTBEFORE(J531,"-"),
            "Other"
        )
    ),
"Add")</f>
        <v>PCB</v>
      </c>
      <c r="B531" s="10" t="str">
        <f t="shared" si="9"/>
        <v>0128</v>
      </c>
      <c r="C531" s="10" t="str">
        <f>_xlfn.LET(
    _xlpm.val, IF(Datadetails[[#This Row],[Activity]]="D02","C20",Datadetails[[#This Row],[Activity]]),
    IF(ISNUMBER(MATCH(_xlpm.val,{"D04","C30","c40","C20"},0)), _xlpm.val, "Other")
)</f>
        <v>C30</v>
      </c>
      <c r="D531" s="10" t="str">
        <f>IFERROR(VLOOKUP(Datadetails[[#This Row],[Taskcode]],Dashboard!A:A,1,FALSE),"00 Err Missing")</f>
        <v>0128</v>
      </c>
      <c r="E531" s="79">
        <v>45786</v>
      </c>
      <c r="F531" s="80" t="s">
        <v>329</v>
      </c>
      <c r="G531" s="60" t="s">
        <v>40</v>
      </c>
      <c r="H531" s="80" t="s">
        <v>295</v>
      </c>
      <c r="I531" s="80" t="s">
        <v>34</v>
      </c>
      <c r="J531" s="80" t="s">
        <v>379</v>
      </c>
      <c r="K531" s="80" t="s">
        <v>347</v>
      </c>
      <c r="L531" s="80" t="s">
        <v>343</v>
      </c>
      <c r="M531" s="81">
        <v>0.17</v>
      </c>
      <c r="N531" s="82">
        <v>12.750000000000002</v>
      </c>
    </row>
    <row r="532" spans="1:14" x14ac:dyDescent="0.25">
      <c r="A532" s="10" t="str">
        <f>_xlfn.IFNA(
    IF(J532=
        "PCB-0001",
        "CSS",
        IF(
            ISNUMBER(MATCH(_xlfn.TEXTBEFORE(J532,"-"), {"CSS","CSN","PCB","PCF","BEC","CSD","PCM"}, 0)),
            _xlfn.TEXTBEFORE(J532,"-"),
            "Other"
        )
    ),
"Add")</f>
        <v>PCB</v>
      </c>
      <c r="B532" s="10" t="str">
        <f t="shared" si="9"/>
        <v>0129</v>
      </c>
      <c r="C532" s="10" t="str">
        <f>_xlfn.LET(
    _xlpm.val, IF(Datadetails[[#This Row],[Activity]]="D02","C20",Datadetails[[#This Row],[Activity]]),
    IF(ISNUMBER(MATCH(_xlpm.val,{"D04","C30","c40","C20"},0)), _xlpm.val, "Other")
)</f>
        <v>C30</v>
      </c>
      <c r="D532" s="10" t="str">
        <f>IFERROR(VLOOKUP(Datadetails[[#This Row],[Taskcode]],Dashboard!A:A,1,FALSE),"00 Err Missing")</f>
        <v>0129</v>
      </c>
      <c r="E532" s="79">
        <v>45786</v>
      </c>
      <c r="F532" s="80" t="s">
        <v>329</v>
      </c>
      <c r="G532" s="60" t="s">
        <v>40</v>
      </c>
      <c r="H532" s="80" t="s">
        <v>296</v>
      </c>
      <c r="I532" s="80" t="s">
        <v>34</v>
      </c>
      <c r="J532" s="80" t="s">
        <v>411</v>
      </c>
      <c r="K532" s="80" t="s">
        <v>347</v>
      </c>
      <c r="L532" s="80" t="s">
        <v>343</v>
      </c>
      <c r="M532" s="81">
        <v>0.17</v>
      </c>
      <c r="N532" s="82">
        <v>12.750000000000002</v>
      </c>
    </row>
    <row r="533" spans="1:14" x14ac:dyDescent="0.25">
      <c r="A533" s="10" t="str">
        <f>_xlfn.IFNA(
    IF(J533=
        "PCB-0001",
        "CSS",
        IF(
            ISNUMBER(MATCH(_xlfn.TEXTBEFORE(J533,"-"), {"CSS","CSN","PCB","PCF","BEC","CSD","PCM"}, 0)),
            _xlfn.TEXTBEFORE(J533,"-"),
            "Other"
        )
    ),
"Add")</f>
        <v>PCB</v>
      </c>
      <c r="B533" s="10" t="str">
        <f t="shared" si="9"/>
        <v>0086</v>
      </c>
      <c r="C533" s="10" t="str">
        <f>_xlfn.LET(
    _xlpm.val, IF(Datadetails[[#This Row],[Activity]]="D02","C20",Datadetails[[#This Row],[Activity]]),
    IF(ISNUMBER(MATCH(_xlpm.val,{"D04","C30","c40","C20"},0)), _xlpm.val, "Other")
)</f>
        <v>C30</v>
      </c>
      <c r="D533" s="10" t="str">
        <f>IFERROR(VLOOKUP(Datadetails[[#This Row],[Taskcode]],Dashboard!A:A,1,FALSE),"00 Err Missing")</f>
        <v>0086</v>
      </c>
      <c r="E533" s="79">
        <v>45786</v>
      </c>
      <c r="F533" s="80" t="s">
        <v>325</v>
      </c>
      <c r="G533" s="60" t="s">
        <v>40</v>
      </c>
      <c r="H533" s="80" t="s">
        <v>253</v>
      </c>
      <c r="I533" s="80" t="s">
        <v>34</v>
      </c>
      <c r="J533" s="80" t="s">
        <v>408</v>
      </c>
      <c r="K533" s="80" t="s">
        <v>347</v>
      </c>
      <c r="L533" s="80" t="s">
        <v>343</v>
      </c>
      <c r="M533" s="81">
        <v>0.17</v>
      </c>
      <c r="N533" s="82">
        <v>12.750000000000002</v>
      </c>
    </row>
    <row r="534" spans="1:14" x14ac:dyDescent="0.25">
      <c r="A534" s="10" t="str">
        <f>_xlfn.IFNA(
    IF(J534=
        "PCB-0001",
        "CSS",
        IF(
            ISNUMBER(MATCH(_xlfn.TEXTBEFORE(J534,"-"), {"CSS","CSN","PCB","PCF","BEC","CSD","PCM"}, 0)),
            _xlfn.TEXTBEFORE(J534,"-"),
            "Other"
        )
    ),
"Add")</f>
        <v>PCB</v>
      </c>
      <c r="B534" s="10" t="str">
        <f t="shared" si="9"/>
        <v>0085</v>
      </c>
      <c r="C534" s="10" t="str">
        <f>_xlfn.LET(
    _xlpm.val, IF(Datadetails[[#This Row],[Activity]]="D02","C20",Datadetails[[#This Row],[Activity]]),
    IF(ISNUMBER(MATCH(_xlpm.val,{"D04","C30","c40","C20"},0)), _xlpm.val, "Other")
)</f>
        <v>C30</v>
      </c>
      <c r="D534" s="10" t="str">
        <f>IFERROR(VLOOKUP(Datadetails[[#This Row],[Taskcode]],Dashboard!A:A,1,FALSE),"00 Err Missing")</f>
        <v>0085</v>
      </c>
      <c r="E534" s="79">
        <v>45786</v>
      </c>
      <c r="F534" s="80" t="s">
        <v>330</v>
      </c>
      <c r="G534" s="60" t="s">
        <v>40</v>
      </c>
      <c r="H534" s="80" t="s">
        <v>252</v>
      </c>
      <c r="I534" s="80" t="s">
        <v>34</v>
      </c>
      <c r="J534" s="80" t="s">
        <v>416</v>
      </c>
      <c r="K534" s="80" t="s">
        <v>347</v>
      </c>
      <c r="L534" s="80" t="s">
        <v>343</v>
      </c>
      <c r="M534" s="81">
        <v>0.5</v>
      </c>
      <c r="N534" s="82">
        <v>30</v>
      </c>
    </row>
    <row r="535" spans="1:14" x14ac:dyDescent="0.25">
      <c r="A535" s="10" t="str">
        <f>_xlfn.IFNA(
    IF(J535=
        "PCB-0001",
        "CSS",
        IF(
            ISNUMBER(MATCH(_xlfn.TEXTBEFORE(J535,"-"), {"CSS","CSN","PCB","PCF","BEC","CSD","PCM"}, 0)),
            _xlfn.TEXTBEFORE(J535,"-"),
            "Other"
        )
    ),
"Add")</f>
        <v>PCB</v>
      </c>
      <c r="B535" s="10" t="str">
        <f t="shared" si="9"/>
        <v>0081</v>
      </c>
      <c r="C535" s="10" t="str">
        <f>_xlfn.LET(
    _xlpm.val, IF(Datadetails[[#This Row],[Activity]]="D02","C20",Datadetails[[#This Row],[Activity]]),
    IF(ISNUMBER(MATCH(_xlpm.val,{"D04","C30","c40","C20"},0)), _xlpm.val, "Other")
)</f>
        <v>C30</v>
      </c>
      <c r="D535" s="10" t="str">
        <f>IFERROR(VLOOKUP(Datadetails[[#This Row],[Taskcode]],Dashboard!A:A,1,FALSE),"00 Err Missing")</f>
        <v>0081</v>
      </c>
      <c r="E535" s="79">
        <v>45786</v>
      </c>
      <c r="F535" s="80" t="s">
        <v>329</v>
      </c>
      <c r="G535" s="60" t="s">
        <v>40</v>
      </c>
      <c r="H535" s="80" t="s">
        <v>248</v>
      </c>
      <c r="I535" s="80" t="s">
        <v>34</v>
      </c>
      <c r="J535" s="80" t="s">
        <v>385</v>
      </c>
      <c r="K535" s="80" t="s">
        <v>347</v>
      </c>
      <c r="L535" s="80" t="s">
        <v>343</v>
      </c>
      <c r="M535" s="81">
        <v>0.25</v>
      </c>
      <c r="N535" s="82">
        <v>18.75</v>
      </c>
    </row>
    <row r="536" spans="1:14" x14ac:dyDescent="0.25">
      <c r="A536" s="10" t="str">
        <f>_xlfn.IFNA(
    IF(J536=
        "PCB-0001",
        "CSS",
        IF(
            ISNUMBER(MATCH(_xlfn.TEXTBEFORE(J536,"-"), {"CSS","CSN","PCB","PCF","BEC","CSD","PCM"}, 0)),
            _xlfn.TEXTBEFORE(J536,"-"),
            "Other"
        )
    ),
"Add")</f>
        <v>PCB</v>
      </c>
      <c r="B536" s="10" t="str">
        <f t="shared" si="9"/>
        <v>0111</v>
      </c>
      <c r="C536" s="10" t="str">
        <f>_xlfn.LET(
    _xlpm.val, IF(Datadetails[[#This Row],[Activity]]="D02","C20",Datadetails[[#This Row],[Activity]]),
    IF(ISNUMBER(MATCH(_xlpm.val,{"D04","C30","c40","C20"},0)), _xlpm.val, "Other")
)</f>
        <v>C30</v>
      </c>
      <c r="D536" s="10" t="str">
        <f>IFERROR(VLOOKUP(Datadetails[[#This Row],[Taskcode]],Dashboard!A:A,1,FALSE),"00 Err Missing")</f>
        <v>0111</v>
      </c>
      <c r="E536" s="79">
        <v>45786</v>
      </c>
      <c r="F536" s="80" t="s">
        <v>325</v>
      </c>
      <c r="G536" s="60" t="s">
        <v>40</v>
      </c>
      <c r="H536" s="80" t="s">
        <v>278</v>
      </c>
      <c r="I536" s="80" t="s">
        <v>34</v>
      </c>
      <c r="J536" s="80" t="s">
        <v>452</v>
      </c>
      <c r="K536" s="80" t="s">
        <v>347</v>
      </c>
      <c r="L536" s="80" t="s">
        <v>343</v>
      </c>
      <c r="M536" s="81">
        <v>0.25</v>
      </c>
      <c r="N536" s="82">
        <v>18.75</v>
      </c>
    </row>
    <row r="537" spans="1:14" x14ac:dyDescent="0.25">
      <c r="A537" s="10" t="str">
        <f>_xlfn.IFNA(
    IF(J537=
        "PCB-0001",
        "CSS",
        IF(
            ISNUMBER(MATCH(_xlfn.TEXTBEFORE(J537,"-"), {"CSS","CSN","PCB","PCF","BEC","CSD","PCM"}, 0)),
            _xlfn.TEXTBEFORE(J537,"-"),
            "Other"
        )
    ),
"Add")</f>
        <v>PCB</v>
      </c>
      <c r="B537" s="10" t="str">
        <f t="shared" si="9"/>
        <v>0063</v>
      </c>
      <c r="C537" s="10" t="str">
        <f>_xlfn.LET(
    _xlpm.val, IF(Datadetails[[#This Row],[Activity]]="D02","C20",Datadetails[[#This Row],[Activity]]),
    IF(ISNUMBER(MATCH(_xlpm.val,{"D04","C30","c40","C20"},0)), _xlpm.val, "Other")
)</f>
        <v>C30</v>
      </c>
      <c r="D537" s="10" t="str">
        <f>IFERROR(VLOOKUP(Datadetails[[#This Row],[Taskcode]],Dashboard!A:A,1,FALSE),"00 Err Missing")</f>
        <v>0063</v>
      </c>
      <c r="E537" s="79">
        <v>45786</v>
      </c>
      <c r="F537" s="80" t="s">
        <v>329</v>
      </c>
      <c r="G537" s="60" t="s">
        <v>40</v>
      </c>
      <c r="H537" s="80" t="s">
        <v>230</v>
      </c>
      <c r="I537" s="80" t="s">
        <v>34</v>
      </c>
      <c r="J537" s="80" t="s">
        <v>410</v>
      </c>
      <c r="K537" s="80" t="s">
        <v>347</v>
      </c>
      <c r="L537" s="80" t="s">
        <v>343</v>
      </c>
      <c r="M537" s="81">
        <v>0.08</v>
      </c>
      <c r="N537" s="82">
        <v>6</v>
      </c>
    </row>
    <row r="538" spans="1:14" x14ac:dyDescent="0.25">
      <c r="A538" s="10" t="str">
        <f>_xlfn.IFNA(
    IF(J538=
        "PCB-0001",
        "CSS",
        IF(
            ISNUMBER(MATCH(_xlfn.TEXTBEFORE(J538,"-"), {"CSS","CSN","PCB","PCF","BEC","CSD","PCM"}, 0)),
            _xlfn.TEXTBEFORE(J538,"-"),
            "Other"
        )
    ),
"Add")</f>
        <v>PCB</v>
      </c>
      <c r="B538" s="10" t="str">
        <f t="shared" si="9"/>
        <v>0101</v>
      </c>
      <c r="C538" s="10" t="str">
        <f>_xlfn.LET(
    _xlpm.val, IF(Datadetails[[#This Row],[Activity]]="D02","C20",Datadetails[[#This Row],[Activity]]),
    IF(ISNUMBER(MATCH(_xlpm.val,{"D04","C30","c40","C20"},0)), _xlpm.val, "Other")
)</f>
        <v>C30</v>
      </c>
      <c r="D538" s="10" t="str">
        <f>IFERROR(VLOOKUP(Datadetails[[#This Row],[Taskcode]],Dashboard!A:A,1,FALSE),"00 Err Missing")</f>
        <v>0101</v>
      </c>
      <c r="E538" s="79">
        <v>45786</v>
      </c>
      <c r="F538" s="80" t="s">
        <v>329</v>
      </c>
      <c r="G538" s="60" t="s">
        <v>40</v>
      </c>
      <c r="H538" s="80" t="s">
        <v>268</v>
      </c>
      <c r="I538" s="80" t="s">
        <v>34</v>
      </c>
      <c r="J538" s="80" t="s">
        <v>386</v>
      </c>
      <c r="K538" s="80" t="s">
        <v>347</v>
      </c>
      <c r="L538" s="80" t="s">
        <v>343</v>
      </c>
      <c r="M538" s="81">
        <v>0.17</v>
      </c>
      <c r="N538" s="82">
        <v>12.750000000000002</v>
      </c>
    </row>
    <row r="539" spans="1:14" x14ac:dyDescent="0.25">
      <c r="A539" s="10" t="str">
        <f>_xlfn.IFNA(
    IF(J539=
        "PCB-0001",
        "CSS",
        IF(
            ISNUMBER(MATCH(_xlfn.TEXTBEFORE(J539,"-"), {"CSS","CSN","PCB","PCF","BEC","CSD","PCM"}, 0)),
            _xlfn.TEXTBEFORE(J539,"-"),
            "Other"
        )
    ),
"Add")</f>
        <v>PCF</v>
      </c>
      <c r="B539" s="10" t="str">
        <f t="shared" si="9"/>
        <v>0021</v>
      </c>
      <c r="C539" s="10" t="str">
        <f>_xlfn.LET(
    _xlpm.val, IF(Datadetails[[#This Row],[Activity]]="D02","C20",Datadetails[[#This Row],[Activity]]),
    IF(ISNUMBER(MATCH(_xlpm.val,{"D04","C30","c40","C20"},0)), _xlpm.val, "Other")
)</f>
        <v>C20</v>
      </c>
      <c r="D539" s="10" t="str">
        <f>IFERROR(VLOOKUP(Datadetails[[#This Row],[Taskcode]],Dashboard!A:A,1,FALSE),"00 Err Missing")</f>
        <v>0021</v>
      </c>
      <c r="E539" s="79">
        <v>45786</v>
      </c>
      <c r="F539" s="80" t="s">
        <v>326</v>
      </c>
      <c r="G539" s="60" t="s">
        <v>40</v>
      </c>
      <c r="H539" s="80" t="s">
        <v>188</v>
      </c>
      <c r="I539" s="80" t="s">
        <v>36</v>
      </c>
      <c r="J539" s="80" t="s">
        <v>356</v>
      </c>
      <c r="K539" s="80" t="s">
        <v>348</v>
      </c>
      <c r="L539" s="80" t="s">
        <v>342</v>
      </c>
      <c r="M539" s="81">
        <v>1</v>
      </c>
      <c r="N539" s="82">
        <v>60</v>
      </c>
    </row>
    <row r="540" spans="1:14" x14ac:dyDescent="0.25">
      <c r="A540" s="10" t="str">
        <f>_xlfn.IFNA(
    IF(J540=
        "PCB-0001",
        "CSS",
        IF(
            ISNUMBER(MATCH(_xlfn.TEXTBEFORE(J540,"-"), {"CSS","CSN","PCB","PCF","BEC","CSD","PCM"}, 0)),
            _xlfn.TEXTBEFORE(J540,"-"),
            "Other"
        )
    ),
"Add")</f>
        <v>PCF</v>
      </c>
      <c r="B540" s="10" t="str">
        <f t="shared" si="9"/>
        <v>0060</v>
      </c>
      <c r="C540" s="10" t="str">
        <f>_xlfn.LET(
    _xlpm.val, IF(Datadetails[[#This Row],[Activity]]="D02","C20",Datadetails[[#This Row],[Activity]]),
    IF(ISNUMBER(MATCH(_xlpm.val,{"D04","C30","c40","C20"},0)), _xlpm.val, "Other")
)</f>
        <v>C20</v>
      </c>
      <c r="D540" s="10" t="str">
        <f>IFERROR(VLOOKUP(Datadetails[[#This Row],[Taskcode]],Dashboard!A:A,1,FALSE),"00 Err Missing")</f>
        <v>0060</v>
      </c>
      <c r="E540" s="79">
        <v>45786</v>
      </c>
      <c r="F540" s="80" t="s">
        <v>326</v>
      </c>
      <c r="G540" s="60" t="s">
        <v>40</v>
      </c>
      <c r="H540" s="80" t="s">
        <v>227</v>
      </c>
      <c r="I540" s="80" t="s">
        <v>36</v>
      </c>
      <c r="J540" s="80" t="s">
        <v>453</v>
      </c>
      <c r="K540" s="80" t="s">
        <v>348</v>
      </c>
      <c r="L540" s="80" t="s">
        <v>342</v>
      </c>
      <c r="M540" s="81">
        <v>1.25</v>
      </c>
      <c r="N540" s="82">
        <v>75</v>
      </c>
    </row>
    <row r="541" spans="1:14" x14ac:dyDescent="0.25">
      <c r="A541" s="10" t="str">
        <f>_xlfn.IFNA(
    IF(J541=
        "PCB-0001",
        "CSS",
        IF(
            ISNUMBER(MATCH(_xlfn.TEXTBEFORE(J541,"-"), {"CSS","CSN","PCB","PCF","BEC","CSD","PCM"}, 0)),
            _xlfn.TEXTBEFORE(J541,"-"),
            "Other"
        )
    ),
"Add")</f>
        <v>PCF</v>
      </c>
      <c r="B541" s="10" t="str">
        <f t="shared" si="9"/>
        <v>0142</v>
      </c>
      <c r="C541" s="10" t="str">
        <f>_xlfn.LET(
    _xlpm.val, IF(Datadetails[[#This Row],[Activity]]="D02","C20",Datadetails[[#This Row],[Activity]]),
    IF(ISNUMBER(MATCH(_xlpm.val,{"D04","C30","c40","C20"},0)), _xlpm.val, "Other")
)</f>
        <v>C20</v>
      </c>
      <c r="D541" s="10" t="str">
        <f>IFERROR(VLOOKUP(Datadetails[[#This Row],[Taskcode]],Dashboard!A:A,1,FALSE),"00 Err Missing")</f>
        <v>0142</v>
      </c>
      <c r="E541" s="79">
        <v>45786</v>
      </c>
      <c r="F541" s="80" t="s">
        <v>326</v>
      </c>
      <c r="G541" s="60" t="s">
        <v>40</v>
      </c>
      <c r="H541" s="80" t="s">
        <v>309</v>
      </c>
      <c r="I541" s="80" t="s">
        <v>36</v>
      </c>
      <c r="J541" s="80" t="s">
        <v>454</v>
      </c>
      <c r="K541" s="80" t="s">
        <v>348</v>
      </c>
      <c r="L541" s="80" t="s">
        <v>342</v>
      </c>
      <c r="M541" s="81">
        <v>0.5</v>
      </c>
      <c r="N541" s="82">
        <v>30</v>
      </c>
    </row>
    <row r="542" spans="1:14" x14ac:dyDescent="0.25">
      <c r="A542" s="10" t="str">
        <f>_xlfn.IFNA(
    IF(J542=
        "PCB-0001",
        "CSS",
        IF(
            ISNUMBER(MATCH(_xlfn.TEXTBEFORE(J542,"-"), {"CSS","CSN","PCB","PCF","BEC","CSD","PCM"}, 0)),
            _xlfn.TEXTBEFORE(J542,"-"),
            "Other"
        )
    ),
"Add")</f>
        <v>PCF</v>
      </c>
      <c r="B542" s="10" t="str">
        <f t="shared" si="9"/>
        <v>0098</v>
      </c>
      <c r="C542" s="10" t="str">
        <f>_xlfn.LET(
    _xlpm.val, IF(Datadetails[[#This Row],[Activity]]="D02","C20",Datadetails[[#This Row],[Activity]]),
    IF(ISNUMBER(MATCH(_xlpm.val,{"D04","C30","c40","C20"},0)), _xlpm.val, "Other")
)</f>
        <v>C30</v>
      </c>
      <c r="D542" s="10" t="str">
        <f>IFERROR(VLOOKUP(Datadetails[[#This Row],[Taskcode]],Dashboard!A:A,1,FALSE),"00 Err Missing")</f>
        <v>0098</v>
      </c>
      <c r="E542" s="79">
        <v>45786</v>
      </c>
      <c r="F542" s="80" t="s">
        <v>326</v>
      </c>
      <c r="G542" s="60" t="s">
        <v>40</v>
      </c>
      <c r="H542" s="80" t="s">
        <v>265</v>
      </c>
      <c r="I542" s="80" t="s">
        <v>34</v>
      </c>
      <c r="J542" s="80" t="s">
        <v>358</v>
      </c>
      <c r="K542" s="80" t="s">
        <v>348</v>
      </c>
      <c r="L542" s="80" t="s">
        <v>343</v>
      </c>
      <c r="M542" s="81">
        <v>1</v>
      </c>
      <c r="N542" s="82">
        <v>60</v>
      </c>
    </row>
    <row r="543" spans="1:14" x14ac:dyDescent="0.25">
      <c r="A543" s="10" t="str">
        <f>_xlfn.IFNA(
    IF(J543=
        "PCB-0001",
        "CSS",
        IF(
            ISNUMBER(MATCH(_xlfn.TEXTBEFORE(J543,"-"), {"CSS","CSN","PCB","PCF","BEC","CSD","PCM"}, 0)),
            _xlfn.TEXTBEFORE(J543,"-"),
            "Other"
        )
    ),
"Add")</f>
        <v>BEC</v>
      </c>
      <c r="B543" s="10" t="str">
        <f t="shared" si="9"/>
        <v>0001</v>
      </c>
      <c r="C543" s="10" t="str">
        <f>_xlfn.LET(
    _xlpm.val, IF(Datadetails[[#This Row],[Activity]]="D02","C20",Datadetails[[#This Row],[Activity]]),
    IF(ISNUMBER(MATCH(_xlpm.val,{"D04","C30","c40","C20"},0)), _xlpm.val, "Other")
)</f>
        <v>D04</v>
      </c>
      <c r="D543" s="10" t="str">
        <f>IFERROR(VLOOKUP(Datadetails[[#This Row],[Taskcode]],Dashboard!A:A,1,FALSE),"00 Err Missing")</f>
        <v>0001</v>
      </c>
      <c r="E543" s="79">
        <v>45786</v>
      </c>
      <c r="F543" s="80" t="s">
        <v>332</v>
      </c>
      <c r="G543" s="60" t="s">
        <v>40</v>
      </c>
      <c r="H543" s="80" t="s">
        <v>314</v>
      </c>
      <c r="I543" s="80" t="s">
        <v>35</v>
      </c>
      <c r="J543" s="80" t="s">
        <v>359</v>
      </c>
      <c r="K543" s="80" t="s">
        <v>339</v>
      </c>
      <c r="L543" s="80" t="s">
        <v>352</v>
      </c>
      <c r="M543" s="81">
        <v>5.5</v>
      </c>
      <c r="N543" s="82">
        <v>220</v>
      </c>
    </row>
    <row r="544" spans="1:14" x14ac:dyDescent="0.25">
      <c r="A544" s="10" t="str">
        <f>_xlfn.IFNA(
    IF(J544=
        "PCB-0001",
        "CSS",
        IF(
            ISNUMBER(MATCH(_xlfn.TEXTBEFORE(J544,"-"), {"CSS","CSN","PCB","PCF","BEC","CSD","PCM"}, 0)),
            _xlfn.TEXTBEFORE(J544,"-"),
            "Other"
        )
    ),
"Add")</f>
        <v>BEC</v>
      </c>
      <c r="B544" s="10" t="str">
        <f t="shared" si="9"/>
        <v>0001</v>
      </c>
      <c r="C544" s="10" t="str">
        <f>_xlfn.LET(
    _xlpm.val, IF(Datadetails[[#This Row],[Activity]]="D02","C20",Datadetails[[#This Row],[Activity]]),
    IF(ISNUMBER(MATCH(_xlpm.val,{"D04","C30","c40","C20"},0)), _xlpm.val, "Other")
)</f>
        <v>D04</v>
      </c>
      <c r="D544" s="10" t="str">
        <f>IFERROR(VLOOKUP(Datadetails[[#This Row],[Taskcode]],Dashboard!A:A,1,FALSE),"00 Err Missing")</f>
        <v>0001</v>
      </c>
      <c r="E544" s="79">
        <v>45786</v>
      </c>
      <c r="F544" s="80" t="s">
        <v>324</v>
      </c>
      <c r="G544" s="60" t="s">
        <v>40</v>
      </c>
      <c r="H544" s="80" t="s">
        <v>314</v>
      </c>
      <c r="I544" s="80" t="s">
        <v>35</v>
      </c>
      <c r="J544" s="80" t="s">
        <v>359</v>
      </c>
      <c r="K544" s="80" t="s">
        <v>339</v>
      </c>
      <c r="L544" s="80" t="s">
        <v>352</v>
      </c>
      <c r="M544" s="81">
        <v>7</v>
      </c>
      <c r="N544" s="82">
        <v>525</v>
      </c>
    </row>
    <row r="545" spans="1:14" x14ac:dyDescent="0.25">
      <c r="A545" s="10" t="str">
        <f>_xlfn.IFNA(
    IF(J545=
        "PCB-0001",
        "CSS",
        IF(
            ISNUMBER(MATCH(_xlfn.TEXTBEFORE(J545,"-"), {"CSS","CSN","PCB","PCF","BEC","CSD","PCM"}, 0)),
            _xlfn.TEXTBEFORE(J545,"-"),
            "Other"
        )
    ),
"Add")</f>
        <v>BEC</v>
      </c>
      <c r="B545" s="10" t="str">
        <f t="shared" si="9"/>
        <v>0001</v>
      </c>
      <c r="C545" s="10" t="str">
        <f>_xlfn.LET(
    _xlpm.val, IF(Datadetails[[#This Row],[Activity]]="D02","C20",Datadetails[[#This Row],[Activity]]),
    IF(ISNUMBER(MATCH(_xlpm.val,{"D04","C30","c40","C20"},0)), _xlpm.val, "Other")
)</f>
        <v>D04</v>
      </c>
      <c r="D545" s="10" t="str">
        <f>IFERROR(VLOOKUP(Datadetails[[#This Row],[Taskcode]],Dashboard!A:A,1,FALSE),"00 Err Missing")</f>
        <v>0001</v>
      </c>
      <c r="E545" s="79">
        <v>45787</v>
      </c>
      <c r="F545" s="80" t="s">
        <v>332</v>
      </c>
      <c r="G545" s="60" t="s">
        <v>40</v>
      </c>
      <c r="H545" s="80" t="s">
        <v>314</v>
      </c>
      <c r="I545" s="80" t="s">
        <v>35</v>
      </c>
      <c r="J545" s="80" t="s">
        <v>359</v>
      </c>
      <c r="K545" s="80" t="s">
        <v>339</v>
      </c>
      <c r="L545" s="80" t="s">
        <v>352</v>
      </c>
      <c r="M545" s="81">
        <v>4</v>
      </c>
      <c r="N545" s="82">
        <v>160</v>
      </c>
    </row>
    <row r="546" spans="1:14" x14ac:dyDescent="0.25">
      <c r="A546" s="10" t="str">
        <f>_xlfn.IFNA(
    IF(J546=
        "PCB-0001",
        "CSS",
        IF(
            ISNUMBER(MATCH(_xlfn.TEXTBEFORE(J546,"-"), {"CSS","CSN","PCB","PCF","BEC","CSD","PCM"}, 0)),
            _xlfn.TEXTBEFORE(J546,"-"),
            "Other"
        )
    ),
"Add")</f>
        <v>PCB</v>
      </c>
      <c r="B546" s="10" t="str">
        <f t="shared" si="9"/>
        <v>0080</v>
      </c>
      <c r="C546" s="10" t="str">
        <f>_xlfn.LET(
    _xlpm.val, IF(Datadetails[[#This Row],[Activity]]="D02","C20",Datadetails[[#This Row],[Activity]]),
    IF(ISNUMBER(MATCH(_xlpm.val,{"D04","C30","c40","C20"},0)), _xlpm.val, "Other")
)</f>
        <v>C30</v>
      </c>
      <c r="D546" s="10" t="str">
        <f>IFERROR(VLOOKUP(Datadetails[[#This Row],[Taskcode]],Dashboard!A:A,1,FALSE),"00 Err Missing")</f>
        <v>0080</v>
      </c>
      <c r="E546" s="79">
        <v>45788</v>
      </c>
      <c r="F546" s="80" t="s">
        <v>329</v>
      </c>
      <c r="G546" s="60" t="s">
        <v>40</v>
      </c>
      <c r="H546" s="80" t="s">
        <v>247</v>
      </c>
      <c r="I546" s="80" t="s">
        <v>34</v>
      </c>
      <c r="J546" s="80" t="s">
        <v>375</v>
      </c>
      <c r="K546" s="80" t="s">
        <v>347</v>
      </c>
      <c r="L546" s="80" t="s">
        <v>343</v>
      </c>
      <c r="M546" s="81">
        <v>4.83</v>
      </c>
      <c r="N546" s="82">
        <v>362.25</v>
      </c>
    </row>
    <row r="547" spans="1:14" x14ac:dyDescent="0.25">
      <c r="A547" s="10" t="str">
        <f>_xlfn.IFNA(
    IF(J547=
        "PCB-0001",
        "CSS",
        IF(
            ISNUMBER(MATCH(_xlfn.TEXTBEFORE(J547,"-"), {"CSS","CSN","PCB","PCF","BEC","CSD","PCM"}, 0)),
            _xlfn.TEXTBEFORE(J547,"-"),
            "Other"
        )
    ),
"Add")</f>
        <v>CSN</v>
      </c>
      <c r="B547" s="10" t="str">
        <f t="shared" si="9"/>
        <v>0001</v>
      </c>
      <c r="C547" s="10" t="str">
        <f>_xlfn.LET(
    _xlpm.val, IF(Datadetails[[#This Row],[Activity]]="D02","C20",Datadetails[[#This Row],[Activity]]),
    IF(ISNUMBER(MATCH(_xlpm.val,{"D04","C30","c40","C20"},0)), _xlpm.val, "Other")
)</f>
        <v>D04</v>
      </c>
      <c r="D547" s="10" t="str">
        <f>IFERROR(VLOOKUP(Datadetails[[#This Row],[Taskcode]],Dashboard!A:A,1,FALSE),"00 Err Missing")</f>
        <v>0001</v>
      </c>
      <c r="E547" s="79">
        <v>45789</v>
      </c>
      <c r="F547" s="80" t="s">
        <v>329</v>
      </c>
      <c r="G547" s="60" t="s">
        <v>40</v>
      </c>
      <c r="H547" s="80" t="s">
        <v>316</v>
      </c>
      <c r="I547" s="80" t="s">
        <v>35</v>
      </c>
      <c r="J547" s="80" t="s">
        <v>338</v>
      </c>
      <c r="K547" s="80" t="s">
        <v>337</v>
      </c>
      <c r="L547" s="80" t="s">
        <v>352</v>
      </c>
      <c r="M547" s="81">
        <v>1.33</v>
      </c>
      <c r="N547" s="82">
        <v>99.75</v>
      </c>
    </row>
    <row r="548" spans="1:14" x14ac:dyDescent="0.25">
      <c r="A548" s="10" t="str">
        <f>_xlfn.IFNA(
    IF(J548=
        "PCB-0001",
        "CSS",
        IF(
            ISNUMBER(MATCH(_xlfn.TEXTBEFORE(J548,"-"), {"CSS","CSN","PCB","PCF","BEC","CSD","PCM"}, 0)),
            _xlfn.TEXTBEFORE(J548,"-"),
            "Other"
        )
    ),
"Add")</f>
        <v>CSN</v>
      </c>
      <c r="B548" s="10" t="str">
        <f t="shared" si="9"/>
        <v>0001</v>
      </c>
      <c r="C548" s="10" t="str">
        <f>_xlfn.LET(
    _xlpm.val, IF(Datadetails[[#This Row],[Activity]]="D02","C20",Datadetails[[#This Row],[Activity]]),
    IF(ISNUMBER(MATCH(_xlpm.val,{"D04","C30","c40","C20"},0)), _xlpm.val, "Other")
)</f>
        <v>D04</v>
      </c>
      <c r="D548" s="10" t="str">
        <f>IFERROR(VLOOKUP(Datadetails[[#This Row],[Taskcode]],Dashboard!A:A,1,FALSE),"00 Err Missing")</f>
        <v>0001</v>
      </c>
      <c r="E548" s="79">
        <v>45789</v>
      </c>
      <c r="F548" s="80" t="s">
        <v>331</v>
      </c>
      <c r="G548" s="60" t="s">
        <v>40</v>
      </c>
      <c r="H548" s="80" t="s">
        <v>316</v>
      </c>
      <c r="I548" s="80" t="s">
        <v>35</v>
      </c>
      <c r="J548" s="80" t="s">
        <v>338</v>
      </c>
      <c r="K548" s="80" t="s">
        <v>337</v>
      </c>
      <c r="L548" s="80" t="s">
        <v>352</v>
      </c>
      <c r="M548" s="81">
        <v>4.42</v>
      </c>
      <c r="N548" s="82">
        <v>141.44</v>
      </c>
    </row>
    <row r="549" spans="1:14" x14ac:dyDescent="0.25">
      <c r="A549" s="10" t="str">
        <f>_xlfn.IFNA(
    IF(J549=
        "PCB-0001",
        "CSS",
        IF(
            ISNUMBER(MATCH(_xlfn.TEXTBEFORE(J549,"-"), {"CSS","CSN","PCB","PCF","BEC","CSD","PCM"}, 0)),
            _xlfn.TEXTBEFORE(J549,"-"),
            "Other"
        )
    ),
"Add")</f>
        <v>CSD</v>
      </c>
      <c r="B549" s="10" t="str">
        <f t="shared" si="9"/>
        <v>0001</v>
      </c>
      <c r="C549" s="10" t="str">
        <f>_xlfn.LET(
    _xlpm.val, IF(Datadetails[[#This Row],[Activity]]="D02","C20",Datadetails[[#This Row],[Activity]]),
    IF(ISNUMBER(MATCH(_xlpm.val,{"D04","C30","c40","C20"},0)), _xlpm.val, "Other")
)</f>
        <v>D04</v>
      </c>
      <c r="D549" s="10" t="str">
        <f>IFERROR(VLOOKUP(Datadetails[[#This Row],[Taskcode]],Dashboard!A:A,1,FALSE),"00 Err Missing")</f>
        <v>0001</v>
      </c>
      <c r="E549" s="79">
        <v>45789</v>
      </c>
      <c r="F549" s="80" t="s">
        <v>333</v>
      </c>
      <c r="G549" s="60" t="s">
        <v>40</v>
      </c>
      <c r="H549" s="80" t="s">
        <v>320</v>
      </c>
      <c r="I549" s="80" t="s">
        <v>35</v>
      </c>
      <c r="J549" s="80" t="s">
        <v>322</v>
      </c>
      <c r="K549" s="80" t="s">
        <v>319</v>
      </c>
      <c r="L549" s="80" t="s">
        <v>352</v>
      </c>
      <c r="M549" s="81">
        <v>7.4</v>
      </c>
      <c r="N549" s="82">
        <v>236.8</v>
      </c>
    </row>
    <row r="550" spans="1:14" x14ac:dyDescent="0.25">
      <c r="A550" s="10" t="str">
        <f>_xlfn.IFNA(
    IF(J550=
        "PCB-0001",
        "CSS",
        IF(
            ISNUMBER(MATCH(_xlfn.TEXTBEFORE(J550,"-"), {"CSS","CSN","PCB","PCF","BEC","CSD","PCM"}, 0)),
            _xlfn.TEXTBEFORE(J550,"-"),
            "Other"
        )
    ),
"Add")</f>
        <v>CSD</v>
      </c>
      <c r="B550" s="10" t="str">
        <f t="shared" si="9"/>
        <v>0001</v>
      </c>
      <c r="C550" s="10" t="str">
        <f>_xlfn.LET(
    _xlpm.val, IF(Datadetails[[#This Row],[Activity]]="D02","C20",Datadetails[[#This Row],[Activity]]),
    IF(ISNUMBER(MATCH(_xlpm.val,{"D04","C30","c40","C20"},0)), _xlpm.val, "Other")
)</f>
        <v>D04</v>
      </c>
      <c r="D550" s="10" t="str">
        <f>IFERROR(VLOOKUP(Datadetails[[#This Row],[Taskcode]],Dashboard!A:A,1,FALSE),"00 Err Missing")</f>
        <v>0001</v>
      </c>
      <c r="E550" s="79">
        <v>45789</v>
      </c>
      <c r="F550" s="80" t="s">
        <v>327</v>
      </c>
      <c r="G550" s="60" t="s">
        <v>40</v>
      </c>
      <c r="H550" s="80" t="s">
        <v>320</v>
      </c>
      <c r="I550" s="80" t="s">
        <v>35</v>
      </c>
      <c r="J550" s="80" t="s">
        <v>322</v>
      </c>
      <c r="K550" s="80" t="s">
        <v>319</v>
      </c>
      <c r="L550" s="80" t="s">
        <v>352</v>
      </c>
      <c r="M550" s="81">
        <v>7.25</v>
      </c>
      <c r="N550" s="82">
        <v>232</v>
      </c>
    </row>
    <row r="551" spans="1:14" x14ac:dyDescent="0.25">
      <c r="A551" s="10" t="str">
        <f>_xlfn.IFNA(
    IF(J551=
        "PCB-0001",
        "CSS",
        IF(
            ISNUMBER(MATCH(_xlfn.TEXTBEFORE(J551,"-"), {"CSS","CSN","PCB","PCF","BEC","CSD","PCM"}, 0)),
            _xlfn.TEXTBEFORE(J551,"-"),
            "Other"
        )
    ),
"Add")</f>
        <v>PCM</v>
      </c>
      <c r="B551" s="10" t="str">
        <f t="shared" si="9"/>
        <v>0118</v>
      </c>
      <c r="C551" s="10" t="str">
        <f>_xlfn.LET(
    _xlpm.val, IF(Datadetails[[#This Row],[Activity]]="D02","C20",Datadetails[[#This Row],[Activity]]),
    IF(ISNUMBER(MATCH(_xlpm.val,{"D04","C30","c40","C20"},0)), _xlpm.val, "Other")
)</f>
        <v>C40</v>
      </c>
      <c r="D551" s="10" t="str">
        <f>IFERROR(VLOOKUP(Datadetails[[#This Row],[Taskcode]],Dashboard!A:A,1,FALSE),"00 Err Missing")</f>
        <v>0118</v>
      </c>
      <c r="E551" s="79">
        <v>45789</v>
      </c>
      <c r="F551" s="80" t="s">
        <v>323</v>
      </c>
      <c r="G551" s="60" t="s">
        <v>40</v>
      </c>
      <c r="H551" s="80" t="s">
        <v>285</v>
      </c>
      <c r="I551" s="80" t="s">
        <v>341</v>
      </c>
      <c r="J551" s="80" t="s">
        <v>448</v>
      </c>
      <c r="K551" s="80" t="s">
        <v>346</v>
      </c>
      <c r="L551" s="80" t="s">
        <v>344</v>
      </c>
      <c r="M551" s="81">
        <v>1</v>
      </c>
      <c r="N551" s="82">
        <v>60</v>
      </c>
    </row>
    <row r="552" spans="1:14" x14ac:dyDescent="0.25">
      <c r="A552" s="10" t="str">
        <f>_xlfn.IFNA(
    IF(J552=
        "PCB-0001",
        "CSS",
        IF(
            ISNUMBER(MATCH(_xlfn.TEXTBEFORE(J552,"-"), {"CSS","CSN","PCB","PCF","BEC","CSD","PCM"}, 0)),
            _xlfn.TEXTBEFORE(J552,"-"),
            "Other"
        )
    ),
"Add")</f>
        <v>PCB</v>
      </c>
      <c r="B552" s="10" t="str">
        <f t="shared" si="9"/>
        <v>0019</v>
      </c>
      <c r="C552" s="10" t="str">
        <f>_xlfn.LET(
    _xlpm.val, IF(Datadetails[[#This Row],[Activity]]="D02","C20",Datadetails[[#This Row],[Activity]]),
    IF(ISNUMBER(MATCH(_xlpm.val,{"D04","C30","c40","C20"},0)), _xlpm.val, "Other")
)</f>
        <v>C30</v>
      </c>
      <c r="D552" s="10" t="str">
        <f>IFERROR(VLOOKUP(Datadetails[[#This Row],[Taskcode]],Dashboard!A:A,1,FALSE),"00 Err Missing")</f>
        <v>0019</v>
      </c>
      <c r="E552" s="79">
        <v>45789</v>
      </c>
      <c r="F552" s="80" t="s">
        <v>329</v>
      </c>
      <c r="G552" s="60" t="s">
        <v>40</v>
      </c>
      <c r="H552" s="80" t="s">
        <v>186</v>
      </c>
      <c r="I552" s="80" t="s">
        <v>34</v>
      </c>
      <c r="J552" s="80" t="s">
        <v>397</v>
      </c>
      <c r="K552" s="80" t="s">
        <v>347</v>
      </c>
      <c r="L552" s="80" t="s">
        <v>343</v>
      </c>
      <c r="M552" s="81">
        <v>0.08</v>
      </c>
      <c r="N552" s="82">
        <v>6</v>
      </c>
    </row>
    <row r="553" spans="1:14" x14ac:dyDescent="0.25">
      <c r="A553" s="10" t="str">
        <f>_xlfn.IFNA(
    IF(J553=
        "PCB-0001",
        "CSS",
        IF(
            ISNUMBER(MATCH(_xlfn.TEXTBEFORE(J553,"-"), {"CSS","CSN","PCB","PCF","BEC","CSD","PCM"}, 0)),
            _xlfn.TEXTBEFORE(J553,"-"),
            "Other"
        )
    ),
"Add")</f>
        <v>PCB</v>
      </c>
      <c r="B553" s="10" t="str">
        <f t="shared" si="9"/>
        <v>0039</v>
      </c>
      <c r="C553" s="10" t="str">
        <f>_xlfn.LET(
    _xlpm.val, IF(Datadetails[[#This Row],[Activity]]="D02","C20",Datadetails[[#This Row],[Activity]]),
    IF(ISNUMBER(MATCH(_xlpm.val,{"D04","C30","c40","C20"},0)), _xlpm.val, "Other")
)</f>
        <v>C30</v>
      </c>
      <c r="D553" s="10" t="str">
        <f>IFERROR(VLOOKUP(Datadetails[[#This Row],[Taskcode]],Dashboard!A:A,1,FALSE),"00 Err Missing")</f>
        <v>0039</v>
      </c>
      <c r="E553" s="79">
        <v>45789</v>
      </c>
      <c r="F553" s="80" t="s">
        <v>329</v>
      </c>
      <c r="G553" s="60" t="s">
        <v>40</v>
      </c>
      <c r="H553" s="80" t="s">
        <v>206</v>
      </c>
      <c r="I553" s="80" t="s">
        <v>34</v>
      </c>
      <c r="J553" s="80" t="s">
        <v>367</v>
      </c>
      <c r="K553" s="80" t="s">
        <v>347</v>
      </c>
      <c r="L553" s="80" t="s">
        <v>343</v>
      </c>
      <c r="M553" s="81">
        <v>0.08</v>
      </c>
      <c r="N553" s="82">
        <v>6</v>
      </c>
    </row>
    <row r="554" spans="1:14" x14ac:dyDescent="0.25">
      <c r="A554" s="10" t="str">
        <f>_xlfn.IFNA(
    IF(J554=
        "PCB-0001",
        "CSS",
        IF(
            ISNUMBER(MATCH(_xlfn.TEXTBEFORE(J554,"-"), {"CSS","CSN","PCB","PCF","BEC","CSD","PCM"}, 0)),
            _xlfn.TEXTBEFORE(J554,"-"),
            "Other"
        )
    ),
"Add")</f>
        <v>PCB</v>
      </c>
      <c r="B554" s="10" t="str">
        <f t="shared" si="9"/>
        <v>0074</v>
      </c>
      <c r="C554" s="10" t="str">
        <f>_xlfn.LET(
    _xlpm.val, IF(Datadetails[[#This Row],[Activity]]="D02","C20",Datadetails[[#This Row],[Activity]]),
    IF(ISNUMBER(MATCH(_xlpm.val,{"D04","C30","c40","C20"},0)), _xlpm.val, "Other")
)</f>
        <v>C30</v>
      </c>
      <c r="D554" s="10" t="str">
        <f>IFERROR(VLOOKUP(Datadetails[[#This Row],[Taskcode]],Dashboard!A:A,1,FALSE),"00 Err Missing")</f>
        <v>0074</v>
      </c>
      <c r="E554" s="79">
        <v>45789</v>
      </c>
      <c r="F554" s="80" t="s">
        <v>329</v>
      </c>
      <c r="G554" s="60" t="s">
        <v>40</v>
      </c>
      <c r="H554" s="80" t="s">
        <v>241</v>
      </c>
      <c r="I554" s="80" t="s">
        <v>34</v>
      </c>
      <c r="J554" s="80" t="s">
        <v>403</v>
      </c>
      <c r="K554" s="80" t="s">
        <v>347</v>
      </c>
      <c r="L554" s="80" t="s">
        <v>343</v>
      </c>
      <c r="M554" s="81">
        <v>0.33</v>
      </c>
      <c r="N554" s="82">
        <v>24.75</v>
      </c>
    </row>
    <row r="555" spans="1:14" x14ac:dyDescent="0.25">
      <c r="A555" s="10" t="str">
        <f>_xlfn.IFNA(
    IF(J555=
        "PCB-0001",
        "CSS",
        IF(
            ISNUMBER(MATCH(_xlfn.TEXTBEFORE(J555,"-"), {"CSS","CSN","PCB","PCF","BEC","CSD","PCM"}, 0)),
            _xlfn.TEXTBEFORE(J555,"-"),
            "Other"
        )
    ),
"Add")</f>
        <v>PCB</v>
      </c>
      <c r="B555" s="10" t="str">
        <f t="shared" si="9"/>
        <v>0080</v>
      </c>
      <c r="C555" s="10" t="str">
        <f>_xlfn.LET(
    _xlpm.val, IF(Datadetails[[#This Row],[Activity]]="D02","C20",Datadetails[[#This Row],[Activity]]),
    IF(ISNUMBER(MATCH(_xlpm.val,{"D04","C30","c40","C20"},0)), _xlpm.val, "Other")
)</f>
        <v>C30</v>
      </c>
      <c r="D555" s="10" t="str">
        <f>IFERROR(VLOOKUP(Datadetails[[#This Row],[Taskcode]],Dashboard!A:A,1,FALSE),"00 Err Missing")</f>
        <v>0080</v>
      </c>
      <c r="E555" s="79">
        <v>45789</v>
      </c>
      <c r="F555" s="80" t="s">
        <v>329</v>
      </c>
      <c r="G555" s="60" t="s">
        <v>40</v>
      </c>
      <c r="H555" s="80" t="s">
        <v>247</v>
      </c>
      <c r="I555" s="80" t="s">
        <v>34</v>
      </c>
      <c r="J555" s="80" t="s">
        <v>375</v>
      </c>
      <c r="K555" s="80" t="s">
        <v>347</v>
      </c>
      <c r="L555" s="80" t="s">
        <v>343</v>
      </c>
      <c r="M555" s="81">
        <v>0.17</v>
      </c>
      <c r="N555" s="82">
        <v>12.750000000000002</v>
      </c>
    </row>
    <row r="556" spans="1:14" x14ac:dyDescent="0.25">
      <c r="A556" s="10" t="str">
        <f>_xlfn.IFNA(
    IF(J556=
        "PCB-0001",
        "CSS",
        IF(
            ISNUMBER(MATCH(_xlfn.TEXTBEFORE(J556,"-"), {"CSS","CSN","PCB","PCF","BEC","CSD","PCM"}, 0)),
            _xlfn.TEXTBEFORE(J556,"-"),
            "Other"
        )
    ),
"Add")</f>
        <v>PCB</v>
      </c>
      <c r="B556" s="10" t="str">
        <f t="shared" si="9"/>
        <v>0120</v>
      </c>
      <c r="C556" s="10" t="str">
        <f>_xlfn.LET(
    _xlpm.val, IF(Datadetails[[#This Row],[Activity]]="D02","C20",Datadetails[[#This Row],[Activity]]),
    IF(ISNUMBER(MATCH(_xlpm.val,{"D04","C30","c40","C20"},0)), _xlpm.val, "Other")
)</f>
        <v>C30</v>
      </c>
      <c r="D556" s="10" t="str">
        <f>IFERROR(VLOOKUP(Datadetails[[#This Row],[Taskcode]],Dashboard!A:A,1,FALSE),"00 Err Missing")</f>
        <v>0120</v>
      </c>
      <c r="E556" s="79">
        <v>45789</v>
      </c>
      <c r="F556" s="80" t="s">
        <v>325</v>
      </c>
      <c r="G556" s="60" t="s">
        <v>40</v>
      </c>
      <c r="H556" s="80" t="s">
        <v>287</v>
      </c>
      <c r="I556" s="80" t="s">
        <v>34</v>
      </c>
      <c r="J556" s="80" t="s">
        <v>378</v>
      </c>
      <c r="K556" s="80" t="s">
        <v>347</v>
      </c>
      <c r="L556" s="80" t="s">
        <v>343</v>
      </c>
      <c r="M556" s="81">
        <v>0.17</v>
      </c>
      <c r="N556" s="82">
        <v>12.750000000000002</v>
      </c>
    </row>
    <row r="557" spans="1:14" x14ac:dyDescent="0.25">
      <c r="A557" s="10" t="str">
        <f>_xlfn.IFNA(
    IF(J557=
        "PCB-0001",
        "CSS",
        IF(
            ISNUMBER(MATCH(_xlfn.TEXTBEFORE(J557,"-"), {"CSS","CSN","PCB","PCF","BEC","CSD","PCM"}, 0)),
            _xlfn.TEXTBEFORE(J557,"-"),
            "Other"
        )
    ),
"Add")</f>
        <v>PCB</v>
      </c>
      <c r="B557" s="10" t="str">
        <f t="shared" si="9"/>
        <v>0095</v>
      </c>
      <c r="C557" s="10" t="str">
        <f>_xlfn.LET(
    _xlpm.val, IF(Datadetails[[#This Row],[Activity]]="D02","C20",Datadetails[[#This Row],[Activity]]),
    IF(ISNUMBER(MATCH(_xlpm.val,{"D04","C30","c40","C20"},0)), _xlpm.val, "Other")
)</f>
        <v>C30</v>
      </c>
      <c r="D557" s="10" t="str">
        <f>IFERROR(VLOOKUP(Datadetails[[#This Row],[Taskcode]],Dashboard!A:A,1,FALSE),"00 Err Missing")</f>
        <v>0095</v>
      </c>
      <c r="E557" s="79">
        <v>45789</v>
      </c>
      <c r="F557" s="80" t="s">
        <v>325</v>
      </c>
      <c r="G557" s="60" t="s">
        <v>40</v>
      </c>
      <c r="H557" s="80" t="s">
        <v>262</v>
      </c>
      <c r="I557" s="80" t="s">
        <v>34</v>
      </c>
      <c r="J557" s="80" t="s">
        <v>442</v>
      </c>
      <c r="K557" s="80" t="s">
        <v>347</v>
      </c>
      <c r="L557" s="80" t="s">
        <v>343</v>
      </c>
      <c r="M557" s="81">
        <v>0.17</v>
      </c>
      <c r="N557" s="82">
        <v>12.750000000000002</v>
      </c>
    </row>
    <row r="558" spans="1:14" x14ac:dyDescent="0.25">
      <c r="A558" s="10" t="str">
        <f>_xlfn.IFNA(
    IF(J558=
        "PCB-0001",
        "CSS",
        IF(
            ISNUMBER(MATCH(_xlfn.TEXTBEFORE(J558,"-"), {"CSS","CSN","PCB","PCF","BEC","CSD","PCM"}, 0)),
            _xlfn.TEXTBEFORE(J558,"-"),
            "Other"
        )
    ),
"Add")</f>
        <v>PCB</v>
      </c>
      <c r="B558" s="10" t="str">
        <f t="shared" si="9"/>
        <v>0082</v>
      </c>
      <c r="C558" s="10" t="str">
        <f>_xlfn.LET(
    _xlpm.val, IF(Datadetails[[#This Row],[Activity]]="D02","C20",Datadetails[[#This Row],[Activity]]),
    IF(ISNUMBER(MATCH(_xlpm.val,{"D04","C30","c40","C20"},0)), _xlpm.val, "Other")
)</f>
        <v>C30</v>
      </c>
      <c r="D558" s="10" t="str">
        <f>IFERROR(VLOOKUP(Datadetails[[#This Row],[Taskcode]],Dashboard!A:A,1,FALSE),"00 Err Missing")</f>
        <v>0082</v>
      </c>
      <c r="E558" s="79">
        <v>45789</v>
      </c>
      <c r="F558" s="80" t="s">
        <v>325</v>
      </c>
      <c r="G558" s="60" t="s">
        <v>40</v>
      </c>
      <c r="H558" s="80" t="s">
        <v>249</v>
      </c>
      <c r="I558" s="80" t="s">
        <v>34</v>
      </c>
      <c r="J558" s="80" t="s">
        <v>409</v>
      </c>
      <c r="K558" s="80" t="s">
        <v>347</v>
      </c>
      <c r="L558" s="80" t="s">
        <v>343</v>
      </c>
      <c r="M558" s="81">
        <v>0.17</v>
      </c>
      <c r="N558" s="82">
        <v>12.750000000000002</v>
      </c>
    </row>
    <row r="559" spans="1:14" x14ac:dyDescent="0.25">
      <c r="A559" s="10" t="str">
        <f>_xlfn.IFNA(
    IF(J559=
        "PCB-0001",
        "CSS",
        IF(
            ISNUMBER(MATCH(_xlfn.TEXTBEFORE(J559,"-"), {"CSS","CSN","PCB","PCF","BEC","CSD","PCM"}, 0)),
            _xlfn.TEXTBEFORE(J559,"-"),
            "Other"
        )
    ),
"Add")</f>
        <v>PCB</v>
      </c>
      <c r="B559" s="10" t="str">
        <f t="shared" si="9"/>
        <v>0126</v>
      </c>
      <c r="C559" s="10" t="str">
        <f>_xlfn.LET(
    _xlpm.val, IF(Datadetails[[#This Row],[Activity]]="D02","C20",Datadetails[[#This Row],[Activity]]),
    IF(ISNUMBER(MATCH(_xlpm.val,{"D04","C30","c40","C20"},0)), _xlpm.val, "Other")
)</f>
        <v>C40</v>
      </c>
      <c r="D559" s="10" t="str">
        <f>IFERROR(VLOOKUP(Datadetails[[#This Row],[Taskcode]],Dashboard!A:A,1,FALSE),"00 Err Missing")</f>
        <v>0126</v>
      </c>
      <c r="E559" s="79">
        <v>45789</v>
      </c>
      <c r="F559" s="80" t="s">
        <v>329</v>
      </c>
      <c r="G559" s="60" t="s">
        <v>40</v>
      </c>
      <c r="H559" s="80" t="s">
        <v>293</v>
      </c>
      <c r="I559" s="80" t="s">
        <v>341</v>
      </c>
      <c r="J559" s="80" t="s">
        <v>376</v>
      </c>
      <c r="K559" s="80" t="s">
        <v>347</v>
      </c>
      <c r="L559" s="80" t="s">
        <v>344</v>
      </c>
      <c r="M559" s="81">
        <v>1.75</v>
      </c>
      <c r="N559" s="82">
        <v>131.25</v>
      </c>
    </row>
    <row r="560" spans="1:14" x14ac:dyDescent="0.25">
      <c r="A560" s="10" t="str">
        <f>_xlfn.IFNA(
    IF(J560=
        "PCB-0001",
        "CSS",
        IF(
            ISNUMBER(MATCH(_xlfn.TEXTBEFORE(J560,"-"), {"CSS","CSN","PCB","PCF","BEC","CSD","PCM"}, 0)),
            _xlfn.TEXTBEFORE(J560,"-"),
            "Other"
        )
    ),
"Add")</f>
        <v>PCB</v>
      </c>
      <c r="B560" s="10" t="str">
        <f t="shared" si="9"/>
        <v>0132</v>
      </c>
      <c r="C560" s="10" t="str">
        <f>_xlfn.LET(
    _xlpm.val, IF(Datadetails[[#This Row],[Activity]]="D02","C20",Datadetails[[#This Row],[Activity]]),
    IF(ISNUMBER(MATCH(_xlpm.val,{"D04","C30","c40","C20"},0)), _xlpm.val, "Other")
)</f>
        <v>C20</v>
      </c>
      <c r="D560" s="10" t="str">
        <f>IFERROR(VLOOKUP(Datadetails[[#This Row],[Taskcode]],Dashboard!A:A,1,FALSE),"00 Err Missing")</f>
        <v>0132</v>
      </c>
      <c r="E560" s="79">
        <v>45789</v>
      </c>
      <c r="F560" s="80" t="s">
        <v>329</v>
      </c>
      <c r="G560" s="60" t="s">
        <v>40</v>
      </c>
      <c r="H560" s="80" t="s">
        <v>299</v>
      </c>
      <c r="I560" s="80" t="s">
        <v>312</v>
      </c>
      <c r="J560" s="80" t="s">
        <v>455</v>
      </c>
      <c r="K560" s="80" t="s">
        <v>347</v>
      </c>
      <c r="L560" s="80" t="s">
        <v>350</v>
      </c>
      <c r="M560" s="81">
        <v>2</v>
      </c>
      <c r="N560" s="82">
        <v>150</v>
      </c>
    </row>
    <row r="561" spans="1:14" x14ac:dyDescent="0.25">
      <c r="A561" s="10" t="str">
        <f>_xlfn.IFNA(
    IF(J561=
        "PCB-0001",
        "CSS",
        IF(
            ISNUMBER(MATCH(_xlfn.TEXTBEFORE(J561,"-"), {"CSS","CSN","PCB","PCF","BEC","CSD","PCM"}, 0)),
            _xlfn.TEXTBEFORE(J561,"-"),
            "Other"
        )
    ),
"Add")</f>
        <v>PCF</v>
      </c>
      <c r="B561" s="10" t="str">
        <f t="shared" si="9"/>
        <v>0098</v>
      </c>
      <c r="C561" s="10" t="str">
        <f>_xlfn.LET(
    _xlpm.val, IF(Datadetails[[#This Row],[Activity]]="D02","C20",Datadetails[[#This Row],[Activity]]),
    IF(ISNUMBER(MATCH(_xlpm.val,{"D04","C30","c40","C20"},0)), _xlpm.val, "Other")
)</f>
        <v>C20</v>
      </c>
      <c r="D561" s="10" t="str">
        <f>IFERROR(VLOOKUP(Datadetails[[#This Row],[Taskcode]],Dashboard!A:A,1,FALSE),"00 Err Missing")</f>
        <v>0098</v>
      </c>
      <c r="E561" s="79">
        <v>45789</v>
      </c>
      <c r="F561" s="80" t="s">
        <v>326</v>
      </c>
      <c r="G561" s="60" t="s">
        <v>40</v>
      </c>
      <c r="H561" s="80" t="s">
        <v>265</v>
      </c>
      <c r="I561" s="80" t="s">
        <v>36</v>
      </c>
      <c r="J561" s="80" t="s">
        <v>358</v>
      </c>
      <c r="K561" s="80" t="s">
        <v>348</v>
      </c>
      <c r="L561" s="80" t="s">
        <v>342</v>
      </c>
      <c r="M561" s="81">
        <v>0.75</v>
      </c>
      <c r="N561" s="82">
        <v>45</v>
      </c>
    </row>
    <row r="562" spans="1:14" x14ac:dyDescent="0.25">
      <c r="A562" s="10" t="str">
        <f>_xlfn.IFNA(
    IF(J562=
        "PCB-0001",
        "CSS",
        IF(
            ISNUMBER(MATCH(_xlfn.TEXTBEFORE(J562,"-"), {"CSS","CSN","PCB","PCF","BEC","CSD","PCM"}, 0)),
            _xlfn.TEXTBEFORE(J562,"-"),
            "Other"
        )
    ),
"Add")</f>
        <v>PCF</v>
      </c>
      <c r="B562" s="10" t="str">
        <f t="shared" si="9"/>
        <v>0068</v>
      </c>
      <c r="C562" s="10" t="str">
        <f>_xlfn.LET(
    _xlpm.val, IF(Datadetails[[#This Row],[Activity]]="D02","C20",Datadetails[[#This Row],[Activity]]),
    IF(ISNUMBER(MATCH(_xlpm.val,{"D04","C30","c40","C20"},0)), _xlpm.val, "Other")
)</f>
        <v>C30</v>
      </c>
      <c r="D562" s="10" t="str">
        <f>IFERROR(VLOOKUP(Datadetails[[#This Row],[Taskcode]],Dashboard!A:A,1,FALSE),"00 Err Missing")</f>
        <v>0068</v>
      </c>
      <c r="E562" s="79">
        <v>45789</v>
      </c>
      <c r="F562" s="80" t="s">
        <v>326</v>
      </c>
      <c r="G562" s="60" t="s">
        <v>40</v>
      </c>
      <c r="H562" s="80" t="s">
        <v>235</v>
      </c>
      <c r="I562" s="80" t="s">
        <v>34</v>
      </c>
      <c r="J562" s="80" t="s">
        <v>355</v>
      </c>
      <c r="K562" s="80" t="s">
        <v>348</v>
      </c>
      <c r="L562" s="80" t="s">
        <v>343</v>
      </c>
      <c r="M562" s="81">
        <v>0.57999999999999996</v>
      </c>
      <c r="N562" s="82">
        <v>34.799999999999997</v>
      </c>
    </row>
    <row r="563" spans="1:14" x14ac:dyDescent="0.25">
      <c r="A563" s="10" t="str">
        <f>_xlfn.IFNA(
    IF(J563=
        "PCB-0001",
        "CSS",
        IF(
            ISNUMBER(MATCH(_xlfn.TEXTBEFORE(J563,"-"), {"CSS","CSN","PCB","PCF","BEC","CSD","PCM"}, 0)),
            _xlfn.TEXTBEFORE(J563,"-"),
            "Other"
        )
    ),
"Add")</f>
        <v>PCF</v>
      </c>
      <c r="B563" s="10" t="str">
        <f t="shared" si="9"/>
        <v>0067</v>
      </c>
      <c r="C563" s="10" t="str">
        <f>_xlfn.LET(
    _xlpm.val, IF(Datadetails[[#This Row],[Activity]]="D02","C20",Datadetails[[#This Row],[Activity]]),
    IF(ISNUMBER(MATCH(_xlpm.val,{"D04","C30","c40","C20"},0)), _xlpm.val, "Other")
)</f>
        <v>C30</v>
      </c>
      <c r="D563" s="10" t="str">
        <f>IFERROR(VLOOKUP(Datadetails[[#This Row],[Taskcode]],Dashboard!A:A,1,FALSE),"00 Err Missing")</f>
        <v>0067</v>
      </c>
      <c r="E563" s="79">
        <v>45789</v>
      </c>
      <c r="F563" s="80" t="s">
        <v>326</v>
      </c>
      <c r="G563" s="60" t="s">
        <v>40</v>
      </c>
      <c r="H563" s="80" t="s">
        <v>234</v>
      </c>
      <c r="I563" s="80" t="s">
        <v>34</v>
      </c>
      <c r="J563" s="80" t="s">
        <v>389</v>
      </c>
      <c r="K563" s="80" t="s">
        <v>348</v>
      </c>
      <c r="L563" s="80" t="s">
        <v>343</v>
      </c>
      <c r="M563" s="81">
        <v>0.57999999999999996</v>
      </c>
      <c r="N563" s="82">
        <v>34.799999999999997</v>
      </c>
    </row>
    <row r="564" spans="1:14" x14ac:dyDescent="0.25">
      <c r="A564" s="10" t="str">
        <f>_xlfn.IFNA(
    IF(J564=
        "PCB-0001",
        "CSS",
        IF(
            ISNUMBER(MATCH(_xlfn.TEXTBEFORE(J564,"-"), {"CSS","CSN","PCB","PCF","BEC","CSD","PCM"}, 0)),
            _xlfn.TEXTBEFORE(J564,"-"),
            "Other"
        )
    ),
"Add")</f>
        <v>PCF</v>
      </c>
      <c r="B564" s="10" t="str">
        <f t="shared" si="9"/>
        <v>0066</v>
      </c>
      <c r="C564" s="10" t="str">
        <f>_xlfn.LET(
    _xlpm.val, IF(Datadetails[[#This Row],[Activity]]="D02","C20",Datadetails[[#This Row],[Activity]]),
    IF(ISNUMBER(MATCH(_xlpm.val,{"D04","C30","c40","C20"},0)), _xlpm.val, "Other")
)</f>
        <v>C30</v>
      </c>
      <c r="D564" s="10" t="str">
        <f>IFERROR(VLOOKUP(Datadetails[[#This Row],[Taskcode]],Dashboard!A:A,1,FALSE),"00 Err Missing")</f>
        <v>0066</v>
      </c>
      <c r="E564" s="79">
        <v>45789</v>
      </c>
      <c r="F564" s="80" t="s">
        <v>326</v>
      </c>
      <c r="G564" s="60" t="s">
        <v>40</v>
      </c>
      <c r="H564" s="80" t="s">
        <v>233</v>
      </c>
      <c r="I564" s="80" t="s">
        <v>34</v>
      </c>
      <c r="J564" s="80" t="s">
        <v>387</v>
      </c>
      <c r="K564" s="80" t="s">
        <v>348</v>
      </c>
      <c r="L564" s="80" t="s">
        <v>343</v>
      </c>
      <c r="M564" s="81">
        <v>0.57999999999999996</v>
      </c>
      <c r="N564" s="82">
        <v>34.799999999999997</v>
      </c>
    </row>
    <row r="565" spans="1:14" x14ac:dyDescent="0.25">
      <c r="A565" s="10" t="str">
        <f>_xlfn.IFNA(
    IF(J565=
        "PCB-0001",
        "CSS",
        IF(
            ISNUMBER(MATCH(_xlfn.TEXTBEFORE(J565,"-"), {"CSS","CSN","PCB","PCF","BEC","CSD","PCM"}, 0)),
            _xlfn.TEXTBEFORE(J565,"-"),
            "Other"
        )
    ),
"Add")</f>
        <v>PCF</v>
      </c>
      <c r="B565" s="10" t="str">
        <f t="shared" si="9"/>
        <v>0069</v>
      </c>
      <c r="C565" s="10" t="str">
        <f>_xlfn.LET(
    _xlpm.val, IF(Datadetails[[#This Row],[Activity]]="D02","C20",Datadetails[[#This Row],[Activity]]),
    IF(ISNUMBER(MATCH(_xlpm.val,{"D04","C30","c40","C20"},0)), _xlpm.val, "Other")
)</f>
        <v>C30</v>
      </c>
      <c r="D565" s="10" t="str">
        <f>IFERROR(VLOOKUP(Datadetails[[#This Row],[Taskcode]],Dashboard!A:A,1,FALSE),"00 Err Missing")</f>
        <v>0069</v>
      </c>
      <c r="E565" s="79">
        <v>45789</v>
      </c>
      <c r="F565" s="80" t="s">
        <v>326</v>
      </c>
      <c r="G565" s="60" t="s">
        <v>40</v>
      </c>
      <c r="H565" s="80" t="s">
        <v>236</v>
      </c>
      <c r="I565" s="80" t="s">
        <v>34</v>
      </c>
      <c r="J565" s="80" t="s">
        <v>357</v>
      </c>
      <c r="K565" s="80" t="s">
        <v>348</v>
      </c>
      <c r="L565" s="80" t="s">
        <v>343</v>
      </c>
      <c r="M565" s="81">
        <v>0.57999999999999996</v>
      </c>
      <c r="N565" s="82">
        <v>34.799999999999997</v>
      </c>
    </row>
    <row r="566" spans="1:14" x14ac:dyDescent="0.25">
      <c r="A566" s="10" t="str">
        <f>_xlfn.IFNA(
    IF(J566=
        "PCB-0001",
        "CSS",
        IF(
            ISNUMBER(MATCH(_xlfn.TEXTBEFORE(J566,"-"), {"CSS","CSN","PCB","PCF","BEC","CSD","PCM"}, 0)),
            _xlfn.TEXTBEFORE(J566,"-"),
            "Other"
        )
    ),
"Add")</f>
        <v>BEC</v>
      </c>
      <c r="B566" s="10" t="str">
        <f t="shared" si="9"/>
        <v>0001</v>
      </c>
      <c r="C566" s="10" t="str">
        <f>_xlfn.LET(
    _xlpm.val, IF(Datadetails[[#This Row],[Activity]]="D02","C20",Datadetails[[#This Row],[Activity]]),
    IF(ISNUMBER(MATCH(_xlpm.val,{"D04","C30","c40","C20"},0)), _xlpm.val, "Other")
)</f>
        <v>D04</v>
      </c>
      <c r="D566" s="10" t="str">
        <f>IFERROR(VLOOKUP(Datadetails[[#This Row],[Taskcode]],Dashboard!A:A,1,FALSE),"00 Err Missing")</f>
        <v>0001</v>
      </c>
      <c r="E566" s="79">
        <v>45789</v>
      </c>
      <c r="F566" s="80" t="s">
        <v>332</v>
      </c>
      <c r="G566" s="60" t="s">
        <v>40</v>
      </c>
      <c r="H566" s="80" t="s">
        <v>314</v>
      </c>
      <c r="I566" s="80" t="s">
        <v>35</v>
      </c>
      <c r="J566" s="80" t="s">
        <v>359</v>
      </c>
      <c r="K566" s="80" t="s">
        <v>339</v>
      </c>
      <c r="L566" s="80" t="s">
        <v>352</v>
      </c>
      <c r="M566" s="81">
        <v>8.83</v>
      </c>
      <c r="N566" s="82">
        <v>353.2</v>
      </c>
    </row>
    <row r="567" spans="1:14" x14ac:dyDescent="0.25">
      <c r="A567" s="10" t="str">
        <f>_xlfn.IFNA(
    IF(J567=
        "PCB-0001",
        "CSS",
        IF(
            ISNUMBER(MATCH(_xlfn.TEXTBEFORE(J567,"-"), {"CSS","CSN","PCB","PCF","BEC","CSD","PCM"}, 0)),
            _xlfn.TEXTBEFORE(J567,"-"),
            "Other"
        )
    ),
"Add")</f>
        <v>BEC</v>
      </c>
      <c r="B567" s="10" t="str">
        <f t="shared" si="9"/>
        <v>0001</v>
      </c>
      <c r="C567" s="10" t="str">
        <f>_xlfn.LET(
    _xlpm.val, IF(Datadetails[[#This Row],[Activity]]="D02","C20",Datadetails[[#This Row],[Activity]]),
    IF(ISNUMBER(MATCH(_xlpm.val,{"D04","C30","c40","C20"},0)), _xlpm.val, "Other")
)</f>
        <v>D04</v>
      </c>
      <c r="D567" s="10" t="str">
        <f>IFERROR(VLOOKUP(Datadetails[[#This Row],[Taskcode]],Dashboard!A:A,1,FALSE),"00 Err Missing")</f>
        <v>0001</v>
      </c>
      <c r="E567" s="79">
        <v>45789</v>
      </c>
      <c r="F567" s="80" t="s">
        <v>324</v>
      </c>
      <c r="G567" s="60" t="s">
        <v>40</v>
      </c>
      <c r="H567" s="80" t="s">
        <v>314</v>
      </c>
      <c r="I567" s="80" t="s">
        <v>35</v>
      </c>
      <c r="J567" s="80" t="s">
        <v>359</v>
      </c>
      <c r="K567" s="80" t="s">
        <v>339</v>
      </c>
      <c r="L567" s="80" t="s">
        <v>352</v>
      </c>
      <c r="M567" s="81">
        <v>5</v>
      </c>
      <c r="N567" s="82">
        <v>375</v>
      </c>
    </row>
    <row r="568" spans="1:14" x14ac:dyDescent="0.25">
      <c r="A568" s="10" t="str">
        <f>_xlfn.IFNA(
    IF(J568=
        "PCB-0001",
        "CSS",
        IF(
            ISNUMBER(MATCH(_xlfn.TEXTBEFORE(J568,"-"), {"CSS","CSN","PCB","PCF","BEC","CSD","PCM"}, 0)),
            _xlfn.TEXTBEFORE(J568,"-"),
            "Other"
        )
    ),
"Add")</f>
        <v>PCM</v>
      </c>
      <c r="B568" s="10" t="str">
        <f t="shared" si="9"/>
        <v>0001</v>
      </c>
      <c r="C568" s="10" t="str">
        <f>_xlfn.LET(
    _xlpm.val, IF(Datadetails[[#This Row],[Activity]]="D02","C20",Datadetails[[#This Row],[Activity]]),
    IF(ISNUMBER(MATCH(_xlpm.val,{"D04","C30","c40","C20"},0)), _xlpm.val, "Other")
)</f>
        <v>C20</v>
      </c>
      <c r="D568" s="10" t="str">
        <f>IFERROR(VLOOKUP(Datadetails[[#This Row],[Taskcode]],Dashboard!A:A,1,FALSE),"00 Err Missing")</f>
        <v>0001</v>
      </c>
      <c r="E568" s="79">
        <v>45790</v>
      </c>
      <c r="F568" s="80" t="s">
        <v>323</v>
      </c>
      <c r="G568" s="60" t="s">
        <v>40</v>
      </c>
      <c r="H568" s="80" t="s">
        <v>168</v>
      </c>
      <c r="I568" s="80" t="s">
        <v>36</v>
      </c>
      <c r="J568" s="80" t="s">
        <v>419</v>
      </c>
      <c r="K568" s="80" t="s">
        <v>346</v>
      </c>
      <c r="L568" s="80" t="s">
        <v>342</v>
      </c>
      <c r="M568" s="81">
        <v>0.25</v>
      </c>
      <c r="N568" s="82">
        <v>15</v>
      </c>
    </row>
    <row r="569" spans="1:14" x14ac:dyDescent="0.25">
      <c r="A569" s="10" t="str">
        <f>_xlfn.IFNA(
    IF(J569=
        "PCB-0001",
        "CSS",
        IF(
            ISNUMBER(MATCH(_xlfn.TEXTBEFORE(J569,"-"), {"CSS","CSN","PCB","PCF","BEC","CSD","PCM"}, 0)),
            _xlfn.TEXTBEFORE(J569,"-"),
            "Other"
        )
    ),
"Add")</f>
        <v>CSN</v>
      </c>
      <c r="B569" s="10" t="str">
        <f t="shared" si="9"/>
        <v>0001</v>
      </c>
      <c r="C569" s="10" t="str">
        <f>_xlfn.LET(
    _xlpm.val, IF(Datadetails[[#This Row],[Activity]]="D02","C20",Datadetails[[#This Row],[Activity]]),
    IF(ISNUMBER(MATCH(_xlpm.val,{"D04","C30","c40","C20"},0)), _xlpm.val, "Other")
)</f>
        <v>D04</v>
      </c>
      <c r="D569" s="10" t="str">
        <f>IFERROR(VLOOKUP(Datadetails[[#This Row],[Taskcode]],Dashboard!A:A,1,FALSE),"00 Err Missing")</f>
        <v>0001</v>
      </c>
      <c r="E569" s="79">
        <v>45790</v>
      </c>
      <c r="F569" s="80" t="s">
        <v>329</v>
      </c>
      <c r="G569" s="60" t="s">
        <v>40</v>
      </c>
      <c r="H569" s="80" t="s">
        <v>316</v>
      </c>
      <c r="I569" s="80" t="s">
        <v>35</v>
      </c>
      <c r="J569" s="80" t="s">
        <v>338</v>
      </c>
      <c r="K569" s="80" t="s">
        <v>337</v>
      </c>
      <c r="L569" s="80" t="s">
        <v>352</v>
      </c>
      <c r="M569" s="81">
        <v>1.17</v>
      </c>
      <c r="N569" s="82">
        <v>87.75</v>
      </c>
    </row>
    <row r="570" spans="1:14" x14ac:dyDescent="0.25">
      <c r="A570" s="10" t="str">
        <f>_xlfn.IFNA(
    IF(J570=
        "PCB-0001",
        "CSS",
        IF(
            ISNUMBER(MATCH(_xlfn.TEXTBEFORE(J570,"-"), {"CSS","CSN","PCB","PCF","BEC","CSD","PCM"}, 0)),
            _xlfn.TEXTBEFORE(J570,"-"),
            "Other"
        )
    ),
"Add")</f>
        <v>CSN</v>
      </c>
      <c r="B570" s="10" t="str">
        <f t="shared" si="9"/>
        <v>0001</v>
      </c>
      <c r="C570" s="10" t="str">
        <f>_xlfn.LET(
    _xlpm.val, IF(Datadetails[[#This Row],[Activity]]="D02","C20",Datadetails[[#This Row],[Activity]]),
    IF(ISNUMBER(MATCH(_xlpm.val,{"D04","C30","c40","C20"},0)), _xlpm.val, "Other")
)</f>
        <v>D04</v>
      </c>
      <c r="D570" s="10" t="str">
        <f>IFERROR(VLOOKUP(Datadetails[[#This Row],[Taskcode]],Dashboard!A:A,1,FALSE),"00 Err Missing")</f>
        <v>0001</v>
      </c>
      <c r="E570" s="79">
        <v>45790</v>
      </c>
      <c r="F570" s="80" t="s">
        <v>331</v>
      </c>
      <c r="G570" s="60" t="s">
        <v>40</v>
      </c>
      <c r="H570" s="80" t="s">
        <v>316</v>
      </c>
      <c r="I570" s="80" t="s">
        <v>35</v>
      </c>
      <c r="J570" s="80" t="s">
        <v>338</v>
      </c>
      <c r="K570" s="80" t="s">
        <v>337</v>
      </c>
      <c r="L570" s="80" t="s">
        <v>352</v>
      </c>
      <c r="M570" s="81">
        <v>0.83</v>
      </c>
      <c r="N570" s="82">
        <v>26.56</v>
      </c>
    </row>
    <row r="571" spans="1:14" x14ac:dyDescent="0.25">
      <c r="A571" s="10" t="str">
        <f>_xlfn.IFNA(
    IF(J571=
        "PCB-0001",
        "CSS",
        IF(
            ISNUMBER(MATCH(_xlfn.TEXTBEFORE(J571,"-"), {"CSS","CSN","PCB","PCF","BEC","CSD","PCM"}, 0)),
            _xlfn.TEXTBEFORE(J571,"-"),
            "Other"
        )
    ),
"Add")</f>
        <v>CSD</v>
      </c>
      <c r="B571" s="10" t="str">
        <f t="shared" si="9"/>
        <v>0001</v>
      </c>
      <c r="C571" s="10" t="str">
        <f>_xlfn.LET(
    _xlpm.val, IF(Datadetails[[#This Row],[Activity]]="D02","C20",Datadetails[[#This Row],[Activity]]),
    IF(ISNUMBER(MATCH(_xlpm.val,{"D04","C30","c40","C20"},0)), _xlpm.val, "Other")
)</f>
        <v>D04</v>
      </c>
      <c r="D571" s="10" t="str">
        <f>IFERROR(VLOOKUP(Datadetails[[#This Row],[Taskcode]],Dashboard!A:A,1,FALSE),"00 Err Missing")</f>
        <v>0001</v>
      </c>
      <c r="E571" s="79">
        <v>45790</v>
      </c>
      <c r="F571" s="80" t="s">
        <v>333</v>
      </c>
      <c r="G571" s="60" t="s">
        <v>40</v>
      </c>
      <c r="H571" s="80" t="s">
        <v>320</v>
      </c>
      <c r="I571" s="80" t="s">
        <v>35</v>
      </c>
      <c r="J571" s="80" t="s">
        <v>322</v>
      </c>
      <c r="K571" s="80" t="s">
        <v>319</v>
      </c>
      <c r="L571" s="80" t="s">
        <v>352</v>
      </c>
      <c r="M571" s="81">
        <v>8.2200000000000006</v>
      </c>
      <c r="N571" s="82">
        <v>263.04000000000002</v>
      </c>
    </row>
    <row r="572" spans="1:14" x14ac:dyDescent="0.25">
      <c r="A572" s="10" t="str">
        <f>_xlfn.IFNA(
    IF(J572=
        "PCB-0001",
        "CSS",
        IF(
            ISNUMBER(MATCH(_xlfn.TEXTBEFORE(J572,"-"), {"CSS","CSN","PCB","PCF","BEC","CSD","PCM"}, 0)),
            _xlfn.TEXTBEFORE(J572,"-"),
            "Other"
        )
    ),
"Add")</f>
        <v>CSD</v>
      </c>
      <c r="B572" s="10" t="str">
        <f t="shared" si="9"/>
        <v>0001</v>
      </c>
      <c r="C572" s="10" t="str">
        <f>_xlfn.LET(
    _xlpm.val, IF(Datadetails[[#This Row],[Activity]]="D02","C20",Datadetails[[#This Row],[Activity]]),
    IF(ISNUMBER(MATCH(_xlpm.val,{"D04","C30","c40","C20"},0)), _xlpm.val, "Other")
)</f>
        <v>D04</v>
      </c>
      <c r="D572" s="10" t="str">
        <f>IFERROR(VLOOKUP(Datadetails[[#This Row],[Taskcode]],Dashboard!A:A,1,FALSE),"00 Err Missing")</f>
        <v>0001</v>
      </c>
      <c r="E572" s="79">
        <v>45790</v>
      </c>
      <c r="F572" s="80" t="s">
        <v>327</v>
      </c>
      <c r="G572" s="60" t="s">
        <v>40</v>
      </c>
      <c r="H572" s="80" t="s">
        <v>320</v>
      </c>
      <c r="I572" s="80" t="s">
        <v>35</v>
      </c>
      <c r="J572" s="80" t="s">
        <v>322</v>
      </c>
      <c r="K572" s="80" t="s">
        <v>319</v>
      </c>
      <c r="L572" s="80" t="s">
        <v>352</v>
      </c>
      <c r="M572" s="81">
        <v>4</v>
      </c>
      <c r="N572" s="82">
        <v>128</v>
      </c>
    </row>
    <row r="573" spans="1:14" x14ac:dyDescent="0.25">
      <c r="A573" s="10" t="str">
        <f>_xlfn.IFNA(
    IF(J573=
        "PCB-0001",
        "CSS",
        IF(
            ISNUMBER(MATCH(_xlfn.TEXTBEFORE(J573,"-"), {"CSS","CSN","PCB","PCF","BEC","CSD","PCM"}, 0)),
            _xlfn.TEXTBEFORE(J573,"-"),
            "Other"
        )
    ),
"Add")</f>
        <v>PCM</v>
      </c>
      <c r="B573" s="10" t="str">
        <f t="shared" si="9"/>
        <v>0001</v>
      </c>
      <c r="C573" s="10" t="str">
        <f>_xlfn.LET(
    _xlpm.val, IF(Datadetails[[#This Row],[Activity]]="D02","C20",Datadetails[[#This Row],[Activity]]),
    IF(ISNUMBER(MATCH(_xlpm.val,{"D04","C30","c40","C20"},0)), _xlpm.val, "Other")
)</f>
        <v>C40</v>
      </c>
      <c r="D573" s="10" t="str">
        <f>IFERROR(VLOOKUP(Datadetails[[#This Row],[Taskcode]],Dashboard!A:A,1,FALSE),"00 Err Missing")</f>
        <v>0001</v>
      </c>
      <c r="E573" s="79">
        <v>45790</v>
      </c>
      <c r="F573" s="80" t="s">
        <v>323</v>
      </c>
      <c r="G573" s="60" t="s">
        <v>40</v>
      </c>
      <c r="H573" s="80" t="s">
        <v>168</v>
      </c>
      <c r="I573" s="80" t="s">
        <v>341</v>
      </c>
      <c r="J573" s="80" t="s">
        <v>419</v>
      </c>
      <c r="K573" s="80" t="s">
        <v>346</v>
      </c>
      <c r="L573" s="80" t="s">
        <v>344</v>
      </c>
      <c r="M573" s="81">
        <v>1</v>
      </c>
      <c r="N573" s="82">
        <v>60</v>
      </c>
    </row>
    <row r="574" spans="1:14" x14ac:dyDescent="0.25">
      <c r="A574" s="10" t="str">
        <f>_xlfn.IFNA(
    IF(J574=
        "PCB-0001",
        "CSS",
        IF(
            ISNUMBER(MATCH(_xlfn.TEXTBEFORE(J574,"-"), {"CSS","CSN","PCB","PCF","BEC","CSD","PCM"}, 0)),
            _xlfn.TEXTBEFORE(J574,"-"),
            "Other"
        )
    ),
"Add")</f>
        <v>PCB</v>
      </c>
      <c r="B574" s="10" t="str">
        <f t="shared" si="9"/>
        <v>0016</v>
      </c>
      <c r="C574" s="10" t="str">
        <f>_xlfn.LET(
    _xlpm.val, IF(Datadetails[[#This Row],[Activity]]="D02","C20",Datadetails[[#This Row],[Activity]]),
    IF(ISNUMBER(MATCH(_xlpm.val,{"D04","C30","c40","C20"},0)), _xlpm.val, "Other")
)</f>
        <v>C30</v>
      </c>
      <c r="D574" s="10" t="str">
        <f>IFERROR(VLOOKUP(Datadetails[[#This Row],[Taskcode]],Dashboard!A:A,1,FALSE),"00 Err Missing")</f>
        <v>0016</v>
      </c>
      <c r="E574" s="79">
        <v>45790</v>
      </c>
      <c r="F574" s="80" t="s">
        <v>329</v>
      </c>
      <c r="G574" s="60" t="s">
        <v>40</v>
      </c>
      <c r="H574" s="80" t="s">
        <v>183</v>
      </c>
      <c r="I574" s="80" t="s">
        <v>34</v>
      </c>
      <c r="J574" s="80" t="s">
        <v>368</v>
      </c>
      <c r="K574" s="80" t="s">
        <v>347</v>
      </c>
      <c r="L574" s="80" t="s">
        <v>343</v>
      </c>
      <c r="M574" s="81">
        <v>0.33</v>
      </c>
      <c r="N574" s="82">
        <v>24.75</v>
      </c>
    </row>
    <row r="575" spans="1:14" x14ac:dyDescent="0.25">
      <c r="A575" s="10" t="str">
        <f>_xlfn.IFNA(
    IF(J575=
        "PCB-0001",
        "CSS",
        IF(
            ISNUMBER(MATCH(_xlfn.TEXTBEFORE(J575,"-"), {"CSS","CSN","PCB","PCF","BEC","CSD","PCM"}, 0)),
            _xlfn.TEXTBEFORE(J575,"-"),
            "Other"
        )
    ),
"Add")</f>
        <v>PCB</v>
      </c>
      <c r="B575" s="10" t="str">
        <f t="shared" si="9"/>
        <v>0043</v>
      </c>
      <c r="C575" s="10" t="str">
        <f>_xlfn.LET(
    _xlpm.val, IF(Datadetails[[#This Row],[Activity]]="D02","C20",Datadetails[[#This Row],[Activity]]),
    IF(ISNUMBER(MATCH(_xlpm.val,{"D04","C30","c40","C20"},0)), _xlpm.val, "Other")
)</f>
        <v>C30</v>
      </c>
      <c r="D575" s="10" t="str">
        <f>IFERROR(VLOOKUP(Datadetails[[#This Row],[Taskcode]],Dashboard!A:A,1,FALSE),"00 Err Missing")</f>
        <v>0043</v>
      </c>
      <c r="E575" s="79">
        <v>45790</v>
      </c>
      <c r="F575" s="80" t="s">
        <v>325</v>
      </c>
      <c r="G575" s="60" t="s">
        <v>40</v>
      </c>
      <c r="H575" s="80" t="s">
        <v>210</v>
      </c>
      <c r="I575" s="80" t="s">
        <v>34</v>
      </c>
      <c r="J575" s="80" t="s">
        <v>399</v>
      </c>
      <c r="K575" s="80" t="s">
        <v>347</v>
      </c>
      <c r="L575" s="80" t="s">
        <v>343</v>
      </c>
      <c r="M575" s="81">
        <v>0.17</v>
      </c>
      <c r="N575" s="82">
        <v>12.750000000000002</v>
      </c>
    </row>
    <row r="576" spans="1:14" x14ac:dyDescent="0.25">
      <c r="A576" s="10" t="str">
        <f>_xlfn.IFNA(
    IF(J576=
        "PCB-0001",
        "CSS",
        IF(
            ISNUMBER(MATCH(_xlfn.TEXTBEFORE(J576,"-"), {"CSS","CSN","PCB","PCF","BEC","CSD","PCM"}, 0)),
            _xlfn.TEXTBEFORE(J576,"-"),
            "Other"
        )
    ),
"Add")</f>
        <v>PCB</v>
      </c>
      <c r="B576" s="10" t="str">
        <f t="shared" si="9"/>
        <v>0136</v>
      </c>
      <c r="C576" s="10" t="str">
        <f>_xlfn.LET(
    _xlpm.val, IF(Datadetails[[#This Row],[Activity]]="D02","C20",Datadetails[[#This Row],[Activity]]),
    IF(ISNUMBER(MATCH(_xlpm.val,{"D04","C30","c40","C20"},0)), _xlpm.val, "Other")
)</f>
        <v>C30</v>
      </c>
      <c r="D576" s="10" t="str">
        <f>IFERROR(VLOOKUP(Datadetails[[#This Row],[Taskcode]],Dashboard!A:A,1,FALSE),"00 Err Missing")</f>
        <v>0136</v>
      </c>
      <c r="E576" s="79">
        <v>45790</v>
      </c>
      <c r="F576" s="80" t="s">
        <v>329</v>
      </c>
      <c r="G576" s="60" t="s">
        <v>40</v>
      </c>
      <c r="H576" s="80" t="s">
        <v>303</v>
      </c>
      <c r="I576" s="80" t="s">
        <v>34</v>
      </c>
      <c r="J576" s="80" t="s">
        <v>400</v>
      </c>
      <c r="K576" s="80" t="s">
        <v>347</v>
      </c>
      <c r="L576" s="80" t="s">
        <v>343</v>
      </c>
      <c r="M576" s="81">
        <v>0.5</v>
      </c>
      <c r="N576" s="82">
        <v>37.5</v>
      </c>
    </row>
    <row r="577" spans="1:14" x14ac:dyDescent="0.25">
      <c r="A577" s="10" t="str">
        <f>_xlfn.IFNA(
    IF(J577=
        "PCB-0001",
        "CSS",
        IF(
            ISNUMBER(MATCH(_xlfn.TEXTBEFORE(J577,"-"), {"CSS","CSN","PCB","PCF","BEC","CSD","PCM"}, 0)),
            _xlfn.TEXTBEFORE(J577,"-"),
            "Other"
        )
    ),
"Add")</f>
        <v>PCB</v>
      </c>
      <c r="B577" s="10" t="str">
        <f t="shared" si="9"/>
        <v>0126</v>
      </c>
      <c r="C577" s="10" t="str">
        <f>_xlfn.LET(
    _xlpm.val, IF(Datadetails[[#This Row],[Activity]]="D02","C20",Datadetails[[#This Row],[Activity]]),
    IF(ISNUMBER(MATCH(_xlpm.val,{"D04","C30","c40","C20"},0)), _xlpm.val, "Other")
)</f>
        <v>C30</v>
      </c>
      <c r="D577" s="10" t="str">
        <f>IFERROR(VLOOKUP(Datadetails[[#This Row],[Taskcode]],Dashboard!A:A,1,FALSE),"00 Err Missing")</f>
        <v>0126</v>
      </c>
      <c r="E577" s="79">
        <v>45790</v>
      </c>
      <c r="F577" s="80" t="s">
        <v>329</v>
      </c>
      <c r="G577" s="60" t="s">
        <v>40</v>
      </c>
      <c r="H577" s="80" t="s">
        <v>293</v>
      </c>
      <c r="I577" s="80" t="s">
        <v>34</v>
      </c>
      <c r="J577" s="80" t="s">
        <v>376</v>
      </c>
      <c r="K577" s="80" t="s">
        <v>347</v>
      </c>
      <c r="L577" s="80" t="s">
        <v>343</v>
      </c>
      <c r="M577" s="81">
        <v>0.17</v>
      </c>
      <c r="N577" s="82">
        <v>12.750000000000002</v>
      </c>
    </row>
    <row r="578" spans="1:14" x14ac:dyDescent="0.25">
      <c r="A578" s="10" t="str">
        <f>_xlfn.IFNA(
    IF(J578=
        "PCB-0001",
        "CSS",
        IF(
            ISNUMBER(MATCH(_xlfn.TEXTBEFORE(J578,"-"), {"CSS","CSN","PCB","PCF","BEC","CSD","PCM"}, 0)),
            _xlfn.TEXTBEFORE(J578,"-"),
            "Other"
        )
    ),
"Add")</f>
        <v>PCB</v>
      </c>
      <c r="B578" s="10" t="str">
        <f t="shared" si="9"/>
        <v>0087</v>
      </c>
      <c r="C578" s="10" t="str">
        <f>_xlfn.LET(
    _xlpm.val, IF(Datadetails[[#This Row],[Activity]]="D02","C20",Datadetails[[#This Row],[Activity]]),
    IF(ISNUMBER(MATCH(_xlpm.val,{"D04","C30","c40","C20"},0)), _xlpm.val, "Other")
)</f>
        <v>C30</v>
      </c>
      <c r="D578" s="10" t="str">
        <f>IFERROR(VLOOKUP(Datadetails[[#This Row],[Taskcode]],Dashboard!A:A,1,FALSE),"00 Err Missing")</f>
        <v>0087</v>
      </c>
      <c r="E578" s="79">
        <v>45790</v>
      </c>
      <c r="F578" s="80" t="s">
        <v>325</v>
      </c>
      <c r="G578" s="60" t="s">
        <v>40</v>
      </c>
      <c r="H578" s="80" t="s">
        <v>254</v>
      </c>
      <c r="I578" s="80" t="s">
        <v>34</v>
      </c>
      <c r="J578" s="80" t="s">
        <v>441</v>
      </c>
      <c r="K578" s="80" t="s">
        <v>347</v>
      </c>
      <c r="L578" s="80" t="s">
        <v>343</v>
      </c>
      <c r="M578" s="81">
        <v>0.25</v>
      </c>
      <c r="N578" s="82">
        <v>18.75</v>
      </c>
    </row>
    <row r="579" spans="1:14" x14ac:dyDescent="0.25">
      <c r="A579" s="10" t="str">
        <f>_xlfn.IFNA(
    IF(J579=
        "PCB-0001",
        "CSS",
        IF(
            ISNUMBER(MATCH(_xlfn.TEXTBEFORE(J579,"-"), {"CSS","CSN","PCB","PCF","BEC","CSD","PCM"}, 0)),
            _xlfn.TEXTBEFORE(J579,"-"),
            "Other"
        )
    ),
"Add")</f>
        <v>PCB</v>
      </c>
      <c r="B579" s="10" t="str">
        <f t="shared" si="9"/>
        <v>0086</v>
      </c>
      <c r="C579" s="10" t="str">
        <f>_xlfn.LET(
    _xlpm.val, IF(Datadetails[[#This Row],[Activity]]="D02","C20",Datadetails[[#This Row],[Activity]]),
    IF(ISNUMBER(MATCH(_xlpm.val,{"D04","C30","c40","C20"},0)), _xlpm.val, "Other")
)</f>
        <v>C30</v>
      </c>
      <c r="D579" s="10" t="str">
        <f>IFERROR(VLOOKUP(Datadetails[[#This Row],[Taskcode]],Dashboard!A:A,1,FALSE),"00 Err Missing")</f>
        <v>0086</v>
      </c>
      <c r="E579" s="79">
        <v>45790</v>
      </c>
      <c r="F579" s="80" t="s">
        <v>325</v>
      </c>
      <c r="G579" s="60" t="s">
        <v>40</v>
      </c>
      <c r="H579" s="80" t="s">
        <v>253</v>
      </c>
      <c r="I579" s="80" t="s">
        <v>34</v>
      </c>
      <c r="J579" s="80" t="s">
        <v>408</v>
      </c>
      <c r="K579" s="80" t="s">
        <v>347</v>
      </c>
      <c r="L579" s="80" t="s">
        <v>343</v>
      </c>
      <c r="M579" s="81">
        <v>0.17</v>
      </c>
      <c r="N579" s="82">
        <v>12.750000000000002</v>
      </c>
    </row>
    <row r="580" spans="1:14" x14ac:dyDescent="0.25">
      <c r="A580" s="10" t="str">
        <f>_xlfn.IFNA(
    IF(J580=
        "PCB-0001",
        "CSS",
        IF(
            ISNUMBER(MATCH(_xlfn.TEXTBEFORE(J580,"-"), {"CSS","CSN","PCB","PCF","BEC","CSD","PCM"}, 0)),
            _xlfn.TEXTBEFORE(J580,"-"),
            "Other"
        )
    ),
"Add")</f>
        <v>PCB</v>
      </c>
      <c r="B580" s="10" t="str">
        <f t="shared" ref="B580:B643" si="10">_xlfn.IFNA(_xlfn.TEXTAFTER(J580,"-"),"Data to C2")</f>
        <v>0082</v>
      </c>
      <c r="C580" s="10" t="str">
        <f>_xlfn.LET(
    _xlpm.val, IF(Datadetails[[#This Row],[Activity]]="D02","C20",Datadetails[[#This Row],[Activity]]),
    IF(ISNUMBER(MATCH(_xlpm.val,{"D04","C30","c40","C20"},0)), _xlpm.val, "Other")
)</f>
        <v>C30</v>
      </c>
      <c r="D580" s="10" t="str">
        <f>IFERROR(VLOOKUP(Datadetails[[#This Row],[Taskcode]],Dashboard!A:A,1,FALSE),"00 Err Missing")</f>
        <v>0082</v>
      </c>
      <c r="E580" s="79">
        <v>45790</v>
      </c>
      <c r="F580" s="80" t="s">
        <v>325</v>
      </c>
      <c r="G580" s="60" t="s">
        <v>40</v>
      </c>
      <c r="H580" s="80" t="s">
        <v>249</v>
      </c>
      <c r="I580" s="80" t="s">
        <v>34</v>
      </c>
      <c r="J580" s="80" t="s">
        <v>409</v>
      </c>
      <c r="K580" s="80" t="s">
        <v>347</v>
      </c>
      <c r="L580" s="80" t="s">
        <v>343</v>
      </c>
      <c r="M580" s="81">
        <v>0.25</v>
      </c>
      <c r="N580" s="82">
        <v>18.75</v>
      </c>
    </row>
    <row r="581" spans="1:14" x14ac:dyDescent="0.25">
      <c r="A581" s="10" t="str">
        <f>_xlfn.IFNA(
    IF(J581=
        "PCB-0001",
        "CSS",
        IF(
            ISNUMBER(MATCH(_xlfn.TEXTBEFORE(J581,"-"), {"CSS","CSN","PCB","PCF","BEC","CSD","PCM"}, 0)),
            _xlfn.TEXTBEFORE(J581,"-"),
            "Other"
        )
    ),
"Add")</f>
        <v>PCB</v>
      </c>
      <c r="B581" s="10" t="str">
        <f t="shared" si="10"/>
        <v>0080</v>
      </c>
      <c r="C581" s="10" t="str">
        <f>_xlfn.LET(
    _xlpm.val, IF(Datadetails[[#This Row],[Activity]]="D02","C20",Datadetails[[#This Row],[Activity]]),
    IF(ISNUMBER(MATCH(_xlpm.val,{"D04","C30","c40","C20"},0)), _xlpm.val, "Other")
)</f>
        <v>C30</v>
      </c>
      <c r="D581" s="10" t="str">
        <f>IFERROR(VLOOKUP(Datadetails[[#This Row],[Taskcode]],Dashboard!A:A,1,FALSE),"00 Err Missing")</f>
        <v>0080</v>
      </c>
      <c r="E581" s="79">
        <v>45790</v>
      </c>
      <c r="F581" s="80" t="s">
        <v>329</v>
      </c>
      <c r="G581" s="60" t="s">
        <v>40</v>
      </c>
      <c r="H581" s="80" t="s">
        <v>247</v>
      </c>
      <c r="I581" s="80" t="s">
        <v>34</v>
      </c>
      <c r="J581" s="80" t="s">
        <v>375</v>
      </c>
      <c r="K581" s="80" t="s">
        <v>347</v>
      </c>
      <c r="L581" s="80" t="s">
        <v>343</v>
      </c>
      <c r="M581" s="81">
        <v>0.75</v>
      </c>
      <c r="N581" s="82">
        <v>56.25</v>
      </c>
    </row>
    <row r="582" spans="1:14" x14ac:dyDescent="0.25">
      <c r="A582" s="10" t="str">
        <f>_xlfn.IFNA(
    IF(J582=
        "PCB-0001",
        "CSS",
        IF(
            ISNUMBER(MATCH(_xlfn.TEXTBEFORE(J582,"-"), {"CSS","CSN","PCB","PCF","BEC","CSD","PCM"}, 0)),
            _xlfn.TEXTBEFORE(J582,"-"),
            "Other"
        )
    ),
"Add")</f>
        <v>PCB</v>
      </c>
      <c r="B582" s="10" t="str">
        <f t="shared" si="10"/>
        <v>0081</v>
      </c>
      <c r="C582" s="10" t="str">
        <f>_xlfn.LET(
    _xlpm.val, IF(Datadetails[[#This Row],[Activity]]="D02","C20",Datadetails[[#This Row],[Activity]]),
    IF(ISNUMBER(MATCH(_xlpm.val,{"D04","C30","c40","C20"},0)), _xlpm.val, "Other")
)</f>
        <v>C30</v>
      </c>
      <c r="D582" s="10" t="str">
        <f>IFERROR(VLOOKUP(Datadetails[[#This Row],[Taskcode]],Dashboard!A:A,1,FALSE),"00 Err Missing")</f>
        <v>0081</v>
      </c>
      <c r="E582" s="79">
        <v>45790</v>
      </c>
      <c r="F582" s="80" t="s">
        <v>329</v>
      </c>
      <c r="G582" s="60" t="s">
        <v>40</v>
      </c>
      <c r="H582" s="80" t="s">
        <v>248</v>
      </c>
      <c r="I582" s="80" t="s">
        <v>34</v>
      </c>
      <c r="J582" s="80" t="s">
        <v>385</v>
      </c>
      <c r="K582" s="80" t="s">
        <v>347</v>
      </c>
      <c r="L582" s="80" t="s">
        <v>343</v>
      </c>
      <c r="M582" s="81">
        <v>0.5</v>
      </c>
      <c r="N582" s="82">
        <v>37.5</v>
      </c>
    </row>
    <row r="583" spans="1:14" x14ac:dyDescent="0.25">
      <c r="A583" s="10" t="str">
        <f>_xlfn.IFNA(
    IF(J583=
        "PCB-0001",
        "CSS",
        IF(
            ISNUMBER(MATCH(_xlfn.TEXTBEFORE(J583,"-"), {"CSS","CSN","PCB","PCF","BEC","CSD","PCM"}, 0)),
            _xlfn.TEXTBEFORE(J583,"-"),
            "Other"
        )
    ),
"Add")</f>
        <v>PCB</v>
      </c>
      <c r="B583" s="10" t="str">
        <f t="shared" si="10"/>
        <v>0110</v>
      </c>
      <c r="C583" s="10" t="str">
        <f>_xlfn.LET(
    _xlpm.val, IF(Datadetails[[#This Row],[Activity]]="D02","C20",Datadetails[[#This Row],[Activity]]),
    IF(ISNUMBER(MATCH(_xlpm.val,{"D04","C30","c40","C20"},0)), _xlpm.val, "Other")
)</f>
        <v>C30</v>
      </c>
      <c r="D583" s="10" t="str">
        <f>IFERROR(VLOOKUP(Datadetails[[#This Row],[Taskcode]],Dashboard!A:A,1,FALSE),"00 Err Missing")</f>
        <v>0110</v>
      </c>
      <c r="E583" s="79">
        <v>45790</v>
      </c>
      <c r="F583" s="80" t="s">
        <v>325</v>
      </c>
      <c r="G583" s="60" t="s">
        <v>40</v>
      </c>
      <c r="H583" s="80" t="s">
        <v>277</v>
      </c>
      <c r="I583" s="80" t="s">
        <v>34</v>
      </c>
      <c r="J583" s="80" t="s">
        <v>353</v>
      </c>
      <c r="K583" s="80" t="s">
        <v>347</v>
      </c>
      <c r="L583" s="80" t="s">
        <v>343</v>
      </c>
      <c r="M583" s="81">
        <v>0.17</v>
      </c>
      <c r="N583" s="82">
        <v>12.750000000000002</v>
      </c>
    </row>
    <row r="584" spans="1:14" x14ac:dyDescent="0.25">
      <c r="A584" s="10" t="str">
        <f>_xlfn.IFNA(
    IF(J584=
        "PCB-0001",
        "CSS",
        IF(
            ISNUMBER(MATCH(_xlfn.TEXTBEFORE(J584,"-"), {"CSS","CSN","PCB","PCF","BEC","CSD","PCM"}, 0)),
            _xlfn.TEXTBEFORE(J584,"-"),
            "Other"
        )
    ),
"Add")</f>
        <v>PCB</v>
      </c>
      <c r="B584" s="10" t="str">
        <f t="shared" si="10"/>
        <v>0132</v>
      </c>
      <c r="C584" s="10" t="str">
        <f>_xlfn.LET(
    _xlpm.val, IF(Datadetails[[#This Row],[Activity]]="D02","C20",Datadetails[[#This Row],[Activity]]),
    IF(ISNUMBER(MATCH(_xlpm.val,{"D04","C30","c40","C20"},0)), _xlpm.val, "Other")
)</f>
        <v>C20</v>
      </c>
      <c r="D584" s="10" t="str">
        <f>IFERROR(VLOOKUP(Datadetails[[#This Row],[Taskcode]],Dashboard!A:A,1,FALSE),"00 Err Missing")</f>
        <v>0132</v>
      </c>
      <c r="E584" s="79">
        <v>45790</v>
      </c>
      <c r="F584" s="80" t="s">
        <v>329</v>
      </c>
      <c r="G584" s="60" t="s">
        <v>40</v>
      </c>
      <c r="H584" s="80" t="s">
        <v>299</v>
      </c>
      <c r="I584" s="80" t="s">
        <v>312</v>
      </c>
      <c r="J584" s="80" t="s">
        <v>455</v>
      </c>
      <c r="K584" s="80" t="s">
        <v>347</v>
      </c>
      <c r="L584" s="80" t="s">
        <v>350</v>
      </c>
      <c r="M584" s="81">
        <v>0.25</v>
      </c>
      <c r="N584" s="82">
        <v>18.75</v>
      </c>
    </row>
    <row r="585" spans="1:14" x14ac:dyDescent="0.25">
      <c r="A585" s="10" t="str">
        <f>_xlfn.IFNA(
    IF(J585=
        "PCB-0001",
        "CSS",
        IF(
            ISNUMBER(MATCH(_xlfn.TEXTBEFORE(J585,"-"), {"CSS","CSN","PCB","PCF","BEC","CSD","PCM"}, 0)),
            _xlfn.TEXTBEFORE(J585,"-"),
            "Other"
        )
    ),
"Add")</f>
        <v>PCF</v>
      </c>
      <c r="B585" s="10" t="str">
        <f t="shared" si="10"/>
        <v>0098</v>
      </c>
      <c r="C585" s="10" t="str">
        <f>_xlfn.LET(
    _xlpm.val, IF(Datadetails[[#This Row],[Activity]]="D02","C20",Datadetails[[#This Row],[Activity]]),
    IF(ISNUMBER(MATCH(_xlpm.val,{"D04","C30","c40","C20"},0)), _xlpm.val, "Other")
)</f>
        <v>C30</v>
      </c>
      <c r="D585" s="10" t="str">
        <f>IFERROR(VLOOKUP(Datadetails[[#This Row],[Taskcode]],Dashboard!A:A,1,FALSE),"00 Err Missing")</f>
        <v>0098</v>
      </c>
      <c r="E585" s="79">
        <v>45790</v>
      </c>
      <c r="F585" s="80" t="s">
        <v>326</v>
      </c>
      <c r="G585" s="60" t="s">
        <v>40</v>
      </c>
      <c r="H585" s="80" t="s">
        <v>265</v>
      </c>
      <c r="I585" s="80" t="s">
        <v>34</v>
      </c>
      <c r="J585" s="80" t="s">
        <v>358</v>
      </c>
      <c r="K585" s="80" t="s">
        <v>348</v>
      </c>
      <c r="L585" s="80" t="s">
        <v>343</v>
      </c>
      <c r="M585" s="81">
        <v>0.5</v>
      </c>
      <c r="N585" s="82">
        <v>30</v>
      </c>
    </row>
    <row r="586" spans="1:14" x14ac:dyDescent="0.25">
      <c r="A586" s="10" t="str">
        <f>_xlfn.IFNA(
    IF(J586=
        "PCB-0001",
        "CSS",
        IF(
            ISNUMBER(MATCH(_xlfn.TEXTBEFORE(J586,"-"), {"CSS","CSN","PCB","PCF","BEC","CSD","PCM"}, 0)),
            _xlfn.TEXTBEFORE(J586,"-"),
            "Other"
        )
    ),
"Add")</f>
        <v>PCF</v>
      </c>
      <c r="B586" s="10" t="str">
        <f t="shared" si="10"/>
        <v>0069</v>
      </c>
      <c r="C586" s="10" t="str">
        <f>_xlfn.LET(
    _xlpm.val, IF(Datadetails[[#This Row],[Activity]]="D02","C20",Datadetails[[#This Row],[Activity]]),
    IF(ISNUMBER(MATCH(_xlpm.val,{"D04","C30","c40","C20"},0)), _xlpm.val, "Other")
)</f>
        <v>C30</v>
      </c>
      <c r="D586" s="10" t="str">
        <f>IFERROR(VLOOKUP(Datadetails[[#This Row],[Taskcode]],Dashboard!A:A,1,FALSE),"00 Err Missing")</f>
        <v>0069</v>
      </c>
      <c r="E586" s="79">
        <v>45790</v>
      </c>
      <c r="F586" s="80" t="s">
        <v>326</v>
      </c>
      <c r="G586" s="60" t="s">
        <v>40</v>
      </c>
      <c r="H586" s="80" t="s">
        <v>236</v>
      </c>
      <c r="I586" s="80" t="s">
        <v>34</v>
      </c>
      <c r="J586" s="80" t="s">
        <v>357</v>
      </c>
      <c r="K586" s="80" t="s">
        <v>348</v>
      </c>
      <c r="L586" s="80" t="s">
        <v>343</v>
      </c>
      <c r="M586" s="81">
        <v>0.42</v>
      </c>
      <c r="N586" s="82">
        <v>25.2</v>
      </c>
    </row>
    <row r="587" spans="1:14" x14ac:dyDescent="0.25">
      <c r="A587" s="10" t="str">
        <f>_xlfn.IFNA(
    IF(J587=
        "PCB-0001",
        "CSS",
        IF(
            ISNUMBER(MATCH(_xlfn.TEXTBEFORE(J587,"-"), {"CSS","CSN","PCB","PCF","BEC","CSD","PCM"}, 0)),
            _xlfn.TEXTBEFORE(J587,"-"),
            "Other"
        )
    ),
"Add")</f>
        <v>BEC</v>
      </c>
      <c r="B587" s="10" t="str">
        <f t="shared" si="10"/>
        <v>0001</v>
      </c>
      <c r="C587" s="10" t="str">
        <f>_xlfn.LET(
    _xlpm.val, IF(Datadetails[[#This Row],[Activity]]="D02","C20",Datadetails[[#This Row],[Activity]]),
    IF(ISNUMBER(MATCH(_xlpm.val,{"D04","C30","c40","C20"},0)), _xlpm.val, "Other")
)</f>
        <v>D04</v>
      </c>
      <c r="D587" s="10" t="str">
        <f>IFERROR(VLOOKUP(Datadetails[[#This Row],[Taskcode]],Dashboard!A:A,1,FALSE),"00 Err Missing")</f>
        <v>0001</v>
      </c>
      <c r="E587" s="79">
        <v>45790</v>
      </c>
      <c r="F587" s="80" t="s">
        <v>332</v>
      </c>
      <c r="G587" s="60" t="s">
        <v>40</v>
      </c>
      <c r="H587" s="80" t="s">
        <v>314</v>
      </c>
      <c r="I587" s="80" t="s">
        <v>35</v>
      </c>
      <c r="J587" s="80" t="s">
        <v>359</v>
      </c>
      <c r="K587" s="80" t="s">
        <v>339</v>
      </c>
      <c r="L587" s="80" t="s">
        <v>352</v>
      </c>
      <c r="M587" s="81">
        <v>7.5</v>
      </c>
      <c r="N587" s="82">
        <v>300</v>
      </c>
    </row>
    <row r="588" spans="1:14" x14ac:dyDescent="0.25">
      <c r="A588" s="10" t="str">
        <f>_xlfn.IFNA(
    IF(J588=
        "PCB-0001",
        "CSS",
        IF(
            ISNUMBER(MATCH(_xlfn.TEXTBEFORE(J588,"-"), {"CSS","CSN","PCB","PCF","BEC","CSD","PCM"}, 0)),
            _xlfn.TEXTBEFORE(J588,"-"),
            "Other"
        )
    ),
"Add")</f>
        <v>BEC</v>
      </c>
      <c r="B588" s="10" t="str">
        <f t="shared" si="10"/>
        <v>0001</v>
      </c>
      <c r="C588" s="10" t="str">
        <f>_xlfn.LET(
    _xlpm.val, IF(Datadetails[[#This Row],[Activity]]="D02","C20",Datadetails[[#This Row],[Activity]]),
    IF(ISNUMBER(MATCH(_xlpm.val,{"D04","C30","c40","C20"},0)), _xlpm.val, "Other")
)</f>
        <v>D04</v>
      </c>
      <c r="D588" s="10" t="str">
        <f>IFERROR(VLOOKUP(Datadetails[[#This Row],[Taskcode]],Dashboard!A:A,1,FALSE),"00 Err Missing")</f>
        <v>0001</v>
      </c>
      <c r="E588" s="79">
        <v>45790</v>
      </c>
      <c r="F588" s="80" t="s">
        <v>324</v>
      </c>
      <c r="G588" s="60" t="s">
        <v>40</v>
      </c>
      <c r="H588" s="80" t="s">
        <v>314</v>
      </c>
      <c r="I588" s="80" t="s">
        <v>35</v>
      </c>
      <c r="J588" s="80" t="s">
        <v>359</v>
      </c>
      <c r="K588" s="80" t="s">
        <v>339</v>
      </c>
      <c r="L588" s="80" t="s">
        <v>352</v>
      </c>
      <c r="M588" s="81">
        <v>6.5</v>
      </c>
      <c r="N588" s="82">
        <v>487.5</v>
      </c>
    </row>
    <row r="589" spans="1:14" x14ac:dyDescent="0.25">
      <c r="A589" s="10" t="str">
        <f>_xlfn.IFNA(
    IF(J589=
        "PCB-0001",
        "CSS",
        IF(
            ISNUMBER(MATCH(_xlfn.TEXTBEFORE(J589,"-"), {"CSS","CSN","PCB","PCF","BEC","CSD","PCM"}, 0)),
            _xlfn.TEXTBEFORE(J589,"-"),
            "Other"
        )
    ),
"Add")</f>
        <v>PCB</v>
      </c>
      <c r="B589" s="10" t="str">
        <f t="shared" si="10"/>
        <v>0074</v>
      </c>
      <c r="C589" s="10" t="str">
        <f>_xlfn.LET(
    _xlpm.val, IF(Datadetails[[#This Row],[Activity]]="D02","C20",Datadetails[[#This Row],[Activity]]),
    IF(ISNUMBER(MATCH(_xlpm.val,{"D04","C30","c40","C20"},0)), _xlpm.val, "Other")
)</f>
        <v>C40</v>
      </c>
      <c r="D589" s="10" t="str">
        <f>IFERROR(VLOOKUP(Datadetails[[#This Row],[Taskcode]],Dashboard!A:A,1,FALSE),"00 Err Missing")</f>
        <v>0074</v>
      </c>
      <c r="E589" s="79">
        <v>45791</v>
      </c>
      <c r="F589" s="80" t="s">
        <v>329</v>
      </c>
      <c r="G589" s="60" t="s">
        <v>40</v>
      </c>
      <c r="H589" s="80" t="s">
        <v>241</v>
      </c>
      <c r="I589" s="80" t="s">
        <v>341</v>
      </c>
      <c r="J589" s="80" t="s">
        <v>403</v>
      </c>
      <c r="K589" s="80" t="s">
        <v>347</v>
      </c>
      <c r="L589" s="80" t="s">
        <v>344</v>
      </c>
      <c r="M589" s="81">
        <v>2.5</v>
      </c>
      <c r="N589" s="82">
        <v>187.5</v>
      </c>
    </row>
    <row r="590" spans="1:14" x14ac:dyDescent="0.25">
      <c r="A590" s="10" t="str">
        <f>_xlfn.IFNA(
    IF(J590=
        "PCB-0001",
        "CSS",
        IF(
            ISNUMBER(MATCH(_xlfn.TEXTBEFORE(J590,"-"), {"CSS","CSN","PCB","PCF","BEC","CSD","PCM"}, 0)),
            _xlfn.TEXTBEFORE(J590,"-"),
            "Other"
        )
    ),
"Add")</f>
        <v>PCB</v>
      </c>
      <c r="B590" s="10" t="str">
        <f t="shared" si="10"/>
        <v>0031</v>
      </c>
      <c r="C590" s="10" t="str">
        <f>_xlfn.LET(
    _xlpm.val, IF(Datadetails[[#This Row],[Activity]]="D02","C20",Datadetails[[#This Row],[Activity]]),
    IF(ISNUMBER(MATCH(_xlpm.val,{"D04","C30","c40","C20"},0)), _xlpm.val, "Other")
)</f>
        <v>C40</v>
      </c>
      <c r="D590" s="10" t="str">
        <f>IFERROR(VLOOKUP(Datadetails[[#This Row],[Taskcode]],Dashboard!A:A,1,FALSE),"00 Err Missing")</f>
        <v>0031</v>
      </c>
      <c r="E590" s="79">
        <v>45791</v>
      </c>
      <c r="F590" s="80" t="s">
        <v>325</v>
      </c>
      <c r="G590" s="60" t="s">
        <v>40</v>
      </c>
      <c r="H590" s="80" t="s">
        <v>198</v>
      </c>
      <c r="I590" s="80" t="s">
        <v>341</v>
      </c>
      <c r="J590" s="80" t="s">
        <v>413</v>
      </c>
      <c r="K590" s="80" t="s">
        <v>347</v>
      </c>
      <c r="L590" s="80" t="s">
        <v>344</v>
      </c>
      <c r="M590" s="81">
        <v>1.92</v>
      </c>
      <c r="N590" s="82">
        <v>144</v>
      </c>
    </row>
    <row r="591" spans="1:14" x14ac:dyDescent="0.25">
      <c r="A591" s="10" t="str">
        <f>_xlfn.IFNA(
    IF(J591=
        "PCB-0001",
        "CSS",
        IF(
            ISNUMBER(MATCH(_xlfn.TEXTBEFORE(J591,"-"), {"CSS","CSN","PCB","PCF","BEC","CSD","PCM"}, 0)),
            _xlfn.TEXTBEFORE(J591,"-"),
            "Other"
        )
    ),
"Add")</f>
        <v>PCM</v>
      </c>
      <c r="B591" s="10" t="str">
        <f t="shared" si="10"/>
        <v>0001</v>
      </c>
      <c r="C591" s="10" t="str">
        <f>_xlfn.LET(
    _xlpm.val, IF(Datadetails[[#This Row],[Activity]]="D02","C20",Datadetails[[#This Row],[Activity]]),
    IF(ISNUMBER(MATCH(_xlpm.val,{"D04","C30","c40","C20"},0)), _xlpm.val, "Other")
)</f>
        <v>C20</v>
      </c>
      <c r="D591" s="10" t="str">
        <f>IFERROR(VLOOKUP(Datadetails[[#This Row],[Taskcode]],Dashboard!A:A,1,FALSE),"00 Err Missing")</f>
        <v>0001</v>
      </c>
      <c r="E591" s="79">
        <v>45791</v>
      </c>
      <c r="F591" s="80" t="s">
        <v>323</v>
      </c>
      <c r="G591" s="60" t="s">
        <v>40</v>
      </c>
      <c r="H591" s="80" t="s">
        <v>168</v>
      </c>
      <c r="I591" s="80" t="s">
        <v>36</v>
      </c>
      <c r="J591" s="80" t="s">
        <v>419</v>
      </c>
      <c r="K591" s="80" t="s">
        <v>346</v>
      </c>
      <c r="L591" s="80" t="s">
        <v>342</v>
      </c>
      <c r="M591" s="81">
        <v>0.42</v>
      </c>
      <c r="N591" s="82">
        <v>25.2</v>
      </c>
    </row>
    <row r="592" spans="1:14" x14ac:dyDescent="0.25">
      <c r="A592" s="10" t="str">
        <f>_xlfn.IFNA(
    IF(J592=
        "PCB-0001",
        "CSS",
        IF(
            ISNUMBER(MATCH(_xlfn.TEXTBEFORE(J592,"-"), {"CSS","CSN","PCB","PCF","BEC","CSD","PCM"}, 0)),
            _xlfn.TEXTBEFORE(J592,"-"),
            "Other"
        )
    ),
"Add")</f>
        <v>PCM</v>
      </c>
      <c r="B592" s="10" t="str">
        <f t="shared" si="10"/>
        <v>0002</v>
      </c>
      <c r="C592" s="10" t="str">
        <f>_xlfn.LET(
    _xlpm.val, IF(Datadetails[[#This Row],[Activity]]="D02","C20",Datadetails[[#This Row],[Activity]]),
    IF(ISNUMBER(MATCH(_xlpm.val,{"D04","C30","c40","C20"},0)), _xlpm.val, "Other")
)</f>
        <v>C20</v>
      </c>
      <c r="D592" s="10" t="str">
        <f>IFERROR(VLOOKUP(Datadetails[[#This Row],[Taskcode]],Dashboard!A:A,1,FALSE),"00 Err Missing")</f>
        <v>0002</v>
      </c>
      <c r="E592" s="79">
        <v>45791</v>
      </c>
      <c r="F592" s="80" t="s">
        <v>323</v>
      </c>
      <c r="G592" s="60" t="s">
        <v>40</v>
      </c>
      <c r="H592" s="80" t="s">
        <v>169</v>
      </c>
      <c r="I592" s="80" t="s">
        <v>36</v>
      </c>
      <c r="J592" s="80" t="s">
        <v>433</v>
      </c>
      <c r="K592" s="80" t="s">
        <v>346</v>
      </c>
      <c r="L592" s="80" t="s">
        <v>342</v>
      </c>
      <c r="M592" s="81">
        <v>0.33</v>
      </c>
      <c r="N592" s="82">
        <v>19.8</v>
      </c>
    </row>
    <row r="593" spans="1:14" x14ac:dyDescent="0.25">
      <c r="A593" s="10" t="str">
        <f>_xlfn.IFNA(
    IF(J593=
        "PCB-0001",
        "CSS",
        IF(
            ISNUMBER(MATCH(_xlfn.TEXTBEFORE(J593,"-"), {"CSS","CSN","PCB","PCF","BEC","CSD","PCM"}, 0)),
            _xlfn.TEXTBEFORE(J593,"-"),
            "Other"
        )
    ),
"Add")</f>
        <v>CSN</v>
      </c>
      <c r="B593" s="10" t="str">
        <f t="shared" si="10"/>
        <v>0001</v>
      </c>
      <c r="C593" s="10" t="str">
        <f>_xlfn.LET(
    _xlpm.val, IF(Datadetails[[#This Row],[Activity]]="D02","C20",Datadetails[[#This Row],[Activity]]),
    IF(ISNUMBER(MATCH(_xlpm.val,{"D04","C30","c40","C20"},0)), _xlpm.val, "Other")
)</f>
        <v>D04</v>
      </c>
      <c r="D593" s="10" t="str">
        <f>IFERROR(VLOOKUP(Datadetails[[#This Row],[Taskcode]],Dashboard!A:A,1,FALSE),"00 Err Missing")</f>
        <v>0001</v>
      </c>
      <c r="E593" s="79">
        <v>45791</v>
      </c>
      <c r="F593" s="80" t="s">
        <v>329</v>
      </c>
      <c r="G593" s="60" t="s">
        <v>40</v>
      </c>
      <c r="H593" s="80" t="s">
        <v>316</v>
      </c>
      <c r="I593" s="80" t="s">
        <v>35</v>
      </c>
      <c r="J593" s="80" t="s">
        <v>338</v>
      </c>
      <c r="K593" s="80" t="s">
        <v>337</v>
      </c>
      <c r="L593" s="80" t="s">
        <v>352</v>
      </c>
      <c r="M593" s="81">
        <v>1.33</v>
      </c>
      <c r="N593" s="82">
        <v>99.75</v>
      </c>
    </row>
    <row r="594" spans="1:14" x14ac:dyDescent="0.25">
      <c r="A594" s="10" t="str">
        <f>_xlfn.IFNA(
    IF(J594=
        "PCB-0001",
        "CSS",
        IF(
            ISNUMBER(MATCH(_xlfn.TEXTBEFORE(J594,"-"), {"CSS","CSN","PCB","PCF","BEC","CSD","PCM"}, 0)),
            _xlfn.TEXTBEFORE(J594,"-"),
            "Other"
        )
    ),
"Add")</f>
        <v>CSD</v>
      </c>
      <c r="B594" s="10" t="str">
        <f t="shared" si="10"/>
        <v>0001</v>
      </c>
      <c r="C594" s="10" t="str">
        <f>_xlfn.LET(
    _xlpm.val, IF(Datadetails[[#This Row],[Activity]]="D02","C20",Datadetails[[#This Row],[Activity]]),
    IF(ISNUMBER(MATCH(_xlpm.val,{"D04","C30","c40","C20"},0)), _xlpm.val, "Other")
)</f>
        <v>D04</v>
      </c>
      <c r="D594" s="10" t="str">
        <f>IFERROR(VLOOKUP(Datadetails[[#This Row],[Taskcode]],Dashboard!A:A,1,FALSE),"00 Err Missing")</f>
        <v>0001</v>
      </c>
      <c r="E594" s="79">
        <v>45791</v>
      </c>
      <c r="F594" s="80" t="s">
        <v>333</v>
      </c>
      <c r="G594" s="60" t="s">
        <v>40</v>
      </c>
      <c r="H594" s="80" t="s">
        <v>320</v>
      </c>
      <c r="I594" s="80" t="s">
        <v>35</v>
      </c>
      <c r="J594" s="80" t="s">
        <v>322</v>
      </c>
      <c r="K594" s="80" t="s">
        <v>319</v>
      </c>
      <c r="L594" s="80" t="s">
        <v>352</v>
      </c>
      <c r="M594" s="81">
        <v>3.65</v>
      </c>
      <c r="N594" s="82">
        <v>116.8</v>
      </c>
    </row>
    <row r="595" spans="1:14" x14ac:dyDescent="0.25">
      <c r="A595" s="10" t="str">
        <f>_xlfn.IFNA(
    IF(J595=
        "PCB-0001",
        "CSS",
        IF(
            ISNUMBER(MATCH(_xlfn.TEXTBEFORE(J595,"-"), {"CSS","CSN","PCB","PCF","BEC","CSD","PCM"}, 0)),
            _xlfn.TEXTBEFORE(J595,"-"),
            "Other"
        )
    ),
"Add")</f>
        <v>CSD</v>
      </c>
      <c r="B595" s="10" t="str">
        <f t="shared" si="10"/>
        <v>0001</v>
      </c>
      <c r="C595" s="10" t="str">
        <f>_xlfn.LET(
    _xlpm.val, IF(Datadetails[[#This Row],[Activity]]="D02","C20",Datadetails[[#This Row],[Activity]]),
    IF(ISNUMBER(MATCH(_xlpm.val,{"D04","C30","c40","C20"},0)), _xlpm.val, "Other")
)</f>
        <v>D04</v>
      </c>
      <c r="D595" s="10" t="str">
        <f>IFERROR(VLOOKUP(Datadetails[[#This Row],[Taskcode]],Dashboard!A:A,1,FALSE),"00 Err Missing")</f>
        <v>0001</v>
      </c>
      <c r="E595" s="79">
        <v>45791</v>
      </c>
      <c r="F595" s="80" t="s">
        <v>327</v>
      </c>
      <c r="G595" s="60" t="s">
        <v>40</v>
      </c>
      <c r="H595" s="80" t="s">
        <v>320</v>
      </c>
      <c r="I595" s="80" t="s">
        <v>35</v>
      </c>
      <c r="J595" s="80" t="s">
        <v>322</v>
      </c>
      <c r="K595" s="80" t="s">
        <v>319</v>
      </c>
      <c r="L595" s="80" t="s">
        <v>352</v>
      </c>
      <c r="M595" s="81">
        <v>7.5</v>
      </c>
      <c r="N595" s="82">
        <v>240</v>
      </c>
    </row>
    <row r="596" spans="1:14" x14ac:dyDescent="0.25">
      <c r="A596" s="10" t="str">
        <f>_xlfn.IFNA(
    IF(J596=
        "PCB-0001",
        "CSS",
        IF(
            ISNUMBER(MATCH(_xlfn.TEXTBEFORE(J596,"-"), {"CSS","CSN","PCB","PCF","BEC","CSD","PCM"}, 0)),
            _xlfn.TEXTBEFORE(J596,"-"),
            "Other"
        )
    ),
"Add")</f>
        <v>PCM</v>
      </c>
      <c r="B596" s="10" t="str">
        <f t="shared" si="10"/>
        <v>0065</v>
      </c>
      <c r="C596" s="10" t="str">
        <f>_xlfn.LET(
    _xlpm.val, IF(Datadetails[[#This Row],[Activity]]="D02","C20",Datadetails[[#This Row],[Activity]]),
    IF(ISNUMBER(MATCH(_xlpm.val,{"D04","C30","c40","C20"},0)), _xlpm.val, "Other")
)</f>
        <v>C20</v>
      </c>
      <c r="D596" s="10" t="str">
        <f>IFERROR(VLOOKUP(Datadetails[[#This Row],[Taskcode]],Dashboard!A:A,1,FALSE),"00 Err Missing")</f>
        <v>0065</v>
      </c>
      <c r="E596" s="79">
        <v>45791</v>
      </c>
      <c r="F596" s="80" t="s">
        <v>323</v>
      </c>
      <c r="G596" s="60" t="s">
        <v>40</v>
      </c>
      <c r="H596" s="80" t="s">
        <v>232</v>
      </c>
      <c r="I596" s="80" t="s">
        <v>36</v>
      </c>
      <c r="J596" s="80" t="s">
        <v>393</v>
      </c>
      <c r="K596" s="80" t="s">
        <v>346</v>
      </c>
      <c r="L596" s="80" t="s">
        <v>342</v>
      </c>
      <c r="M596" s="81">
        <v>0.33</v>
      </c>
      <c r="N596" s="82">
        <v>19.8</v>
      </c>
    </row>
    <row r="597" spans="1:14" x14ac:dyDescent="0.25">
      <c r="A597" s="10" t="str">
        <f>_xlfn.IFNA(
    IF(J597=
        "PCB-0001",
        "CSS",
        IF(
            ISNUMBER(MATCH(_xlfn.TEXTBEFORE(J597,"-"), {"CSS","CSN","PCB","PCF","BEC","CSD","PCM"}, 0)),
            _xlfn.TEXTBEFORE(J597,"-"),
            "Other"
        )
    ),
"Add")</f>
        <v>PCM</v>
      </c>
      <c r="B597" s="10" t="str">
        <f t="shared" si="10"/>
        <v>0100</v>
      </c>
      <c r="C597" s="10" t="str">
        <f>_xlfn.LET(
    _xlpm.val, IF(Datadetails[[#This Row],[Activity]]="D02","C20",Datadetails[[#This Row],[Activity]]),
    IF(ISNUMBER(MATCH(_xlpm.val,{"D04","C30","c40","C20"},0)), _xlpm.val, "Other")
)</f>
        <v>C20</v>
      </c>
      <c r="D597" s="10" t="str">
        <f>IFERROR(VLOOKUP(Datadetails[[#This Row],[Taskcode]],Dashboard!A:A,1,FALSE),"00 Err Missing")</f>
        <v>0100</v>
      </c>
      <c r="E597" s="79">
        <v>45791</v>
      </c>
      <c r="F597" s="80" t="s">
        <v>323</v>
      </c>
      <c r="G597" s="60" t="s">
        <v>40</v>
      </c>
      <c r="H597" s="80" t="s">
        <v>267</v>
      </c>
      <c r="I597" s="80" t="s">
        <v>36</v>
      </c>
      <c r="J597" s="80" t="s">
        <v>436</v>
      </c>
      <c r="K597" s="80" t="s">
        <v>346</v>
      </c>
      <c r="L597" s="80" t="s">
        <v>342</v>
      </c>
      <c r="M597" s="81">
        <v>0.5</v>
      </c>
      <c r="N597" s="82">
        <v>30</v>
      </c>
    </row>
    <row r="598" spans="1:14" x14ac:dyDescent="0.25">
      <c r="A598" s="10" t="str">
        <f>_xlfn.IFNA(
    IF(J598=
        "PCB-0001",
        "CSS",
        IF(
            ISNUMBER(MATCH(_xlfn.TEXTBEFORE(J598,"-"), {"CSS","CSN","PCB","PCF","BEC","CSD","PCM"}, 0)),
            _xlfn.TEXTBEFORE(J598,"-"),
            "Other"
        )
    ),
"Add")</f>
        <v>PCB</v>
      </c>
      <c r="B598" s="10" t="str">
        <f t="shared" si="10"/>
        <v>0028</v>
      </c>
      <c r="C598" s="10" t="str">
        <f>_xlfn.LET(
    _xlpm.val, IF(Datadetails[[#This Row],[Activity]]="D02","C20",Datadetails[[#This Row],[Activity]]),
    IF(ISNUMBER(MATCH(_xlpm.val,{"D04","C30","c40","C20"},0)), _xlpm.val, "Other")
)</f>
        <v>C30</v>
      </c>
      <c r="D598" s="10" t="str">
        <f>IFERROR(VLOOKUP(Datadetails[[#This Row],[Taskcode]],Dashboard!A:A,1,FALSE),"00 Err Missing")</f>
        <v>0028</v>
      </c>
      <c r="E598" s="79">
        <v>45791</v>
      </c>
      <c r="F598" s="80" t="s">
        <v>330</v>
      </c>
      <c r="G598" s="60" t="s">
        <v>40</v>
      </c>
      <c r="H598" s="80" t="s">
        <v>195</v>
      </c>
      <c r="I598" s="80" t="s">
        <v>34</v>
      </c>
      <c r="J598" s="80" t="s">
        <v>449</v>
      </c>
      <c r="K598" s="80" t="s">
        <v>347</v>
      </c>
      <c r="L598" s="80" t="s">
        <v>343</v>
      </c>
      <c r="M598" s="81">
        <v>0.5</v>
      </c>
      <c r="N598" s="82">
        <v>30</v>
      </c>
    </row>
    <row r="599" spans="1:14" x14ac:dyDescent="0.25">
      <c r="A599" s="10" t="str">
        <f>_xlfn.IFNA(
    IF(J599=
        "PCB-0001",
        "CSS",
        IF(
            ISNUMBER(MATCH(_xlfn.TEXTBEFORE(J599,"-"), {"CSS","CSN","PCB","PCF","BEC","CSD","PCM"}, 0)),
            _xlfn.TEXTBEFORE(J599,"-"),
            "Other"
        )
    ),
"Add")</f>
        <v>PCB</v>
      </c>
      <c r="B599" s="10" t="str">
        <f t="shared" si="10"/>
        <v>0014</v>
      </c>
      <c r="C599" s="10" t="str">
        <f>_xlfn.LET(
    _xlpm.val, IF(Datadetails[[#This Row],[Activity]]="D02","C20",Datadetails[[#This Row],[Activity]]),
    IF(ISNUMBER(MATCH(_xlpm.val,{"D04","C30","c40","C20"},0)), _xlpm.val, "Other")
)</f>
        <v>C30</v>
      </c>
      <c r="D599" s="10" t="str">
        <f>IFERROR(VLOOKUP(Datadetails[[#This Row],[Taskcode]],Dashboard!A:A,1,FALSE),"00 Err Missing")</f>
        <v>0014</v>
      </c>
      <c r="E599" s="79">
        <v>45791</v>
      </c>
      <c r="F599" s="80" t="s">
        <v>329</v>
      </c>
      <c r="G599" s="60" t="s">
        <v>40</v>
      </c>
      <c r="H599" s="80" t="s">
        <v>181</v>
      </c>
      <c r="I599" s="80" t="s">
        <v>34</v>
      </c>
      <c r="J599" s="80" t="s">
        <v>396</v>
      </c>
      <c r="K599" s="80" t="s">
        <v>347</v>
      </c>
      <c r="L599" s="80" t="s">
        <v>343</v>
      </c>
      <c r="M599" s="81">
        <v>0.17</v>
      </c>
      <c r="N599" s="82">
        <v>12.750000000000002</v>
      </c>
    </row>
    <row r="600" spans="1:14" x14ac:dyDescent="0.25">
      <c r="A600" s="10" t="str">
        <f>_xlfn.IFNA(
    IF(J600=
        "PCB-0001",
        "CSS",
        IF(
            ISNUMBER(MATCH(_xlfn.TEXTBEFORE(J600,"-"), {"CSS","CSN","PCB","PCF","BEC","CSD","PCM"}, 0)),
            _xlfn.TEXTBEFORE(J600,"-"),
            "Other"
        )
    ),
"Add")</f>
        <v>PCB</v>
      </c>
      <c r="B600" s="10" t="str">
        <f t="shared" si="10"/>
        <v>0019</v>
      </c>
      <c r="C600" s="10" t="str">
        <f>_xlfn.LET(
    _xlpm.val, IF(Datadetails[[#This Row],[Activity]]="D02","C20",Datadetails[[#This Row],[Activity]]),
    IF(ISNUMBER(MATCH(_xlpm.val,{"D04","C30","c40","C20"},0)), _xlpm.val, "Other")
)</f>
        <v>C30</v>
      </c>
      <c r="D600" s="10" t="str">
        <f>IFERROR(VLOOKUP(Datadetails[[#This Row],[Taskcode]],Dashboard!A:A,1,FALSE),"00 Err Missing")</f>
        <v>0019</v>
      </c>
      <c r="E600" s="79">
        <v>45791</v>
      </c>
      <c r="F600" s="80" t="s">
        <v>329</v>
      </c>
      <c r="G600" s="60" t="s">
        <v>40</v>
      </c>
      <c r="H600" s="80" t="s">
        <v>186</v>
      </c>
      <c r="I600" s="80" t="s">
        <v>34</v>
      </c>
      <c r="J600" s="80" t="s">
        <v>397</v>
      </c>
      <c r="K600" s="80" t="s">
        <v>347</v>
      </c>
      <c r="L600" s="80" t="s">
        <v>343</v>
      </c>
      <c r="M600" s="81">
        <v>0.08</v>
      </c>
      <c r="N600" s="82">
        <v>6</v>
      </c>
    </row>
    <row r="601" spans="1:14" x14ac:dyDescent="0.25">
      <c r="A601" s="10" t="str">
        <f>_xlfn.IFNA(
    IF(J601=
        "PCB-0001",
        "CSS",
        IF(
            ISNUMBER(MATCH(_xlfn.TEXTBEFORE(J601,"-"), {"CSS","CSN","PCB","PCF","BEC","CSD","PCM"}, 0)),
            _xlfn.TEXTBEFORE(J601,"-"),
            "Other"
        )
    ),
"Add")</f>
        <v>PCB</v>
      </c>
      <c r="B601" s="10" t="str">
        <f t="shared" si="10"/>
        <v>0134</v>
      </c>
      <c r="C601" s="10" t="str">
        <f>_xlfn.LET(
    _xlpm.val, IF(Datadetails[[#This Row],[Activity]]="D02","C20",Datadetails[[#This Row],[Activity]]),
    IF(ISNUMBER(MATCH(_xlpm.val,{"D04","C30","c40","C20"},0)), _xlpm.val, "Other")
)</f>
        <v>C30</v>
      </c>
      <c r="D601" s="10" t="str">
        <f>IFERROR(VLOOKUP(Datadetails[[#This Row],[Taskcode]],Dashboard!A:A,1,FALSE),"00 Err Missing")</f>
        <v>0134</v>
      </c>
      <c r="E601" s="79">
        <v>45791</v>
      </c>
      <c r="F601" s="80" t="s">
        <v>329</v>
      </c>
      <c r="G601" s="60" t="s">
        <v>40</v>
      </c>
      <c r="H601" s="80" t="s">
        <v>301</v>
      </c>
      <c r="I601" s="80" t="s">
        <v>34</v>
      </c>
      <c r="J601" s="80" t="s">
        <v>371</v>
      </c>
      <c r="K601" s="80" t="s">
        <v>347</v>
      </c>
      <c r="L601" s="80" t="s">
        <v>343</v>
      </c>
      <c r="M601" s="81">
        <v>0.5</v>
      </c>
      <c r="N601" s="82">
        <v>37.5</v>
      </c>
    </row>
    <row r="602" spans="1:14" x14ac:dyDescent="0.25">
      <c r="A602" s="10" t="str">
        <f>_xlfn.IFNA(
    IF(J602=
        "PCB-0001",
        "CSS",
        IF(
            ISNUMBER(MATCH(_xlfn.TEXTBEFORE(J602,"-"), {"CSS","CSN","PCB","PCF","BEC","CSD","PCM"}, 0)),
            _xlfn.TEXTBEFORE(J602,"-"),
            "Other"
        )
    ),
"Add")</f>
        <v>PCB</v>
      </c>
      <c r="B602" s="10" t="str">
        <f t="shared" si="10"/>
        <v>0054</v>
      </c>
      <c r="C602" s="10" t="str">
        <f>_xlfn.LET(
    _xlpm.val, IF(Datadetails[[#This Row],[Activity]]="D02","C20",Datadetails[[#This Row],[Activity]]),
    IF(ISNUMBER(MATCH(_xlpm.val,{"D04","C30","c40","C20"},0)), _xlpm.val, "Other")
)</f>
        <v>C30</v>
      </c>
      <c r="D602" s="10" t="str">
        <f>IFERROR(VLOOKUP(Datadetails[[#This Row],[Taskcode]],Dashboard!A:A,1,FALSE),"00 Err Missing")</f>
        <v>0054</v>
      </c>
      <c r="E602" s="79">
        <v>45791</v>
      </c>
      <c r="F602" s="80" t="s">
        <v>329</v>
      </c>
      <c r="G602" s="60" t="s">
        <v>40</v>
      </c>
      <c r="H602" s="80" t="s">
        <v>221</v>
      </c>
      <c r="I602" s="80" t="s">
        <v>34</v>
      </c>
      <c r="J602" s="80" t="s">
        <v>369</v>
      </c>
      <c r="K602" s="80" t="s">
        <v>347</v>
      </c>
      <c r="L602" s="80" t="s">
        <v>343</v>
      </c>
      <c r="M602" s="81">
        <v>0.17</v>
      </c>
      <c r="N602" s="82">
        <v>12.750000000000002</v>
      </c>
    </row>
    <row r="603" spans="1:14" x14ac:dyDescent="0.25">
      <c r="A603" s="10" t="str">
        <f>_xlfn.IFNA(
    IF(J603=
        "PCB-0001",
        "CSS",
        IF(
            ISNUMBER(MATCH(_xlfn.TEXTBEFORE(J603,"-"), {"CSS","CSN","PCB","PCF","BEC","CSD","PCM"}, 0)),
            _xlfn.TEXTBEFORE(J603,"-"),
            "Other"
        )
    ),
"Add")</f>
        <v>PCB</v>
      </c>
      <c r="B603" s="10" t="str">
        <f t="shared" si="10"/>
        <v>0136</v>
      </c>
      <c r="C603" s="10" t="str">
        <f>_xlfn.LET(
    _xlpm.val, IF(Datadetails[[#This Row],[Activity]]="D02","C20",Datadetails[[#This Row],[Activity]]),
    IF(ISNUMBER(MATCH(_xlpm.val,{"D04","C30","c40","C20"},0)), _xlpm.val, "Other")
)</f>
        <v>C30</v>
      </c>
      <c r="D603" s="10" t="str">
        <f>IFERROR(VLOOKUP(Datadetails[[#This Row],[Taskcode]],Dashboard!A:A,1,FALSE),"00 Err Missing")</f>
        <v>0136</v>
      </c>
      <c r="E603" s="79">
        <v>45791</v>
      </c>
      <c r="F603" s="80" t="s">
        <v>329</v>
      </c>
      <c r="G603" s="60" t="s">
        <v>40</v>
      </c>
      <c r="H603" s="80" t="s">
        <v>303</v>
      </c>
      <c r="I603" s="80" t="s">
        <v>34</v>
      </c>
      <c r="J603" s="80" t="s">
        <v>400</v>
      </c>
      <c r="K603" s="80" t="s">
        <v>347</v>
      </c>
      <c r="L603" s="80" t="s">
        <v>343</v>
      </c>
      <c r="M603" s="81">
        <v>0.25</v>
      </c>
      <c r="N603" s="82">
        <v>18.75</v>
      </c>
    </row>
    <row r="604" spans="1:14" x14ac:dyDescent="0.25">
      <c r="A604" s="10" t="str">
        <f>_xlfn.IFNA(
    IF(J604=
        "PCB-0001",
        "CSS",
        IF(
            ISNUMBER(MATCH(_xlfn.TEXTBEFORE(J604,"-"), {"CSS","CSN","PCB","PCF","BEC","CSD","PCM"}, 0)),
            _xlfn.TEXTBEFORE(J604,"-"),
            "Other"
        )
    ),
"Add")</f>
        <v>PCB</v>
      </c>
      <c r="B604" s="10" t="str">
        <f t="shared" si="10"/>
        <v>0075</v>
      </c>
      <c r="C604" s="10" t="str">
        <f>_xlfn.LET(
    _xlpm.val, IF(Datadetails[[#This Row],[Activity]]="D02","C20",Datadetails[[#This Row],[Activity]]),
    IF(ISNUMBER(MATCH(_xlpm.val,{"D04","C30","c40","C20"},0)), _xlpm.val, "Other")
)</f>
        <v>C30</v>
      </c>
      <c r="D604" s="10" t="str">
        <f>IFERROR(VLOOKUP(Datadetails[[#This Row],[Taskcode]],Dashboard!A:A,1,FALSE),"00 Err Missing")</f>
        <v>0075</v>
      </c>
      <c r="E604" s="79">
        <v>45791</v>
      </c>
      <c r="F604" s="80" t="s">
        <v>329</v>
      </c>
      <c r="G604" s="60" t="s">
        <v>40</v>
      </c>
      <c r="H604" s="80" t="s">
        <v>242</v>
      </c>
      <c r="I604" s="80" t="s">
        <v>34</v>
      </c>
      <c r="J604" s="80" t="s">
        <v>404</v>
      </c>
      <c r="K604" s="80" t="s">
        <v>347</v>
      </c>
      <c r="L604" s="80" t="s">
        <v>343</v>
      </c>
      <c r="M604" s="81">
        <v>0.08</v>
      </c>
      <c r="N604" s="82">
        <v>6</v>
      </c>
    </row>
    <row r="605" spans="1:14" x14ac:dyDescent="0.25">
      <c r="A605" s="10" t="str">
        <f>_xlfn.IFNA(
    IF(J605=
        "PCB-0001",
        "CSS",
        IF(
            ISNUMBER(MATCH(_xlfn.TEXTBEFORE(J605,"-"), {"CSS","CSN","PCB","PCF","BEC","CSD","PCM"}, 0)),
            _xlfn.TEXTBEFORE(J605,"-"),
            "Other"
        )
    ),
"Add")</f>
        <v>PCB</v>
      </c>
      <c r="B605" s="10" t="str">
        <f t="shared" si="10"/>
        <v>0092</v>
      </c>
      <c r="C605" s="10" t="str">
        <f>_xlfn.LET(
    _xlpm.val, IF(Datadetails[[#This Row],[Activity]]="D02","C20",Datadetails[[#This Row],[Activity]]),
    IF(ISNUMBER(MATCH(_xlpm.val,{"D04","C30","c40","C20"},0)), _xlpm.val, "Other")
)</f>
        <v>C30</v>
      </c>
      <c r="D605" s="10" t="str">
        <f>IFERROR(VLOOKUP(Datadetails[[#This Row],[Taskcode]],Dashboard!A:A,1,FALSE),"00 Err Missing")</f>
        <v>0092</v>
      </c>
      <c r="E605" s="79">
        <v>45791</v>
      </c>
      <c r="F605" s="80" t="s">
        <v>329</v>
      </c>
      <c r="G605" s="60" t="s">
        <v>40</v>
      </c>
      <c r="H605" s="80" t="s">
        <v>259</v>
      </c>
      <c r="I605" s="80" t="s">
        <v>34</v>
      </c>
      <c r="J605" s="80" t="s">
        <v>407</v>
      </c>
      <c r="K605" s="80" t="s">
        <v>347</v>
      </c>
      <c r="L605" s="80" t="s">
        <v>343</v>
      </c>
      <c r="M605" s="81">
        <v>0.17</v>
      </c>
      <c r="N605" s="82">
        <v>12.750000000000002</v>
      </c>
    </row>
    <row r="606" spans="1:14" x14ac:dyDescent="0.25">
      <c r="A606" s="10" t="str">
        <f>_xlfn.IFNA(
    IF(J606=
        "PCB-0001",
        "CSS",
        IF(
            ISNUMBER(MATCH(_xlfn.TEXTBEFORE(J606,"-"), {"CSS","CSN","PCB","PCF","BEC","CSD","PCM"}, 0)),
            _xlfn.TEXTBEFORE(J606,"-"),
            "Other"
        )
    ),
"Add")</f>
        <v>PCB</v>
      </c>
      <c r="B606" s="10" t="str">
        <f t="shared" si="10"/>
        <v>0080</v>
      </c>
      <c r="C606" s="10" t="str">
        <f>_xlfn.LET(
    _xlpm.val, IF(Datadetails[[#This Row],[Activity]]="D02","C20",Datadetails[[#This Row],[Activity]]),
    IF(ISNUMBER(MATCH(_xlpm.val,{"D04","C30","c40","C20"},0)), _xlpm.val, "Other")
)</f>
        <v>C30</v>
      </c>
      <c r="D606" s="10" t="str">
        <f>IFERROR(VLOOKUP(Datadetails[[#This Row],[Taskcode]],Dashboard!A:A,1,FALSE),"00 Err Missing")</f>
        <v>0080</v>
      </c>
      <c r="E606" s="79">
        <v>45791</v>
      </c>
      <c r="F606" s="80" t="s">
        <v>329</v>
      </c>
      <c r="G606" s="60" t="s">
        <v>40</v>
      </c>
      <c r="H606" s="80" t="s">
        <v>247</v>
      </c>
      <c r="I606" s="80" t="s">
        <v>34</v>
      </c>
      <c r="J606" s="80" t="s">
        <v>375</v>
      </c>
      <c r="K606" s="80" t="s">
        <v>347</v>
      </c>
      <c r="L606" s="80" t="s">
        <v>343</v>
      </c>
      <c r="M606" s="81">
        <v>0.5</v>
      </c>
      <c r="N606" s="82">
        <v>37.5</v>
      </c>
    </row>
    <row r="607" spans="1:14" x14ac:dyDescent="0.25">
      <c r="A607" s="10" t="str">
        <f>_xlfn.IFNA(
    IF(J607=
        "PCB-0001",
        "CSS",
        IF(
            ISNUMBER(MATCH(_xlfn.TEXTBEFORE(J607,"-"), {"CSS","CSN","PCB","PCF","BEC","CSD","PCM"}, 0)),
            _xlfn.TEXTBEFORE(J607,"-"),
            "Other"
        )
    ),
"Add")</f>
        <v>PCB</v>
      </c>
      <c r="B607" s="10" t="str">
        <f t="shared" si="10"/>
        <v>0081</v>
      </c>
      <c r="C607" s="10" t="str">
        <f>_xlfn.LET(
    _xlpm.val, IF(Datadetails[[#This Row],[Activity]]="D02","C20",Datadetails[[#This Row],[Activity]]),
    IF(ISNUMBER(MATCH(_xlpm.val,{"D04","C30","c40","C20"},0)), _xlpm.val, "Other")
)</f>
        <v>C30</v>
      </c>
      <c r="D607" s="10" t="str">
        <f>IFERROR(VLOOKUP(Datadetails[[#This Row],[Taskcode]],Dashboard!A:A,1,FALSE),"00 Err Missing")</f>
        <v>0081</v>
      </c>
      <c r="E607" s="79">
        <v>45791</v>
      </c>
      <c r="F607" s="80" t="s">
        <v>329</v>
      </c>
      <c r="G607" s="60" t="s">
        <v>40</v>
      </c>
      <c r="H607" s="80" t="s">
        <v>248</v>
      </c>
      <c r="I607" s="80" t="s">
        <v>34</v>
      </c>
      <c r="J607" s="80" t="s">
        <v>385</v>
      </c>
      <c r="K607" s="80" t="s">
        <v>347</v>
      </c>
      <c r="L607" s="80" t="s">
        <v>343</v>
      </c>
      <c r="M607" s="81">
        <v>0.17</v>
      </c>
      <c r="N607" s="82">
        <v>12.750000000000002</v>
      </c>
    </row>
    <row r="608" spans="1:14" x14ac:dyDescent="0.25">
      <c r="A608" s="10" t="str">
        <f>_xlfn.IFNA(
    IF(J608=
        "PCB-0001",
        "CSS",
        IF(
            ISNUMBER(MATCH(_xlfn.TEXTBEFORE(J608,"-"), {"CSS","CSN","PCB","PCF","BEC","CSD","PCM"}, 0)),
            _xlfn.TEXTBEFORE(J608,"-"),
            "Other"
        )
    ),
"Add")</f>
        <v>PCB</v>
      </c>
      <c r="B608" s="10" t="str">
        <f t="shared" si="10"/>
        <v>0111</v>
      </c>
      <c r="C608" s="10" t="str">
        <f>_xlfn.LET(
    _xlpm.val, IF(Datadetails[[#This Row],[Activity]]="D02","C20",Datadetails[[#This Row],[Activity]]),
    IF(ISNUMBER(MATCH(_xlpm.val,{"D04","C30","c40","C20"},0)), _xlpm.val, "Other")
)</f>
        <v>C30</v>
      </c>
      <c r="D608" s="10" t="str">
        <f>IFERROR(VLOOKUP(Datadetails[[#This Row],[Taskcode]],Dashboard!A:A,1,FALSE),"00 Err Missing")</f>
        <v>0111</v>
      </c>
      <c r="E608" s="79">
        <v>45791</v>
      </c>
      <c r="F608" s="80" t="s">
        <v>325</v>
      </c>
      <c r="G608" s="60" t="s">
        <v>40</v>
      </c>
      <c r="H608" s="80" t="s">
        <v>278</v>
      </c>
      <c r="I608" s="80" t="s">
        <v>34</v>
      </c>
      <c r="J608" s="80" t="s">
        <v>452</v>
      </c>
      <c r="K608" s="80" t="s">
        <v>347</v>
      </c>
      <c r="L608" s="80" t="s">
        <v>343</v>
      </c>
      <c r="M608" s="81">
        <v>0.25</v>
      </c>
      <c r="N608" s="82">
        <v>18.75</v>
      </c>
    </row>
    <row r="609" spans="1:14" x14ac:dyDescent="0.25">
      <c r="A609" s="10" t="str">
        <f>_xlfn.IFNA(
    IF(J609=
        "PCB-0001",
        "CSS",
        IF(
            ISNUMBER(MATCH(_xlfn.TEXTBEFORE(J609,"-"), {"CSS","CSN","PCB","PCF","BEC","CSD","PCM"}, 0)),
            _xlfn.TEXTBEFORE(J609,"-"),
            "Other"
        )
    ),
"Add")</f>
        <v>PCB</v>
      </c>
      <c r="B609" s="10" t="str">
        <f t="shared" si="10"/>
        <v>0082</v>
      </c>
      <c r="C609" s="10" t="str">
        <f>_xlfn.LET(
    _xlpm.val, IF(Datadetails[[#This Row],[Activity]]="D02","C20",Datadetails[[#This Row],[Activity]]),
    IF(ISNUMBER(MATCH(_xlpm.val,{"D04","C30","c40","C20"},0)), _xlpm.val, "Other")
)</f>
        <v>C40</v>
      </c>
      <c r="D609" s="10" t="str">
        <f>IFERROR(VLOOKUP(Datadetails[[#This Row],[Taskcode]],Dashboard!A:A,1,FALSE),"00 Err Missing")</f>
        <v>0082</v>
      </c>
      <c r="E609" s="79">
        <v>45791</v>
      </c>
      <c r="F609" s="80" t="s">
        <v>325</v>
      </c>
      <c r="G609" s="60" t="s">
        <v>40</v>
      </c>
      <c r="H609" s="80" t="s">
        <v>249</v>
      </c>
      <c r="I609" s="80" t="s">
        <v>341</v>
      </c>
      <c r="J609" s="80" t="s">
        <v>409</v>
      </c>
      <c r="K609" s="80" t="s">
        <v>347</v>
      </c>
      <c r="L609" s="80" t="s">
        <v>344</v>
      </c>
      <c r="M609" s="81">
        <v>0.83</v>
      </c>
      <c r="N609" s="82">
        <v>62.25</v>
      </c>
    </row>
    <row r="610" spans="1:14" x14ac:dyDescent="0.25">
      <c r="A610" s="10" t="str">
        <f>_xlfn.IFNA(
    IF(J610=
        "PCB-0001",
        "CSS",
        IF(
            ISNUMBER(MATCH(_xlfn.TEXTBEFORE(J610,"-"), {"CSS","CSN","PCB","PCF","BEC","CSD","PCM"}, 0)),
            _xlfn.TEXTBEFORE(J610,"-"),
            "Other"
        )
    ),
"Add")</f>
        <v>PCB</v>
      </c>
      <c r="B610" s="10" t="str">
        <f t="shared" si="10"/>
        <v>0092</v>
      </c>
      <c r="C610" s="10" t="str">
        <f>_xlfn.LET(
    _xlpm.val, IF(Datadetails[[#This Row],[Activity]]="D02","C20",Datadetails[[#This Row],[Activity]]),
    IF(ISNUMBER(MATCH(_xlpm.val,{"D04","C30","c40","C20"},0)), _xlpm.val, "Other")
)</f>
        <v>C40</v>
      </c>
      <c r="D610" s="10" t="str">
        <f>IFERROR(VLOOKUP(Datadetails[[#This Row],[Taskcode]],Dashboard!A:A,1,FALSE),"00 Err Missing")</f>
        <v>0092</v>
      </c>
      <c r="E610" s="79">
        <v>45791</v>
      </c>
      <c r="F610" s="80" t="s">
        <v>329</v>
      </c>
      <c r="G610" s="60" t="s">
        <v>40</v>
      </c>
      <c r="H610" s="80" t="s">
        <v>259</v>
      </c>
      <c r="I610" s="80" t="s">
        <v>341</v>
      </c>
      <c r="J610" s="80" t="s">
        <v>407</v>
      </c>
      <c r="K610" s="80" t="s">
        <v>347</v>
      </c>
      <c r="L610" s="80" t="s">
        <v>344</v>
      </c>
      <c r="M610" s="81">
        <v>2</v>
      </c>
      <c r="N610" s="82">
        <v>150</v>
      </c>
    </row>
    <row r="611" spans="1:14" x14ac:dyDescent="0.25">
      <c r="A611" s="10" t="str">
        <f>_xlfn.IFNA(
    IF(J611=
        "PCB-0001",
        "CSS",
        IF(
            ISNUMBER(MATCH(_xlfn.TEXTBEFORE(J611,"-"), {"CSS","CSN","PCB","PCF","BEC","CSD","PCM"}, 0)),
            _xlfn.TEXTBEFORE(J611,"-"),
            "Other"
        )
    ),
"Add")</f>
        <v>BEC</v>
      </c>
      <c r="B611" s="10" t="str">
        <f t="shared" si="10"/>
        <v>0001</v>
      </c>
      <c r="C611" s="10" t="str">
        <f>_xlfn.LET(
    _xlpm.val, IF(Datadetails[[#This Row],[Activity]]="D02","C20",Datadetails[[#This Row],[Activity]]),
    IF(ISNUMBER(MATCH(_xlpm.val,{"D04","C30","c40","C20"},0)), _xlpm.val, "Other")
)</f>
        <v>D04</v>
      </c>
      <c r="D611" s="10" t="str">
        <f>IFERROR(VLOOKUP(Datadetails[[#This Row],[Taskcode]],Dashboard!A:A,1,FALSE),"00 Err Missing")</f>
        <v>0001</v>
      </c>
      <c r="E611" s="79">
        <v>45791</v>
      </c>
      <c r="F611" s="80" t="s">
        <v>332</v>
      </c>
      <c r="G611" s="60" t="s">
        <v>40</v>
      </c>
      <c r="H611" s="80" t="s">
        <v>314</v>
      </c>
      <c r="I611" s="80" t="s">
        <v>35</v>
      </c>
      <c r="J611" s="80" t="s">
        <v>359</v>
      </c>
      <c r="K611" s="80" t="s">
        <v>339</v>
      </c>
      <c r="L611" s="80" t="s">
        <v>352</v>
      </c>
      <c r="M611" s="81">
        <v>8.67</v>
      </c>
      <c r="N611" s="82">
        <v>346.8</v>
      </c>
    </row>
    <row r="612" spans="1:14" x14ac:dyDescent="0.25">
      <c r="A612" s="10" t="str">
        <f>_xlfn.IFNA(
    IF(J612=
        "PCB-0001",
        "CSS",
        IF(
            ISNUMBER(MATCH(_xlfn.TEXTBEFORE(J612,"-"), {"CSS","CSN","PCB","PCF","BEC","CSD","PCM"}, 0)),
            _xlfn.TEXTBEFORE(J612,"-"),
            "Other"
        )
    ),
"Add")</f>
        <v>BEC</v>
      </c>
      <c r="B612" s="10" t="str">
        <f t="shared" si="10"/>
        <v>0001</v>
      </c>
      <c r="C612" s="10" t="str">
        <f>_xlfn.LET(
    _xlpm.val, IF(Datadetails[[#This Row],[Activity]]="D02","C20",Datadetails[[#This Row],[Activity]]),
    IF(ISNUMBER(MATCH(_xlpm.val,{"D04","C30","c40","C20"},0)), _xlpm.val, "Other")
)</f>
        <v>D04</v>
      </c>
      <c r="D612" s="10" t="str">
        <f>IFERROR(VLOOKUP(Datadetails[[#This Row],[Taskcode]],Dashboard!A:A,1,FALSE),"00 Err Missing")</f>
        <v>0001</v>
      </c>
      <c r="E612" s="79">
        <v>45791</v>
      </c>
      <c r="F612" s="80" t="s">
        <v>324</v>
      </c>
      <c r="G612" s="60" t="s">
        <v>40</v>
      </c>
      <c r="H612" s="80" t="s">
        <v>314</v>
      </c>
      <c r="I612" s="80" t="s">
        <v>35</v>
      </c>
      <c r="J612" s="80" t="s">
        <v>359</v>
      </c>
      <c r="K612" s="80" t="s">
        <v>339</v>
      </c>
      <c r="L612" s="80" t="s">
        <v>352</v>
      </c>
      <c r="M612" s="81">
        <v>6.75</v>
      </c>
      <c r="N612" s="82">
        <v>506.25</v>
      </c>
    </row>
    <row r="613" spans="1:14" x14ac:dyDescent="0.25">
      <c r="A613" s="10" t="str">
        <f>_xlfn.IFNA(
    IF(J613=
        "PCB-0001",
        "CSS",
        IF(
            ISNUMBER(MATCH(_xlfn.TEXTBEFORE(J613,"-"), {"CSS","CSN","PCB","PCF","BEC","CSD","PCM"}, 0)),
            _xlfn.TEXTBEFORE(J613,"-"),
            "Other"
        )
    ),
"Add")</f>
        <v>PCB</v>
      </c>
      <c r="B613" s="10" t="str">
        <f t="shared" si="10"/>
        <v>0102</v>
      </c>
      <c r="C613" s="10" t="str">
        <f>_xlfn.LET(
    _xlpm.val, IF(Datadetails[[#This Row],[Activity]]="D02","C20",Datadetails[[#This Row],[Activity]]),
    IF(ISNUMBER(MATCH(_xlpm.val,{"D04","C30","c40","C20"},0)), _xlpm.val, "Other")
)</f>
        <v>C30</v>
      </c>
      <c r="D613" s="10" t="str">
        <f>IFERROR(VLOOKUP(Datadetails[[#This Row],[Taskcode]],Dashboard!A:A,1,FALSE),"00 Err Missing")</f>
        <v>0102</v>
      </c>
      <c r="E613" s="79">
        <v>45792</v>
      </c>
      <c r="F613" s="80" t="s">
        <v>329</v>
      </c>
      <c r="G613" s="60" t="s">
        <v>40</v>
      </c>
      <c r="H613" s="80" t="s">
        <v>269</v>
      </c>
      <c r="I613" s="80" t="s">
        <v>34</v>
      </c>
      <c r="J613" s="80" t="s">
        <v>361</v>
      </c>
      <c r="K613" s="80" t="s">
        <v>347</v>
      </c>
      <c r="L613" s="80" t="s">
        <v>343</v>
      </c>
      <c r="M613" s="81">
        <v>0.25</v>
      </c>
      <c r="N613" s="82">
        <v>18.75</v>
      </c>
    </row>
    <row r="614" spans="1:14" x14ac:dyDescent="0.25">
      <c r="A614" s="10" t="str">
        <f>_xlfn.IFNA(
    IF(J614=
        "PCB-0001",
        "CSS",
        IF(
            ISNUMBER(MATCH(_xlfn.TEXTBEFORE(J614,"-"), {"CSS","CSN","PCB","PCF","BEC","CSD","PCM"}, 0)),
            _xlfn.TEXTBEFORE(J614,"-"),
            "Other"
        )
    ),
"Add")</f>
        <v>PCM</v>
      </c>
      <c r="B614" s="10" t="str">
        <f t="shared" si="10"/>
        <v>0001</v>
      </c>
      <c r="C614" s="10" t="str">
        <f>_xlfn.LET(
    _xlpm.val, IF(Datadetails[[#This Row],[Activity]]="D02","C20",Datadetails[[#This Row],[Activity]]),
    IF(ISNUMBER(MATCH(_xlpm.val,{"D04","C30","c40","C20"},0)), _xlpm.val, "Other")
)</f>
        <v>C20</v>
      </c>
      <c r="D614" s="10" t="str">
        <f>IFERROR(VLOOKUP(Datadetails[[#This Row],[Taskcode]],Dashboard!A:A,1,FALSE),"00 Err Missing")</f>
        <v>0001</v>
      </c>
      <c r="E614" s="79">
        <v>45792</v>
      </c>
      <c r="F614" s="80" t="s">
        <v>323</v>
      </c>
      <c r="G614" s="60" t="s">
        <v>40</v>
      </c>
      <c r="H614" s="80" t="s">
        <v>168</v>
      </c>
      <c r="I614" s="80" t="s">
        <v>36</v>
      </c>
      <c r="J614" s="80" t="s">
        <v>419</v>
      </c>
      <c r="K614" s="80" t="s">
        <v>346</v>
      </c>
      <c r="L614" s="80" t="s">
        <v>342</v>
      </c>
      <c r="M614" s="81">
        <v>0.33</v>
      </c>
      <c r="N614" s="82">
        <v>19.8</v>
      </c>
    </row>
    <row r="615" spans="1:14" x14ac:dyDescent="0.25">
      <c r="A615" s="10" t="str">
        <f>_xlfn.IFNA(
    IF(J615=
        "PCB-0001",
        "CSS",
        IF(
            ISNUMBER(MATCH(_xlfn.TEXTBEFORE(J615,"-"), {"CSS","CSN","PCB","PCF","BEC","CSD","PCM"}, 0)),
            _xlfn.TEXTBEFORE(J615,"-"),
            "Other"
        )
    ),
"Add")</f>
        <v>PCM</v>
      </c>
      <c r="B615" s="10" t="str">
        <f t="shared" si="10"/>
        <v>0002</v>
      </c>
      <c r="C615" s="10" t="str">
        <f>_xlfn.LET(
    _xlpm.val, IF(Datadetails[[#This Row],[Activity]]="D02","C20",Datadetails[[#This Row],[Activity]]),
    IF(ISNUMBER(MATCH(_xlpm.val,{"D04","C30","c40","C20"},0)), _xlpm.val, "Other")
)</f>
        <v>C20</v>
      </c>
      <c r="D615" s="10" t="str">
        <f>IFERROR(VLOOKUP(Datadetails[[#This Row],[Taskcode]],Dashboard!A:A,1,FALSE),"00 Err Missing")</f>
        <v>0002</v>
      </c>
      <c r="E615" s="79">
        <v>45792</v>
      </c>
      <c r="F615" s="80" t="s">
        <v>323</v>
      </c>
      <c r="G615" s="60" t="s">
        <v>40</v>
      </c>
      <c r="H615" s="80" t="s">
        <v>169</v>
      </c>
      <c r="I615" s="80" t="s">
        <v>36</v>
      </c>
      <c r="J615" s="80" t="s">
        <v>433</v>
      </c>
      <c r="K615" s="80" t="s">
        <v>346</v>
      </c>
      <c r="L615" s="80" t="s">
        <v>342</v>
      </c>
      <c r="M615" s="81">
        <v>0.25</v>
      </c>
      <c r="N615" s="82">
        <v>15</v>
      </c>
    </row>
    <row r="616" spans="1:14" x14ac:dyDescent="0.25">
      <c r="A616" s="10" t="str">
        <f>_xlfn.IFNA(
    IF(J616=
        "PCB-0001",
        "CSS",
        IF(
            ISNUMBER(MATCH(_xlfn.TEXTBEFORE(J616,"-"), {"CSS","CSN","PCB","PCF","BEC","CSD","PCM"}, 0)),
            _xlfn.TEXTBEFORE(J616,"-"),
            "Other"
        )
    ),
"Add")</f>
        <v>CSN</v>
      </c>
      <c r="B616" s="10" t="str">
        <f t="shared" si="10"/>
        <v>0001</v>
      </c>
      <c r="C616" s="10" t="str">
        <f>_xlfn.LET(
    _xlpm.val, IF(Datadetails[[#This Row],[Activity]]="D02","C20",Datadetails[[#This Row],[Activity]]),
    IF(ISNUMBER(MATCH(_xlpm.val,{"D04","C30","c40","C20"},0)), _xlpm.val, "Other")
)</f>
        <v>D04</v>
      </c>
      <c r="D616" s="10" t="str">
        <f>IFERROR(VLOOKUP(Datadetails[[#This Row],[Taskcode]],Dashboard!A:A,1,FALSE),"00 Err Missing")</f>
        <v>0001</v>
      </c>
      <c r="E616" s="79">
        <v>45792</v>
      </c>
      <c r="F616" s="80" t="s">
        <v>329</v>
      </c>
      <c r="G616" s="60" t="s">
        <v>40</v>
      </c>
      <c r="H616" s="80" t="s">
        <v>316</v>
      </c>
      <c r="I616" s="80" t="s">
        <v>35</v>
      </c>
      <c r="J616" s="80" t="s">
        <v>338</v>
      </c>
      <c r="K616" s="80" t="s">
        <v>337</v>
      </c>
      <c r="L616" s="80" t="s">
        <v>352</v>
      </c>
      <c r="M616" s="81">
        <v>1.75</v>
      </c>
      <c r="N616" s="82">
        <v>131.25</v>
      </c>
    </row>
    <row r="617" spans="1:14" x14ac:dyDescent="0.25">
      <c r="A617" s="10" t="str">
        <f>_xlfn.IFNA(
    IF(J617=
        "PCB-0001",
        "CSS",
        IF(
            ISNUMBER(MATCH(_xlfn.TEXTBEFORE(J617,"-"), {"CSS","CSN","PCB","PCF","BEC","CSD","PCM"}, 0)),
            _xlfn.TEXTBEFORE(J617,"-"),
            "Other"
        )
    ),
"Add")</f>
        <v>CSD</v>
      </c>
      <c r="B617" s="10" t="str">
        <f t="shared" si="10"/>
        <v>0001</v>
      </c>
      <c r="C617" s="10" t="str">
        <f>_xlfn.LET(
    _xlpm.val, IF(Datadetails[[#This Row],[Activity]]="D02","C20",Datadetails[[#This Row],[Activity]]),
    IF(ISNUMBER(MATCH(_xlpm.val,{"D04","C30","c40","C20"},0)), _xlpm.val, "Other")
)</f>
        <v>D04</v>
      </c>
      <c r="D617" s="10" t="str">
        <f>IFERROR(VLOOKUP(Datadetails[[#This Row],[Taskcode]],Dashboard!A:A,1,FALSE),"00 Err Missing")</f>
        <v>0001</v>
      </c>
      <c r="E617" s="79">
        <v>45792</v>
      </c>
      <c r="F617" s="80" t="s">
        <v>333</v>
      </c>
      <c r="G617" s="60" t="s">
        <v>40</v>
      </c>
      <c r="H617" s="80" t="s">
        <v>320</v>
      </c>
      <c r="I617" s="80" t="s">
        <v>35</v>
      </c>
      <c r="J617" s="80" t="s">
        <v>322</v>
      </c>
      <c r="K617" s="80" t="s">
        <v>319</v>
      </c>
      <c r="L617" s="80" t="s">
        <v>352</v>
      </c>
      <c r="M617" s="81">
        <v>7.53</v>
      </c>
      <c r="N617" s="82">
        <v>240.96</v>
      </c>
    </row>
    <row r="618" spans="1:14" x14ac:dyDescent="0.25">
      <c r="A618" s="10" t="str">
        <f>_xlfn.IFNA(
    IF(J618=
        "PCB-0001",
        "CSS",
        IF(
            ISNUMBER(MATCH(_xlfn.TEXTBEFORE(J618,"-"), {"CSS","CSN","PCB","PCF","BEC","CSD","PCM"}, 0)),
            _xlfn.TEXTBEFORE(J618,"-"),
            "Other"
        )
    ),
"Add")</f>
        <v>CSD</v>
      </c>
      <c r="B618" s="10" t="str">
        <f t="shared" si="10"/>
        <v>0001</v>
      </c>
      <c r="C618" s="10" t="str">
        <f>_xlfn.LET(
    _xlpm.val, IF(Datadetails[[#This Row],[Activity]]="D02","C20",Datadetails[[#This Row],[Activity]]),
    IF(ISNUMBER(MATCH(_xlpm.val,{"D04","C30","c40","C20"},0)), _xlpm.val, "Other")
)</f>
        <v>D04</v>
      </c>
      <c r="D618" s="10" t="str">
        <f>IFERROR(VLOOKUP(Datadetails[[#This Row],[Taskcode]],Dashboard!A:A,1,FALSE),"00 Err Missing")</f>
        <v>0001</v>
      </c>
      <c r="E618" s="79">
        <v>45792</v>
      </c>
      <c r="F618" s="80" t="s">
        <v>327</v>
      </c>
      <c r="G618" s="60" t="s">
        <v>40</v>
      </c>
      <c r="H618" s="80" t="s">
        <v>320</v>
      </c>
      <c r="I618" s="80" t="s">
        <v>35</v>
      </c>
      <c r="J618" s="80" t="s">
        <v>322</v>
      </c>
      <c r="K618" s="80" t="s">
        <v>319</v>
      </c>
      <c r="L618" s="80" t="s">
        <v>352</v>
      </c>
      <c r="M618" s="81">
        <v>7.42</v>
      </c>
      <c r="N618" s="82">
        <v>237.44</v>
      </c>
    </row>
    <row r="619" spans="1:14" x14ac:dyDescent="0.25">
      <c r="A619" s="10" t="str">
        <f>_xlfn.IFNA(
    IF(J619=
        "PCB-0001",
        "CSS",
        IF(
            ISNUMBER(MATCH(_xlfn.TEXTBEFORE(J619,"-"), {"CSS","CSN","PCB","PCF","BEC","CSD","PCM"}, 0)),
            _xlfn.TEXTBEFORE(J619,"-"),
            "Other"
        )
    ),
"Add")</f>
        <v>PCB</v>
      </c>
      <c r="B619" s="10" t="str">
        <f t="shared" si="10"/>
        <v>0019</v>
      </c>
      <c r="C619" s="10" t="str">
        <f>_xlfn.LET(
    _xlpm.val, IF(Datadetails[[#This Row],[Activity]]="D02","C20",Datadetails[[#This Row],[Activity]]),
    IF(ISNUMBER(MATCH(_xlpm.val,{"D04","C30","c40","C20"},0)), _xlpm.val, "Other")
)</f>
        <v>C30</v>
      </c>
      <c r="D619" s="10" t="str">
        <f>IFERROR(VLOOKUP(Datadetails[[#This Row],[Taskcode]],Dashboard!A:A,1,FALSE),"00 Err Missing")</f>
        <v>0019</v>
      </c>
      <c r="E619" s="79">
        <v>45792</v>
      </c>
      <c r="F619" s="80" t="s">
        <v>329</v>
      </c>
      <c r="G619" s="60" t="s">
        <v>40</v>
      </c>
      <c r="H619" s="80" t="s">
        <v>186</v>
      </c>
      <c r="I619" s="80" t="s">
        <v>34</v>
      </c>
      <c r="J619" s="80" t="s">
        <v>397</v>
      </c>
      <c r="K619" s="80" t="s">
        <v>347</v>
      </c>
      <c r="L619" s="80" t="s">
        <v>343</v>
      </c>
      <c r="M619" s="81">
        <v>0.17</v>
      </c>
      <c r="N619" s="82">
        <v>12.750000000000002</v>
      </c>
    </row>
    <row r="620" spans="1:14" x14ac:dyDescent="0.25">
      <c r="A620" s="10" t="str">
        <f>_xlfn.IFNA(
    IF(J620=
        "PCB-0001",
        "CSS",
        IF(
            ISNUMBER(MATCH(_xlfn.TEXTBEFORE(J620,"-"), {"CSS","CSN","PCB","PCF","BEC","CSD","PCM"}, 0)),
            _xlfn.TEXTBEFORE(J620,"-"),
            "Other"
        )
    ),
"Add")</f>
        <v>PCB</v>
      </c>
      <c r="B620" s="10" t="str">
        <f t="shared" si="10"/>
        <v>0030</v>
      </c>
      <c r="C620" s="10" t="str">
        <f>_xlfn.LET(
    _xlpm.val, IF(Datadetails[[#This Row],[Activity]]="D02","C20",Datadetails[[#This Row],[Activity]]),
    IF(ISNUMBER(MATCH(_xlpm.val,{"D04","C30","c40","C20"},0)), _xlpm.val, "Other")
)</f>
        <v>C30</v>
      </c>
      <c r="D620" s="10" t="str">
        <f>IFERROR(VLOOKUP(Datadetails[[#This Row],[Taskcode]],Dashboard!A:A,1,FALSE),"00 Err Missing")</f>
        <v>0030</v>
      </c>
      <c r="E620" s="79">
        <v>45792</v>
      </c>
      <c r="F620" s="80" t="s">
        <v>329</v>
      </c>
      <c r="G620" s="60" t="s">
        <v>40</v>
      </c>
      <c r="H620" s="80" t="s">
        <v>197</v>
      </c>
      <c r="I620" s="80" t="s">
        <v>34</v>
      </c>
      <c r="J620" s="80" t="s">
        <v>366</v>
      </c>
      <c r="K620" s="80" t="s">
        <v>347</v>
      </c>
      <c r="L620" s="80" t="s">
        <v>343</v>
      </c>
      <c r="M620" s="81">
        <v>0.33</v>
      </c>
      <c r="N620" s="82">
        <v>24.75</v>
      </c>
    </row>
    <row r="621" spans="1:14" x14ac:dyDescent="0.25">
      <c r="A621" s="10" t="str">
        <f>_xlfn.IFNA(
    IF(J621=
        "PCB-0001",
        "CSS",
        IF(
            ISNUMBER(MATCH(_xlfn.TEXTBEFORE(J621,"-"), {"CSS","CSN","PCB","PCF","BEC","CSD","PCM"}, 0)),
            _xlfn.TEXTBEFORE(J621,"-"),
            "Other"
        )
    ),
"Add")</f>
        <v>PCB</v>
      </c>
      <c r="B621" s="10" t="str">
        <f t="shared" si="10"/>
        <v>0134</v>
      </c>
      <c r="C621" s="10" t="str">
        <f>_xlfn.LET(
    _xlpm.val, IF(Datadetails[[#This Row],[Activity]]="D02","C20",Datadetails[[#This Row],[Activity]]),
    IF(ISNUMBER(MATCH(_xlpm.val,{"D04","C30","c40","C20"},0)), _xlpm.val, "Other")
)</f>
        <v>C30</v>
      </c>
      <c r="D621" s="10" t="str">
        <f>IFERROR(VLOOKUP(Datadetails[[#This Row],[Taskcode]],Dashboard!A:A,1,FALSE),"00 Err Missing")</f>
        <v>0134</v>
      </c>
      <c r="E621" s="79">
        <v>45792</v>
      </c>
      <c r="F621" s="80" t="s">
        <v>329</v>
      </c>
      <c r="G621" s="60" t="s">
        <v>40</v>
      </c>
      <c r="H621" s="80" t="s">
        <v>301</v>
      </c>
      <c r="I621" s="80" t="s">
        <v>34</v>
      </c>
      <c r="J621" s="80" t="s">
        <v>371</v>
      </c>
      <c r="K621" s="80" t="s">
        <v>347</v>
      </c>
      <c r="L621" s="80" t="s">
        <v>343</v>
      </c>
      <c r="M621" s="81">
        <v>0.08</v>
      </c>
      <c r="N621" s="82">
        <v>6</v>
      </c>
    </row>
    <row r="622" spans="1:14" x14ac:dyDescent="0.25">
      <c r="A622" s="10" t="str">
        <f>_xlfn.IFNA(
    IF(J622=
        "PCB-0001",
        "CSS",
        IF(
            ISNUMBER(MATCH(_xlfn.TEXTBEFORE(J622,"-"), {"CSS","CSN","PCB","PCF","BEC","CSD","PCM"}, 0)),
            _xlfn.TEXTBEFORE(J622,"-"),
            "Other"
        )
    ),
"Add")</f>
        <v>PCB</v>
      </c>
      <c r="B622" s="10" t="str">
        <f t="shared" si="10"/>
        <v>0074</v>
      </c>
      <c r="C622" s="10" t="str">
        <f>_xlfn.LET(
    _xlpm.val, IF(Datadetails[[#This Row],[Activity]]="D02","C20",Datadetails[[#This Row],[Activity]]),
    IF(ISNUMBER(MATCH(_xlpm.val,{"D04","C30","c40","C20"},0)), _xlpm.val, "Other")
)</f>
        <v>C30</v>
      </c>
      <c r="D622" s="10" t="str">
        <f>IFERROR(VLOOKUP(Datadetails[[#This Row],[Taskcode]],Dashboard!A:A,1,FALSE),"00 Err Missing")</f>
        <v>0074</v>
      </c>
      <c r="E622" s="79">
        <v>45792</v>
      </c>
      <c r="F622" s="80" t="s">
        <v>329</v>
      </c>
      <c r="G622" s="60" t="s">
        <v>40</v>
      </c>
      <c r="H622" s="80" t="s">
        <v>241</v>
      </c>
      <c r="I622" s="80" t="s">
        <v>34</v>
      </c>
      <c r="J622" s="80" t="s">
        <v>403</v>
      </c>
      <c r="K622" s="80" t="s">
        <v>347</v>
      </c>
      <c r="L622" s="80" t="s">
        <v>343</v>
      </c>
      <c r="M622" s="81">
        <v>1.25</v>
      </c>
      <c r="N622" s="82">
        <v>93.75</v>
      </c>
    </row>
    <row r="623" spans="1:14" x14ac:dyDescent="0.25">
      <c r="A623" s="10" t="str">
        <f>_xlfn.IFNA(
    IF(J623=
        "PCB-0001",
        "CSS",
        IF(
            ISNUMBER(MATCH(_xlfn.TEXTBEFORE(J623,"-"), {"CSS","CSN","PCB","PCF","BEC","CSD","PCM"}, 0)),
            _xlfn.TEXTBEFORE(J623,"-"),
            "Other"
        )
    ),
"Add")</f>
        <v>PCB</v>
      </c>
      <c r="B623" s="10" t="str">
        <f t="shared" si="10"/>
        <v>0075</v>
      </c>
      <c r="C623" s="10" t="str">
        <f>_xlfn.LET(
    _xlpm.val, IF(Datadetails[[#This Row],[Activity]]="D02","C20",Datadetails[[#This Row],[Activity]]),
    IF(ISNUMBER(MATCH(_xlpm.val,{"D04","C30","c40","C20"},0)), _xlpm.val, "Other")
)</f>
        <v>C30</v>
      </c>
      <c r="D623" s="10" t="str">
        <f>IFERROR(VLOOKUP(Datadetails[[#This Row],[Taskcode]],Dashboard!A:A,1,FALSE),"00 Err Missing")</f>
        <v>0075</v>
      </c>
      <c r="E623" s="79">
        <v>45792</v>
      </c>
      <c r="F623" s="80" t="s">
        <v>329</v>
      </c>
      <c r="G623" s="60" t="s">
        <v>40</v>
      </c>
      <c r="H623" s="80" t="s">
        <v>242</v>
      </c>
      <c r="I623" s="80" t="s">
        <v>34</v>
      </c>
      <c r="J623" s="80" t="s">
        <v>404</v>
      </c>
      <c r="K623" s="80" t="s">
        <v>347</v>
      </c>
      <c r="L623" s="80" t="s">
        <v>343</v>
      </c>
      <c r="M623" s="81">
        <v>0.08</v>
      </c>
      <c r="N623" s="82">
        <v>6</v>
      </c>
    </row>
    <row r="624" spans="1:14" x14ac:dyDescent="0.25">
      <c r="A624" s="10" t="str">
        <f>_xlfn.IFNA(
    IF(J624=
        "PCB-0001",
        "CSS",
        IF(
            ISNUMBER(MATCH(_xlfn.TEXTBEFORE(J624,"-"), {"CSS","CSN","PCB","PCF","BEC","CSD","PCM"}, 0)),
            _xlfn.TEXTBEFORE(J624,"-"),
            "Other"
        )
    ),
"Add")</f>
        <v>PCB</v>
      </c>
      <c r="B624" s="10" t="str">
        <f t="shared" si="10"/>
        <v>0092</v>
      </c>
      <c r="C624" s="10" t="str">
        <f>_xlfn.LET(
    _xlpm.val, IF(Datadetails[[#This Row],[Activity]]="D02","C20",Datadetails[[#This Row],[Activity]]),
    IF(ISNUMBER(MATCH(_xlpm.val,{"D04","C30","c40","C20"},0)), _xlpm.val, "Other")
)</f>
        <v>C30</v>
      </c>
      <c r="D624" s="10" t="str">
        <f>IFERROR(VLOOKUP(Datadetails[[#This Row],[Taskcode]],Dashboard!A:A,1,FALSE),"00 Err Missing")</f>
        <v>0092</v>
      </c>
      <c r="E624" s="79">
        <v>45792</v>
      </c>
      <c r="F624" s="80" t="s">
        <v>329</v>
      </c>
      <c r="G624" s="60" t="s">
        <v>40</v>
      </c>
      <c r="H624" s="80" t="s">
        <v>259</v>
      </c>
      <c r="I624" s="80" t="s">
        <v>34</v>
      </c>
      <c r="J624" s="80" t="s">
        <v>407</v>
      </c>
      <c r="K624" s="80" t="s">
        <v>347</v>
      </c>
      <c r="L624" s="80" t="s">
        <v>343</v>
      </c>
      <c r="M624" s="81">
        <v>1.67</v>
      </c>
      <c r="N624" s="82">
        <v>125.25</v>
      </c>
    </row>
    <row r="625" spans="1:14" x14ac:dyDescent="0.25">
      <c r="A625" s="10" t="str">
        <f>_xlfn.IFNA(
    IF(J625=
        "PCB-0001",
        "CSS",
        IF(
            ISNUMBER(MATCH(_xlfn.TEXTBEFORE(J625,"-"), {"CSS","CSN","PCB","PCF","BEC","CSD","PCM"}, 0)),
            _xlfn.TEXTBEFORE(J625,"-"),
            "Other"
        )
    ),
"Add")</f>
        <v>BEC</v>
      </c>
      <c r="B625" s="10" t="str">
        <f t="shared" si="10"/>
        <v>0001</v>
      </c>
      <c r="C625" s="10" t="str">
        <f>_xlfn.LET(
    _xlpm.val, IF(Datadetails[[#This Row],[Activity]]="D02","C20",Datadetails[[#This Row],[Activity]]),
    IF(ISNUMBER(MATCH(_xlpm.val,{"D04","C30","c40","C20"},0)), _xlpm.val, "Other")
)</f>
        <v>D04</v>
      </c>
      <c r="D625" s="10" t="str">
        <f>IFERROR(VLOOKUP(Datadetails[[#This Row],[Taskcode]],Dashboard!A:A,1,FALSE),"00 Err Missing")</f>
        <v>0001</v>
      </c>
      <c r="E625" s="79">
        <v>45792</v>
      </c>
      <c r="F625" s="80" t="s">
        <v>332</v>
      </c>
      <c r="G625" s="60" t="s">
        <v>40</v>
      </c>
      <c r="H625" s="80" t="s">
        <v>314</v>
      </c>
      <c r="I625" s="80" t="s">
        <v>35</v>
      </c>
      <c r="J625" s="80" t="s">
        <v>359</v>
      </c>
      <c r="K625" s="80" t="s">
        <v>339</v>
      </c>
      <c r="L625" s="80" t="s">
        <v>352</v>
      </c>
      <c r="M625" s="81">
        <v>8.5</v>
      </c>
      <c r="N625" s="82">
        <v>340</v>
      </c>
    </row>
    <row r="626" spans="1:14" x14ac:dyDescent="0.25">
      <c r="A626" s="10" t="str">
        <f>_xlfn.IFNA(
    IF(J626=
        "PCB-0001",
        "CSS",
        IF(
            ISNUMBER(MATCH(_xlfn.TEXTBEFORE(J626,"-"), {"CSS","CSN","PCB","PCF","BEC","CSD","PCM"}, 0)),
            _xlfn.TEXTBEFORE(J626,"-"),
            "Other"
        )
    ),
"Add")</f>
        <v>BEC</v>
      </c>
      <c r="B626" s="10" t="str">
        <f t="shared" si="10"/>
        <v>0001</v>
      </c>
      <c r="C626" s="10" t="str">
        <f>_xlfn.LET(
    _xlpm.val, IF(Datadetails[[#This Row],[Activity]]="D02","C20",Datadetails[[#This Row],[Activity]]),
    IF(ISNUMBER(MATCH(_xlpm.val,{"D04","C30","c40","C20"},0)), _xlpm.val, "Other")
)</f>
        <v>D04</v>
      </c>
      <c r="D626" s="10" t="str">
        <f>IFERROR(VLOOKUP(Datadetails[[#This Row],[Taskcode]],Dashboard!A:A,1,FALSE),"00 Err Missing")</f>
        <v>0001</v>
      </c>
      <c r="E626" s="79">
        <v>45792</v>
      </c>
      <c r="F626" s="80" t="s">
        <v>324</v>
      </c>
      <c r="G626" s="60" t="s">
        <v>40</v>
      </c>
      <c r="H626" s="80" t="s">
        <v>314</v>
      </c>
      <c r="I626" s="80" t="s">
        <v>35</v>
      </c>
      <c r="J626" s="80" t="s">
        <v>359</v>
      </c>
      <c r="K626" s="80" t="s">
        <v>339</v>
      </c>
      <c r="L626" s="80" t="s">
        <v>352</v>
      </c>
      <c r="M626" s="81">
        <v>5.75</v>
      </c>
      <c r="N626" s="82">
        <v>431.25</v>
      </c>
    </row>
    <row r="627" spans="1:14" x14ac:dyDescent="0.25">
      <c r="A627" s="10" t="str">
        <f>_xlfn.IFNA(
    IF(J627=
        "PCB-0001",
        "CSS",
        IF(
            ISNUMBER(MATCH(_xlfn.TEXTBEFORE(J627,"-"), {"CSS","CSN","PCB","PCF","BEC","CSD","PCM"}, 0)),
            _xlfn.TEXTBEFORE(J627,"-"),
            "Other"
        )
    ),
"Add")</f>
        <v>PCM</v>
      </c>
      <c r="B627" s="10" t="str">
        <f t="shared" si="10"/>
        <v>0034</v>
      </c>
      <c r="C627" s="10" t="str">
        <f>_xlfn.LET(
    _xlpm.val, IF(Datadetails[[#This Row],[Activity]]="D02","C20",Datadetails[[#This Row],[Activity]]),
    IF(ISNUMBER(MATCH(_xlpm.val,{"D04","C30","c40","C20"},0)), _xlpm.val, "Other")
)</f>
        <v>C20</v>
      </c>
      <c r="D627" s="10" t="str">
        <f>IFERROR(VLOOKUP(Datadetails[[#This Row],[Taskcode]],Dashboard!A:A,1,FALSE),"00 Err Missing")</f>
        <v>0034</v>
      </c>
      <c r="E627" s="79">
        <v>45793</v>
      </c>
      <c r="F627" s="80" t="s">
        <v>323</v>
      </c>
      <c r="G627" s="60" t="s">
        <v>40</v>
      </c>
      <c r="H627" s="80" t="s">
        <v>201</v>
      </c>
      <c r="I627" s="80" t="s">
        <v>36</v>
      </c>
      <c r="J627" s="80" t="s">
        <v>395</v>
      </c>
      <c r="K627" s="80" t="s">
        <v>346</v>
      </c>
      <c r="L627" s="80" t="s">
        <v>342</v>
      </c>
      <c r="M627" s="81">
        <v>0.25</v>
      </c>
      <c r="N627" s="82">
        <v>15</v>
      </c>
    </row>
    <row r="628" spans="1:14" x14ac:dyDescent="0.25">
      <c r="A628" s="10" t="str">
        <f>_xlfn.IFNA(
    IF(J628=
        "PCB-0001",
        "CSS",
        IF(
            ISNUMBER(MATCH(_xlfn.TEXTBEFORE(J628,"-"), {"CSS","CSN","PCB","PCF","BEC","CSD","PCM"}, 0)),
            _xlfn.TEXTBEFORE(J628,"-"),
            "Other"
        )
    ),
"Add")</f>
        <v>CSN</v>
      </c>
      <c r="B628" s="10" t="str">
        <f t="shared" si="10"/>
        <v>0001</v>
      </c>
      <c r="C628" s="10" t="str">
        <f>_xlfn.LET(
    _xlpm.val, IF(Datadetails[[#This Row],[Activity]]="D02","C20",Datadetails[[#This Row],[Activity]]),
    IF(ISNUMBER(MATCH(_xlpm.val,{"D04","C30","c40","C20"},0)), _xlpm.val, "Other")
)</f>
        <v>D04</v>
      </c>
      <c r="D628" s="10" t="str">
        <f>IFERROR(VLOOKUP(Datadetails[[#This Row],[Taskcode]],Dashboard!A:A,1,FALSE),"00 Err Missing")</f>
        <v>0001</v>
      </c>
      <c r="E628" s="79">
        <v>45793</v>
      </c>
      <c r="F628" s="80" t="s">
        <v>329</v>
      </c>
      <c r="G628" s="60" t="s">
        <v>40</v>
      </c>
      <c r="H628" s="80" t="s">
        <v>316</v>
      </c>
      <c r="I628" s="80" t="s">
        <v>35</v>
      </c>
      <c r="J628" s="80" t="s">
        <v>338</v>
      </c>
      <c r="K628" s="80" t="s">
        <v>337</v>
      </c>
      <c r="L628" s="80" t="s">
        <v>352</v>
      </c>
      <c r="M628" s="81">
        <v>0.5</v>
      </c>
      <c r="N628" s="82">
        <v>37.5</v>
      </c>
    </row>
    <row r="629" spans="1:14" x14ac:dyDescent="0.25">
      <c r="A629" s="10" t="str">
        <f>_xlfn.IFNA(
    IF(J629=
        "PCB-0001",
        "CSS",
        IF(
            ISNUMBER(MATCH(_xlfn.TEXTBEFORE(J629,"-"), {"CSS","CSN","PCB","PCF","BEC","CSD","PCM"}, 0)),
            _xlfn.TEXTBEFORE(J629,"-"),
            "Other"
        )
    ),
"Add")</f>
        <v>CSD</v>
      </c>
      <c r="B629" s="10" t="str">
        <f t="shared" si="10"/>
        <v>0001</v>
      </c>
      <c r="C629" s="10" t="str">
        <f>_xlfn.LET(
    _xlpm.val, IF(Datadetails[[#This Row],[Activity]]="D02","C20",Datadetails[[#This Row],[Activity]]),
    IF(ISNUMBER(MATCH(_xlpm.val,{"D04","C30","c40","C20"},0)), _xlpm.val, "Other")
)</f>
        <v>D04</v>
      </c>
      <c r="D629" s="10" t="str">
        <f>IFERROR(VLOOKUP(Datadetails[[#This Row],[Taskcode]],Dashboard!A:A,1,FALSE),"00 Err Missing")</f>
        <v>0001</v>
      </c>
      <c r="E629" s="79">
        <v>45793</v>
      </c>
      <c r="F629" s="80" t="s">
        <v>333</v>
      </c>
      <c r="G629" s="60" t="s">
        <v>40</v>
      </c>
      <c r="H629" s="80" t="s">
        <v>320</v>
      </c>
      <c r="I629" s="80" t="s">
        <v>35</v>
      </c>
      <c r="J629" s="80" t="s">
        <v>322</v>
      </c>
      <c r="K629" s="80" t="s">
        <v>319</v>
      </c>
      <c r="L629" s="80" t="s">
        <v>352</v>
      </c>
      <c r="M629" s="81">
        <v>7.7</v>
      </c>
      <c r="N629" s="82">
        <v>246.4</v>
      </c>
    </row>
    <row r="630" spans="1:14" x14ac:dyDescent="0.25">
      <c r="A630" s="10" t="str">
        <f>_xlfn.IFNA(
    IF(J630=
        "PCB-0001",
        "CSS",
        IF(
            ISNUMBER(MATCH(_xlfn.TEXTBEFORE(J630,"-"), {"CSS","CSN","PCB","PCF","BEC","CSD","PCM"}, 0)),
            _xlfn.TEXTBEFORE(J630,"-"),
            "Other"
        )
    ),
"Add")</f>
        <v>CSD</v>
      </c>
      <c r="B630" s="10" t="str">
        <f t="shared" si="10"/>
        <v>0001</v>
      </c>
      <c r="C630" s="10" t="str">
        <f>_xlfn.LET(
    _xlpm.val, IF(Datadetails[[#This Row],[Activity]]="D02","C20",Datadetails[[#This Row],[Activity]]),
    IF(ISNUMBER(MATCH(_xlpm.val,{"D04","C30","c40","C20"},0)), _xlpm.val, "Other")
)</f>
        <v>D04</v>
      </c>
      <c r="D630" s="10" t="str">
        <f>IFERROR(VLOOKUP(Datadetails[[#This Row],[Taskcode]],Dashboard!A:A,1,FALSE),"00 Err Missing")</f>
        <v>0001</v>
      </c>
      <c r="E630" s="79">
        <v>45793</v>
      </c>
      <c r="F630" s="80" t="s">
        <v>327</v>
      </c>
      <c r="G630" s="60" t="s">
        <v>40</v>
      </c>
      <c r="H630" s="80" t="s">
        <v>320</v>
      </c>
      <c r="I630" s="80" t="s">
        <v>35</v>
      </c>
      <c r="J630" s="80" t="s">
        <v>322</v>
      </c>
      <c r="K630" s="80" t="s">
        <v>319</v>
      </c>
      <c r="L630" s="80" t="s">
        <v>352</v>
      </c>
      <c r="M630" s="81">
        <v>7.17</v>
      </c>
      <c r="N630" s="82">
        <v>229.44</v>
      </c>
    </row>
    <row r="631" spans="1:14" x14ac:dyDescent="0.25">
      <c r="A631" s="10" t="str">
        <f>_xlfn.IFNA(
    IF(J631=
        "PCB-0001",
        "CSS",
        IF(
            ISNUMBER(MATCH(_xlfn.TEXTBEFORE(J631,"-"), {"CSS","CSN","PCB","PCF","BEC","CSD","PCM"}, 0)),
            _xlfn.TEXTBEFORE(J631,"-"),
            "Other"
        )
    ),
"Add")</f>
        <v>PCB</v>
      </c>
      <c r="B631" s="10" t="str">
        <f t="shared" si="10"/>
        <v>0029</v>
      </c>
      <c r="C631" s="10" t="str">
        <f>_xlfn.LET(
    _xlpm.val, IF(Datadetails[[#This Row],[Activity]]="D02","C20",Datadetails[[#This Row],[Activity]]),
    IF(ISNUMBER(MATCH(_xlpm.val,{"D04","C30","c40","C20"},0)), _xlpm.val, "Other")
)</f>
        <v>C30</v>
      </c>
      <c r="D631" s="10" t="str">
        <f>IFERROR(VLOOKUP(Datadetails[[#This Row],[Taskcode]],Dashboard!A:A,1,FALSE),"00 Err Missing")</f>
        <v>0029</v>
      </c>
      <c r="E631" s="79">
        <v>45793</v>
      </c>
      <c r="F631" s="80" t="s">
        <v>330</v>
      </c>
      <c r="G631" s="60" t="s">
        <v>40</v>
      </c>
      <c r="H631" s="80" t="s">
        <v>196</v>
      </c>
      <c r="I631" s="80" t="s">
        <v>34</v>
      </c>
      <c r="J631" s="80" t="s">
        <v>446</v>
      </c>
      <c r="K631" s="80" t="s">
        <v>347</v>
      </c>
      <c r="L631" s="80" t="s">
        <v>343</v>
      </c>
      <c r="M631" s="81">
        <v>0.25</v>
      </c>
      <c r="N631" s="82">
        <v>15</v>
      </c>
    </row>
    <row r="632" spans="1:14" x14ac:dyDescent="0.25">
      <c r="A632" s="10" t="str">
        <f>_xlfn.IFNA(
    IF(J632=
        "PCB-0001",
        "CSS",
        IF(
            ISNUMBER(MATCH(_xlfn.TEXTBEFORE(J632,"-"), {"CSS","CSN","PCB","PCF","BEC","CSD","PCM"}, 0)),
            _xlfn.TEXTBEFORE(J632,"-"),
            "Other"
        )
    ),
"Add")</f>
        <v>PCB</v>
      </c>
      <c r="B632" s="10" t="str">
        <f t="shared" si="10"/>
        <v>0030</v>
      </c>
      <c r="C632" s="10" t="str">
        <f>_xlfn.LET(
    _xlpm.val, IF(Datadetails[[#This Row],[Activity]]="D02","C20",Datadetails[[#This Row],[Activity]]),
    IF(ISNUMBER(MATCH(_xlpm.val,{"D04","C30","c40","C20"},0)), _xlpm.val, "Other")
)</f>
        <v>C30</v>
      </c>
      <c r="D632" s="10" t="str">
        <f>IFERROR(VLOOKUP(Datadetails[[#This Row],[Taskcode]],Dashboard!A:A,1,FALSE),"00 Err Missing")</f>
        <v>0030</v>
      </c>
      <c r="E632" s="79">
        <v>45793</v>
      </c>
      <c r="F632" s="80" t="s">
        <v>329</v>
      </c>
      <c r="G632" s="60" t="s">
        <v>40</v>
      </c>
      <c r="H632" s="80" t="s">
        <v>197</v>
      </c>
      <c r="I632" s="80" t="s">
        <v>34</v>
      </c>
      <c r="J632" s="80" t="s">
        <v>366</v>
      </c>
      <c r="K632" s="80" t="s">
        <v>347</v>
      </c>
      <c r="L632" s="80" t="s">
        <v>343</v>
      </c>
      <c r="M632" s="81">
        <v>0.08</v>
      </c>
      <c r="N632" s="82">
        <v>6</v>
      </c>
    </row>
    <row r="633" spans="1:14" x14ac:dyDescent="0.25">
      <c r="A633" s="10" t="str">
        <f>_xlfn.IFNA(
    IF(J633=
        "PCB-0001",
        "CSS",
        IF(
            ISNUMBER(MATCH(_xlfn.TEXTBEFORE(J633,"-"), {"CSS","CSN","PCB","PCF","BEC","CSD","PCM"}, 0)),
            _xlfn.TEXTBEFORE(J633,"-"),
            "Other"
        )
    ),
"Add")</f>
        <v>PCB</v>
      </c>
      <c r="B633" s="10" t="str">
        <f t="shared" si="10"/>
        <v>0054</v>
      </c>
      <c r="C633" s="10" t="str">
        <f>_xlfn.LET(
    _xlpm.val, IF(Datadetails[[#This Row],[Activity]]="D02","C20",Datadetails[[#This Row],[Activity]]),
    IF(ISNUMBER(MATCH(_xlpm.val,{"D04","C30","c40","C20"},0)), _xlpm.val, "Other")
)</f>
        <v>C30</v>
      </c>
      <c r="D633" s="10" t="str">
        <f>IFERROR(VLOOKUP(Datadetails[[#This Row],[Taskcode]],Dashboard!A:A,1,FALSE),"00 Err Missing")</f>
        <v>0054</v>
      </c>
      <c r="E633" s="79">
        <v>45793</v>
      </c>
      <c r="F633" s="80" t="s">
        <v>329</v>
      </c>
      <c r="G633" s="60" t="s">
        <v>40</v>
      </c>
      <c r="H633" s="80" t="s">
        <v>221</v>
      </c>
      <c r="I633" s="80" t="s">
        <v>34</v>
      </c>
      <c r="J633" s="80" t="s">
        <v>369</v>
      </c>
      <c r="K633" s="80" t="s">
        <v>347</v>
      </c>
      <c r="L633" s="80" t="s">
        <v>343</v>
      </c>
      <c r="M633" s="81">
        <v>0.33</v>
      </c>
      <c r="N633" s="82">
        <v>24.75</v>
      </c>
    </row>
    <row r="634" spans="1:14" x14ac:dyDescent="0.25">
      <c r="A634" s="10" t="str">
        <f>_xlfn.IFNA(
    IF(J634=
        "PCB-0001",
        "CSS",
        IF(
            ISNUMBER(MATCH(_xlfn.TEXTBEFORE(J634,"-"), {"CSS","CSN","PCB","PCF","BEC","CSD","PCM"}, 0)),
            _xlfn.TEXTBEFORE(J634,"-"),
            "Other"
        )
    ),
"Add")</f>
        <v>PCB</v>
      </c>
      <c r="B634" s="10" t="str">
        <f t="shared" si="10"/>
        <v>0058</v>
      </c>
      <c r="C634" s="10" t="str">
        <f>_xlfn.LET(
    _xlpm.val, IF(Datadetails[[#This Row],[Activity]]="D02","C20",Datadetails[[#This Row],[Activity]]),
    IF(ISNUMBER(MATCH(_xlpm.val,{"D04","C30","c40","C20"},0)), _xlpm.val, "Other")
)</f>
        <v>C30</v>
      </c>
      <c r="D634" s="10" t="str">
        <f>IFERROR(VLOOKUP(Datadetails[[#This Row],[Taskcode]],Dashboard!A:A,1,FALSE),"00 Err Missing")</f>
        <v>0058</v>
      </c>
      <c r="E634" s="79">
        <v>45793</v>
      </c>
      <c r="F634" s="80" t="s">
        <v>330</v>
      </c>
      <c r="G634" s="60" t="s">
        <v>40</v>
      </c>
      <c r="H634" s="80" t="s">
        <v>225</v>
      </c>
      <c r="I634" s="80" t="s">
        <v>34</v>
      </c>
      <c r="J634" s="80" t="s">
        <v>365</v>
      </c>
      <c r="K634" s="80" t="s">
        <v>347</v>
      </c>
      <c r="L634" s="80" t="s">
        <v>343</v>
      </c>
      <c r="M634" s="81">
        <v>0.25</v>
      </c>
      <c r="N634" s="82">
        <v>15</v>
      </c>
    </row>
    <row r="635" spans="1:14" x14ac:dyDescent="0.25">
      <c r="A635" s="10" t="str">
        <f>_xlfn.IFNA(
    IF(J635=
        "PCB-0001",
        "CSS",
        IF(
            ISNUMBER(MATCH(_xlfn.TEXTBEFORE(J635,"-"), {"CSS","CSN","PCB","PCF","BEC","CSD","PCM"}, 0)),
            _xlfn.TEXTBEFORE(J635,"-"),
            "Other"
        )
    ),
"Add")</f>
        <v>PCB</v>
      </c>
      <c r="B635" s="10" t="str">
        <f t="shared" si="10"/>
        <v>0074</v>
      </c>
      <c r="C635" s="10" t="str">
        <f>_xlfn.LET(
    _xlpm.val, IF(Datadetails[[#This Row],[Activity]]="D02","C20",Datadetails[[#This Row],[Activity]]),
    IF(ISNUMBER(MATCH(_xlpm.val,{"D04","C30","c40","C20"},0)), _xlpm.val, "Other")
)</f>
        <v>C30</v>
      </c>
      <c r="D635" s="10" t="str">
        <f>IFERROR(VLOOKUP(Datadetails[[#This Row],[Taskcode]],Dashboard!A:A,1,FALSE),"00 Err Missing")</f>
        <v>0074</v>
      </c>
      <c r="E635" s="79">
        <v>45793</v>
      </c>
      <c r="F635" s="80" t="s">
        <v>329</v>
      </c>
      <c r="G635" s="60" t="s">
        <v>40</v>
      </c>
      <c r="H635" s="80" t="s">
        <v>241</v>
      </c>
      <c r="I635" s="80" t="s">
        <v>34</v>
      </c>
      <c r="J635" s="80" t="s">
        <v>403</v>
      </c>
      <c r="K635" s="80" t="s">
        <v>347</v>
      </c>
      <c r="L635" s="80" t="s">
        <v>343</v>
      </c>
      <c r="M635" s="81">
        <v>0.5</v>
      </c>
      <c r="N635" s="82">
        <v>37.5</v>
      </c>
    </row>
    <row r="636" spans="1:14" x14ac:dyDescent="0.25">
      <c r="A636" s="10" t="str">
        <f>_xlfn.IFNA(
    IF(J636=
        "PCB-0001",
        "CSS",
        IF(
            ISNUMBER(MATCH(_xlfn.TEXTBEFORE(J636,"-"), {"CSS","CSN","PCB","PCF","BEC","CSD","PCM"}, 0)),
            _xlfn.TEXTBEFORE(J636,"-"),
            "Other"
        )
    ),
"Add")</f>
        <v>PCB</v>
      </c>
      <c r="B636" s="10" t="str">
        <f t="shared" si="10"/>
        <v>0075</v>
      </c>
      <c r="C636" s="10" t="str">
        <f>_xlfn.LET(
    _xlpm.val, IF(Datadetails[[#This Row],[Activity]]="D02","C20",Datadetails[[#This Row],[Activity]]),
    IF(ISNUMBER(MATCH(_xlpm.val,{"D04","C30","c40","C20"},0)), _xlpm.val, "Other")
)</f>
        <v>C30</v>
      </c>
      <c r="D636" s="10" t="str">
        <f>IFERROR(VLOOKUP(Datadetails[[#This Row],[Taskcode]],Dashboard!A:A,1,FALSE),"00 Err Missing")</f>
        <v>0075</v>
      </c>
      <c r="E636" s="79">
        <v>45793</v>
      </c>
      <c r="F636" s="80" t="s">
        <v>329</v>
      </c>
      <c r="G636" s="60" t="s">
        <v>40</v>
      </c>
      <c r="H636" s="80" t="s">
        <v>242</v>
      </c>
      <c r="I636" s="80" t="s">
        <v>34</v>
      </c>
      <c r="J636" s="80" t="s">
        <v>404</v>
      </c>
      <c r="K636" s="80" t="s">
        <v>347</v>
      </c>
      <c r="L636" s="80" t="s">
        <v>343</v>
      </c>
      <c r="M636" s="81">
        <v>0.17</v>
      </c>
      <c r="N636" s="82">
        <v>12.750000000000002</v>
      </c>
    </row>
    <row r="637" spans="1:14" x14ac:dyDescent="0.25">
      <c r="A637" s="10" t="str">
        <f>_xlfn.IFNA(
    IF(J637=
        "PCB-0001",
        "CSS",
        IF(
            ISNUMBER(MATCH(_xlfn.TEXTBEFORE(J637,"-"), {"CSS","CSN","PCB","PCF","BEC","CSD","PCM"}, 0)),
            _xlfn.TEXTBEFORE(J637,"-"),
            "Other"
        )
    ),
"Add")</f>
        <v>PCB</v>
      </c>
      <c r="B637" s="10" t="str">
        <f t="shared" si="10"/>
        <v>0092</v>
      </c>
      <c r="C637" s="10" t="str">
        <f>_xlfn.LET(
    _xlpm.val, IF(Datadetails[[#This Row],[Activity]]="D02","C20",Datadetails[[#This Row],[Activity]]),
    IF(ISNUMBER(MATCH(_xlpm.val,{"D04","C30","c40","C20"},0)), _xlpm.val, "Other")
)</f>
        <v>C30</v>
      </c>
      <c r="D637" s="10" t="str">
        <f>IFERROR(VLOOKUP(Datadetails[[#This Row],[Taskcode]],Dashboard!A:A,1,FALSE),"00 Err Missing")</f>
        <v>0092</v>
      </c>
      <c r="E637" s="79">
        <v>45793</v>
      </c>
      <c r="F637" s="80" t="s">
        <v>329</v>
      </c>
      <c r="G637" s="60" t="s">
        <v>40</v>
      </c>
      <c r="H637" s="80" t="s">
        <v>259</v>
      </c>
      <c r="I637" s="80" t="s">
        <v>34</v>
      </c>
      <c r="J637" s="80" t="s">
        <v>407</v>
      </c>
      <c r="K637" s="80" t="s">
        <v>347</v>
      </c>
      <c r="L637" s="80" t="s">
        <v>343</v>
      </c>
      <c r="M637" s="81">
        <v>1.17</v>
      </c>
      <c r="N637" s="82">
        <v>87.75</v>
      </c>
    </row>
    <row r="638" spans="1:14" x14ac:dyDescent="0.25">
      <c r="A638" s="10" t="str">
        <f>_xlfn.IFNA(
    IF(J638=
        "PCB-0001",
        "CSS",
        IF(
            ISNUMBER(MATCH(_xlfn.TEXTBEFORE(J638,"-"), {"CSS","CSN","PCB","PCF","BEC","CSD","PCM"}, 0)),
            _xlfn.TEXTBEFORE(J638,"-"),
            "Other"
        )
    ),
"Add")</f>
        <v>PCB</v>
      </c>
      <c r="B638" s="10" t="str">
        <f t="shared" si="10"/>
        <v>0080</v>
      </c>
      <c r="C638" s="10" t="str">
        <f>_xlfn.LET(
    _xlpm.val, IF(Datadetails[[#This Row],[Activity]]="D02","C20",Datadetails[[#This Row],[Activity]]),
    IF(ISNUMBER(MATCH(_xlpm.val,{"D04","C30","c40","C20"},0)), _xlpm.val, "Other")
)</f>
        <v>C30</v>
      </c>
      <c r="D638" s="10" t="str">
        <f>IFERROR(VLOOKUP(Datadetails[[#This Row],[Taskcode]],Dashboard!A:A,1,FALSE),"00 Err Missing")</f>
        <v>0080</v>
      </c>
      <c r="E638" s="79">
        <v>45793</v>
      </c>
      <c r="F638" s="80" t="s">
        <v>329</v>
      </c>
      <c r="G638" s="60" t="s">
        <v>40</v>
      </c>
      <c r="H638" s="80" t="s">
        <v>247</v>
      </c>
      <c r="I638" s="80" t="s">
        <v>34</v>
      </c>
      <c r="J638" s="80" t="s">
        <v>375</v>
      </c>
      <c r="K638" s="80" t="s">
        <v>347</v>
      </c>
      <c r="L638" s="80" t="s">
        <v>343</v>
      </c>
      <c r="M638" s="81">
        <v>0.33</v>
      </c>
      <c r="N638" s="82">
        <v>24.75</v>
      </c>
    </row>
    <row r="639" spans="1:14" x14ac:dyDescent="0.25">
      <c r="A639" s="10" t="str">
        <f>_xlfn.IFNA(
    IF(J639=
        "PCB-0001",
        "CSS",
        IF(
            ISNUMBER(MATCH(_xlfn.TEXTBEFORE(J639,"-"), {"CSS","CSN","PCB","PCF","BEC","CSD","PCM"}, 0)),
            _xlfn.TEXTBEFORE(J639,"-"),
            "Other"
        )
    ),
"Add")</f>
        <v>BEC</v>
      </c>
      <c r="B639" s="10" t="str">
        <f t="shared" si="10"/>
        <v>0001</v>
      </c>
      <c r="C639" s="10" t="str">
        <f>_xlfn.LET(
    _xlpm.val, IF(Datadetails[[#This Row],[Activity]]="D02","C20",Datadetails[[#This Row],[Activity]]),
    IF(ISNUMBER(MATCH(_xlpm.val,{"D04","C30","c40","C20"},0)), _xlpm.val, "Other")
)</f>
        <v>D04</v>
      </c>
      <c r="D639" s="10" t="str">
        <f>IFERROR(VLOOKUP(Datadetails[[#This Row],[Taskcode]],Dashboard!A:A,1,FALSE),"00 Err Missing")</f>
        <v>0001</v>
      </c>
      <c r="E639" s="79">
        <v>45793</v>
      </c>
      <c r="F639" s="80" t="s">
        <v>332</v>
      </c>
      <c r="G639" s="60" t="s">
        <v>40</v>
      </c>
      <c r="H639" s="80" t="s">
        <v>314</v>
      </c>
      <c r="I639" s="80" t="s">
        <v>35</v>
      </c>
      <c r="J639" s="80" t="s">
        <v>359</v>
      </c>
      <c r="K639" s="80" t="s">
        <v>339</v>
      </c>
      <c r="L639" s="80" t="s">
        <v>352</v>
      </c>
      <c r="M639" s="81">
        <v>7.5</v>
      </c>
      <c r="N639" s="82">
        <v>300</v>
      </c>
    </row>
    <row r="640" spans="1:14" x14ac:dyDescent="0.25">
      <c r="A640" s="10" t="str">
        <f>_xlfn.IFNA(
    IF(J640=
        "PCB-0001",
        "CSS",
        IF(
            ISNUMBER(MATCH(_xlfn.TEXTBEFORE(J640,"-"), {"CSS","CSN","PCB","PCF","BEC","CSD","PCM"}, 0)),
            _xlfn.TEXTBEFORE(J640,"-"),
            "Other"
        )
    ),
"Add")</f>
        <v>BEC</v>
      </c>
      <c r="B640" s="10" t="str">
        <f t="shared" si="10"/>
        <v>0001</v>
      </c>
      <c r="C640" s="10" t="str">
        <f>_xlfn.LET(
    _xlpm.val, IF(Datadetails[[#This Row],[Activity]]="D02","C20",Datadetails[[#This Row],[Activity]]),
    IF(ISNUMBER(MATCH(_xlpm.val,{"D04","C30","c40","C20"},0)), _xlpm.val, "Other")
)</f>
        <v>D04</v>
      </c>
      <c r="D640" s="10" t="str">
        <f>IFERROR(VLOOKUP(Datadetails[[#This Row],[Taskcode]],Dashboard!A:A,1,FALSE),"00 Err Missing")</f>
        <v>0001</v>
      </c>
      <c r="E640" s="79">
        <v>45793</v>
      </c>
      <c r="F640" s="80" t="s">
        <v>324</v>
      </c>
      <c r="G640" s="60" t="s">
        <v>40</v>
      </c>
      <c r="H640" s="80" t="s">
        <v>314</v>
      </c>
      <c r="I640" s="80" t="s">
        <v>35</v>
      </c>
      <c r="J640" s="80" t="s">
        <v>359</v>
      </c>
      <c r="K640" s="80" t="s">
        <v>339</v>
      </c>
      <c r="L640" s="80" t="s">
        <v>352</v>
      </c>
      <c r="M640" s="81">
        <v>5.5</v>
      </c>
      <c r="N640" s="82">
        <v>412.5</v>
      </c>
    </row>
    <row r="641" spans="1:14" x14ac:dyDescent="0.25">
      <c r="A641" s="10" t="str">
        <f>_xlfn.IFNA(
    IF(J641=
        "PCB-0001",
        "CSS",
        IF(
            ISNUMBER(MATCH(_xlfn.TEXTBEFORE(J641,"-"), {"CSS","CSN","PCB","PCF","BEC","CSD","PCM"}, 0)),
            _xlfn.TEXTBEFORE(J641,"-"),
            "Other"
        )
    ),
"Add")</f>
        <v>BEC</v>
      </c>
      <c r="B641" s="10" t="str">
        <f t="shared" si="10"/>
        <v>0001</v>
      </c>
      <c r="C641" s="10" t="str">
        <f>_xlfn.LET(
    _xlpm.val, IF(Datadetails[[#This Row],[Activity]]="D02","C20",Datadetails[[#This Row],[Activity]]),
    IF(ISNUMBER(MATCH(_xlpm.val,{"D04","C30","c40","C20"},0)), _xlpm.val, "Other")
)</f>
        <v>D04</v>
      </c>
      <c r="D641" s="10" t="str">
        <f>IFERROR(VLOOKUP(Datadetails[[#This Row],[Taskcode]],Dashboard!A:A,1,FALSE),"00 Err Missing")</f>
        <v>0001</v>
      </c>
      <c r="E641" s="79">
        <v>45794</v>
      </c>
      <c r="F641" s="80" t="s">
        <v>332</v>
      </c>
      <c r="G641" s="60" t="s">
        <v>40</v>
      </c>
      <c r="H641" s="80" t="s">
        <v>314</v>
      </c>
      <c r="I641" s="80" t="s">
        <v>35</v>
      </c>
      <c r="J641" s="80" t="s">
        <v>359</v>
      </c>
      <c r="K641" s="80" t="s">
        <v>339</v>
      </c>
      <c r="L641" s="80" t="s">
        <v>352</v>
      </c>
      <c r="M641" s="81">
        <v>4</v>
      </c>
      <c r="N641" s="82">
        <v>160</v>
      </c>
    </row>
    <row r="642" spans="1:14" x14ac:dyDescent="0.25">
      <c r="A642" s="10" t="str">
        <f>_xlfn.IFNA(
    IF(J642=
        "PCB-0001",
        "CSS",
        IF(
            ISNUMBER(MATCH(_xlfn.TEXTBEFORE(J642,"-"), {"CSS","CSN","PCB","PCF","BEC","CSD","PCM"}, 0)),
            _xlfn.TEXTBEFORE(J642,"-"),
            "Other"
        )
    ),
"Add")</f>
        <v>PCB</v>
      </c>
      <c r="B642" s="10" t="str">
        <f t="shared" si="10"/>
        <v>0075</v>
      </c>
      <c r="C642" s="10" t="str">
        <f>_xlfn.LET(
    _xlpm.val, IF(Datadetails[[#This Row],[Activity]]="D02","C20",Datadetails[[#This Row],[Activity]]),
    IF(ISNUMBER(MATCH(_xlpm.val,{"D04","C30","c40","C20"},0)), _xlpm.val, "Other")
)</f>
        <v>C40</v>
      </c>
      <c r="D642" s="10" t="str">
        <f>IFERROR(VLOOKUP(Datadetails[[#This Row],[Taskcode]],Dashboard!A:A,1,FALSE),"00 Err Missing")</f>
        <v>0075</v>
      </c>
      <c r="E642" s="79">
        <v>45796</v>
      </c>
      <c r="F642" s="80" t="s">
        <v>329</v>
      </c>
      <c r="G642" s="60" t="s">
        <v>40</v>
      </c>
      <c r="H642" s="80" t="s">
        <v>242</v>
      </c>
      <c r="I642" s="80" t="s">
        <v>341</v>
      </c>
      <c r="J642" s="80" t="s">
        <v>404</v>
      </c>
      <c r="K642" s="80" t="s">
        <v>347</v>
      </c>
      <c r="L642" s="80" t="s">
        <v>344</v>
      </c>
      <c r="M642" s="81">
        <v>3.25</v>
      </c>
      <c r="N642" s="82">
        <v>243.75</v>
      </c>
    </row>
    <row r="643" spans="1:14" x14ac:dyDescent="0.25">
      <c r="A643" s="10" t="str">
        <f>_xlfn.IFNA(
    IF(J643=
        "PCB-0001",
        "CSS",
        IF(
            ISNUMBER(MATCH(_xlfn.TEXTBEFORE(J643,"-"), {"CSS","CSN","PCB","PCF","BEC","CSD","PCM"}, 0)),
            _xlfn.TEXTBEFORE(J643,"-"),
            "Other"
        )
    ),
"Add")</f>
        <v>PCM</v>
      </c>
      <c r="B643" s="10" t="str">
        <f t="shared" si="10"/>
        <v>0034</v>
      </c>
      <c r="C643" s="10" t="str">
        <f>_xlfn.LET(
    _xlpm.val, IF(Datadetails[[#This Row],[Activity]]="D02","C20",Datadetails[[#This Row],[Activity]]),
    IF(ISNUMBER(MATCH(_xlpm.val,{"D04","C30","c40","C20"},0)), _xlpm.val, "Other")
)</f>
        <v>C20</v>
      </c>
      <c r="D643" s="10" t="str">
        <f>IFERROR(VLOOKUP(Datadetails[[#This Row],[Taskcode]],Dashboard!A:A,1,FALSE),"00 Err Missing")</f>
        <v>0034</v>
      </c>
      <c r="E643" s="79">
        <v>45796</v>
      </c>
      <c r="F643" s="80" t="s">
        <v>323</v>
      </c>
      <c r="G643" s="60" t="s">
        <v>40</v>
      </c>
      <c r="H643" s="80" t="s">
        <v>201</v>
      </c>
      <c r="I643" s="80" t="s">
        <v>36</v>
      </c>
      <c r="J643" s="80" t="s">
        <v>395</v>
      </c>
      <c r="K643" s="80" t="s">
        <v>346</v>
      </c>
      <c r="L643" s="80" t="s">
        <v>342</v>
      </c>
      <c r="M643" s="81">
        <v>0.33</v>
      </c>
      <c r="N643" s="82">
        <v>19.8</v>
      </c>
    </row>
    <row r="644" spans="1:14" x14ac:dyDescent="0.25">
      <c r="A644" s="10" t="str">
        <f>_xlfn.IFNA(
    IF(J644=
        "PCB-0001",
        "CSS",
        IF(
            ISNUMBER(MATCH(_xlfn.TEXTBEFORE(J644,"-"), {"CSS","CSN","PCB","PCF","BEC","CSD","PCM"}, 0)),
            _xlfn.TEXTBEFORE(J644,"-"),
            "Other"
        )
    ),
"Add")</f>
        <v>PCM</v>
      </c>
      <c r="B644" s="10" t="str">
        <f t="shared" ref="B644:B707" si="11">_xlfn.IFNA(_xlfn.TEXTAFTER(J644,"-"),"Data to C2")</f>
        <v>0041</v>
      </c>
      <c r="C644" s="10" t="str">
        <f>_xlfn.LET(
    _xlpm.val, IF(Datadetails[[#This Row],[Activity]]="D02","C20",Datadetails[[#This Row],[Activity]]),
    IF(ISNUMBER(MATCH(_xlpm.val,{"D04","C30","c40","C20"},0)), _xlpm.val, "Other")
)</f>
        <v>C20</v>
      </c>
      <c r="D644" s="10" t="str">
        <f>IFERROR(VLOOKUP(Datadetails[[#This Row],[Taskcode]],Dashboard!A:A,1,FALSE),"00 Err Missing")</f>
        <v>0041</v>
      </c>
      <c r="E644" s="79">
        <v>45796</v>
      </c>
      <c r="F644" s="80" t="s">
        <v>323</v>
      </c>
      <c r="G644" s="60" t="s">
        <v>40</v>
      </c>
      <c r="H644" s="80" t="s">
        <v>208</v>
      </c>
      <c r="I644" s="80" t="s">
        <v>36</v>
      </c>
      <c r="J644" s="80" t="s">
        <v>456</v>
      </c>
      <c r="K644" s="80" t="s">
        <v>346</v>
      </c>
      <c r="L644" s="80" t="s">
        <v>342</v>
      </c>
      <c r="M644" s="81">
        <v>0.33</v>
      </c>
      <c r="N644" s="82">
        <v>19.8</v>
      </c>
    </row>
    <row r="645" spans="1:14" x14ac:dyDescent="0.25">
      <c r="A645" s="10" t="str">
        <f>_xlfn.IFNA(
    IF(J645=
        "PCB-0001",
        "CSS",
        IF(
            ISNUMBER(MATCH(_xlfn.TEXTBEFORE(J645,"-"), {"CSS","CSN","PCB","PCF","BEC","CSD","PCM"}, 0)),
            _xlfn.TEXTBEFORE(J645,"-"),
            "Other"
        )
    ),
"Add")</f>
        <v>CSD</v>
      </c>
      <c r="B645" s="10" t="str">
        <f t="shared" si="11"/>
        <v>0001</v>
      </c>
      <c r="C645" s="10" t="str">
        <f>_xlfn.LET(
    _xlpm.val, IF(Datadetails[[#This Row],[Activity]]="D02","C20",Datadetails[[#This Row],[Activity]]),
    IF(ISNUMBER(MATCH(_xlpm.val,{"D04","C30","c40","C20"},0)), _xlpm.val, "Other")
)</f>
        <v>D04</v>
      </c>
      <c r="D645" s="10" t="str">
        <f>IFERROR(VLOOKUP(Datadetails[[#This Row],[Taskcode]],Dashboard!A:A,1,FALSE),"00 Err Missing")</f>
        <v>0001</v>
      </c>
      <c r="E645" s="79">
        <v>45796</v>
      </c>
      <c r="F645" s="80" t="s">
        <v>333</v>
      </c>
      <c r="G645" s="60" t="s">
        <v>40</v>
      </c>
      <c r="H645" s="80" t="s">
        <v>320</v>
      </c>
      <c r="I645" s="80" t="s">
        <v>35</v>
      </c>
      <c r="J645" s="80" t="s">
        <v>322</v>
      </c>
      <c r="K645" s="80" t="s">
        <v>319</v>
      </c>
      <c r="L645" s="80" t="s">
        <v>352</v>
      </c>
      <c r="M645" s="81">
        <v>5.7</v>
      </c>
      <c r="N645" s="82">
        <v>182.4</v>
      </c>
    </row>
    <row r="646" spans="1:14" x14ac:dyDescent="0.25">
      <c r="A646" s="10" t="str">
        <f>_xlfn.IFNA(
    IF(J646=
        "PCB-0001",
        "CSS",
        IF(
            ISNUMBER(MATCH(_xlfn.TEXTBEFORE(J646,"-"), {"CSS","CSN","PCB","PCF","BEC","CSD","PCM"}, 0)),
            _xlfn.TEXTBEFORE(J646,"-"),
            "Other"
        )
    ),
"Add")</f>
        <v>CSD</v>
      </c>
      <c r="B646" s="10" t="str">
        <f t="shared" si="11"/>
        <v>0001</v>
      </c>
      <c r="C646" s="10" t="str">
        <f>_xlfn.LET(
    _xlpm.val, IF(Datadetails[[#This Row],[Activity]]="D02","C20",Datadetails[[#This Row],[Activity]]),
    IF(ISNUMBER(MATCH(_xlpm.val,{"D04","C30","c40","C20"},0)), _xlpm.val, "Other")
)</f>
        <v>D04</v>
      </c>
      <c r="D646" s="10" t="str">
        <f>IFERROR(VLOOKUP(Datadetails[[#This Row],[Taskcode]],Dashboard!A:A,1,FALSE),"00 Err Missing")</f>
        <v>0001</v>
      </c>
      <c r="E646" s="79">
        <v>45796</v>
      </c>
      <c r="F646" s="80" t="s">
        <v>327</v>
      </c>
      <c r="G646" s="60" t="s">
        <v>40</v>
      </c>
      <c r="H646" s="80" t="s">
        <v>320</v>
      </c>
      <c r="I646" s="80" t="s">
        <v>35</v>
      </c>
      <c r="J646" s="80" t="s">
        <v>322</v>
      </c>
      <c r="K646" s="80" t="s">
        <v>319</v>
      </c>
      <c r="L646" s="80" t="s">
        <v>352</v>
      </c>
      <c r="M646" s="81">
        <v>7.5</v>
      </c>
      <c r="N646" s="82">
        <v>240</v>
      </c>
    </row>
    <row r="647" spans="1:14" x14ac:dyDescent="0.25">
      <c r="A647" s="10" t="str">
        <f>_xlfn.IFNA(
    IF(J647=
        "PCB-0001",
        "CSS",
        IF(
            ISNUMBER(MATCH(_xlfn.TEXTBEFORE(J647,"-"), {"CSS","CSN","PCB","PCF","BEC","CSD","PCM"}, 0)),
            _xlfn.TEXTBEFORE(J647,"-"),
            "Other"
        )
    ),
"Add")</f>
        <v>PCM</v>
      </c>
      <c r="B647" s="10" t="str">
        <f t="shared" si="11"/>
        <v>0078</v>
      </c>
      <c r="C647" s="10" t="str">
        <f>_xlfn.LET(
    _xlpm.val, IF(Datadetails[[#This Row],[Activity]]="D02","C20",Datadetails[[#This Row],[Activity]]),
    IF(ISNUMBER(MATCH(_xlpm.val,{"D04","C30","c40","C20"},0)), _xlpm.val, "Other")
)</f>
        <v>C20</v>
      </c>
      <c r="D647" s="10" t="str">
        <f>IFERROR(VLOOKUP(Datadetails[[#This Row],[Taskcode]],Dashboard!A:A,1,FALSE),"00 Err Missing")</f>
        <v>0078</v>
      </c>
      <c r="E647" s="79">
        <v>45796</v>
      </c>
      <c r="F647" s="80" t="s">
        <v>323</v>
      </c>
      <c r="G647" s="60" t="s">
        <v>40</v>
      </c>
      <c r="H647" s="80" t="s">
        <v>245</v>
      </c>
      <c r="I647" s="80" t="s">
        <v>36</v>
      </c>
      <c r="J647" s="80" t="s">
        <v>435</v>
      </c>
      <c r="K647" s="80" t="s">
        <v>346</v>
      </c>
      <c r="L647" s="80" t="s">
        <v>342</v>
      </c>
      <c r="M647" s="81">
        <v>0.5</v>
      </c>
      <c r="N647" s="82">
        <v>30</v>
      </c>
    </row>
    <row r="648" spans="1:14" x14ac:dyDescent="0.25">
      <c r="A648" s="10" t="str">
        <f>_xlfn.IFNA(
    IF(J648=
        "PCB-0001",
        "CSS",
        IF(
            ISNUMBER(MATCH(_xlfn.TEXTBEFORE(J648,"-"), {"CSS","CSN","PCB","PCF","BEC","CSD","PCM"}, 0)),
            _xlfn.TEXTBEFORE(J648,"-"),
            "Other"
        )
    ),
"Add")</f>
        <v>PCM</v>
      </c>
      <c r="B648" s="10" t="str">
        <f t="shared" si="11"/>
        <v>0099</v>
      </c>
      <c r="C648" s="10" t="str">
        <f>_xlfn.LET(
    _xlpm.val, IF(Datadetails[[#This Row],[Activity]]="D02","C20",Datadetails[[#This Row],[Activity]]),
    IF(ISNUMBER(MATCH(_xlpm.val,{"D04","C30","c40","C20"},0)), _xlpm.val, "Other")
)</f>
        <v>C20</v>
      </c>
      <c r="D648" s="10" t="str">
        <f>IFERROR(VLOOKUP(Datadetails[[#This Row],[Taskcode]],Dashboard!A:A,1,FALSE),"00 Err Missing")</f>
        <v>0099</v>
      </c>
      <c r="E648" s="79">
        <v>45796</v>
      </c>
      <c r="F648" s="80" t="s">
        <v>323</v>
      </c>
      <c r="G648" s="60" t="s">
        <v>40</v>
      </c>
      <c r="H648" s="80" t="s">
        <v>266</v>
      </c>
      <c r="I648" s="80" t="s">
        <v>36</v>
      </c>
      <c r="J648" s="80" t="s">
        <v>394</v>
      </c>
      <c r="K648" s="80" t="s">
        <v>346</v>
      </c>
      <c r="L648" s="80" t="s">
        <v>342</v>
      </c>
      <c r="M648" s="81">
        <v>0.25</v>
      </c>
      <c r="N648" s="82">
        <v>15</v>
      </c>
    </row>
    <row r="649" spans="1:14" x14ac:dyDescent="0.25">
      <c r="A649" s="10" t="str">
        <f>_xlfn.IFNA(
    IF(J649=
        "PCB-0001",
        "CSS",
        IF(
            ISNUMBER(MATCH(_xlfn.TEXTBEFORE(J649,"-"), {"CSS","CSN","PCB","PCF","BEC","CSD","PCM"}, 0)),
            _xlfn.TEXTBEFORE(J649,"-"),
            "Other"
        )
    ),
"Add")</f>
        <v>PCB</v>
      </c>
      <c r="B649" s="10" t="str">
        <f t="shared" si="11"/>
        <v>0019</v>
      </c>
      <c r="C649" s="10" t="str">
        <f>_xlfn.LET(
    _xlpm.val, IF(Datadetails[[#This Row],[Activity]]="D02","C20",Datadetails[[#This Row],[Activity]]),
    IF(ISNUMBER(MATCH(_xlpm.val,{"D04","C30","c40","C20"},0)), _xlpm.val, "Other")
)</f>
        <v>C30</v>
      </c>
      <c r="D649" s="10" t="str">
        <f>IFERROR(VLOOKUP(Datadetails[[#This Row],[Taskcode]],Dashboard!A:A,1,FALSE),"00 Err Missing")</f>
        <v>0019</v>
      </c>
      <c r="E649" s="79">
        <v>45796</v>
      </c>
      <c r="F649" s="80" t="s">
        <v>329</v>
      </c>
      <c r="G649" s="60" t="s">
        <v>40</v>
      </c>
      <c r="H649" s="80" t="s">
        <v>186</v>
      </c>
      <c r="I649" s="80" t="s">
        <v>34</v>
      </c>
      <c r="J649" s="80" t="s">
        <v>397</v>
      </c>
      <c r="K649" s="80" t="s">
        <v>347</v>
      </c>
      <c r="L649" s="80" t="s">
        <v>343</v>
      </c>
      <c r="M649" s="81">
        <v>0.08</v>
      </c>
      <c r="N649" s="82">
        <v>6</v>
      </c>
    </row>
    <row r="650" spans="1:14" x14ac:dyDescent="0.25">
      <c r="A650" s="10" t="str">
        <f>_xlfn.IFNA(
    IF(J650=
        "PCB-0001",
        "CSS",
        IF(
            ISNUMBER(MATCH(_xlfn.TEXTBEFORE(J650,"-"), {"CSS","CSN","PCB","PCF","BEC","CSD","PCM"}, 0)),
            _xlfn.TEXTBEFORE(J650,"-"),
            "Other"
        )
    ),
"Add")</f>
        <v>PCB</v>
      </c>
      <c r="B650" s="10" t="str">
        <f t="shared" si="11"/>
        <v>0030</v>
      </c>
      <c r="C650" s="10" t="str">
        <f>_xlfn.LET(
    _xlpm.val, IF(Datadetails[[#This Row],[Activity]]="D02","C20",Datadetails[[#This Row],[Activity]]),
    IF(ISNUMBER(MATCH(_xlpm.val,{"D04","C30","c40","C20"},0)), _xlpm.val, "Other")
)</f>
        <v>C30</v>
      </c>
      <c r="D650" s="10" t="str">
        <f>IFERROR(VLOOKUP(Datadetails[[#This Row],[Taskcode]],Dashboard!A:A,1,FALSE),"00 Err Missing")</f>
        <v>0030</v>
      </c>
      <c r="E650" s="79">
        <v>45796</v>
      </c>
      <c r="F650" s="80" t="s">
        <v>329</v>
      </c>
      <c r="G650" s="60" t="s">
        <v>40</v>
      </c>
      <c r="H650" s="80" t="s">
        <v>197</v>
      </c>
      <c r="I650" s="80" t="s">
        <v>34</v>
      </c>
      <c r="J650" s="80" t="s">
        <v>366</v>
      </c>
      <c r="K650" s="80" t="s">
        <v>347</v>
      </c>
      <c r="L650" s="80" t="s">
        <v>343</v>
      </c>
      <c r="M650" s="81">
        <v>0.17</v>
      </c>
      <c r="N650" s="82">
        <v>12.750000000000002</v>
      </c>
    </row>
    <row r="651" spans="1:14" x14ac:dyDescent="0.25">
      <c r="A651" s="10" t="str">
        <f>_xlfn.IFNA(
    IF(J651=
        "PCB-0001",
        "CSS",
        IF(
            ISNUMBER(MATCH(_xlfn.TEXTBEFORE(J651,"-"), {"CSS","CSN","PCB","PCF","BEC","CSD","PCM"}, 0)),
            _xlfn.TEXTBEFORE(J651,"-"),
            "Other"
        )
    ),
"Add")</f>
        <v>PCB</v>
      </c>
      <c r="B651" s="10" t="str">
        <f t="shared" si="11"/>
        <v>0016</v>
      </c>
      <c r="C651" s="10" t="str">
        <f>_xlfn.LET(
    _xlpm.val, IF(Datadetails[[#This Row],[Activity]]="D02","C20",Datadetails[[#This Row],[Activity]]),
    IF(ISNUMBER(MATCH(_xlpm.val,{"D04","C30","c40","C20"},0)), _xlpm.val, "Other")
)</f>
        <v>C30</v>
      </c>
      <c r="D651" s="10" t="str">
        <f>IFERROR(VLOOKUP(Datadetails[[#This Row],[Taskcode]],Dashboard!A:A,1,FALSE),"00 Err Missing")</f>
        <v>0016</v>
      </c>
      <c r="E651" s="79">
        <v>45796</v>
      </c>
      <c r="F651" s="80" t="s">
        <v>329</v>
      </c>
      <c r="G651" s="60" t="s">
        <v>40</v>
      </c>
      <c r="H651" s="80" t="s">
        <v>183</v>
      </c>
      <c r="I651" s="80" t="s">
        <v>34</v>
      </c>
      <c r="J651" s="80" t="s">
        <v>368</v>
      </c>
      <c r="K651" s="80" t="s">
        <v>347</v>
      </c>
      <c r="L651" s="80" t="s">
        <v>343</v>
      </c>
      <c r="M651" s="81">
        <v>0.08</v>
      </c>
      <c r="N651" s="82">
        <v>6</v>
      </c>
    </row>
    <row r="652" spans="1:14" x14ac:dyDescent="0.25">
      <c r="A652" s="10" t="str">
        <f>_xlfn.IFNA(
    IF(J652=
        "PCB-0001",
        "CSS",
        IF(
            ISNUMBER(MATCH(_xlfn.TEXTBEFORE(J652,"-"), {"CSS","CSN","PCB","PCF","BEC","CSD","PCM"}, 0)),
            _xlfn.TEXTBEFORE(J652,"-"),
            "Other"
        )
    ),
"Add")</f>
        <v>PCB</v>
      </c>
      <c r="B652" s="10" t="str">
        <f t="shared" si="11"/>
        <v>0134</v>
      </c>
      <c r="C652" s="10" t="str">
        <f>_xlfn.LET(
    _xlpm.val, IF(Datadetails[[#This Row],[Activity]]="D02","C20",Datadetails[[#This Row],[Activity]]),
    IF(ISNUMBER(MATCH(_xlpm.val,{"D04","C30","c40","C20"},0)), _xlpm.val, "Other")
)</f>
        <v>C30</v>
      </c>
      <c r="D652" s="10" t="str">
        <f>IFERROR(VLOOKUP(Datadetails[[#This Row],[Taskcode]],Dashboard!A:A,1,FALSE),"00 Err Missing")</f>
        <v>0134</v>
      </c>
      <c r="E652" s="79">
        <v>45796</v>
      </c>
      <c r="F652" s="80" t="s">
        <v>329</v>
      </c>
      <c r="G652" s="60" t="s">
        <v>40</v>
      </c>
      <c r="H652" s="80" t="s">
        <v>301</v>
      </c>
      <c r="I652" s="80" t="s">
        <v>34</v>
      </c>
      <c r="J652" s="80" t="s">
        <v>371</v>
      </c>
      <c r="K652" s="80" t="s">
        <v>347</v>
      </c>
      <c r="L652" s="80" t="s">
        <v>343</v>
      </c>
      <c r="M652" s="81">
        <v>0.08</v>
      </c>
      <c r="N652" s="82">
        <v>6</v>
      </c>
    </row>
    <row r="653" spans="1:14" x14ac:dyDescent="0.25">
      <c r="A653" s="10" t="str">
        <f>_xlfn.IFNA(
    IF(J653=
        "PCB-0001",
        "CSS",
        IF(
            ISNUMBER(MATCH(_xlfn.TEXTBEFORE(J653,"-"), {"CSS","CSN","PCB","PCF","BEC","CSD","PCM"}, 0)),
            _xlfn.TEXTBEFORE(J653,"-"),
            "Other"
        )
    ),
"Add")</f>
        <v>PCB</v>
      </c>
      <c r="B653" s="10" t="str">
        <f t="shared" si="11"/>
        <v>0136</v>
      </c>
      <c r="C653" s="10" t="str">
        <f>_xlfn.LET(
    _xlpm.val, IF(Datadetails[[#This Row],[Activity]]="D02","C20",Datadetails[[#This Row],[Activity]]),
    IF(ISNUMBER(MATCH(_xlpm.val,{"D04","C30","c40","C20"},0)), _xlpm.val, "Other")
)</f>
        <v>C30</v>
      </c>
      <c r="D653" s="10" t="str">
        <f>IFERROR(VLOOKUP(Datadetails[[#This Row],[Taskcode]],Dashboard!A:A,1,FALSE),"00 Err Missing")</f>
        <v>0136</v>
      </c>
      <c r="E653" s="79">
        <v>45796</v>
      </c>
      <c r="F653" s="80" t="s">
        <v>329</v>
      </c>
      <c r="G653" s="60" t="s">
        <v>40</v>
      </c>
      <c r="H653" s="80" t="s">
        <v>303</v>
      </c>
      <c r="I653" s="80" t="s">
        <v>34</v>
      </c>
      <c r="J653" s="80" t="s">
        <v>400</v>
      </c>
      <c r="K653" s="80" t="s">
        <v>347</v>
      </c>
      <c r="L653" s="80" t="s">
        <v>343</v>
      </c>
      <c r="M653" s="81">
        <v>0.08</v>
      </c>
      <c r="N653" s="82">
        <v>6</v>
      </c>
    </row>
    <row r="654" spans="1:14" x14ac:dyDescent="0.25">
      <c r="A654" s="10" t="str">
        <f>_xlfn.IFNA(
    IF(J654=
        "PCB-0001",
        "CSS",
        IF(
            ISNUMBER(MATCH(_xlfn.TEXTBEFORE(J654,"-"), {"CSS","CSN","PCB","PCF","BEC","CSD","PCM"}, 0)),
            _xlfn.TEXTBEFORE(J654,"-"),
            "Other"
        )
    ),
"Add")</f>
        <v>PCB</v>
      </c>
      <c r="B654" s="10" t="str">
        <f t="shared" si="11"/>
        <v>0075</v>
      </c>
      <c r="C654" s="10" t="str">
        <f>_xlfn.LET(
    _xlpm.val, IF(Datadetails[[#This Row],[Activity]]="D02","C20",Datadetails[[#This Row],[Activity]]),
    IF(ISNUMBER(MATCH(_xlpm.val,{"D04","C30","c40","C20"},0)), _xlpm.val, "Other")
)</f>
        <v>C30</v>
      </c>
      <c r="D654" s="10" t="str">
        <f>IFERROR(VLOOKUP(Datadetails[[#This Row],[Taskcode]],Dashboard!A:A,1,FALSE),"00 Err Missing")</f>
        <v>0075</v>
      </c>
      <c r="E654" s="79">
        <v>45796</v>
      </c>
      <c r="F654" s="80" t="s">
        <v>329</v>
      </c>
      <c r="G654" s="60" t="s">
        <v>40</v>
      </c>
      <c r="H654" s="80" t="s">
        <v>242</v>
      </c>
      <c r="I654" s="80" t="s">
        <v>34</v>
      </c>
      <c r="J654" s="80" t="s">
        <v>404</v>
      </c>
      <c r="K654" s="80" t="s">
        <v>347</v>
      </c>
      <c r="L654" s="80" t="s">
        <v>343</v>
      </c>
      <c r="M654" s="81">
        <v>0.17</v>
      </c>
      <c r="N654" s="82">
        <v>12.750000000000002</v>
      </c>
    </row>
    <row r="655" spans="1:14" x14ac:dyDescent="0.25">
      <c r="A655" s="10" t="str">
        <f>_xlfn.IFNA(
    IF(J655=
        "PCB-0001",
        "CSS",
        IF(
            ISNUMBER(MATCH(_xlfn.TEXTBEFORE(J655,"-"), {"CSS","CSN","PCB","PCF","BEC","CSD","PCM"}, 0)),
            _xlfn.TEXTBEFORE(J655,"-"),
            "Other"
        )
    ),
"Add")</f>
        <v>PCB</v>
      </c>
      <c r="B655" s="10" t="str">
        <f t="shared" si="11"/>
        <v>0077</v>
      </c>
      <c r="C655" s="10" t="str">
        <f>_xlfn.LET(
    _xlpm.val, IF(Datadetails[[#This Row],[Activity]]="D02","C20",Datadetails[[#This Row],[Activity]]),
    IF(ISNUMBER(MATCH(_xlpm.val,{"D04","C30","c40","C20"},0)), _xlpm.val, "Other")
)</f>
        <v>C30</v>
      </c>
      <c r="D655" s="10" t="str">
        <f>IFERROR(VLOOKUP(Datadetails[[#This Row],[Taskcode]],Dashboard!A:A,1,FALSE),"00 Err Missing")</f>
        <v>0077</v>
      </c>
      <c r="E655" s="79">
        <v>45796</v>
      </c>
      <c r="F655" s="80" t="s">
        <v>330</v>
      </c>
      <c r="G655" s="60" t="s">
        <v>40</v>
      </c>
      <c r="H655" s="80" t="s">
        <v>244</v>
      </c>
      <c r="I655" s="80" t="s">
        <v>34</v>
      </c>
      <c r="J655" s="80" t="s">
        <v>457</v>
      </c>
      <c r="K655" s="80" t="s">
        <v>347</v>
      </c>
      <c r="L655" s="80" t="s">
        <v>343</v>
      </c>
      <c r="M655" s="81">
        <v>0.5</v>
      </c>
      <c r="N655" s="82">
        <v>30</v>
      </c>
    </row>
    <row r="656" spans="1:14" x14ac:dyDescent="0.25">
      <c r="A656" s="10" t="str">
        <f>_xlfn.IFNA(
    IF(J656=
        "PCB-0001",
        "CSS",
        IF(
            ISNUMBER(MATCH(_xlfn.TEXTBEFORE(J656,"-"), {"CSS","CSN","PCB","PCF","BEC","CSD","PCM"}, 0)),
            _xlfn.TEXTBEFORE(J656,"-"),
            "Other"
        )
    ),
"Add")</f>
        <v>PCB</v>
      </c>
      <c r="B656" s="10" t="str">
        <f t="shared" si="11"/>
        <v>0128</v>
      </c>
      <c r="C656" s="10" t="str">
        <f>_xlfn.LET(
    _xlpm.val, IF(Datadetails[[#This Row],[Activity]]="D02","C20",Datadetails[[#This Row],[Activity]]),
    IF(ISNUMBER(MATCH(_xlpm.val,{"D04","C30","c40","C20"},0)), _xlpm.val, "Other")
)</f>
        <v>C30</v>
      </c>
      <c r="D656" s="10" t="str">
        <f>IFERROR(VLOOKUP(Datadetails[[#This Row],[Taskcode]],Dashboard!A:A,1,FALSE),"00 Err Missing")</f>
        <v>0128</v>
      </c>
      <c r="E656" s="79">
        <v>45796</v>
      </c>
      <c r="F656" s="80" t="s">
        <v>329</v>
      </c>
      <c r="G656" s="60" t="s">
        <v>40</v>
      </c>
      <c r="H656" s="80" t="s">
        <v>295</v>
      </c>
      <c r="I656" s="80" t="s">
        <v>34</v>
      </c>
      <c r="J656" s="80" t="s">
        <v>379</v>
      </c>
      <c r="K656" s="80" t="s">
        <v>347</v>
      </c>
      <c r="L656" s="80" t="s">
        <v>343</v>
      </c>
      <c r="M656" s="81">
        <v>0.25</v>
      </c>
      <c r="N656" s="82">
        <v>18.75</v>
      </c>
    </row>
    <row r="657" spans="1:14" x14ac:dyDescent="0.25">
      <c r="A657" s="10" t="str">
        <f>_xlfn.IFNA(
    IF(J657=
        "PCB-0001",
        "CSS",
        IF(
            ISNUMBER(MATCH(_xlfn.TEXTBEFORE(J657,"-"), {"CSS","CSN","PCB","PCF","BEC","CSD","PCM"}, 0)),
            _xlfn.TEXTBEFORE(J657,"-"),
            "Other"
        )
    ),
"Add")</f>
        <v>PCB</v>
      </c>
      <c r="B657" s="10" t="str">
        <f t="shared" si="11"/>
        <v>0126</v>
      </c>
      <c r="C657" s="10" t="str">
        <f>_xlfn.LET(
    _xlpm.val, IF(Datadetails[[#This Row],[Activity]]="D02","C20",Datadetails[[#This Row],[Activity]]),
    IF(ISNUMBER(MATCH(_xlpm.val,{"D04","C30","c40","C20"},0)), _xlpm.val, "Other")
)</f>
        <v>C30</v>
      </c>
      <c r="D657" s="10" t="str">
        <f>IFERROR(VLOOKUP(Datadetails[[#This Row],[Taskcode]],Dashboard!A:A,1,FALSE),"00 Err Missing")</f>
        <v>0126</v>
      </c>
      <c r="E657" s="79">
        <v>45796</v>
      </c>
      <c r="F657" s="80" t="s">
        <v>329</v>
      </c>
      <c r="G657" s="60" t="s">
        <v>40</v>
      </c>
      <c r="H657" s="80" t="s">
        <v>293</v>
      </c>
      <c r="I657" s="80" t="s">
        <v>34</v>
      </c>
      <c r="J657" s="80" t="s">
        <v>376</v>
      </c>
      <c r="K657" s="80" t="s">
        <v>347</v>
      </c>
      <c r="L657" s="80" t="s">
        <v>343</v>
      </c>
      <c r="M657" s="81">
        <v>0.17</v>
      </c>
      <c r="N657" s="82">
        <v>12.750000000000002</v>
      </c>
    </row>
    <row r="658" spans="1:14" x14ac:dyDescent="0.25">
      <c r="A658" s="10" t="str">
        <f>_xlfn.IFNA(
    IF(J658=
        "PCB-0001",
        "CSS",
        IF(
            ISNUMBER(MATCH(_xlfn.TEXTBEFORE(J658,"-"), {"CSS","CSN","PCB","PCF","BEC","CSD","PCM"}, 0)),
            _xlfn.TEXTBEFORE(J658,"-"),
            "Other"
        )
    ),
"Add")</f>
        <v>PCB</v>
      </c>
      <c r="B658" s="10" t="str">
        <f t="shared" si="11"/>
        <v>0091</v>
      </c>
      <c r="C658" s="10" t="str">
        <f>_xlfn.LET(
    _xlpm.val, IF(Datadetails[[#This Row],[Activity]]="D02","C20",Datadetails[[#This Row],[Activity]]),
    IF(ISNUMBER(MATCH(_xlpm.val,{"D04","C30","c40","C20"},0)), _xlpm.val, "Other")
)</f>
        <v>C30</v>
      </c>
      <c r="D658" s="10" t="str">
        <f>IFERROR(VLOOKUP(Datadetails[[#This Row],[Taskcode]],Dashboard!A:A,1,FALSE),"00 Err Missing")</f>
        <v>0091</v>
      </c>
      <c r="E658" s="79">
        <v>45796</v>
      </c>
      <c r="F658" s="80" t="s">
        <v>329</v>
      </c>
      <c r="G658" s="60" t="s">
        <v>40</v>
      </c>
      <c r="H658" s="80" t="s">
        <v>258</v>
      </c>
      <c r="I658" s="80" t="s">
        <v>34</v>
      </c>
      <c r="J658" s="80" t="s">
        <v>381</v>
      </c>
      <c r="K658" s="80" t="s">
        <v>347</v>
      </c>
      <c r="L658" s="80" t="s">
        <v>343</v>
      </c>
      <c r="M658" s="81">
        <v>0.17</v>
      </c>
      <c r="N658" s="82">
        <v>12.750000000000002</v>
      </c>
    </row>
    <row r="659" spans="1:14" x14ac:dyDescent="0.25">
      <c r="A659" s="10" t="str">
        <f>_xlfn.IFNA(
    IF(J659=
        "PCB-0001",
        "CSS",
        IF(
            ISNUMBER(MATCH(_xlfn.TEXTBEFORE(J659,"-"), {"CSS","CSN","PCB","PCF","BEC","CSD","PCM"}, 0)),
            _xlfn.TEXTBEFORE(J659,"-"),
            "Other"
        )
    ),
"Add")</f>
        <v>PCB</v>
      </c>
      <c r="B659" s="10" t="str">
        <f t="shared" si="11"/>
        <v>0092</v>
      </c>
      <c r="C659" s="10" t="str">
        <f>_xlfn.LET(
    _xlpm.val, IF(Datadetails[[#This Row],[Activity]]="D02","C20",Datadetails[[#This Row],[Activity]]),
    IF(ISNUMBER(MATCH(_xlpm.val,{"D04","C30","c40","C20"},0)), _xlpm.val, "Other")
)</f>
        <v>C30</v>
      </c>
      <c r="D659" s="10" t="str">
        <f>IFERROR(VLOOKUP(Datadetails[[#This Row],[Taskcode]],Dashboard!A:A,1,FALSE),"00 Err Missing")</f>
        <v>0092</v>
      </c>
      <c r="E659" s="79">
        <v>45796</v>
      </c>
      <c r="F659" s="80" t="s">
        <v>329</v>
      </c>
      <c r="G659" s="60" t="s">
        <v>40</v>
      </c>
      <c r="H659" s="80" t="s">
        <v>259</v>
      </c>
      <c r="I659" s="80" t="s">
        <v>34</v>
      </c>
      <c r="J659" s="80" t="s">
        <v>407</v>
      </c>
      <c r="K659" s="80" t="s">
        <v>347</v>
      </c>
      <c r="L659" s="80" t="s">
        <v>343</v>
      </c>
      <c r="M659" s="81">
        <v>0.33</v>
      </c>
      <c r="N659" s="82">
        <v>24.75</v>
      </c>
    </row>
    <row r="660" spans="1:14" x14ac:dyDescent="0.25">
      <c r="A660" s="10" t="str">
        <f>_xlfn.IFNA(
    IF(J660=
        "PCB-0001",
        "CSS",
        IF(
            ISNUMBER(MATCH(_xlfn.TEXTBEFORE(J660,"-"), {"CSS","CSN","PCB","PCF","BEC","CSD","PCM"}, 0)),
            _xlfn.TEXTBEFORE(J660,"-"),
            "Other"
        )
    ),
"Add")</f>
        <v>PCB</v>
      </c>
      <c r="B660" s="10" t="str">
        <f t="shared" si="11"/>
        <v>0080</v>
      </c>
      <c r="C660" s="10" t="str">
        <f>_xlfn.LET(
    _xlpm.val, IF(Datadetails[[#This Row],[Activity]]="D02","C20",Datadetails[[#This Row],[Activity]]),
    IF(ISNUMBER(MATCH(_xlpm.val,{"D04","C30","c40","C20"},0)), _xlpm.val, "Other")
)</f>
        <v>C30</v>
      </c>
      <c r="D660" s="10" t="str">
        <f>IFERROR(VLOOKUP(Datadetails[[#This Row],[Taskcode]],Dashboard!A:A,1,FALSE),"00 Err Missing")</f>
        <v>0080</v>
      </c>
      <c r="E660" s="79">
        <v>45796</v>
      </c>
      <c r="F660" s="80" t="s">
        <v>329</v>
      </c>
      <c r="G660" s="60" t="s">
        <v>40</v>
      </c>
      <c r="H660" s="80" t="s">
        <v>247</v>
      </c>
      <c r="I660" s="80" t="s">
        <v>34</v>
      </c>
      <c r="J660" s="80" t="s">
        <v>375</v>
      </c>
      <c r="K660" s="80" t="s">
        <v>347</v>
      </c>
      <c r="L660" s="80" t="s">
        <v>343</v>
      </c>
      <c r="M660" s="81">
        <v>0.33</v>
      </c>
      <c r="N660" s="82">
        <v>24.75</v>
      </c>
    </row>
    <row r="661" spans="1:14" x14ac:dyDescent="0.25">
      <c r="A661" s="10" t="str">
        <f>_xlfn.IFNA(
    IF(J661=
        "PCB-0001",
        "CSS",
        IF(
            ISNUMBER(MATCH(_xlfn.TEXTBEFORE(J661,"-"), {"CSS","CSN","PCB","PCF","BEC","CSD","PCM"}, 0)),
            _xlfn.TEXTBEFORE(J661,"-"),
            "Other"
        )
    ),
"Add")</f>
        <v>PCB</v>
      </c>
      <c r="B661" s="10" t="str">
        <f t="shared" si="11"/>
        <v>0110</v>
      </c>
      <c r="C661" s="10" t="str">
        <f>_xlfn.LET(
    _xlpm.val, IF(Datadetails[[#This Row],[Activity]]="D02","C20",Datadetails[[#This Row],[Activity]]),
    IF(ISNUMBER(MATCH(_xlpm.val,{"D04","C30","c40","C20"},0)), _xlpm.val, "Other")
)</f>
        <v>C30</v>
      </c>
      <c r="D661" s="10" t="str">
        <f>IFERROR(VLOOKUP(Datadetails[[#This Row],[Taskcode]],Dashboard!A:A,1,FALSE),"00 Err Missing")</f>
        <v>0110</v>
      </c>
      <c r="E661" s="79">
        <v>45796</v>
      </c>
      <c r="F661" s="80" t="s">
        <v>325</v>
      </c>
      <c r="G661" s="60" t="s">
        <v>40</v>
      </c>
      <c r="H661" s="80" t="s">
        <v>277</v>
      </c>
      <c r="I661" s="80" t="s">
        <v>34</v>
      </c>
      <c r="J661" s="80" t="s">
        <v>353</v>
      </c>
      <c r="K661" s="80" t="s">
        <v>347</v>
      </c>
      <c r="L661" s="80" t="s">
        <v>343</v>
      </c>
      <c r="M661" s="81">
        <v>0.17</v>
      </c>
      <c r="N661" s="82">
        <v>12.750000000000002</v>
      </c>
    </row>
    <row r="662" spans="1:14" x14ac:dyDescent="0.25">
      <c r="A662" s="10" t="str">
        <f>_xlfn.IFNA(
    IF(J662=
        "PCB-0001",
        "CSS",
        IF(
            ISNUMBER(MATCH(_xlfn.TEXTBEFORE(J662,"-"), {"CSS","CSN","PCB","PCF","BEC","CSD","PCM"}, 0)),
            _xlfn.TEXTBEFORE(J662,"-"),
            "Other"
        )
    ),
"Add")</f>
        <v>BEC</v>
      </c>
      <c r="B662" s="10" t="str">
        <f t="shared" si="11"/>
        <v>0001</v>
      </c>
      <c r="C662" s="10" t="str">
        <f>_xlfn.LET(
    _xlpm.val, IF(Datadetails[[#This Row],[Activity]]="D02","C20",Datadetails[[#This Row],[Activity]]),
    IF(ISNUMBER(MATCH(_xlpm.val,{"D04","C30","c40","C20"},0)), _xlpm.val, "Other")
)</f>
        <v>D04</v>
      </c>
      <c r="D662" s="10" t="str">
        <f>IFERROR(VLOOKUP(Datadetails[[#This Row],[Taskcode]],Dashboard!A:A,1,FALSE),"00 Err Missing")</f>
        <v>0001</v>
      </c>
      <c r="E662" s="79">
        <v>45796</v>
      </c>
      <c r="F662" s="80" t="s">
        <v>332</v>
      </c>
      <c r="G662" s="60" t="s">
        <v>40</v>
      </c>
      <c r="H662" s="80" t="s">
        <v>314</v>
      </c>
      <c r="I662" s="80" t="s">
        <v>35</v>
      </c>
      <c r="J662" s="80" t="s">
        <v>359</v>
      </c>
      <c r="K662" s="80" t="s">
        <v>339</v>
      </c>
      <c r="L662" s="80" t="s">
        <v>352</v>
      </c>
      <c r="M662" s="81">
        <v>8.83</v>
      </c>
      <c r="N662" s="82">
        <v>353.2</v>
      </c>
    </row>
    <row r="663" spans="1:14" x14ac:dyDescent="0.25">
      <c r="A663" s="10" t="str">
        <f>_xlfn.IFNA(
    IF(J663=
        "PCB-0001",
        "CSS",
        IF(
            ISNUMBER(MATCH(_xlfn.TEXTBEFORE(J663,"-"), {"CSS","CSN","PCB","PCF","BEC","CSD","PCM"}, 0)),
            _xlfn.TEXTBEFORE(J663,"-"),
            "Other"
        )
    ),
"Add")</f>
        <v>BEC</v>
      </c>
      <c r="B663" s="10" t="str">
        <f t="shared" si="11"/>
        <v>0001</v>
      </c>
      <c r="C663" s="10" t="str">
        <f>_xlfn.LET(
    _xlpm.val, IF(Datadetails[[#This Row],[Activity]]="D02","C20",Datadetails[[#This Row],[Activity]]),
    IF(ISNUMBER(MATCH(_xlpm.val,{"D04","C30","c40","C20"},0)), _xlpm.val, "Other")
)</f>
        <v>D04</v>
      </c>
      <c r="D663" s="10" t="str">
        <f>IFERROR(VLOOKUP(Datadetails[[#This Row],[Taskcode]],Dashboard!A:A,1,FALSE),"00 Err Missing")</f>
        <v>0001</v>
      </c>
      <c r="E663" s="79">
        <v>45796</v>
      </c>
      <c r="F663" s="80" t="s">
        <v>324</v>
      </c>
      <c r="G663" s="60" t="s">
        <v>40</v>
      </c>
      <c r="H663" s="80" t="s">
        <v>314</v>
      </c>
      <c r="I663" s="80" t="s">
        <v>35</v>
      </c>
      <c r="J663" s="80" t="s">
        <v>359</v>
      </c>
      <c r="K663" s="80" t="s">
        <v>339</v>
      </c>
      <c r="L663" s="80" t="s">
        <v>352</v>
      </c>
      <c r="M663" s="81">
        <v>6</v>
      </c>
      <c r="N663" s="82">
        <v>450</v>
      </c>
    </row>
    <row r="664" spans="1:14" x14ac:dyDescent="0.25">
      <c r="A664" s="10" t="str">
        <f>_xlfn.IFNA(
    IF(J664=
        "PCB-0001",
        "CSS",
        IF(
            ISNUMBER(MATCH(_xlfn.TEXTBEFORE(J664,"-"), {"CSS","CSN","PCB","PCF","BEC","CSD","PCM"}, 0)),
            _xlfn.TEXTBEFORE(J664,"-"),
            "Other"
        )
    ),
"Add")</f>
        <v>CSN</v>
      </c>
      <c r="B664" s="10" t="str">
        <f t="shared" si="11"/>
        <v>0001</v>
      </c>
      <c r="C664" s="10" t="str">
        <f>_xlfn.LET(
    _xlpm.val, IF(Datadetails[[#This Row],[Activity]]="D02","C20",Datadetails[[#This Row],[Activity]]),
    IF(ISNUMBER(MATCH(_xlpm.val,{"D04","C30","c40","C20"},0)), _xlpm.val, "Other")
)</f>
        <v>D04</v>
      </c>
      <c r="D664" s="10" t="str">
        <f>IFERROR(VLOOKUP(Datadetails[[#This Row],[Taskcode]],Dashboard!A:A,1,FALSE),"00 Err Missing")</f>
        <v>0001</v>
      </c>
      <c r="E664" s="79">
        <v>45797</v>
      </c>
      <c r="F664" s="80" t="s">
        <v>329</v>
      </c>
      <c r="G664" s="60" t="s">
        <v>40</v>
      </c>
      <c r="H664" s="80" t="s">
        <v>316</v>
      </c>
      <c r="I664" s="80" t="s">
        <v>35</v>
      </c>
      <c r="J664" s="80" t="s">
        <v>338</v>
      </c>
      <c r="K664" s="80" t="s">
        <v>337</v>
      </c>
      <c r="L664" s="80" t="s">
        <v>352</v>
      </c>
      <c r="M664" s="81">
        <v>3.42</v>
      </c>
      <c r="N664" s="82">
        <v>256.5</v>
      </c>
    </row>
    <row r="665" spans="1:14" x14ac:dyDescent="0.25">
      <c r="A665" s="10" t="str">
        <f>_xlfn.IFNA(
    IF(J665=
        "PCB-0001",
        "CSS",
        IF(
            ISNUMBER(MATCH(_xlfn.TEXTBEFORE(J665,"-"), {"CSS","CSN","PCB","PCF","BEC","CSD","PCM"}, 0)),
            _xlfn.TEXTBEFORE(J665,"-"),
            "Other"
        )
    ),
"Add")</f>
        <v>CSD</v>
      </c>
      <c r="B665" s="10" t="str">
        <f t="shared" si="11"/>
        <v>0001</v>
      </c>
      <c r="C665" s="10" t="str">
        <f>_xlfn.LET(
    _xlpm.val, IF(Datadetails[[#This Row],[Activity]]="D02","C20",Datadetails[[#This Row],[Activity]]),
    IF(ISNUMBER(MATCH(_xlpm.val,{"D04","C30","c40","C20"},0)), _xlpm.val, "Other")
)</f>
        <v>D04</v>
      </c>
      <c r="D665" s="10" t="str">
        <f>IFERROR(VLOOKUP(Datadetails[[#This Row],[Taskcode]],Dashboard!A:A,1,FALSE),"00 Err Missing")</f>
        <v>0001</v>
      </c>
      <c r="E665" s="79">
        <v>45797</v>
      </c>
      <c r="F665" s="80" t="s">
        <v>333</v>
      </c>
      <c r="G665" s="60" t="s">
        <v>40</v>
      </c>
      <c r="H665" s="80" t="s">
        <v>320</v>
      </c>
      <c r="I665" s="80" t="s">
        <v>35</v>
      </c>
      <c r="J665" s="80" t="s">
        <v>322</v>
      </c>
      <c r="K665" s="80" t="s">
        <v>319</v>
      </c>
      <c r="L665" s="80" t="s">
        <v>352</v>
      </c>
      <c r="M665" s="81">
        <v>7.5</v>
      </c>
      <c r="N665" s="82">
        <v>240</v>
      </c>
    </row>
    <row r="666" spans="1:14" x14ac:dyDescent="0.25">
      <c r="A666" s="10" t="str">
        <f>_xlfn.IFNA(
    IF(J666=
        "PCB-0001",
        "CSS",
        IF(
            ISNUMBER(MATCH(_xlfn.TEXTBEFORE(J666,"-"), {"CSS","CSN","PCB","PCF","BEC","CSD","PCM"}, 0)),
            _xlfn.TEXTBEFORE(J666,"-"),
            "Other"
        )
    ),
"Add")</f>
        <v>CSD</v>
      </c>
      <c r="B666" s="10" t="str">
        <f t="shared" si="11"/>
        <v>0001</v>
      </c>
      <c r="C666" s="10" t="str">
        <f>_xlfn.LET(
    _xlpm.val, IF(Datadetails[[#This Row],[Activity]]="D02","C20",Datadetails[[#This Row],[Activity]]),
    IF(ISNUMBER(MATCH(_xlpm.val,{"D04","C30","c40","C20"},0)), _xlpm.val, "Other")
)</f>
        <v>D04</v>
      </c>
      <c r="D666" s="10" t="str">
        <f>IFERROR(VLOOKUP(Datadetails[[#This Row],[Taskcode]],Dashboard!A:A,1,FALSE),"00 Err Missing")</f>
        <v>0001</v>
      </c>
      <c r="E666" s="79">
        <v>45797</v>
      </c>
      <c r="F666" s="80" t="s">
        <v>327</v>
      </c>
      <c r="G666" s="60" t="s">
        <v>40</v>
      </c>
      <c r="H666" s="80" t="s">
        <v>320</v>
      </c>
      <c r="I666" s="80" t="s">
        <v>35</v>
      </c>
      <c r="J666" s="80" t="s">
        <v>322</v>
      </c>
      <c r="K666" s="80" t="s">
        <v>319</v>
      </c>
      <c r="L666" s="80" t="s">
        <v>352</v>
      </c>
      <c r="M666" s="81">
        <v>7.25</v>
      </c>
      <c r="N666" s="82">
        <v>232</v>
      </c>
    </row>
    <row r="667" spans="1:14" x14ac:dyDescent="0.25">
      <c r="A667" s="10" t="str">
        <f>_xlfn.IFNA(
    IF(J667=
        "PCB-0001",
        "CSS",
        IF(
            ISNUMBER(MATCH(_xlfn.TEXTBEFORE(J667,"-"), {"CSS","CSN","PCB","PCF","BEC","CSD","PCM"}, 0)),
            _xlfn.TEXTBEFORE(J667,"-"),
            "Other"
        )
    ),
"Add")</f>
        <v>PCB</v>
      </c>
      <c r="B667" s="10" t="str">
        <f t="shared" si="11"/>
        <v>0030</v>
      </c>
      <c r="C667" s="10" t="str">
        <f>_xlfn.LET(
    _xlpm.val, IF(Datadetails[[#This Row],[Activity]]="D02","C20",Datadetails[[#This Row],[Activity]]),
    IF(ISNUMBER(MATCH(_xlpm.val,{"D04","C30","c40","C20"},0)), _xlpm.val, "Other")
)</f>
        <v>C30</v>
      </c>
      <c r="D667" s="10" t="str">
        <f>IFERROR(VLOOKUP(Datadetails[[#This Row],[Taskcode]],Dashboard!A:A,1,FALSE),"00 Err Missing")</f>
        <v>0030</v>
      </c>
      <c r="E667" s="79">
        <v>45797</v>
      </c>
      <c r="F667" s="80" t="s">
        <v>329</v>
      </c>
      <c r="G667" s="60" t="s">
        <v>40</v>
      </c>
      <c r="H667" s="80" t="s">
        <v>197</v>
      </c>
      <c r="I667" s="80" t="s">
        <v>34</v>
      </c>
      <c r="J667" s="80" t="s">
        <v>366</v>
      </c>
      <c r="K667" s="80" t="s">
        <v>347</v>
      </c>
      <c r="L667" s="80" t="s">
        <v>343</v>
      </c>
      <c r="M667" s="81">
        <v>0.25</v>
      </c>
      <c r="N667" s="82">
        <v>18.75</v>
      </c>
    </row>
    <row r="668" spans="1:14" x14ac:dyDescent="0.25">
      <c r="A668" s="10" t="str">
        <f>_xlfn.IFNA(
    IF(J668=
        "PCB-0001",
        "CSS",
        IF(
            ISNUMBER(MATCH(_xlfn.TEXTBEFORE(J668,"-"), {"CSS","CSN","PCB","PCF","BEC","CSD","PCM"}, 0)),
            _xlfn.TEXTBEFORE(J668,"-"),
            "Other"
        )
    ),
"Add")</f>
        <v>PCB</v>
      </c>
      <c r="B668" s="10" t="str">
        <f t="shared" si="11"/>
        <v>0016</v>
      </c>
      <c r="C668" s="10" t="str">
        <f>_xlfn.LET(
    _xlpm.val, IF(Datadetails[[#This Row],[Activity]]="D02","C20",Datadetails[[#This Row],[Activity]]),
    IF(ISNUMBER(MATCH(_xlpm.val,{"D04","C30","c40","C20"},0)), _xlpm.val, "Other")
)</f>
        <v>C30</v>
      </c>
      <c r="D668" s="10" t="str">
        <f>IFERROR(VLOOKUP(Datadetails[[#This Row],[Taskcode]],Dashboard!A:A,1,FALSE),"00 Err Missing")</f>
        <v>0016</v>
      </c>
      <c r="E668" s="79">
        <v>45797</v>
      </c>
      <c r="F668" s="80" t="s">
        <v>329</v>
      </c>
      <c r="G668" s="60" t="s">
        <v>40</v>
      </c>
      <c r="H668" s="80" t="s">
        <v>183</v>
      </c>
      <c r="I668" s="80" t="s">
        <v>34</v>
      </c>
      <c r="J668" s="80" t="s">
        <v>368</v>
      </c>
      <c r="K668" s="80" t="s">
        <v>347</v>
      </c>
      <c r="L668" s="80" t="s">
        <v>343</v>
      </c>
      <c r="M668" s="81">
        <v>0.25</v>
      </c>
      <c r="N668" s="82">
        <v>18.75</v>
      </c>
    </row>
    <row r="669" spans="1:14" x14ac:dyDescent="0.25">
      <c r="A669" s="10" t="str">
        <f>_xlfn.IFNA(
    IF(J669=
        "PCB-0001",
        "CSS",
        IF(
            ISNUMBER(MATCH(_xlfn.TEXTBEFORE(J669,"-"), {"CSS","CSN","PCB","PCF","BEC","CSD","PCM"}, 0)),
            _xlfn.TEXTBEFORE(J669,"-"),
            "Other"
        )
    ),
"Add")</f>
        <v>PCB</v>
      </c>
      <c r="B669" s="10" t="str">
        <f t="shared" si="11"/>
        <v>0134</v>
      </c>
      <c r="C669" s="10" t="str">
        <f>_xlfn.LET(
    _xlpm.val, IF(Datadetails[[#This Row],[Activity]]="D02","C20",Datadetails[[#This Row],[Activity]]),
    IF(ISNUMBER(MATCH(_xlpm.val,{"D04","C30","c40","C20"},0)), _xlpm.val, "Other")
)</f>
        <v>C30</v>
      </c>
      <c r="D669" s="10" t="str">
        <f>IFERROR(VLOOKUP(Datadetails[[#This Row],[Taskcode]],Dashboard!A:A,1,FALSE),"00 Err Missing")</f>
        <v>0134</v>
      </c>
      <c r="E669" s="79">
        <v>45797</v>
      </c>
      <c r="F669" s="80" t="s">
        <v>329</v>
      </c>
      <c r="G669" s="60" t="s">
        <v>40</v>
      </c>
      <c r="H669" s="80" t="s">
        <v>301</v>
      </c>
      <c r="I669" s="80" t="s">
        <v>34</v>
      </c>
      <c r="J669" s="80" t="s">
        <v>371</v>
      </c>
      <c r="K669" s="80" t="s">
        <v>347</v>
      </c>
      <c r="L669" s="80" t="s">
        <v>343</v>
      </c>
      <c r="M669" s="81">
        <v>0.17</v>
      </c>
      <c r="N669" s="82">
        <v>12.750000000000002</v>
      </c>
    </row>
    <row r="670" spans="1:14" x14ac:dyDescent="0.25">
      <c r="A670" s="10" t="str">
        <f>_xlfn.IFNA(
    IF(J670=
        "PCB-0001",
        "CSS",
        IF(
            ISNUMBER(MATCH(_xlfn.TEXTBEFORE(J670,"-"), {"CSS","CSN","PCB","PCF","BEC","CSD","PCM"}, 0)),
            _xlfn.TEXTBEFORE(J670,"-"),
            "Other"
        )
    ),
"Add")</f>
        <v>PCB</v>
      </c>
      <c r="B670" s="10" t="str">
        <f t="shared" si="11"/>
        <v>0062</v>
      </c>
      <c r="C670" s="10" t="str">
        <f>_xlfn.LET(
    _xlpm.val, IF(Datadetails[[#This Row],[Activity]]="D02","C20",Datadetails[[#This Row],[Activity]]),
    IF(ISNUMBER(MATCH(_xlpm.val,{"D04","C30","c40","C20"},0)), _xlpm.val, "Other")
)</f>
        <v>C30</v>
      </c>
      <c r="D670" s="10" t="str">
        <f>IFERROR(VLOOKUP(Datadetails[[#This Row],[Taskcode]],Dashboard!A:A,1,FALSE),"00 Err Missing")</f>
        <v>0062</v>
      </c>
      <c r="E670" s="79">
        <v>45797</v>
      </c>
      <c r="F670" s="80" t="s">
        <v>329</v>
      </c>
      <c r="G670" s="60" t="s">
        <v>40</v>
      </c>
      <c r="H670" s="80" t="s">
        <v>229</v>
      </c>
      <c r="I670" s="80" t="s">
        <v>34</v>
      </c>
      <c r="J670" s="80" t="s">
        <v>373</v>
      </c>
      <c r="K670" s="80" t="s">
        <v>347</v>
      </c>
      <c r="L670" s="80" t="s">
        <v>343</v>
      </c>
      <c r="M670" s="81">
        <v>0.17</v>
      </c>
      <c r="N670" s="82">
        <v>12.750000000000002</v>
      </c>
    </row>
    <row r="671" spans="1:14" x14ac:dyDescent="0.25">
      <c r="A671" s="10" t="str">
        <f>_xlfn.IFNA(
    IF(J671=
        "PCB-0001",
        "CSS",
        IF(
            ISNUMBER(MATCH(_xlfn.TEXTBEFORE(J671,"-"), {"CSS","CSN","PCB","PCF","BEC","CSD","PCM"}, 0)),
            _xlfn.TEXTBEFORE(J671,"-"),
            "Other"
        )
    ),
"Add")</f>
        <v>PCB</v>
      </c>
      <c r="B671" s="10" t="str">
        <f t="shared" si="11"/>
        <v>0074</v>
      </c>
      <c r="C671" s="10" t="str">
        <f>_xlfn.LET(
    _xlpm.val, IF(Datadetails[[#This Row],[Activity]]="D02","C20",Datadetails[[#This Row],[Activity]]),
    IF(ISNUMBER(MATCH(_xlpm.val,{"D04","C30","c40","C20"},0)), _xlpm.val, "Other")
)</f>
        <v>C30</v>
      </c>
      <c r="D671" s="10" t="str">
        <f>IFERROR(VLOOKUP(Datadetails[[#This Row],[Taskcode]],Dashboard!A:A,1,FALSE),"00 Err Missing")</f>
        <v>0074</v>
      </c>
      <c r="E671" s="79">
        <v>45797</v>
      </c>
      <c r="F671" s="80" t="s">
        <v>329</v>
      </c>
      <c r="G671" s="60" t="s">
        <v>40</v>
      </c>
      <c r="H671" s="80" t="s">
        <v>241</v>
      </c>
      <c r="I671" s="80" t="s">
        <v>34</v>
      </c>
      <c r="J671" s="80" t="s">
        <v>403</v>
      </c>
      <c r="K671" s="80" t="s">
        <v>347</v>
      </c>
      <c r="L671" s="80" t="s">
        <v>343</v>
      </c>
      <c r="M671" s="81">
        <v>0.33</v>
      </c>
      <c r="N671" s="82">
        <v>24.75</v>
      </c>
    </row>
    <row r="672" spans="1:14" x14ac:dyDescent="0.25">
      <c r="A672" s="10" t="str">
        <f>_xlfn.IFNA(
    IF(J672=
        "PCB-0001",
        "CSS",
        IF(
            ISNUMBER(MATCH(_xlfn.TEXTBEFORE(J672,"-"), {"CSS","CSN","PCB","PCF","BEC","CSD","PCM"}, 0)),
            _xlfn.TEXTBEFORE(J672,"-"),
            "Other"
        )
    ),
"Add")</f>
        <v>PCB</v>
      </c>
      <c r="B672" s="10" t="str">
        <f t="shared" si="11"/>
        <v>0128</v>
      </c>
      <c r="C672" s="10" t="str">
        <f>_xlfn.LET(
    _xlpm.val, IF(Datadetails[[#This Row],[Activity]]="D02","C20",Datadetails[[#This Row],[Activity]]),
    IF(ISNUMBER(MATCH(_xlpm.val,{"D04","C30","c40","C20"},0)), _xlpm.val, "Other")
)</f>
        <v>C30</v>
      </c>
      <c r="D672" s="10" t="str">
        <f>IFERROR(VLOOKUP(Datadetails[[#This Row],[Taskcode]],Dashboard!A:A,1,FALSE),"00 Err Missing")</f>
        <v>0128</v>
      </c>
      <c r="E672" s="79">
        <v>45797</v>
      </c>
      <c r="F672" s="80" t="s">
        <v>329</v>
      </c>
      <c r="G672" s="60" t="s">
        <v>40</v>
      </c>
      <c r="H672" s="80" t="s">
        <v>295</v>
      </c>
      <c r="I672" s="80" t="s">
        <v>34</v>
      </c>
      <c r="J672" s="80" t="s">
        <v>379</v>
      </c>
      <c r="K672" s="80" t="s">
        <v>347</v>
      </c>
      <c r="L672" s="80" t="s">
        <v>343</v>
      </c>
      <c r="M672" s="81">
        <v>0.08</v>
      </c>
      <c r="N672" s="82">
        <v>6</v>
      </c>
    </row>
    <row r="673" spans="1:14" x14ac:dyDescent="0.25">
      <c r="A673" s="10" t="str">
        <f>_xlfn.IFNA(
    IF(J673=
        "PCB-0001",
        "CSS",
        IF(
            ISNUMBER(MATCH(_xlfn.TEXTBEFORE(J673,"-"), {"CSS","CSN","PCB","PCF","BEC","CSD","PCM"}, 0)),
            _xlfn.TEXTBEFORE(J673,"-"),
            "Other"
        )
    ),
"Add")</f>
        <v>PCB</v>
      </c>
      <c r="B673" s="10" t="str">
        <f t="shared" si="11"/>
        <v>0129</v>
      </c>
      <c r="C673" s="10" t="str">
        <f>_xlfn.LET(
    _xlpm.val, IF(Datadetails[[#This Row],[Activity]]="D02","C20",Datadetails[[#This Row],[Activity]]),
    IF(ISNUMBER(MATCH(_xlpm.val,{"D04","C30","c40","C20"},0)), _xlpm.val, "Other")
)</f>
        <v>C30</v>
      </c>
      <c r="D673" s="10" t="str">
        <f>IFERROR(VLOOKUP(Datadetails[[#This Row],[Taskcode]],Dashboard!A:A,1,FALSE),"00 Err Missing")</f>
        <v>0129</v>
      </c>
      <c r="E673" s="79">
        <v>45797</v>
      </c>
      <c r="F673" s="80" t="s">
        <v>329</v>
      </c>
      <c r="G673" s="60" t="s">
        <v>40</v>
      </c>
      <c r="H673" s="80" t="s">
        <v>296</v>
      </c>
      <c r="I673" s="80" t="s">
        <v>34</v>
      </c>
      <c r="J673" s="80" t="s">
        <v>411</v>
      </c>
      <c r="K673" s="80" t="s">
        <v>347</v>
      </c>
      <c r="L673" s="80" t="s">
        <v>343</v>
      </c>
      <c r="M673" s="81">
        <v>0.08</v>
      </c>
      <c r="N673" s="82">
        <v>6</v>
      </c>
    </row>
    <row r="674" spans="1:14" x14ac:dyDescent="0.25">
      <c r="A674" s="10" t="str">
        <f>_xlfn.IFNA(
    IF(J674=
        "PCB-0001",
        "CSS",
        IF(
            ISNUMBER(MATCH(_xlfn.TEXTBEFORE(J674,"-"), {"CSS","CSN","PCB","PCF","BEC","CSD","PCM"}, 0)),
            _xlfn.TEXTBEFORE(J674,"-"),
            "Other"
        )
    ),
"Add")</f>
        <v>PCB</v>
      </c>
      <c r="B674" s="10" t="str">
        <f t="shared" si="11"/>
        <v>0091</v>
      </c>
      <c r="C674" s="10" t="str">
        <f>_xlfn.LET(
    _xlpm.val, IF(Datadetails[[#This Row],[Activity]]="D02","C20",Datadetails[[#This Row],[Activity]]),
    IF(ISNUMBER(MATCH(_xlpm.val,{"D04","C30","c40","C20"},0)), _xlpm.val, "Other")
)</f>
        <v>C30</v>
      </c>
      <c r="D674" s="10" t="str">
        <f>IFERROR(VLOOKUP(Datadetails[[#This Row],[Taskcode]],Dashboard!A:A,1,FALSE),"00 Err Missing")</f>
        <v>0091</v>
      </c>
      <c r="E674" s="79">
        <v>45797</v>
      </c>
      <c r="F674" s="80" t="s">
        <v>329</v>
      </c>
      <c r="G674" s="60" t="s">
        <v>40</v>
      </c>
      <c r="H674" s="80" t="s">
        <v>258</v>
      </c>
      <c r="I674" s="80" t="s">
        <v>34</v>
      </c>
      <c r="J674" s="80" t="s">
        <v>381</v>
      </c>
      <c r="K674" s="80" t="s">
        <v>347</v>
      </c>
      <c r="L674" s="80" t="s">
        <v>343</v>
      </c>
      <c r="M674" s="81">
        <v>0.08</v>
      </c>
      <c r="N674" s="82">
        <v>6</v>
      </c>
    </row>
    <row r="675" spans="1:14" x14ac:dyDescent="0.25">
      <c r="A675" s="10" t="str">
        <f>_xlfn.IFNA(
    IF(J675=
        "PCB-0001",
        "CSS",
        IF(
            ISNUMBER(MATCH(_xlfn.TEXTBEFORE(J675,"-"), {"CSS","CSN","PCB","PCF","BEC","CSD","PCM"}, 0)),
            _xlfn.TEXTBEFORE(J675,"-"),
            "Other"
        )
    ),
"Add")</f>
        <v>PCB</v>
      </c>
      <c r="B675" s="10" t="str">
        <f t="shared" si="11"/>
        <v>0092</v>
      </c>
      <c r="C675" s="10" t="str">
        <f>_xlfn.LET(
    _xlpm.val, IF(Datadetails[[#This Row],[Activity]]="D02","C20",Datadetails[[#This Row],[Activity]]),
    IF(ISNUMBER(MATCH(_xlpm.val,{"D04","C30","c40","C20"},0)), _xlpm.val, "Other")
)</f>
        <v>C30</v>
      </c>
      <c r="D675" s="10" t="str">
        <f>IFERROR(VLOOKUP(Datadetails[[#This Row],[Taskcode]],Dashboard!A:A,1,FALSE),"00 Err Missing")</f>
        <v>0092</v>
      </c>
      <c r="E675" s="79">
        <v>45797</v>
      </c>
      <c r="F675" s="80" t="s">
        <v>329</v>
      </c>
      <c r="G675" s="60" t="s">
        <v>40</v>
      </c>
      <c r="H675" s="80" t="s">
        <v>259</v>
      </c>
      <c r="I675" s="80" t="s">
        <v>34</v>
      </c>
      <c r="J675" s="80" t="s">
        <v>407</v>
      </c>
      <c r="K675" s="80" t="s">
        <v>347</v>
      </c>
      <c r="L675" s="80" t="s">
        <v>343</v>
      </c>
      <c r="M675" s="81">
        <v>0.5</v>
      </c>
      <c r="N675" s="82">
        <v>37.5</v>
      </c>
    </row>
    <row r="676" spans="1:14" x14ac:dyDescent="0.25">
      <c r="A676" s="10" t="str">
        <f>_xlfn.IFNA(
    IF(J676=
        "PCB-0001",
        "CSS",
        IF(
            ISNUMBER(MATCH(_xlfn.TEXTBEFORE(J676,"-"), {"CSS","CSN","PCB","PCF","BEC","CSD","PCM"}, 0)),
            _xlfn.TEXTBEFORE(J676,"-"),
            "Other"
        )
    ),
"Add")</f>
        <v>PCF</v>
      </c>
      <c r="B676" s="10" t="str">
        <f t="shared" si="11"/>
        <v>0066</v>
      </c>
      <c r="C676" s="10" t="str">
        <f>_xlfn.LET(
    _xlpm.val, IF(Datadetails[[#This Row],[Activity]]="D02","C20",Datadetails[[#This Row],[Activity]]),
    IF(ISNUMBER(MATCH(_xlpm.val,{"D04","C30","c40","C20"},0)), _xlpm.val, "Other")
)</f>
        <v>C30</v>
      </c>
      <c r="D676" s="10" t="str">
        <f>IFERROR(VLOOKUP(Datadetails[[#This Row],[Taskcode]],Dashboard!A:A,1,FALSE),"00 Err Missing")</f>
        <v>0066</v>
      </c>
      <c r="E676" s="79">
        <v>45797</v>
      </c>
      <c r="F676" s="80" t="s">
        <v>326</v>
      </c>
      <c r="G676" s="60" t="s">
        <v>40</v>
      </c>
      <c r="H676" s="80" t="s">
        <v>233</v>
      </c>
      <c r="I676" s="80" t="s">
        <v>34</v>
      </c>
      <c r="J676" s="80" t="s">
        <v>387</v>
      </c>
      <c r="K676" s="80" t="s">
        <v>348</v>
      </c>
      <c r="L676" s="80" t="s">
        <v>343</v>
      </c>
      <c r="M676" s="81">
        <v>0.75</v>
      </c>
      <c r="N676" s="82">
        <v>45</v>
      </c>
    </row>
    <row r="677" spans="1:14" x14ac:dyDescent="0.25">
      <c r="A677" s="10" t="str">
        <f>_xlfn.IFNA(
    IF(J677=
        "PCB-0001",
        "CSS",
        IF(
            ISNUMBER(MATCH(_xlfn.TEXTBEFORE(J677,"-"), {"CSS","CSN","PCB","PCF","BEC","CSD","PCM"}, 0)),
            _xlfn.TEXTBEFORE(J677,"-"),
            "Other"
        )
    ),
"Add")</f>
        <v>BEC</v>
      </c>
      <c r="B677" s="10" t="str">
        <f t="shared" si="11"/>
        <v>0001</v>
      </c>
      <c r="C677" s="10" t="str">
        <f>_xlfn.LET(
    _xlpm.val, IF(Datadetails[[#This Row],[Activity]]="D02","C20",Datadetails[[#This Row],[Activity]]),
    IF(ISNUMBER(MATCH(_xlpm.val,{"D04","C30","c40","C20"},0)), _xlpm.val, "Other")
)</f>
        <v>D04</v>
      </c>
      <c r="D677" s="10" t="str">
        <f>IFERROR(VLOOKUP(Datadetails[[#This Row],[Taskcode]],Dashboard!A:A,1,FALSE),"00 Err Missing")</f>
        <v>0001</v>
      </c>
      <c r="E677" s="79">
        <v>45797</v>
      </c>
      <c r="F677" s="80" t="s">
        <v>332</v>
      </c>
      <c r="G677" s="60" t="s">
        <v>40</v>
      </c>
      <c r="H677" s="80" t="s">
        <v>314</v>
      </c>
      <c r="I677" s="80" t="s">
        <v>35</v>
      </c>
      <c r="J677" s="80" t="s">
        <v>359</v>
      </c>
      <c r="K677" s="80" t="s">
        <v>339</v>
      </c>
      <c r="L677" s="80" t="s">
        <v>352</v>
      </c>
      <c r="M677" s="81">
        <v>7.83</v>
      </c>
      <c r="N677" s="82">
        <v>313.2</v>
      </c>
    </row>
    <row r="678" spans="1:14" x14ac:dyDescent="0.25">
      <c r="A678" s="10" t="str">
        <f>_xlfn.IFNA(
    IF(J678=
        "PCB-0001",
        "CSS",
        IF(
            ISNUMBER(MATCH(_xlfn.TEXTBEFORE(J678,"-"), {"CSS","CSN","PCB","PCF","BEC","CSD","PCM"}, 0)),
            _xlfn.TEXTBEFORE(J678,"-"),
            "Other"
        )
    ),
"Add")</f>
        <v>BEC</v>
      </c>
      <c r="B678" s="10" t="str">
        <f t="shared" si="11"/>
        <v>0001</v>
      </c>
      <c r="C678" s="10" t="str">
        <f>_xlfn.LET(
    _xlpm.val, IF(Datadetails[[#This Row],[Activity]]="D02","C20",Datadetails[[#This Row],[Activity]]),
    IF(ISNUMBER(MATCH(_xlpm.val,{"D04","C30","c40","C20"},0)), _xlpm.val, "Other")
)</f>
        <v>D04</v>
      </c>
      <c r="D678" s="10" t="str">
        <f>IFERROR(VLOOKUP(Datadetails[[#This Row],[Taskcode]],Dashboard!A:A,1,FALSE),"00 Err Missing")</f>
        <v>0001</v>
      </c>
      <c r="E678" s="79">
        <v>45797</v>
      </c>
      <c r="F678" s="80" t="s">
        <v>324</v>
      </c>
      <c r="G678" s="60" t="s">
        <v>40</v>
      </c>
      <c r="H678" s="80" t="s">
        <v>314</v>
      </c>
      <c r="I678" s="80" t="s">
        <v>35</v>
      </c>
      <c r="J678" s="80" t="s">
        <v>359</v>
      </c>
      <c r="K678" s="80" t="s">
        <v>339</v>
      </c>
      <c r="L678" s="80" t="s">
        <v>352</v>
      </c>
      <c r="M678" s="81">
        <v>0.5</v>
      </c>
      <c r="N678" s="82">
        <v>37.5</v>
      </c>
    </row>
    <row r="679" spans="1:14" x14ac:dyDescent="0.25">
      <c r="A679" s="10" t="str">
        <f>_xlfn.IFNA(
    IF(J679=
        "PCB-0001",
        "CSS",
        IF(
            ISNUMBER(MATCH(_xlfn.TEXTBEFORE(J679,"-"), {"CSS","CSN","PCB","PCF","BEC","CSD","PCM"}, 0)),
            _xlfn.TEXTBEFORE(J679,"-"),
            "Other"
        )
    ),
"Add")</f>
        <v>CSD</v>
      </c>
      <c r="B679" s="10" t="str">
        <f t="shared" si="11"/>
        <v>0001</v>
      </c>
      <c r="C679" s="10" t="str">
        <f>_xlfn.LET(
    _xlpm.val, IF(Datadetails[[#This Row],[Activity]]="D02","C20",Datadetails[[#This Row],[Activity]]),
    IF(ISNUMBER(MATCH(_xlpm.val,{"D04","C30","c40","C20"},0)), _xlpm.val, "Other")
)</f>
        <v>D04</v>
      </c>
      <c r="D679" s="10" t="str">
        <f>IFERROR(VLOOKUP(Datadetails[[#This Row],[Taskcode]],Dashboard!A:A,1,FALSE),"00 Err Missing")</f>
        <v>0001</v>
      </c>
      <c r="E679" s="79">
        <v>45798</v>
      </c>
      <c r="F679" s="80" t="s">
        <v>333</v>
      </c>
      <c r="G679" s="60" t="s">
        <v>40</v>
      </c>
      <c r="H679" s="80" t="s">
        <v>320</v>
      </c>
      <c r="I679" s="80" t="s">
        <v>35</v>
      </c>
      <c r="J679" s="80" t="s">
        <v>322</v>
      </c>
      <c r="K679" s="80" t="s">
        <v>319</v>
      </c>
      <c r="L679" s="80" t="s">
        <v>352</v>
      </c>
      <c r="M679" s="81">
        <v>7.08</v>
      </c>
      <c r="N679" s="82">
        <v>226.56</v>
      </c>
    </row>
    <row r="680" spans="1:14" x14ac:dyDescent="0.25">
      <c r="A680" s="10" t="str">
        <f>_xlfn.IFNA(
    IF(J680=
        "PCB-0001",
        "CSS",
        IF(
            ISNUMBER(MATCH(_xlfn.TEXTBEFORE(J680,"-"), {"CSS","CSN","PCB","PCF","BEC","CSD","PCM"}, 0)),
            _xlfn.TEXTBEFORE(J680,"-"),
            "Other"
        )
    ),
"Add")</f>
        <v>CSD</v>
      </c>
      <c r="B680" s="10" t="str">
        <f t="shared" si="11"/>
        <v>0001</v>
      </c>
      <c r="C680" s="10" t="str">
        <f>_xlfn.LET(
    _xlpm.val, IF(Datadetails[[#This Row],[Activity]]="D02","C20",Datadetails[[#This Row],[Activity]]),
    IF(ISNUMBER(MATCH(_xlpm.val,{"D04","C30","c40","C20"},0)), _xlpm.val, "Other")
)</f>
        <v>D04</v>
      </c>
      <c r="D680" s="10" t="str">
        <f>IFERROR(VLOOKUP(Datadetails[[#This Row],[Taskcode]],Dashboard!A:A,1,FALSE),"00 Err Missing")</f>
        <v>0001</v>
      </c>
      <c r="E680" s="79">
        <v>45798</v>
      </c>
      <c r="F680" s="80" t="s">
        <v>327</v>
      </c>
      <c r="G680" s="60" t="s">
        <v>40</v>
      </c>
      <c r="H680" s="80" t="s">
        <v>320</v>
      </c>
      <c r="I680" s="80" t="s">
        <v>35</v>
      </c>
      <c r="J680" s="80" t="s">
        <v>322</v>
      </c>
      <c r="K680" s="80" t="s">
        <v>319</v>
      </c>
      <c r="L680" s="80" t="s">
        <v>352</v>
      </c>
      <c r="M680" s="81">
        <v>6.33</v>
      </c>
      <c r="N680" s="82">
        <v>202.56</v>
      </c>
    </row>
    <row r="681" spans="1:14" x14ac:dyDescent="0.25">
      <c r="A681" s="10" t="str">
        <f>_xlfn.IFNA(
    IF(J681=
        "PCB-0001",
        "CSS",
        IF(
            ISNUMBER(MATCH(_xlfn.TEXTBEFORE(J681,"-"), {"CSS","CSN","PCB","PCF","BEC","CSD","PCM"}, 0)),
            _xlfn.TEXTBEFORE(J681,"-"),
            "Other"
        )
    ),
"Add")</f>
        <v>PCM</v>
      </c>
      <c r="B681" s="10" t="str">
        <f t="shared" si="11"/>
        <v>0064</v>
      </c>
      <c r="C681" s="10" t="str">
        <f>_xlfn.LET(
    _xlpm.val, IF(Datadetails[[#This Row],[Activity]]="D02","C20",Datadetails[[#This Row],[Activity]]),
    IF(ISNUMBER(MATCH(_xlpm.val,{"D04","C30","c40","C20"},0)), _xlpm.val, "Other")
)</f>
        <v>C20</v>
      </c>
      <c r="D681" s="10" t="str">
        <f>IFERROR(VLOOKUP(Datadetails[[#This Row],[Taskcode]],Dashboard!A:A,1,FALSE),"00 Err Missing")</f>
        <v>0064</v>
      </c>
      <c r="E681" s="79">
        <v>45798</v>
      </c>
      <c r="F681" s="80" t="s">
        <v>323</v>
      </c>
      <c r="G681" s="60" t="s">
        <v>40</v>
      </c>
      <c r="H681" s="80" t="s">
        <v>231</v>
      </c>
      <c r="I681" s="80" t="s">
        <v>36</v>
      </c>
      <c r="J681" s="80" t="s">
        <v>420</v>
      </c>
      <c r="K681" s="80" t="s">
        <v>346</v>
      </c>
      <c r="L681" s="80" t="s">
        <v>342</v>
      </c>
      <c r="M681" s="81">
        <v>0.25</v>
      </c>
      <c r="N681" s="82">
        <v>15</v>
      </c>
    </row>
    <row r="682" spans="1:14" x14ac:dyDescent="0.25">
      <c r="A682" s="10" t="str">
        <f>_xlfn.IFNA(
    IF(J682=
        "PCB-0001",
        "CSS",
        IF(
            ISNUMBER(MATCH(_xlfn.TEXTBEFORE(J682,"-"), {"CSS","CSN","PCB","PCF","BEC","CSD","PCM"}, 0)),
            _xlfn.TEXTBEFORE(J682,"-"),
            "Other"
        )
    ),
"Add")</f>
        <v>PCM</v>
      </c>
      <c r="B682" s="10" t="str">
        <f t="shared" si="11"/>
        <v>0065</v>
      </c>
      <c r="C682" s="10" t="str">
        <f>_xlfn.LET(
    _xlpm.val, IF(Datadetails[[#This Row],[Activity]]="D02","C20",Datadetails[[#This Row],[Activity]]),
    IF(ISNUMBER(MATCH(_xlpm.val,{"D04","C30","c40","C20"},0)), _xlpm.val, "Other")
)</f>
        <v>C20</v>
      </c>
      <c r="D682" s="10" t="str">
        <f>IFERROR(VLOOKUP(Datadetails[[#This Row],[Taskcode]],Dashboard!A:A,1,FALSE),"00 Err Missing")</f>
        <v>0065</v>
      </c>
      <c r="E682" s="79">
        <v>45798</v>
      </c>
      <c r="F682" s="80" t="s">
        <v>323</v>
      </c>
      <c r="G682" s="60" t="s">
        <v>40</v>
      </c>
      <c r="H682" s="80" t="s">
        <v>232</v>
      </c>
      <c r="I682" s="80" t="s">
        <v>36</v>
      </c>
      <c r="J682" s="80" t="s">
        <v>393</v>
      </c>
      <c r="K682" s="80" t="s">
        <v>346</v>
      </c>
      <c r="L682" s="80" t="s">
        <v>342</v>
      </c>
      <c r="M682" s="81">
        <v>0.25</v>
      </c>
      <c r="N682" s="82">
        <v>15</v>
      </c>
    </row>
    <row r="683" spans="1:14" x14ac:dyDescent="0.25">
      <c r="A683" s="10" t="str">
        <f>_xlfn.IFNA(
    IF(J683=
        "PCB-0001",
        "CSS",
        IF(
            ISNUMBER(MATCH(_xlfn.TEXTBEFORE(J683,"-"), {"CSS","CSN","PCB","PCF","BEC","CSD","PCM"}, 0)),
            _xlfn.TEXTBEFORE(J683,"-"),
            "Other"
        )
    ),
"Add")</f>
        <v>PCM</v>
      </c>
      <c r="B683" s="10" t="str">
        <f t="shared" si="11"/>
        <v>0116</v>
      </c>
      <c r="C683" s="10" t="str">
        <f>_xlfn.LET(
    _xlpm.val, IF(Datadetails[[#This Row],[Activity]]="D02","C20",Datadetails[[#This Row],[Activity]]),
    IF(ISNUMBER(MATCH(_xlpm.val,{"D04","C30","c40","C20"},0)), _xlpm.val, "Other")
)</f>
        <v>C20</v>
      </c>
      <c r="D683" s="10" t="str">
        <f>IFERROR(VLOOKUP(Datadetails[[#This Row],[Taskcode]],Dashboard!A:A,1,FALSE),"00 Err Missing")</f>
        <v>0116</v>
      </c>
      <c r="E683" s="79">
        <v>45798</v>
      </c>
      <c r="F683" s="80" t="s">
        <v>323</v>
      </c>
      <c r="G683" s="60" t="s">
        <v>40</v>
      </c>
      <c r="H683" s="80" t="s">
        <v>283</v>
      </c>
      <c r="I683" s="80" t="s">
        <v>36</v>
      </c>
      <c r="J683" s="80" t="s">
        <v>429</v>
      </c>
      <c r="K683" s="80" t="s">
        <v>346</v>
      </c>
      <c r="L683" s="80" t="s">
        <v>342</v>
      </c>
      <c r="M683" s="81">
        <v>0.25</v>
      </c>
      <c r="N683" s="82">
        <v>15</v>
      </c>
    </row>
    <row r="684" spans="1:14" x14ac:dyDescent="0.25">
      <c r="A684" s="10" t="str">
        <f>_xlfn.IFNA(
    IF(J684=
        "PCB-0001",
        "CSS",
        IF(
            ISNUMBER(MATCH(_xlfn.TEXTBEFORE(J684,"-"), {"CSS","CSN","PCB","PCF","BEC","CSD","PCM"}, 0)),
            _xlfn.TEXTBEFORE(J684,"-"),
            "Other"
        )
    ),
"Add")</f>
        <v>PCM</v>
      </c>
      <c r="B684" s="10" t="str">
        <f t="shared" si="11"/>
        <v>0100</v>
      </c>
      <c r="C684" s="10" t="str">
        <f>_xlfn.LET(
    _xlpm.val, IF(Datadetails[[#This Row],[Activity]]="D02","C20",Datadetails[[#This Row],[Activity]]),
    IF(ISNUMBER(MATCH(_xlpm.val,{"D04","C30","c40","C20"},0)), _xlpm.val, "Other")
)</f>
        <v>C20</v>
      </c>
      <c r="D684" s="10" t="str">
        <f>IFERROR(VLOOKUP(Datadetails[[#This Row],[Taskcode]],Dashboard!A:A,1,FALSE),"00 Err Missing")</f>
        <v>0100</v>
      </c>
      <c r="E684" s="79">
        <v>45798</v>
      </c>
      <c r="F684" s="80" t="s">
        <v>323</v>
      </c>
      <c r="G684" s="60" t="s">
        <v>40</v>
      </c>
      <c r="H684" s="80" t="s">
        <v>267</v>
      </c>
      <c r="I684" s="80" t="s">
        <v>36</v>
      </c>
      <c r="J684" s="80" t="s">
        <v>436</v>
      </c>
      <c r="K684" s="80" t="s">
        <v>346</v>
      </c>
      <c r="L684" s="80" t="s">
        <v>342</v>
      </c>
      <c r="M684" s="81">
        <v>0.25</v>
      </c>
      <c r="N684" s="82">
        <v>15</v>
      </c>
    </row>
    <row r="685" spans="1:14" x14ac:dyDescent="0.25">
      <c r="A685" s="10" t="str">
        <f>_xlfn.IFNA(
    IF(J685=
        "PCB-0001",
        "CSS",
        IF(
            ISNUMBER(MATCH(_xlfn.TEXTBEFORE(J685,"-"), {"CSS","CSN","PCB","PCF","BEC","CSD","PCM"}, 0)),
            _xlfn.TEXTBEFORE(J685,"-"),
            "Other"
        )
    ),
"Add")</f>
        <v>PCM</v>
      </c>
      <c r="B685" s="10" t="str">
        <f t="shared" si="11"/>
        <v>0107</v>
      </c>
      <c r="C685" s="10" t="str">
        <f>_xlfn.LET(
    _xlpm.val, IF(Datadetails[[#This Row],[Activity]]="D02","C20",Datadetails[[#This Row],[Activity]]),
    IF(ISNUMBER(MATCH(_xlpm.val,{"D04","C30","c40","C20"},0)), _xlpm.val, "Other")
)</f>
        <v>C20</v>
      </c>
      <c r="D685" s="10" t="str">
        <f>IFERROR(VLOOKUP(Datadetails[[#This Row],[Taskcode]],Dashboard!A:A,1,FALSE),"00 Err Missing")</f>
        <v>0107</v>
      </c>
      <c r="E685" s="79">
        <v>45798</v>
      </c>
      <c r="F685" s="80" t="s">
        <v>323</v>
      </c>
      <c r="G685" s="60" t="s">
        <v>40</v>
      </c>
      <c r="H685" s="80" t="s">
        <v>274</v>
      </c>
      <c r="I685" s="80" t="s">
        <v>36</v>
      </c>
      <c r="J685" s="80" t="s">
        <v>421</v>
      </c>
      <c r="K685" s="80" t="s">
        <v>346</v>
      </c>
      <c r="L685" s="80" t="s">
        <v>342</v>
      </c>
      <c r="M685" s="81">
        <v>0.25</v>
      </c>
      <c r="N685" s="82">
        <v>15</v>
      </c>
    </row>
    <row r="686" spans="1:14" x14ac:dyDescent="0.25">
      <c r="A686" s="10" t="str">
        <f>_xlfn.IFNA(
    IF(J686=
        "PCB-0001",
        "CSS",
        IF(
            ISNUMBER(MATCH(_xlfn.TEXTBEFORE(J686,"-"), {"CSS","CSN","PCB","PCF","BEC","CSD","PCM"}, 0)),
            _xlfn.TEXTBEFORE(J686,"-"),
            "Other"
        )
    ),
"Add")</f>
        <v>PCM</v>
      </c>
      <c r="B686" s="10" t="str">
        <f t="shared" si="11"/>
        <v>0114</v>
      </c>
      <c r="C686" s="10" t="str">
        <f>_xlfn.LET(
    _xlpm.val, IF(Datadetails[[#This Row],[Activity]]="D02","C20",Datadetails[[#This Row],[Activity]]),
    IF(ISNUMBER(MATCH(_xlpm.val,{"D04","C30","c40","C20"},0)), _xlpm.val, "Other")
)</f>
        <v>C20</v>
      </c>
      <c r="D686" s="10" t="str">
        <f>IFERROR(VLOOKUP(Datadetails[[#This Row],[Taskcode]],Dashboard!A:A,1,FALSE),"00 Err Missing")</f>
        <v>0114</v>
      </c>
      <c r="E686" s="79">
        <v>45798</v>
      </c>
      <c r="F686" s="80" t="s">
        <v>323</v>
      </c>
      <c r="G686" s="60" t="s">
        <v>40</v>
      </c>
      <c r="H686" s="80" t="s">
        <v>281</v>
      </c>
      <c r="I686" s="80" t="s">
        <v>36</v>
      </c>
      <c r="J686" s="80" t="s">
        <v>430</v>
      </c>
      <c r="K686" s="80" t="s">
        <v>346</v>
      </c>
      <c r="L686" s="80" t="s">
        <v>342</v>
      </c>
      <c r="M686" s="81">
        <v>0.25</v>
      </c>
      <c r="N686" s="82">
        <v>15</v>
      </c>
    </row>
    <row r="687" spans="1:14" x14ac:dyDescent="0.25">
      <c r="A687" s="10" t="str">
        <f>_xlfn.IFNA(
    IF(J687=
        "PCB-0001",
        "CSS",
        IF(
            ISNUMBER(MATCH(_xlfn.TEXTBEFORE(J687,"-"), {"CSS","CSN","PCB","PCF","BEC","CSD","PCM"}, 0)),
            _xlfn.TEXTBEFORE(J687,"-"),
            "Other"
        )
    ),
"Add")</f>
        <v>PCM</v>
      </c>
      <c r="B687" s="10" t="str">
        <f t="shared" si="11"/>
        <v>0107</v>
      </c>
      <c r="C687" s="10" t="str">
        <f>_xlfn.LET(
    _xlpm.val, IF(Datadetails[[#This Row],[Activity]]="D02","C20",Datadetails[[#This Row],[Activity]]),
    IF(ISNUMBER(MATCH(_xlpm.val,{"D04","C30","c40","C20"},0)), _xlpm.val, "Other")
)</f>
        <v>C30</v>
      </c>
      <c r="D687" s="10" t="str">
        <f>IFERROR(VLOOKUP(Datadetails[[#This Row],[Taskcode]],Dashboard!A:A,1,FALSE),"00 Err Missing")</f>
        <v>0107</v>
      </c>
      <c r="E687" s="79">
        <v>45798</v>
      </c>
      <c r="F687" s="80" t="s">
        <v>323</v>
      </c>
      <c r="G687" s="60" t="s">
        <v>40</v>
      </c>
      <c r="H687" s="80" t="s">
        <v>274</v>
      </c>
      <c r="I687" s="80" t="s">
        <v>34</v>
      </c>
      <c r="J687" s="80" t="s">
        <v>421</v>
      </c>
      <c r="K687" s="80" t="s">
        <v>346</v>
      </c>
      <c r="L687" s="80" t="s">
        <v>343</v>
      </c>
      <c r="M687" s="81">
        <v>0.25</v>
      </c>
      <c r="N687" s="82">
        <v>15</v>
      </c>
    </row>
    <row r="688" spans="1:14" x14ac:dyDescent="0.25">
      <c r="A688" s="10" t="str">
        <f>_xlfn.IFNA(
    IF(J688=
        "PCB-0001",
        "CSS",
        IF(
            ISNUMBER(MATCH(_xlfn.TEXTBEFORE(J688,"-"), {"CSS","CSN","PCB","PCF","BEC","CSD","PCM"}, 0)),
            _xlfn.TEXTBEFORE(J688,"-"),
            "Other"
        )
    ),
"Add")</f>
        <v>PCB</v>
      </c>
      <c r="B688" s="10" t="str">
        <f t="shared" si="11"/>
        <v>0032</v>
      </c>
      <c r="C688" s="10" t="str">
        <f>_xlfn.LET(
    _xlpm.val, IF(Datadetails[[#This Row],[Activity]]="D02","C20",Datadetails[[#This Row],[Activity]]),
    IF(ISNUMBER(MATCH(_xlpm.val,{"D04","C30","c40","C20"},0)), _xlpm.val, "Other")
)</f>
        <v>C30</v>
      </c>
      <c r="D688" s="10" t="str">
        <f>IFERROR(VLOOKUP(Datadetails[[#This Row],[Taskcode]],Dashboard!A:A,1,FALSE),"00 Err Missing")</f>
        <v>0032</v>
      </c>
      <c r="E688" s="79">
        <v>45798</v>
      </c>
      <c r="F688" s="80" t="s">
        <v>330</v>
      </c>
      <c r="G688" s="60" t="s">
        <v>40</v>
      </c>
      <c r="H688" s="80" t="s">
        <v>199</v>
      </c>
      <c r="I688" s="80" t="s">
        <v>34</v>
      </c>
      <c r="J688" s="80" t="s">
        <v>414</v>
      </c>
      <c r="K688" s="80" t="s">
        <v>347</v>
      </c>
      <c r="L688" s="80" t="s">
        <v>343</v>
      </c>
      <c r="M688" s="81">
        <v>0.5</v>
      </c>
      <c r="N688" s="82">
        <v>30</v>
      </c>
    </row>
    <row r="689" spans="1:14" x14ac:dyDescent="0.25">
      <c r="A689" s="10" t="str">
        <f>_xlfn.IFNA(
    IF(J689=
        "PCB-0001",
        "CSS",
        IF(
            ISNUMBER(MATCH(_xlfn.TEXTBEFORE(J689,"-"), {"CSS","CSN","PCB","PCF","BEC","CSD","PCM"}, 0)),
            _xlfn.TEXTBEFORE(J689,"-"),
            "Other"
        )
    ),
"Add")</f>
        <v>PCB</v>
      </c>
      <c r="B689" s="10" t="str">
        <f t="shared" si="11"/>
        <v>0012</v>
      </c>
      <c r="C689" s="10" t="str">
        <f>_xlfn.LET(
    _xlpm.val, IF(Datadetails[[#This Row],[Activity]]="D02","C20",Datadetails[[#This Row],[Activity]]),
    IF(ISNUMBER(MATCH(_xlpm.val,{"D04","C30","c40","C20"},0)), _xlpm.val, "Other")
)</f>
        <v>C30</v>
      </c>
      <c r="D689" s="10" t="str">
        <f>IFERROR(VLOOKUP(Datadetails[[#This Row],[Taskcode]],Dashboard!A:A,1,FALSE),"00 Err Missing")</f>
        <v>0012</v>
      </c>
      <c r="E689" s="79">
        <v>45798</v>
      </c>
      <c r="F689" s="80" t="s">
        <v>325</v>
      </c>
      <c r="G689" s="60" t="s">
        <v>40</v>
      </c>
      <c r="H689" s="80" t="s">
        <v>179</v>
      </c>
      <c r="I689" s="80" t="s">
        <v>34</v>
      </c>
      <c r="J689" s="80" t="s">
        <v>422</v>
      </c>
      <c r="K689" s="80" t="s">
        <v>347</v>
      </c>
      <c r="L689" s="80" t="s">
        <v>343</v>
      </c>
      <c r="M689" s="81">
        <v>0.25</v>
      </c>
      <c r="N689" s="82">
        <v>18.75</v>
      </c>
    </row>
    <row r="690" spans="1:14" x14ac:dyDescent="0.25">
      <c r="A690" s="10" t="str">
        <f>_xlfn.IFNA(
    IF(J690=
        "PCB-0001",
        "CSS",
        IF(
            ISNUMBER(MATCH(_xlfn.TEXTBEFORE(J690,"-"), {"CSS","CSN","PCB","PCF","BEC","CSD","PCM"}, 0)),
            _xlfn.TEXTBEFORE(J690,"-"),
            "Other"
        )
    ),
"Add")</f>
        <v>PCB</v>
      </c>
      <c r="B690" s="10" t="str">
        <f t="shared" si="11"/>
        <v>0095</v>
      </c>
      <c r="C690" s="10" t="str">
        <f>_xlfn.LET(
    _xlpm.val, IF(Datadetails[[#This Row],[Activity]]="D02","C20",Datadetails[[#This Row],[Activity]]),
    IF(ISNUMBER(MATCH(_xlpm.val,{"D04","C30","c40","C20"},0)), _xlpm.val, "Other")
)</f>
        <v>C30</v>
      </c>
      <c r="D690" s="10" t="str">
        <f>IFERROR(VLOOKUP(Datadetails[[#This Row],[Taskcode]],Dashboard!A:A,1,FALSE),"00 Err Missing")</f>
        <v>0095</v>
      </c>
      <c r="E690" s="79">
        <v>45798</v>
      </c>
      <c r="F690" s="80" t="s">
        <v>325</v>
      </c>
      <c r="G690" s="60" t="s">
        <v>40</v>
      </c>
      <c r="H690" s="80" t="s">
        <v>262</v>
      </c>
      <c r="I690" s="80" t="s">
        <v>34</v>
      </c>
      <c r="J690" s="80" t="s">
        <v>442</v>
      </c>
      <c r="K690" s="80" t="s">
        <v>347</v>
      </c>
      <c r="L690" s="80" t="s">
        <v>343</v>
      </c>
      <c r="M690" s="81">
        <v>0.17</v>
      </c>
      <c r="N690" s="82">
        <v>12.750000000000002</v>
      </c>
    </row>
    <row r="691" spans="1:14" x14ac:dyDescent="0.25">
      <c r="A691" s="10" t="str">
        <f>_xlfn.IFNA(
    IF(J691=
        "PCB-0001",
        "CSS",
        IF(
            ISNUMBER(MATCH(_xlfn.TEXTBEFORE(J691,"-"), {"CSS","CSN","PCB","PCF","BEC","CSD","PCM"}, 0)),
            _xlfn.TEXTBEFORE(J691,"-"),
            "Other"
        )
    ),
"Add")</f>
        <v>PCB</v>
      </c>
      <c r="B691" s="10" t="str">
        <f t="shared" si="11"/>
        <v>0082</v>
      </c>
      <c r="C691" s="10" t="str">
        <f>_xlfn.LET(
    _xlpm.val, IF(Datadetails[[#This Row],[Activity]]="D02","C20",Datadetails[[#This Row],[Activity]]),
    IF(ISNUMBER(MATCH(_xlpm.val,{"D04","C30","c40","C20"},0)), _xlpm.val, "Other")
)</f>
        <v>C30</v>
      </c>
      <c r="D691" s="10" t="str">
        <f>IFERROR(VLOOKUP(Datadetails[[#This Row],[Taskcode]],Dashboard!A:A,1,FALSE),"00 Err Missing")</f>
        <v>0082</v>
      </c>
      <c r="E691" s="79">
        <v>45798</v>
      </c>
      <c r="F691" s="80" t="s">
        <v>325</v>
      </c>
      <c r="G691" s="60" t="s">
        <v>40</v>
      </c>
      <c r="H691" s="80" t="s">
        <v>249</v>
      </c>
      <c r="I691" s="80" t="s">
        <v>34</v>
      </c>
      <c r="J691" s="80" t="s">
        <v>409</v>
      </c>
      <c r="K691" s="80" t="s">
        <v>347</v>
      </c>
      <c r="L691" s="80" t="s">
        <v>343</v>
      </c>
      <c r="M691" s="81">
        <v>0.42</v>
      </c>
      <c r="N691" s="82">
        <v>31.5</v>
      </c>
    </row>
    <row r="692" spans="1:14" x14ac:dyDescent="0.25">
      <c r="A692" s="10" t="str">
        <f>_xlfn.IFNA(
    IF(J692=
        "PCB-0001",
        "CSS",
        IF(
            ISNUMBER(MATCH(_xlfn.TEXTBEFORE(J692,"-"), {"CSS","CSN","PCB","PCF","BEC","CSD","PCM"}, 0)),
            _xlfn.TEXTBEFORE(J692,"-"),
            "Other"
        )
    ),
"Add")</f>
        <v>PCB</v>
      </c>
      <c r="B692" s="10" t="str">
        <f t="shared" si="11"/>
        <v>0111</v>
      </c>
      <c r="C692" s="10" t="str">
        <f>_xlfn.LET(
    _xlpm.val, IF(Datadetails[[#This Row],[Activity]]="D02","C20",Datadetails[[#This Row],[Activity]]),
    IF(ISNUMBER(MATCH(_xlpm.val,{"D04","C30","c40","C20"},0)), _xlpm.val, "Other")
)</f>
        <v>C30</v>
      </c>
      <c r="D692" s="10" t="str">
        <f>IFERROR(VLOOKUP(Datadetails[[#This Row],[Taskcode]],Dashboard!A:A,1,FALSE),"00 Err Missing")</f>
        <v>0111</v>
      </c>
      <c r="E692" s="79">
        <v>45798</v>
      </c>
      <c r="F692" s="80" t="s">
        <v>325</v>
      </c>
      <c r="G692" s="60" t="s">
        <v>40</v>
      </c>
      <c r="H692" s="80" t="s">
        <v>278</v>
      </c>
      <c r="I692" s="80" t="s">
        <v>34</v>
      </c>
      <c r="J692" s="80" t="s">
        <v>452</v>
      </c>
      <c r="K692" s="80" t="s">
        <v>347</v>
      </c>
      <c r="L692" s="80" t="s">
        <v>343</v>
      </c>
      <c r="M692" s="81">
        <v>0.17</v>
      </c>
      <c r="N692" s="82">
        <v>12.750000000000002</v>
      </c>
    </row>
    <row r="693" spans="1:14" x14ac:dyDescent="0.25">
      <c r="A693" s="10" t="str">
        <f>_xlfn.IFNA(
    IF(J693=
        "PCB-0001",
        "CSS",
        IF(
            ISNUMBER(MATCH(_xlfn.TEXTBEFORE(J693,"-"), {"CSS","CSN","PCB","PCF","BEC","CSD","PCM"}, 0)),
            _xlfn.TEXTBEFORE(J693,"-"),
            "Other"
        )
    ),
"Add")</f>
        <v>PCF</v>
      </c>
      <c r="B693" s="10" t="str">
        <f t="shared" si="11"/>
        <v>0066</v>
      </c>
      <c r="C693" s="10" t="str">
        <f>_xlfn.LET(
    _xlpm.val, IF(Datadetails[[#This Row],[Activity]]="D02","C20",Datadetails[[#This Row],[Activity]]),
    IF(ISNUMBER(MATCH(_xlpm.val,{"D04","C30","c40","C20"},0)), _xlpm.val, "Other")
)</f>
        <v>C30</v>
      </c>
      <c r="D693" s="10" t="str">
        <f>IFERROR(VLOOKUP(Datadetails[[#This Row],[Taskcode]],Dashboard!A:A,1,FALSE),"00 Err Missing")</f>
        <v>0066</v>
      </c>
      <c r="E693" s="79">
        <v>45798</v>
      </c>
      <c r="F693" s="80" t="s">
        <v>326</v>
      </c>
      <c r="G693" s="60" t="s">
        <v>40</v>
      </c>
      <c r="H693" s="80" t="s">
        <v>233</v>
      </c>
      <c r="I693" s="80" t="s">
        <v>34</v>
      </c>
      <c r="J693" s="80" t="s">
        <v>387</v>
      </c>
      <c r="K693" s="80" t="s">
        <v>348</v>
      </c>
      <c r="L693" s="80" t="s">
        <v>343</v>
      </c>
      <c r="M693" s="81">
        <v>1</v>
      </c>
      <c r="N693" s="82">
        <v>60</v>
      </c>
    </row>
    <row r="694" spans="1:14" x14ac:dyDescent="0.25">
      <c r="A694" s="10" t="str">
        <f>_xlfn.IFNA(
    IF(J694=
        "PCB-0001",
        "CSS",
        IF(
            ISNUMBER(MATCH(_xlfn.TEXTBEFORE(J694,"-"), {"CSS","CSN","PCB","PCF","BEC","CSD","PCM"}, 0)),
            _xlfn.TEXTBEFORE(J694,"-"),
            "Other"
        )
    ),
"Add")</f>
        <v>BEC</v>
      </c>
      <c r="B694" s="10" t="str">
        <f t="shared" si="11"/>
        <v>0001</v>
      </c>
      <c r="C694" s="10" t="str">
        <f>_xlfn.LET(
    _xlpm.val, IF(Datadetails[[#This Row],[Activity]]="D02","C20",Datadetails[[#This Row],[Activity]]),
    IF(ISNUMBER(MATCH(_xlpm.val,{"D04","C30","c40","C20"},0)), _xlpm.val, "Other")
)</f>
        <v>D04</v>
      </c>
      <c r="D694" s="10" t="str">
        <f>IFERROR(VLOOKUP(Datadetails[[#This Row],[Taskcode]],Dashboard!A:A,1,FALSE),"00 Err Missing")</f>
        <v>0001</v>
      </c>
      <c r="E694" s="79">
        <v>45798</v>
      </c>
      <c r="F694" s="80" t="s">
        <v>332</v>
      </c>
      <c r="G694" s="60" t="s">
        <v>40</v>
      </c>
      <c r="H694" s="80" t="s">
        <v>314</v>
      </c>
      <c r="I694" s="80" t="s">
        <v>35</v>
      </c>
      <c r="J694" s="80" t="s">
        <v>359</v>
      </c>
      <c r="K694" s="80" t="s">
        <v>339</v>
      </c>
      <c r="L694" s="80" t="s">
        <v>352</v>
      </c>
      <c r="M694" s="81">
        <v>7.5</v>
      </c>
      <c r="N694" s="82">
        <v>300</v>
      </c>
    </row>
    <row r="695" spans="1:14" x14ac:dyDescent="0.25">
      <c r="A695" s="10" t="str">
        <f>_xlfn.IFNA(
    IF(J695=
        "PCB-0001",
        "CSS",
        IF(
            ISNUMBER(MATCH(_xlfn.TEXTBEFORE(J695,"-"), {"CSS","CSN","PCB","PCF","BEC","CSD","PCM"}, 0)),
            _xlfn.TEXTBEFORE(J695,"-"),
            "Other"
        )
    ),
"Add")</f>
        <v>BEC</v>
      </c>
      <c r="B695" s="10" t="str">
        <f t="shared" si="11"/>
        <v>0001</v>
      </c>
      <c r="C695" s="10" t="str">
        <f>_xlfn.LET(
    _xlpm.val, IF(Datadetails[[#This Row],[Activity]]="D02","C20",Datadetails[[#This Row],[Activity]]),
    IF(ISNUMBER(MATCH(_xlpm.val,{"D04","C30","c40","C20"},0)), _xlpm.val, "Other")
)</f>
        <v>D04</v>
      </c>
      <c r="D695" s="10" t="str">
        <f>IFERROR(VLOOKUP(Datadetails[[#This Row],[Taskcode]],Dashboard!A:A,1,FALSE),"00 Err Missing")</f>
        <v>0001</v>
      </c>
      <c r="E695" s="79">
        <v>45798</v>
      </c>
      <c r="F695" s="80" t="s">
        <v>324</v>
      </c>
      <c r="G695" s="60" t="s">
        <v>40</v>
      </c>
      <c r="H695" s="80" t="s">
        <v>314</v>
      </c>
      <c r="I695" s="80" t="s">
        <v>35</v>
      </c>
      <c r="J695" s="80" t="s">
        <v>359</v>
      </c>
      <c r="K695" s="80" t="s">
        <v>339</v>
      </c>
      <c r="L695" s="80" t="s">
        <v>352</v>
      </c>
      <c r="M695" s="81">
        <v>7</v>
      </c>
      <c r="N695" s="82">
        <v>525</v>
      </c>
    </row>
    <row r="696" spans="1:14" x14ac:dyDescent="0.25">
      <c r="A696" s="10" t="str">
        <f>_xlfn.IFNA(
    IF(J696=
        "PCB-0001",
        "CSS",
        IF(
            ISNUMBER(MATCH(_xlfn.TEXTBEFORE(J696,"-"), {"CSS","CSN","PCB","PCF","BEC","CSD","PCM"}, 0)),
            _xlfn.TEXTBEFORE(J696,"-"),
            "Other"
        )
    ),
"Add")</f>
        <v>PCM</v>
      </c>
      <c r="B696" s="10" t="str">
        <f t="shared" si="11"/>
        <v>0034</v>
      </c>
      <c r="C696" s="10" t="str">
        <f>_xlfn.LET(
    _xlpm.val, IF(Datadetails[[#This Row],[Activity]]="D02","C20",Datadetails[[#This Row],[Activity]]),
    IF(ISNUMBER(MATCH(_xlpm.val,{"D04","C30","c40","C20"},0)), _xlpm.val, "Other")
)</f>
        <v>C20</v>
      </c>
      <c r="D696" s="10" t="str">
        <f>IFERROR(VLOOKUP(Datadetails[[#This Row],[Taskcode]],Dashboard!A:A,1,FALSE),"00 Err Missing")</f>
        <v>0034</v>
      </c>
      <c r="E696" s="79">
        <v>45799</v>
      </c>
      <c r="F696" s="80" t="s">
        <v>323</v>
      </c>
      <c r="G696" s="60" t="s">
        <v>40</v>
      </c>
      <c r="H696" s="80" t="s">
        <v>201</v>
      </c>
      <c r="I696" s="80" t="s">
        <v>36</v>
      </c>
      <c r="J696" s="80" t="s">
        <v>395</v>
      </c>
      <c r="K696" s="80" t="s">
        <v>346</v>
      </c>
      <c r="L696" s="80" t="s">
        <v>342</v>
      </c>
      <c r="M696" s="81">
        <v>0.17</v>
      </c>
      <c r="N696" s="82">
        <v>10.200000000000001</v>
      </c>
    </row>
    <row r="697" spans="1:14" x14ac:dyDescent="0.25">
      <c r="A697" s="10" t="str">
        <f>_xlfn.IFNA(
    IF(J697=
        "PCB-0001",
        "CSS",
        IF(
            ISNUMBER(MATCH(_xlfn.TEXTBEFORE(J697,"-"), {"CSS","CSN","PCB","PCF","BEC","CSD","PCM"}, 0)),
            _xlfn.TEXTBEFORE(J697,"-"),
            "Other"
        )
    ),
"Add")</f>
        <v>CSN</v>
      </c>
      <c r="B697" s="10" t="str">
        <f t="shared" si="11"/>
        <v>0001</v>
      </c>
      <c r="C697" s="10" t="str">
        <f>_xlfn.LET(
    _xlpm.val, IF(Datadetails[[#This Row],[Activity]]="D02","C20",Datadetails[[#This Row],[Activity]]),
    IF(ISNUMBER(MATCH(_xlpm.val,{"D04","C30","c40","C20"},0)), _xlpm.val, "Other")
)</f>
        <v>D04</v>
      </c>
      <c r="D697" s="10" t="str">
        <f>IFERROR(VLOOKUP(Datadetails[[#This Row],[Taskcode]],Dashboard!A:A,1,FALSE),"00 Err Missing")</f>
        <v>0001</v>
      </c>
      <c r="E697" s="79">
        <v>45799</v>
      </c>
      <c r="F697" s="80" t="s">
        <v>329</v>
      </c>
      <c r="G697" s="60" t="s">
        <v>40</v>
      </c>
      <c r="H697" s="80" t="s">
        <v>316</v>
      </c>
      <c r="I697" s="80" t="s">
        <v>35</v>
      </c>
      <c r="J697" s="80" t="s">
        <v>338</v>
      </c>
      <c r="K697" s="80" t="s">
        <v>337</v>
      </c>
      <c r="L697" s="80" t="s">
        <v>352</v>
      </c>
      <c r="M697" s="81">
        <v>1.17</v>
      </c>
      <c r="N697" s="82">
        <v>87.75</v>
      </c>
    </row>
    <row r="698" spans="1:14" x14ac:dyDescent="0.25">
      <c r="A698" s="10" t="str">
        <f>_xlfn.IFNA(
    IF(J698=
        "PCB-0001",
        "CSS",
        IF(
            ISNUMBER(MATCH(_xlfn.TEXTBEFORE(J698,"-"), {"CSS","CSN","PCB","PCF","BEC","CSD","PCM"}, 0)),
            _xlfn.TEXTBEFORE(J698,"-"),
            "Other"
        )
    ),
"Add")</f>
        <v>CSD</v>
      </c>
      <c r="B698" s="10" t="str">
        <f t="shared" si="11"/>
        <v>0001</v>
      </c>
      <c r="C698" s="10" t="str">
        <f>_xlfn.LET(
    _xlpm.val, IF(Datadetails[[#This Row],[Activity]]="D02","C20",Datadetails[[#This Row],[Activity]]),
    IF(ISNUMBER(MATCH(_xlpm.val,{"D04","C30","c40","C20"},0)), _xlpm.val, "Other")
)</f>
        <v>D04</v>
      </c>
      <c r="D698" s="10" t="str">
        <f>IFERROR(VLOOKUP(Datadetails[[#This Row],[Taskcode]],Dashboard!A:A,1,FALSE),"00 Err Missing")</f>
        <v>0001</v>
      </c>
      <c r="E698" s="79">
        <v>45799</v>
      </c>
      <c r="F698" s="80" t="s">
        <v>333</v>
      </c>
      <c r="G698" s="60" t="s">
        <v>40</v>
      </c>
      <c r="H698" s="80" t="s">
        <v>320</v>
      </c>
      <c r="I698" s="80" t="s">
        <v>35</v>
      </c>
      <c r="J698" s="80" t="s">
        <v>322</v>
      </c>
      <c r="K698" s="80" t="s">
        <v>319</v>
      </c>
      <c r="L698" s="80" t="s">
        <v>352</v>
      </c>
      <c r="M698" s="81">
        <v>7.4</v>
      </c>
      <c r="N698" s="82">
        <v>236.8</v>
      </c>
    </row>
    <row r="699" spans="1:14" x14ac:dyDescent="0.25">
      <c r="A699" s="10" t="str">
        <f>_xlfn.IFNA(
    IF(J699=
        "PCB-0001",
        "CSS",
        IF(
            ISNUMBER(MATCH(_xlfn.TEXTBEFORE(J699,"-"), {"CSS","CSN","PCB","PCF","BEC","CSD","PCM"}, 0)),
            _xlfn.TEXTBEFORE(J699,"-"),
            "Other"
        )
    ),
"Add")</f>
        <v>CSD</v>
      </c>
      <c r="B699" s="10" t="str">
        <f t="shared" si="11"/>
        <v>0001</v>
      </c>
      <c r="C699" s="10" t="str">
        <f>_xlfn.LET(
    _xlpm.val, IF(Datadetails[[#This Row],[Activity]]="D02","C20",Datadetails[[#This Row],[Activity]]),
    IF(ISNUMBER(MATCH(_xlpm.val,{"D04","C30","c40","C20"},0)), _xlpm.val, "Other")
)</f>
        <v>D04</v>
      </c>
      <c r="D699" s="10" t="str">
        <f>IFERROR(VLOOKUP(Datadetails[[#This Row],[Taskcode]],Dashboard!A:A,1,FALSE),"00 Err Missing")</f>
        <v>0001</v>
      </c>
      <c r="E699" s="79">
        <v>45799</v>
      </c>
      <c r="F699" s="80" t="s">
        <v>327</v>
      </c>
      <c r="G699" s="60" t="s">
        <v>40</v>
      </c>
      <c r="H699" s="80" t="s">
        <v>320</v>
      </c>
      <c r="I699" s="80" t="s">
        <v>35</v>
      </c>
      <c r="J699" s="80" t="s">
        <v>322</v>
      </c>
      <c r="K699" s="80" t="s">
        <v>319</v>
      </c>
      <c r="L699" s="80" t="s">
        <v>352</v>
      </c>
      <c r="M699" s="81">
        <v>7.42</v>
      </c>
      <c r="N699" s="82">
        <v>237.44</v>
      </c>
    </row>
    <row r="700" spans="1:14" x14ac:dyDescent="0.25">
      <c r="A700" s="10" t="str">
        <f>_xlfn.IFNA(
    IF(J700=
        "PCB-0001",
        "CSS",
        IF(
            ISNUMBER(MATCH(_xlfn.TEXTBEFORE(J700,"-"), {"CSS","CSN","PCB","PCF","BEC","CSD","PCM"}, 0)),
            _xlfn.TEXTBEFORE(J700,"-"),
            "Other"
        )
    ),
"Add")</f>
        <v>PCM</v>
      </c>
      <c r="B700" s="10" t="str">
        <f t="shared" si="11"/>
        <v>0001</v>
      </c>
      <c r="C700" s="10" t="str">
        <f>_xlfn.LET(
    _xlpm.val, IF(Datadetails[[#This Row],[Activity]]="D02","C20",Datadetails[[#This Row],[Activity]]),
    IF(ISNUMBER(MATCH(_xlpm.val,{"D04","C30","c40","C20"},0)), _xlpm.val, "Other")
)</f>
        <v>C30</v>
      </c>
      <c r="D700" s="10" t="str">
        <f>IFERROR(VLOOKUP(Datadetails[[#This Row],[Taskcode]],Dashboard!A:A,1,FALSE),"00 Err Missing")</f>
        <v>0001</v>
      </c>
      <c r="E700" s="79">
        <v>45799</v>
      </c>
      <c r="F700" s="80" t="s">
        <v>323</v>
      </c>
      <c r="G700" s="60" t="s">
        <v>40</v>
      </c>
      <c r="H700" s="80" t="s">
        <v>168</v>
      </c>
      <c r="I700" s="80" t="s">
        <v>34</v>
      </c>
      <c r="J700" s="80" t="s">
        <v>419</v>
      </c>
      <c r="K700" s="80" t="s">
        <v>346</v>
      </c>
      <c r="L700" s="80" t="s">
        <v>343</v>
      </c>
      <c r="M700" s="81">
        <v>0.25</v>
      </c>
      <c r="N700" s="82">
        <v>15</v>
      </c>
    </row>
    <row r="701" spans="1:14" x14ac:dyDescent="0.25">
      <c r="A701" s="10" t="str">
        <f>_xlfn.IFNA(
    IF(J701=
        "PCB-0001",
        "CSS",
        IF(
            ISNUMBER(MATCH(_xlfn.TEXTBEFORE(J701,"-"), {"CSS","CSN","PCB","PCF","BEC","CSD","PCM"}, 0)),
            _xlfn.TEXTBEFORE(J701,"-"),
            "Other"
        )
    ),
"Add")</f>
        <v>PCB</v>
      </c>
      <c r="B701" s="10" t="str">
        <f t="shared" si="11"/>
        <v>0019</v>
      </c>
      <c r="C701" s="10" t="str">
        <f>_xlfn.LET(
    _xlpm.val, IF(Datadetails[[#This Row],[Activity]]="D02","C20",Datadetails[[#This Row],[Activity]]),
    IF(ISNUMBER(MATCH(_xlpm.val,{"D04","C30","c40","C20"},0)), _xlpm.val, "Other")
)</f>
        <v>C30</v>
      </c>
      <c r="D701" s="10" t="str">
        <f>IFERROR(VLOOKUP(Datadetails[[#This Row],[Taskcode]],Dashboard!A:A,1,FALSE),"00 Err Missing")</f>
        <v>0019</v>
      </c>
      <c r="E701" s="79">
        <v>45799</v>
      </c>
      <c r="F701" s="80" t="s">
        <v>329</v>
      </c>
      <c r="G701" s="60" t="s">
        <v>40</v>
      </c>
      <c r="H701" s="80" t="s">
        <v>186</v>
      </c>
      <c r="I701" s="80" t="s">
        <v>34</v>
      </c>
      <c r="J701" s="80" t="s">
        <v>397</v>
      </c>
      <c r="K701" s="80" t="s">
        <v>347</v>
      </c>
      <c r="L701" s="80" t="s">
        <v>343</v>
      </c>
      <c r="M701" s="81">
        <v>0.42</v>
      </c>
      <c r="N701" s="82">
        <v>31.5</v>
      </c>
    </row>
    <row r="702" spans="1:14" x14ac:dyDescent="0.25">
      <c r="A702" s="10" t="str">
        <f>_xlfn.IFNA(
    IF(J702=
        "PCB-0001",
        "CSS",
        IF(
            ISNUMBER(MATCH(_xlfn.TEXTBEFORE(J702,"-"), {"CSS","CSN","PCB","PCF","BEC","CSD","PCM"}, 0)),
            _xlfn.TEXTBEFORE(J702,"-"),
            "Other"
        )
    ),
"Add")</f>
        <v>PCB</v>
      </c>
      <c r="B702" s="10" t="str">
        <f t="shared" si="11"/>
        <v>0028</v>
      </c>
      <c r="C702" s="10" t="str">
        <f>_xlfn.LET(
    _xlpm.val, IF(Datadetails[[#This Row],[Activity]]="D02","C20",Datadetails[[#This Row],[Activity]]),
    IF(ISNUMBER(MATCH(_xlpm.val,{"D04","C30","c40","C20"},0)), _xlpm.val, "Other")
)</f>
        <v>C30</v>
      </c>
      <c r="D702" s="10" t="str">
        <f>IFERROR(VLOOKUP(Datadetails[[#This Row],[Taskcode]],Dashboard!A:A,1,FALSE),"00 Err Missing")</f>
        <v>0028</v>
      </c>
      <c r="E702" s="79">
        <v>45799</v>
      </c>
      <c r="F702" s="80" t="s">
        <v>330</v>
      </c>
      <c r="G702" s="60" t="s">
        <v>40</v>
      </c>
      <c r="H702" s="80" t="s">
        <v>195</v>
      </c>
      <c r="I702" s="80" t="s">
        <v>34</v>
      </c>
      <c r="J702" s="80" t="s">
        <v>449</v>
      </c>
      <c r="K702" s="80" t="s">
        <v>347</v>
      </c>
      <c r="L702" s="80" t="s">
        <v>343</v>
      </c>
      <c r="M702" s="81">
        <v>0.25</v>
      </c>
      <c r="N702" s="82">
        <v>15</v>
      </c>
    </row>
    <row r="703" spans="1:14" x14ac:dyDescent="0.25">
      <c r="A703" s="10" t="str">
        <f>_xlfn.IFNA(
    IF(J703=
        "PCB-0001",
        "CSS",
        IF(
            ISNUMBER(MATCH(_xlfn.TEXTBEFORE(J703,"-"), {"CSS","CSN","PCB","PCF","BEC","CSD","PCM"}, 0)),
            _xlfn.TEXTBEFORE(J703,"-"),
            "Other"
        )
    ),
"Add")</f>
        <v>PCB</v>
      </c>
      <c r="B703" s="10" t="str">
        <f t="shared" si="11"/>
        <v>0014</v>
      </c>
      <c r="C703" s="10" t="str">
        <f>_xlfn.LET(
    _xlpm.val, IF(Datadetails[[#This Row],[Activity]]="D02","C20",Datadetails[[#This Row],[Activity]]),
    IF(ISNUMBER(MATCH(_xlpm.val,{"D04","C30","c40","C20"},0)), _xlpm.val, "Other")
)</f>
        <v>C30</v>
      </c>
      <c r="D703" s="10" t="str">
        <f>IFERROR(VLOOKUP(Datadetails[[#This Row],[Taskcode]],Dashboard!A:A,1,FALSE),"00 Err Missing")</f>
        <v>0014</v>
      </c>
      <c r="E703" s="79">
        <v>45799</v>
      </c>
      <c r="F703" s="80" t="s">
        <v>329</v>
      </c>
      <c r="G703" s="60" t="s">
        <v>40</v>
      </c>
      <c r="H703" s="80" t="s">
        <v>181</v>
      </c>
      <c r="I703" s="80" t="s">
        <v>34</v>
      </c>
      <c r="J703" s="80" t="s">
        <v>396</v>
      </c>
      <c r="K703" s="80" t="s">
        <v>347</v>
      </c>
      <c r="L703" s="80" t="s">
        <v>343</v>
      </c>
      <c r="M703" s="81">
        <v>0.08</v>
      </c>
      <c r="N703" s="82">
        <v>6</v>
      </c>
    </row>
    <row r="704" spans="1:14" x14ac:dyDescent="0.25">
      <c r="A704" s="10" t="str">
        <f>_xlfn.IFNA(
    IF(J704=
        "PCB-0001",
        "CSS",
        IF(
            ISNUMBER(MATCH(_xlfn.TEXTBEFORE(J704,"-"), {"CSS","CSN","PCB","PCF","BEC","CSD","PCM"}, 0)),
            _xlfn.TEXTBEFORE(J704,"-"),
            "Other"
        )
    ),
"Add")</f>
        <v>PCB</v>
      </c>
      <c r="B704" s="10" t="str">
        <f t="shared" si="11"/>
        <v>0054</v>
      </c>
      <c r="C704" s="10" t="str">
        <f>_xlfn.LET(
    _xlpm.val, IF(Datadetails[[#This Row],[Activity]]="D02","C20",Datadetails[[#This Row],[Activity]]),
    IF(ISNUMBER(MATCH(_xlpm.val,{"D04","C30","c40","C20"},0)), _xlpm.val, "Other")
)</f>
        <v>C30</v>
      </c>
      <c r="D704" s="10" t="str">
        <f>IFERROR(VLOOKUP(Datadetails[[#This Row],[Taskcode]],Dashboard!A:A,1,FALSE),"00 Err Missing")</f>
        <v>0054</v>
      </c>
      <c r="E704" s="79">
        <v>45799</v>
      </c>
      <c r="F704" s="80" t="s">
        <v>329</v>
      </c>
      <c r="G704" s="60" t="s">
        <v>40</v>
      </c>
      <c r="H704" s="80" t="s">
        <v>221</v>
      </c>
      <c r="I704" s="80" t="s">
        <v>34</v>
      </c>
      <c r="J704" s="80" t="s">
        <v>369</v>
      </c>
      <c r="K704" s="80" t="s">
        <v>347</v>
      </c>
      <c r="L704" s="80" t="s">
        <v>343</v>
      </c>
      <c r="M704" s="81">
        <v>0.42</v>
      </c>
      <c r="N704" s="82">
        <v>31.5</v>
      </c>
    </row>
    <row r="705" spans="1:14" x14ac:dyDescent="0.25">
      <c r="A705" s="10" t="str">
        <f>_xlfn.IFNA(
    IF(J705=
        "PCB-0001",
        "CSS",
        IF(
            ISNUMBER(MATCH(_xlfn.TEXTBEFORE(J705,"-"), {"CSS","CSN","PCB","PCF","BEC","CSD","PCM"}, 0)),
            _xlfn.TEXTBEFORE(J705,"-"),
            "Other"
        )
    ),
"Add")</f>
        <v>PCB</v>
      </c>
      <c r="B705" s="10" t="str">
        <f t="shared" si="11"/>
        <v>0127</v>
      </c>
      <c r="C705" s="10" t="str">
        <f>_xlfn.LET(
    _xlpm.val, IF(Datadetails[[#This Row],[Activity]]="D02","C20",Datadetails[[#This Row],[Activity]]),
    IF(ISNUMBER(MATCH(_xlpm.val,{"D04","C30","c40","C20"},0)), _xlpm.val, "Other")
)</f>
        <v>C30</v>
      </c>
      <c r="D705" s="10" t="str">
        <f>IFERROR(VLOOKUP(Datadetails[[#This Row],[Taskcode]],Dashboard!A:A,1,FALSE),"00 Err Missing")</f>
        <v>0127</v>
      </c>
      <c r="E705" s="79">
        <v>45799</v>
      </c>
      <c r="F705" s="80" t="s">
        <v>329</v>
      </c>
      <c r="G705" s="60" t="s">
        <v>40</v>
      </c>
      <c r="H705" s="80" t="s">
        <v>294</v>
      </c>
      <c r="I705" s="80" t="s">
        <v>34</v>
      </c>
      <c r="J705" s="80" t="s">
        <v>377</v>
      </c>
      <c r="K705" s="80" t="s">
        <v>347</v>
      </c>
      <c r="L705" s="80" t="s">
        <v>343</v>
      </c>
      <c r="M705" s="81">
        <v>1</v>
      </c>
      <c r="N705" s="82">
        <v>75</v>
      </c>
    </row>
    <row r="706" spans="1:14" x14ac:dyDescent="0.25">
      <c r="A706" s="10" t="str">
        <f>_xlfn.IFNA(
    IF(J706=
        "PCB-0001",
        "CSS",
        IF(
            ISNUMBER(MATCH(_xlfn.TEXTBEFORE(J706,"-"), {"CSS","CSN","PCB","PCF","BEC","CSD","PCM"}, 0)),
            _xlfn.TEXTBEFORE(J706,"-"),
            "Other"
        )
    ),
"Add")</f>
        <v>PCB</v>
      </c>
      <c r="B706" s="10" t="str">
        <f t="shared" si="11"/>
        <v>0124</v>
      </c>
      <c r="C706" s="10" t="str">
        <f>_xlfn.LET(
    _xlpm.val, IF(Datadetails[[#This Row],[Activity]]="D02","C20",Datadetails[[#This Row],[Activity]]),
    IF(ISNUMBER(MATCH(_xlpm.val,{"D04","C30","c40","C20"},0)), _xlpm.val, "Other")
)</f>
        <v>C30</v>
      </c>
      <c r="D706" s="10" t="str">
        <f>IFERROR(VLOOKUP(Datadetails[[#This Row],[Taskcode]],Dashboard!A:A,1,FALSE),"00 Err Missing")</f>
        <v>0124</v>
      </c>
      <c r="E706" s="79">
        <v>45799</v>
      </c>
      <c r="F706" s="80" t="s">
        <v>325</v>
      </c>
      <c r="G706" s="60" t="s">
        <v>40</v>
      </c>
      <c r="H706" s="80" t="s">
        <v>291</v>
      </c>
      <c r="I706" s="80" t="s">
        <v>34</v>
      </c>
      <c r="J706" s="80" t="s">
        <v>412</v>
      </c>
      <c r="K706" s="80" t="s">
        <v>347</v>
      </c>
      <c r="L706" s="80" t="s">
        <v>343</v>
      </c>
      <c r="M706" s="81">
        <v>0.17</v>
      </c>
      <c r="N706" s="82">
        <v>12.750000000000002</v>
      </c>
    </row>
    <row r="707" spans="1:14" x14ac:dyDescent="0.25">
      <c r="A707" s="10" t="str">
        <f>_xlfn.IFNA(
    IF(J707=
        "PCB-0001",
        "CSS",
        IF(
            ISNUMBER(MATCH(_xlfn.TEXTBEFORE(J707,"-"), {"CSS","CSN","PCB","PCF","BEC","CSD","PCM"}, 0)),
            _xlfn.TEXTBEFORE(J707,"-"),
            "Other"
        )
    ),
"Add")</f>
        <v>PCB</v>
      </c>
      <c r="B707" s="10" t="str">
        <f t="shared" si="11"/>
        <v>0126</v>
      </c>
      <c r="C707" s="10" t="str">
        <f>_xlfn.LET(
    _xlpm.val, IF(Datadetails[[#This Row],[Activity]]="D02","C20",Datadetails[[#This Row],[Activity]]),
    IF(ISNUMBER(MATCH(_xlpm.val,{"D04","C30","c40","C20"},0)), _xlpm.val, "Other")
)</f>
        <v>C30</v>
      </c>
      <c r="D707" s="10" t="str">
        <f>IFERROR(VLOOKUP(Datadetails[[#This Row],[Taskcode]],Dashboard!A:A,1,FALSE),"00 Err Missing")</f>
        <v>0126</v>
      </c>
      <c r="E707" s="79">
        <v>45799</v>
      </c>
      <c r="F707" s="80" t="s">
        <v>329</v>
      </c>
      <c r="G707" s="60" t="s">
        <v>40</v>
      </c>
      <c r="H707" s="80" t="s">
        <v>293</v>
      </c>
      <c r="I707" s="80" t="s">
        <v>34</v>
      </c>
      <c r="J707" s="80" t="s">
        <v>376</v>
      </c>
      <c r="K707" s="80" t="s">
        <v>347</v>
      </c>
      <c r="L707" s="80" t="s">
        <v>343</v>
      </c>
      <c r="M707" s="81">
        <v>0.25</v>
      </c>
      <c r="N707" s="82">
        <v>18.75</v>
      </c>
    </row>
    <row r="708" spans="1:14" x14ac:dyDescent="0.25">
      <c r="A708" s="10" t="str">
        <f>_xlfn.IFNA(
    IF(J708=
        "PCB-0001",
        "CSS",
        IF(
            ISNUMBER(MATCH(_xlfn.TEXTBEFORE(J708,"-"), {"CSS","CSN","PCB","PCF","BEC","CSD","PCM"}, 0)),
            _xlfn.TEXTBEFORE(J708,"-"),
            "Other"
        )
    ),
"Add")</f>
        <v>PCB</v>
      </c>
      <c r="B708" s="10" t="str">
        <f t="shared" ref="B708:B771" si="12">_xlfn.IFNA(_xlfn.TEXTAFTER(J708,"-"),"Data to C2")</f>
        <v>0129</v>
      </c>
      <c r="C708" s="10" t="str">
        <f>_xlfn.LET(
    _xlpm.val, IF(Datadetails[[#This Row],[Activity]]="D02","C20",Datadetails[[#This Row],[Activity]]),
    IF(ISNUMBER(MATCH(_xlpm.val,{"D04","C30","c40","C20"},0)), _xlpm.val, "Other")
)</f>
        <v>C30</v>
      </c>
      <c r="D708" s="10" t="str">
        <f>IFERROR(VLOOKUP(Datadetails[[#This Row],[Taskcode]],Dashboard!A:A,1,FALSE),"00 Err Missing")</f>
        <v>0129</v>
      </c>
      <c r="E708" s="79">
        <v>45799</v>
      </c>
      <c r="F708" s="80" t="s">
        <v>329</v>
      </c>
      <c r="G708" s="60" t="s">
        <v>40</v>
      </c>
      <c r="H708" s="80" t="s">
        <v>296</v>
      </c>
      <c r="I708" s="80" t="s">
        <v>34</v>
      </c>
      <c r="J708" s="80" t="s">
        <v>411</v>
      </c>
      <c r="K708" s="80" t="s">
        <v>347</v>
      </c>
      <c r="L708" s="80" t="s">
        <v>343</v>
      </c>
      <c r="M708" s="81">
        <v>0.17</v>
      </c>
      <c r="N708" s="82">
        <v>12.750000000000002</v>
      </c>
    </row>
    <row r="709" spans="1:14" x14ac:dyDescent="0.25">
      <c r="A709" s="10" t="str">
        <f>_xlfn.IFNA(
    IF(J709=
        "PCB-0001",
        "CSS",
        IF(
            ISNUMBER(MATCH(_xlfn.TEXTBEFORE(J709,"-"), {"CSS","CSN","PCB","PCF","BEC","CSD","PCM"}, 0)),
            _xlfn.TEXTBEFORE(J709,"-"),
            "Other"
        )
    ),
"Add")</f>
        <v>PCB</v>
      </c>
      <c r="B709" s="10" t="str">
        <f t="shared" si="12"/>
        <v>0092</v>
      </c>
      <c r="C709" s="10" t="str">
        <f>_xlfn.LET(
    _xlpm.val, IF(Datadetails[[#This Row],[Activity]]="D02","C20",Datadetails[[#This Row],[Activity]]),
    IF(ISNUMBER(MATCH(_xlpm.val,{"D04","C30","c40","C20"},0)), _xlpm.val, "Other")
)</f>
        <v>C30</v>
      </c>
      <c r="D709" s="10" t="str">
        <f>IFERROR(VLOOKUP(Datadetails[[#This Row],[Taskcode]],Dashboard!A:A,1,FALSE),"00 Err Missing")</f>
        <v>0092</v>
      </c>
      <c r="E709" s="79">
        <v>45799</v>
      </c>
      <c r="F709" s="80" t="s">
        <v>329</v>
      </c>
      <c r="G709" s="60" t="s">
        <v>40</v>
      </c>
      <c r="H709" s="80" t="s">
        <v>259</v>
      </c>
      <c r="I709" s="80" t="s">
        <v>34</v>
      </c>
      <c r="J709" s="80" t="s">
        <v>407</v>
      </c>
      <c r="K709" s="80" t="s">
        <v>347</v>
      </c>
      <c r="L709" s="80" t="s">
        <v>343</v>
      </c>
      <c r="M709" s="81">
        <v>0.08</v>
      </c>
      <c r="N709" s="82">
        <v>6</v>
      </c>
    </row>
    <row r="710" spans="1:14" x14ac:dyDescent="0.25">
      <c r="A710" s="10" t="str">
        <f>_xlfn.IFNA(
    IF(J710=
        "PCB-0001",
        "CSS",
        IF(
            ISNUMBER(MATCH(_xlfn.TEXTBEFORE(J710,"-"), {"CSS","CSN","PCB","PCF","BEC","CSD","PCM"}, 0)),
            _xlfn.TEXTBEFORE(J710,"-"),
            "Other"
        )
    ),
"Add")</f>
        <v>PCB</v>
      </c>
      <c r="B710" s="10" t="str">
        <f t="shared" si="12"/>
        <v>0085</v>
      </c>
      <c r="C710" s="10" t="str">
        <f>_xlfn.LET(
    _xlpm.val, IF(Datadetails[[#This Row],[Activity]]="D02","C20",Datadetails[[#This Row],[Activity]]),
    IF(ISNUMBER(MATCH(_xlpm.val,{"D04","C30","c40","C20"},0)), _xlpm.val, "Other")
)</f>
        <v>C30</v>
      </c>
      <c r="D710" s="10" t="str">
        <f>IFERROR(VLOOKUP(Datadetails[[#This Row],[Taskcode]],Dashboard!A:A,1,FALSE),"00 Err Missing")</f>
        <v>0085</v>
      </c>
      <c r="E710" s="79">
        <v>45799</v>
      </c>
      <c r="F710" s="80" t="s">
        <v>330</v>
      </c>
      <c r="G710" s="60" t="s">
        <v>40</v>
      </c>
      <c r="H710" s="80" t="s">
        <v>252</v>
      </c>
      <c r="I710" s="80" t="s">
        <v>34</v>
      </c>
      <c r="J710" s="80" t="s">
        <v>416</v>
      </c>
      <c r="K710" s="80" t="s">
        <v>347</v>
      </c>
      <c r="L710" s="80" t="s">
        <v>343</v>
      </c>
      <c r="M710" s="81">
        <v>0.67</v>
      </c>
      <c r="N710" s="82">
        <v>40.200000000000003</v>
      </c>
    </row>
    <row r="711" spans="1:14" x14ac:dyDescent="0.25">
      <c r="A711" s="10" t="str">
        <f>_xlfn.IFNA(
    IF(J711=
        "PCB-0001",
        "CSS",
        IF(
            ISNUMBER(MATCH(_xlfn.TEXTBEFORE(J711,"-"), {"CSS","CSN","PCB","PCF","BEC","CSD","PCM"}, 0)),
            _xlfn.TEXTBEFORE(J711,"-"),
            "Other"
        )
    ),
"Add")</f>
        <v>PCB</v>
      </c>
      <c r="B711" s="10" t="str">
        <f t="shared" si="12"/>
        <v>0080</v>
      </c>
      <c r="C711" s="10" t="str">
        <f>_xlfn.LET(
    _xlpm.val, IF(Datadetails[[#This Row],[Activity]]="D02","C20",Datadetails[[#This Row],[Activity]]),
    IF(ISNUMBER(MATCH(_xlpm.val,{"D04","C30","c40","C20"},0)), _xlpm.val, "Other")
)</f>
        <v>C30</v>
      </c>
      <c r="D711" s="10" t="str">
        <f>IFERROR(VLOOKUP(Datadetails[[#This Row],[Taskcode]],Dashboard!A:A,1,FALSE),"00 Err Missing")</f>
        <v>0080</v>
      </c>
      <c r="E711" s="79">
        <v>45799</v>
      </c>
      <c r="F711" s="80" t="s">
        <v>329</v>
      </c>
      <c r="G711" s="60" t="s">
        <v>40</v>
      </c>
      <c r="H711" s="80" t="s">
        <v>247</v>
      </c>
      <c r="I711" s="80" t="s">
        <v>34</v>
      </c>
      <c r="J711" s="80" t="s">
        <v>375</v>
      </c>
      <c r="K711" s="80" t="s">
        <v>347</v>
      </c>
      <c r="L711" s="80" t="s">
        <v>343</v>
      </c>
      <c r="M711" s="81">
        <v>0.25</v>
      </c>
      <c r="N711" s="82">
        <v>18.75</v>
      </c>
    </row>
    <row r="712" spans="1:14" x14ac:dyDescent="0.25">
      <c r="A712" s="10" t="str">
        <f>_xlfn.IFNA(
    IF(J712=
        "PCB-0001",
        "CSS",
        IF(
            ISNUMBER(MATCH(_xlfn.TEXTBEFORE(J712,"-"), {"CSS","CSN","PCB","PCF","BEC","CSD","PCM"}, 0)),
            _xlfn.TEXTBEFORE(J712,"-"),
            "Other"
        )
    ),
"Add")</f>
        <v>PCB</v>
      </c>
      <c r="B712" s="10" t="str">
        <f t="shared" si="12"/>
        <v>0081</v>
      </c>
      <c r="C712" s="10" t="str">
        <f>_xlfn.LET(
    _xlpm.val, IF(Datadetails[[#This Row],[Activity]]="D02","C20",Datadetails[[#This Row],[Activity]]),
    IF(ISNUMBER(MATCH(_xlpm.val,{"D04","C30","c40","C20"},0)), _xlpm.val, "Other")
)</f>
        <v>C30</v>
      </c>
      <c r="D712" s="10" t="str">
        <f>IFERROR(VLOOKUP(Datadetails[[#This Row],[Taskcode]],Dashboard!A:A,1,FALSE),"00 Err Missing")</f>
        <v>0081</v>
      </c>
      <c r="E712" s="79">
        <v>45799</v>
      </c>
      <c r="F712" s="80" t="s">
        <v>329</v>
      </c>
      <c r="G712" s="60" t="s">
        <v>40</v>
      </c>
      <c r="H712" s="80" t="s">
        <v>248</v>
      </c>
      <c r="I712" s="80" t="s">
        <v>34</v>
      </c>
      <c r="J712" s="80" t="s">
        <v>385</v>
      </c>
      <c r="K712" s="80" t="s">
        <v>347</v>
      </c>
      <c r="L712" s="80" t="s">
        <v>343</v>
      </c>
      <c r="M712" s="81">
        <v>0.08</v>
      </c>
      <c r="N712" s="82">
        <v>6</v>
      </c>
    </row>
    <row r="713" spans="1:14" x14ac:dyDescent="0.25">
      <c r="A713" s="10" t="str">
        <f>_xlfn.IFNA(
    IF(J713=
        "PCB-0001",
        "CSS",
        IF(
            ISNUMBER(MATCH(_xlfn.TEXTBEFORE(J713,"-"), {"CSS","CSN","PCB","PCF","BEC","CSD","PCM"}, 0)),
            _xlfn.TEXTBEFORE(J713,"-"),
            "Other"
        )
    ),
"Add")</f>
        <v>PCB</v>
      </c>
      <c r="B713" s="10" t="str">
        <f t="shared" si="12"/>
        <v>0109</v>
      </c>
      <c r="C713" s="10" t="str">
        <f>_xlfn.LET(
    _xlpm.val, IF(Datadetails[[#This Row],[Activity]]="D02","C20",Datadetails[[#This Row],[Activity]]),
    IF(ISNUMBER(MATCH(_xlpm.val,{"D04","C30","c40","C20"},0)), _xlpm.val, "Other")
)</f>
        <v>C30</v>
      </c>
      <c r="D713" s="10" t="str">
        <f>IFERROR(VLOOKUP(Datadetails[[#This Row],[Taskcode]],Dashboard!A:A,1,FALSE),"00 Err Missing")</f>
        <v>0109</v>
      </c>
      <c r="E713" s="79">
        <v>45799</v>
      </c>
      <c r="F713" s="80" t="s">
        <v>325</v>
      </c>
      <c r="G713" s="60" t="s">
        <v>40</v>
      </c>
      <c r="H713" s="80" t="s">
        <v>276</v>
      </c>
      <c r="I713" s="80" t="s">
        <v>34</v>
      </c>
      <c r="J713" s="80" t="s">
        <v>425</v>
      </c>
      <c r="K713" s="80" t="s">
        <v>347</v>
      </c>
      <c r="L713" s="80" t="s">
        <v>343</v>
      </c>
      <c r="M713" s="81">
        <v>0.17</v>
      </c>
      <c r="N713" s="82">
        <v>12.750000000000002</v>
      </c>
    </row>
    <row r="714" spans="1:14" x14ac:dyDescent="0.25">
      <c r="A714" s="10" t="str">
        <f>_xlfn.IFNA(
    IF(J714=
        "PCB-0001",
        "CSS",
        IF(
            ISNUMBER(MATCH(_xlfn.TEXTBEFORE(J714,"-"), {"CSS","CSN","PCB","PCF","BEC","CSD","PCM"}, 0)),
            _xlfn.TEXTBEFORE(J714,"-"),
            "Other"
        )
    ),
"Add")</f>
        <v>PCF</v>
      </c>
      <c r="B714" s="10" t="str">
        <f t="shared" si="12"/>
        <v>0098</v>
      </c>
      <c r="C714" s="10" t="str">
        <f>_xlfn.LET(
    _xlpm.val, IF(Datadetails[[#This Row],[Activity]]="D02","C20",Datadetails[[#This Row],[Activity]]),
    IF(ISNUMBER(MATCH(_xlpm.val,{"D04","C30","c40","C20"},0)), _xlpm.val, "Other")
)</f>
        <v>C30</v>
      </c>
      <c r="D714" s="10" t="str">
        <f>IFERROR(VLOOKUP(Datadetails[[#This Row],[Taskcode]],Dashboard!A:A,1,FALSE),"00 Err Missing")</f>
        <v>0098</v>
      </c>
      <c r="E714" s="79">
        <v>45799</v>
      </c>
      <c r="F714" s="80" t="s">
        <v>326</v>
      </c>
      <c r="G714" s="60" t="s">
        <v>40</v>
      </c>
      <c r="H714" s="80" t="s">
        <v>265</v>
      </c>
      <c r="I714" s="80" t="s">
        <v>34</v>
      </c>
      <c r="J714" s="80" t="s">
        <v>358</v>
      </c>
      <c r="K714" s="80" t="s">
        <v>348</v>
      </c>
      <c r="L714" s="80" t="s">
        <v>343</v>
      </c>
      <c r="M714" s="81">
        <v>1</v>
      </c>
      <c r="N714" s="82">
        <v>60</v>
      </c>
    </row>
    <row r="715" spans="1:14" x14ac:dyDescent="0.25">
      <c r="A715" s="10" t="str">
        <f>_xlfn.IFNA(
    IF(J715=
        "PCB-0001",
        "CSS",
        IF(
            ISNUMBER(MATCH(_xlfn.TEXTBEFORE(J715,"-"), {"CSS","CSN","PCB","PCF","BEC","CSD","PCM"}, 0)),
            _xlfn.TEXTBEFORE(J715,"-"),
            "Other"
        )
    ),
"Add")</f>
        <v>BEC</v>
      </c>
      <c r="B715" s="10" t="str">
        <f t="shared" si="12"/>
        <v>0001</v>
      </c>
      <c r="C715" s="10" t="str">
        <f>_xlfn.LET(
    _xlpm.val, IF(Datadetails[[#This Row],[Activity]]="D02","C20",Datadetails[[#This Row],[Activity]]),
    IF(ISNUMBER(MATCH(_xlpm.val,{"D04","C30","c40","C20"},0)), _xlpm.val, "Other")
)</f>
        <v>D04</v>
      </c>
      <c r="D715" s="10" t="str">
        <f>IFERROR(VLOOKUP(Datadetails[[#This Row],[Taskcode]],Dashboard!A:A,1,FALSE),"00 Err Missing")</f>
        <v>0001</v>
      </c>
      <c r="E715" s="79">
        <v>45799</v>
      </c>
      <c r="F715" s="80" t="s">
        <v>332</v>
      </c>
      <c r="G715" s="60" t="s">
        <v>40</v>
      </c>
      <c r="H715" s="80" t="s">
        <v>314</v>
      </c>
      <c r="I715" s="80" t="s">
        <v>35</v>
      </c>
      <c r="J715" s="80" t="s">
        <v>359</v>
      </c>
      <c r="K715" s="80" t="s">
        <v>339</v>
      </c>
      <c r="L715" s="80" t="s">
        <v>352</v>
      </c>
      <c r="M715" s="81">
        <v>8.83</v>
      </c>
      <c r="N715" s="82">
        <v>353.2</v>
      </c>
    </row>
    <row r="716" spans="1:14" x14ac:dyDescent="0.25">
      <c r="A716" s="10" t="str">
        <f>_xlfn.IFNA(
    IF(J716=
        "PCB-0001",
        "CSS",
        IF(
            ISNUMBER(MATCH(_xlfn.TEXTBEFORE(J716,"-"), {"CSS","CSN","PCB","PCF","BEC","CSD","PCM"}, 0)),
            _xlfn.TEXTBEFORE(J716,"-"),
            "Other"
        )
    ),
"Add")</f>
        <v>BEC</v>
      </c>
      <c r="B716" s="10" t="str">
        <f t="shared" si="12"/>
        <v>0001</v>
      </c>
      <c r="C716" s="10" t="str">
        <f>_xlfn.LET(
    _xlpm.val, IF(Datadetails[[#This Row],[Activity]]="D02","C20",Datadetails[[#This Row],[Activity]]),
    IF(ISNUMBER(MATCH(_xlpm.val,{"D04","C30","c40","C20"},0)), _xlpm.val, "Other")
)</f>
        <v>D04</v>
      </c>
      <c r="D716" s="10" t="str">
        <f>IFERROR(VLOOKUP(Datadetails[[#This Row],[Taskcode]],Dashboard!A:A,1,FALSE),"00 Err Missing")</f>
        <v>0001</v>
      </c>
      <c r="E716" s="79">
        <v>45799</v>
      </c>
      <c r="F716" s="80" t="s">
        <v>324</v>
      </c>
      <c r="G716" s="60" t="s">
        <v>40</v>
      </c>
      <c r="H716" s="80" t="s">
        <v>314</v>
      </c>
      <c r="I716" s="80" t="s">
        <v>35</v>
      </c>
      <c r="J716" s="80" t="s">
        <v>359</v>
      </c>
      <c r="K716" s="80" t="s">
        <v>339</v>
      </c>
      <c r="L716" s="80" t="s">
        <v>352</v>
      </c>
      <c r="M716" s="81">
        <v>5.75</v>
      </c>
      <c r="N716" s="82">
        <v>431.25</v>
      </c>
    </row>
    <row r="717" spans="1:14" x14ac:dyDescent="0.25">
      <c r="A717" s="10" t="str">
        <f>_xlfn.IFNA(
    IF(J717=
        "PCB-0001",
        "CSS",
        IF(
            ISNUMBER(MATCH(_xlfn.TEXTBEFORE(J717,"-"), {"CSS","CSN","PCB","PCF","BEC","CSD","PCM"}, 0)),
            _xlfn.TEXTBEFORE(J717,"-"),
            "Other"
        )
    ),
"Add")</f>
        <v>PCM</v>
      </c>
      <c r="B717" s="10" t="str">
        <f t="shared" si="12"/>
        <v>0033</v>
      </c>
      <c r="C717" s="10" t="str">
        <f>_xlfn.LET(
    _xlpm.val, IF(Datadetails[[#This Row],[Activity]]="D02","C20",Datadetails[[#This Row],[Activity]]),
    IF(ISNUMBER(MATCH(_xlpm.val,{"D04","C30","c40","C20"},0)), _xlpm.val, "Other")
)</f>
        <v>C20</v>
      </c>
      <c r="D717" s="10" t="str">
        <f>IFERROR(VLOOKUP(Datadetails[[#This Row],[Taskcode]],Dashboard!A:A,1,FALSE),"00 Err Missing")</f>
        <v>0033</v>
      </c>
      <c r="E717" s="79">
        <v>45800</v>
      </c>
      <c r="F717" s="80" t="s">
        <v>323</v>
      </c>
      <c r="G717" s="60" t="s">
        <v>40</v>
      </c>
      <c r="H717" s="80" t="s">
        <v>200</v>
      </c>
      <c r="I717" s="80" t="s">
        <v>36</v>
      </c>
      <c r="J717" s="80" t="s">
        <v>391</v>
      </c>
      <c r="K717" s="80" t="s">
        <v>346</v>
      </c>
      <c r="L717" s="80" t="s">
        <v>342</v>
      </c>
      <c r="M717" s="81">
        <v>0.33</v>
      </c>
      <c r="N717" s="82">
        <v>19.8</v>
      </c>
    </row>
    <row r="718" spans="1:14" x14ac:dyDescent="0.25">
      <c r="A718" s="10" t="str">
        <f>_xlfn.IFNA(
    IF(J718=
        "PCB-0001",
        "CSS",
        IF(
            ISNUMBER(MATCH(_xlfn.TEXTBEFORE(J718,"-"), {"CSS","CSN","PCB","PCF","BEC","CSD","PCM"}, 0)),
            _xlfn.TEXTBEFORE(J718,"-"),
            "Other"
        )
    ),
"Add")</f>
        <v>PCM</v>
      </c>
      <c r="B718" s="10" t="str">
        <f t="shared" si="12"/>
        <v>0034</v>
      </c>
      <c r="C718" s="10" t="str">
        <f>_xlfn.LET(
    _xlpm.val, IF(Datadetails[[#This Row],[Activity]]="D02","C20",Datadetails[[#This Row],[Activity]]),
    IF(ISNUMBER(MATCH(_xlpm.val,{"D04","C30","c40","C20"},0)), _xlpm.val, "Other")
)</f>
        <v>C20</v>
      </c>
      <c r="D718" s="10" t="str">
        <f>IFERROR(VLOOKUP(Datadetails[[#This Row],[Taskcode]],Dashboard!A:A,1,FALSE),"00 Err Missing")</f>
        <v>0034</v>
      </c>
      <c r="E718" s="79">
        <v>45800</v>
      </c>
      <c r="F718" s="80" t="s">
        <v>323</v>
      </c>
      <c r="G718" s="60" t="s">
        <v>40</v>
      </c>
      <c r="H718" s="80" t="s">
        <v>201</v>
      </c>
      <c r="I718" s="80" t="s">
        <v>36</v>
      </c>
      <c r="J718" s="80" t="s">
        <v>395</v>
      </c>
      <c r="K718" s="80" t="s">
        <v>346</v>
      </c>
      <c r="L718" s="80" t="s">
        <v>342</v>
      </c>
      <c r="M718" s="81">
        <v>0.5</v>
      </c>
      <c r="N718" s="82">
        <v>30</v>
      </c>
    </row>
    <row r="719" spans="1:14" x14ac:dyDescent="0.25">
      <c r="A719" s="10" t="str">
        <f>_xlfn.IFNA(
    IF(J719=
        "PCB-0001",
        "CSS",
        IF(
            ISNUMBER(MATCH(_xlfn.TEXTBEFORE(J719,"-"), {"CSS","CSN","PCB","PCF","BEC","CSD","PCM"}, 0)),
            _xlfn.TEXTBEFORE(J719,"-"),
            "Other"
        )
    ),
"Add")</f>
        <v>PCM</v>
      </c>
      <c r="B719" s="10" t="str">
        <f t="shared" si="12"/>
        <v>0045</v>
      </c>
      <c r="C719" s="10" t="str">
        <f>_xlfn.LET(
    _xlpm.val, IF(Datadetails[[#This Row],[Activity]]="D02","C20",Datadetails[[#This Row],[Activity]]),
    IF(ISNUMBER(MATCH(_xlpm.val,{"D04","C30","c40","C20"},0)), _xlpm.val, "Other")
)</f>
        <v>C20</v>
      </c>
      <c r="D719" s="10" t="str">
        <f>IFERROR(VLOOKUP(Datadetails[[#This Row],[Taskcode]],Dashboard!A:A,1,FALSE),"00 Err Missing")</f>
        <v>0045</v>
      </c>
      <c r="E719" s="79">
        <v>45800</v>
      </c>
      <c r="F719" s="80" t="s">
        <v>323</v>
      </c>
      <c r="G719" s="60" t="s">
        <v>40</v>
      </c>
      <c r="H719" s="80" t="s">
        <v>212</v>
      </c>
      <c r="I719" s="80" t="s">
        <v>36</v>
      </c>
      <c r="J719" s="80" t="s">
        <v>392</v>
      </c>
      <c r="K719" s="80" t="s">
        <v>346</v>
      </c>
      <c r="L719" s="80" t="s">
        <v>342</v>
      </c>
      <c r="M719" s="81">
        <v>0.25</v>
      </c>
      <c r="N719" s="82">
        <v>15</v>
      </c>
    </row>
    <row r="720" spans="1:14" x14ac:dyDescent="0.25">
      <c r="A720" s="10" t="str">
        <f>_xlfn.IFNA(
    IF(J720=
        "PCB-0001",
        "CSS",
        IF(
            ISNUMBER(MATCH(_xlfn.TEXTBEFORE(J720,"-"), {"CSS","CSN","PCB","PCF","BEC","CSD","PCM"}, 0)),
            _xlfn.TEXTBEFORE(J720,"-"),
            "Other"
        )
    ),
"Add")</f>
        <v>PCM</v>
      </c>
      <c r="B720" s="10" t="str">
        <f t="shared" si="12"/>
        <v>0052</v>
      </c>
      <c r="C720" s="10" t="str">
        <f>_xlfn.LET(
    _xlpm.val, IF(Datadetails[[#This Row],[Activity]]="D02","C20",Datadetails[[#This Row],[Activity]]),
    IF(ISNUMBER(MATCH(_xlpm.val,{"D04","C30","c40","C20"},0)), _xlpm.val, "Other")
)</f>
        <v>C20</v>
      </c>
      <c r="D720" s="10" t="str">
        <f>IFERROR(VLOOKUP(Datadetails[[#This Row],[Taskcode]],Dashboard!A:A,1,FALSE),"00 Err Missing")</f>
        <v>0052</v>
      </c>
      <c r="E720" s="79">
        <v>45800</v>
      </c>
      <c r="F720" s="80" t="s">
        <v>323</v>
      </c>
      <c r="G720" s="60" t="s">
        <v>40</v>
      </c>
      <c r="H720" s="80" t="s">
        <v>219</v>
      </c>
      <c r="I720" s="80" t="s">
        <v>36</v>
      </c>
      <c r="J720" s="80" t="s">
        <v>432</v>
      </c>
      <c r="K720" s="80" t="s">
        <v>346</v>
      </c>
      <c r="L720" s="80" t="s">
        <v>342</v>
      </c>
      <c r="M720" s="81">
        <v>0.33</v>
      </c>
      <c r="N720" s="82">
        <v>19.8</v>
      </c>
    </row>
    <row r="721" spans="1:14" x14ac:dyDescent="0.25">
      <c r="A721" s="10" t="str">
        <f>_xlfn.IFNA(
    IF(J721=
        "PCB-0001",
        "CSS",
        IF(
            ISNUMBER(MATCH(_xlfn.TEXTBEFORE(J721,"-"), {"CSS","CSN","PCB","PCF","BEC","CSD","PCM"}, 0)),
            _xlfn.TEXTBEFORE(J721,"-"),
            "Other"
        )
    ),
"Add")</f>
        <v>CSD</v>
      </c>
      <c r="B721" s="10" t="str">
        <f t="shared" si="12"/>
        <v>0001</v>
      </c>
      <c r="C721" s="10" t="str">
        <f>_xlfn.LET(
    _xlpm.val, IF(Datadetails[[#This Row],[Activity]]="D02","C20",Datadetails[[#This Row],[Activity]]),
    IF(ISNUMBER(MATCH(_xlpm.val,{"D04","C30","c40","C20"},0)), _xlpm.val, "Other")
)</f>
        <v>D04</v>
      </c>
      <c r="D721" s="10" t="str">
        <f>IFERROR(VLOOKUP(Datadetails[[#This Row],[Taskcode]],Dashboard!A:A,1,FALSE),"00 Err Missing")</f>
        <v>0001</v>
      </c>
      <c r="E721" s="79">
        <v>45800</v>
      </c>
      <c r="F721" s="80" t="s">
        <v>333</v>
      </c>
      <c r="G721" s="60" t="s">
        <v>40</v>
      </c>
      <c r="H721" s="80" t="s">
        <v>320</v>
      </c>
      <c r="I721" s="80" t="s">
        <v>35</v>
      </c>
      <c r="J721" s="80" t="s">
        <v>322</v>
      </c>
      <c r="K721" s="80" t="s">
        <v>319</v>
      </c>
      <c r="L721" s="80" t="s">
        <v>352</v>
      </c>
      <c r="M721" s="81">
        <v>7.5</v>
      </c>
      <c r="N721" s="82">
        <v>240</v>
      </c>
    </row>
    <row r="722" spans="1:14" x14ac:dyDescent="0.25">
      <c r="A722" s="10" t="str">
        <f>_xlfn.IFNA(
    IF(J722=
        "PCB-0001",
        "CSS",
        IF(
            ISNUMBER(MATCH(_xlfn.TEXTBEFORE(J722,"-"), {"CSS","CSN","PCB","PCF","BEC","CSD","PCM"}, 0)),
            _xlfn.TEXTBEFORE(J722,"-"),
            "Other"
        )
    ),
"Add")</f>
        <v>CSD</v>
      </c>
      <c r="B722" s="10" t="str">
        <f t="shared" si="12"/>
        <v>0001</v>
      </c>
      <c r="C722" s="10" t="str">
        <f>_xlfn.LET(
    _xlpm.val, IF(Datadetails[[#This Row],[Activity]]="D02","C20",Datadetails[[#This Row],[Activity]]),
    IF(ISNUMBER(MATCH(_xlpm.val,{"D04","C30","c40","C20"},0)), _xlpm.val, "Other")
)</f>
        <v>D04</v>
      </c>
      <c r="D722" s="10" t="str">
        <f>IFERROR(VLOOKUP(Datadetails[[#This Row],[Taskcode]],Dashboard!A:A,1,FALSE),"00 Err Missing")</f>
        <v>0001</v>
      </c>
      <c r="E722" s="79">
        <v>45800</v>
      </c>
      <c r="F722" s="80" t="s">
        <v>327</v>
      </c>
      <c r="G722" s="60" t="s">
        <v>40</v>
      </c>
      <c r="H722" s="80" t="s">
        <v>320</v>
      </c>
      <c r="I722" s="80" t="s">
        <v>35</v>
      </c>
      <c r="J722" s="80" t="s">
        <v>322</v>
      </c>
      <c r="K722" s="80" t="s">
        <v>319</v>
      </c>
      <c r="L722" s="80" t="s">
        <v>352</v>
      </c>
      <c r="M722" s="81">
        <v>7.42</v>
      </c>
      <c r="N722" s="82">
        <v>237.44</v>
      </c>
    </row>
    <row r="723" spans="1:14" x14ac:dyDescent="0.25">
      <c r="A723" s="10" t="str">
        <f>_xlfn.IFNA(
    IF(J723=
        "PCB-0001",
        "CSS",
        IF(
            ISNUMBER(MATCH(_xlfn.TEXTBEFORE(J723,"-"), {"CSS","CSN","PCB","PCF","BEC","CSD","PCM"}, 0)),
            _xlfn.TEXTBEFORE(J723,"-"),
            "Other"
        )
    ),
"Add")</f>
        <v>PCM</v>
      </c>
      <c r="B723" s="10" t="str">
        <f t="shared" si="12"/>
        <v>0116</v>
      </c>
      <c r="C723" s="10" t="str">
        <f>_xlfn.LET(
    _xlpm.val, IF(Datadetails[[#This Row],[Activity]]="D02","C20",Datadetails[[#This Row],[Activity]]),
    IF(ISNUMBER(MATCH(_xlpm.val,{"D04","C30","c40","C20"},0)), _xlpm.val, "Other")
)</f>
        <v>C20</v>
      </c>
      <c r="D723" s="10" t="str">
        <f>IFERROR(VLOOKUP(Datadetails[[#This Row],[Taskcode]],Dashboard!A:A,1,FALSE),"00 Err Missing")</f>
        <v>0116</v>
      </c>
      <c r="E723" s="79">
        <v>45800</v>
      </c>
      <c r="F723" s="80" t="s">
        <v>323</v>
      </c>
      <c r="G723" s="60" t="s">
        <v>40</v>
      </c>
      <c r="H723" s="80" t="s">
        <v>283</v>
      </c>
      <c r="I723" s="80" t="s">
        <v>36</v>
      </c>
      <c r="J723" s="80" t="s">
        <v>429</v>
      </c>
      <c r="K723" s="80" t="s">
        <v>346</v>
      </c>
      <c r="L723" s="80" t="s">
        <v>342</v>
      </c>
      <c r="M723" s="81">
        <v>0.25</v>
      </c>
      <c r="N723" s="82">
        <v>15</v>
      </c>
    </row>
    <row r="724" spans="1:14" x14ac:dyDescent="0.25">
      <c r="A724" s="10" t="str">
        <f>_xlfn.IFNA(
    IF(J724=
        "PCB-0001",
        "CSS",
        IF(
            ISNUMBER(MATCH(_xlfn.TEXTBEFORE(J724,"-"), {"CSS","CSN","PCB","PCF","BEC","CSD","PCM"}, 0)),
            _xlfn.TEXTBEFORE(J724,"-"),
            "Other"
        )
    ),
"Add")</f>
        <v>PCM</v>
      </c>
      <c r="B724" s="10" t="str">
        <f t="shared" si="12"/>
        <v>0113</v>
      </c>
      <c r="C724" s="10" t="str">
        <f>_xlfn.LET(
    _xlpm.val, IF(Datadetails[[#This Row],[Activity]]="D02","C20",Datadetails[[#This Row],[Activity]]),
    IF(ISNUMBER(MATCH(_xlpm.val,{"D04","C30","c40","C20"},0)), _xlpm.val, "Other")
)</f>
        <v>C20</v>
      </c>
      <c r="D724" s="10" t="str">
        <f>IFERROR(VLOOKUP(Datadetails[[#This Row],[Taskcode]],Dashboard!A:A,1,FALSE),"00 Err Missing")</f>
        <v>0113</v>
      </c>
      <c r="E724" s="79">
        <v>45800</v>
      </c>
      <c r="F724" s="80" t="s">
        <v>323</v>
      </c>
      <c r="G724" s="60" t="s">
        <v>40</v>
      </c>
      <c r="H724" s="80" t="s">
        <v>280</v>
      </c>
      <c r="I724" s="80" t="s">
        <v>36</v>
      </c>
      <c r="J724" s="80" t="s">
        <v>445</v>
      </c>
      <c r="K724" s="80" t="s">
        <v>346</v>
      </c>
      <c r="L724" s="80" t="s">
        <v>342</v>
      </c>
      <c r="M724" s="81">
        <v>0.25</v>
      </c>
      <c r="N724" s="82">
        <v>15</v>
      </c>
    </row>
    <row r="725" spans="1:14" x14ac:dyDescent="0.25">
      <c r="A725" s="10" t="str">
        <f>_xlfn.IFNA(
    IF(J725=
        "PCB-0001",
        "CSS",
        IF(
            ISNUMBER(MATCH(_xlfn.TEXTBEFORE(J725,"-"), {"CSS","CSN","PCB","PCF","BEC","CSD","PCM"}, 0)),
            _xlfn.TEXTBEFORE(J725,"-"),
            "Other"
        )
    ),
"Add")</f>
        <v>PCB</v>
      </c>
      <c r="B725" s="10" t="str">
        <f t="shared" si="12"/>
        <v>0019</v>
      </c>
      <c r="C725" s="10" t="str">
        <f>_xlfn.LET(
    _xlpm.val, IF(Datadetails[[#This Row],[Activity]]="D02","C20",Datadetails[[#This Row],[Activity]]),
    IF(ISNUMBER(MATCH(_xlpm.val,{"D04","C30","c40","C20"},0)), _xlpm.val, "Other")
)</f>
        <v>C30</v>
      </c>
      <c r="D725" s="10" t="str">
        <f>IFERROR(VLOOKUP(Datadetails[[#This Row],[Taskcode]],Dashboard!A:A,1,FALSE),"00 Err Missing")</f>
        <v>0019</v>
      </c>
      <c r="E725" s="79">
        <v>45800</v>
      </c>
      <c r="F725" s="80" t="s">
        <v>329</v>
      </c>
      <c r="G725" s="60" t="s">
        <v>40</v>
      </c>
      <c r="H725" s="80" t="s">
        <v>186</v>
      </c>
      <c r="I725" s="80" t="s">
        <v>34</v>
      </c>
      <c r="J725" s="80" t="s">
        <v>397</v>
      </c>
      <c r="K725" s="80" t="s">
        <v>347</v>
      </c>
      <c r="L725" s="80" t="s">
        <v>343</v>
      </c>
      <c r="M725" s="81">
        <v>0.08</v>
      </c>
      <c r="N725" s="82">
        <v>6</v>
      </c>
    </row>
    <row r="726" spans="1:14" x14ac:dyDescent="0.25">
      <c r="A726" s="10" t="str">
        <f>_xlfn.IFNA(
    IF(J726=
        "PCB-0001",
        "CSS",
        IF(
            ISNUMBER(MATCH(_xlfn.TEXTBEFORE(J726,"-"), {"CSS","CSN","PCB","PCF","BEC","CSD","PCM"}, 0)),
            _xlfn.TEXTBEFORE(J726,"-"),
            "Other"
        )
    ),
"Add")</f>
        <v>PCB</v>
      </c>
      <c r="B726" s="10" t="str">
        <f t="shared" si="12"/>
        <v>0003</v>
      </c>
      <c r="C726" s="10" t="str">
        <f>_xlfn.LET(
    _xlpm.val, IF(Datadetails[[#This Row],[Activity]]="D02","C20",Datadetails[[#This Row],[Activity]]),
    IF(ISNUMBER(MATCH(_xlpm.val,{"D04","C30","c40","C20"},0)), _xlpm.val, "Other")
)</f>
        <v>C30</v>
      </c>
      <c r="D726" s="10" t="str">
        <f>IFERROR(VLOOKUP(Datadetails[[#This Row],[Taskcode]],Dashboard!A:A,1,FALSE),"00 Err Missing")</f>
        <v>0003</v>
      </c>
      <c r="E726" s="79">
        <v>45800</v>
      </c>
      <c r="F726" s="80" t="s">
        <v>325</v>
      </c>
      <c r="G726" s="60" t="s">
        <v>40</v>
      </c>
      <c r="H726" s="80" t="s">
        <v>170</v>
      </c>
      <c r="I726" s="80" t="s">
        <v>34</v>
      </c>
      <c r="J726" s="80" t="s">
        <v>424</v>
      </c>
      <c r="K726" s="80" t="s">
        <v>347</v>
      </c>
      <c r="L726" s="80" t="s">
        <v>343</v>
      </c>
      <c r="M726" s="81">
        <v>0.25</v>
      </c>
      <c r="N726" s="82">
        <v>18.75</v>
      </c>
    </row>
    <row r="727" spans="1:14" x14ac:dyDescent="0.25">
      <c r="A727" s="10" t="str">
        <f>_xlfn.IFNA(
    IF(J727=
        "PCB-0001",
        "CSS",
        IF(
            ISNUMBER(MATCH(_xlfn.TEXTBEFORE(J727,"-"), {"CSS","CSN","PCB","PCF","BEC","CSD","PCM"}, 0)),
            _xlfn.TEXTBEFORE(J727,"-"),
            "Other"
        )
    ),
"Add")</f>
        <v>PCB</v>
      </c>
      <c r="B727" s="10" t="str">
        <f t="shared" si="12"/>
        <v>0134</v>
      </c>
      <c r="C727" s="10" t="str">
        <f>_xlfn.LET(
    _xlpm.val, IF(Datadetails[[#This Row],[Activity]]="D02","C20",Datadetails[[#This Row],[Activity]]),
    IF(ISNUMBER(MATCH(_xlpm.val,{"D04","C30","c40","C20"},0)), _xlpm.val, "Other")
)</f>
        <v>C30</v>
      </c>
      <c r="D727" s="10" t="str">
        <f>IFERROR(VLOOKUP(Datadetails[[#This Row],[Taskcode]],Dashboard!A:A,1,FALSE),"00 Err Missing")</f>
        <v>0134</v>
      </c>
      <c r="E727" s="79">
        <v>45800</v>
      </c>
      <c r="F727" s="80" t="s">
        <v>329</v>
      </c>
      <c r="G727" s="60" t="s">
        <v>40</v>
      </c>
      <c r="H727" s="80" t="s">
        <v>301</v>
      </c>
      <c r="I727" s="80" t="s">
        <v>34</v>
      </c>
      <c r="J727" s="80" t="s">
        <v>371</v>
      </c>
      <c r="K727" s="80" t="s">
        <v>347</v>
      </c>
      <c r="L727" s="80" t="s">
        <v>343</v>
      </c>
      <c r="M727" s="81">
        <v>0.5</v>
      </c>
      <c r="N727" s="82">
        <v>37.5</v>
      </c>
    </row>
    <row r="728" spans="1:14" x14ac:dyDescent="0.25">
      <c r="A728" s="10" t="str">
        <f>_xlfn.IFNA(
    IF(J728=
        "PCB-0001",
        "CSS",
        IF(
            ISNUMBER(MATCH(_xlfn.TEXTBEFORE(J728,"-"), {"CSS","CSN","PCB","PCF","BEC","CSD","PCM"}, 0)),
            _xlfn.TEXTBEFORE(J728,"-"),
            "Other"
        )
    ),
"Add")</f>
        <v>PCB</v>
      </c>
      <c r="B728" s="10" t="str">
        <f t="shared" si="12"/>
        <v>0054</v>
      </c>
      <c r="C728" s="10" t="str">
        <f>_xlfn.LET(
    _xlpm.val, IF(Datadetails[[#This Row],[Activity]]="D02","C20",Datadetails[[#This Row],[Activity]]),
    IF(ISNUMBER(MATCH(_xlpm.val,{"D04","C30","c40","C20"},0)), _xlpm.val, "Other")
)</f>
        <v>C30</v>
      </c>
      <c r="D728" s="10" t="str">
        <f>IFERROR(VLOOKUP(Datadetails[[#This Row],[Taskcode]],Dashboard!A:A,1,FALSE),"00 Err Missing")</f>
        <v>0054</v>
      </c>
      <c r="E728" s="79">
        <v>45800</v>
      </c>
      <c r="F728" s="80" t="s">
        <v>329</v>
      </c>
      <c r="G728" s="60" t="s">
        <v>40</v>
      </c>
      <c r="H728" s="80" t="s">
        <v>221</v>
      </c>
      <c r="I728" s="80" t="s">
        <v>34</v>
      </c>
      <c r="J728" s="80" t="s">
        <v>369</v>
      </c>
      <c r="K728" s="80" t="s">
        <v>347</v>
      </c>
      <c r="L728" s="80" t="s">
        <v>343</v>
      </c>
      <c r="M728" s="81">
        <v>0.17</v>
      </c>
      <c r="N728" s="82">
        <v>12.750000000000002</v>
      </c>
    </row>
    <row r="729" spans="1:14" x14ac:dyDescent="0.25">
      <c r="A729" s="10" t="str">
        <f>_xlfn.IFNA(
    IF(J729=
        "PCB-0001",
        "CSS",
        IF(
            ISNUMBER(MATCH(_xlfn.TEXTBEFORE(J729,"-"), {"CSS","CSN","PCB","PCF","BEC","CSD","PCM"}, 0)),
            _xlfn.TEXTBEFORE(J729,"-"),
            "Other"
        )
    ),
"Add")</f>
        <v>PCB</v>
      </c>
      <c r="B729" s="10" t="str">
        <f t="shared" si="12"/>
        <v>0104</v>
      </c>
      <c r="C729" s="10" t="str">
        <f>_xlfn.LET(
    _xlpm.val, IF(Datadetails[[#This Row],[Activity]]="D02","C20",Datadetails[[#This Row],[Activity]]),
    IF(ISNUMBER(MATCH(_xlpm.val,{"D04","C30","c40","C20"},0)), _xlpm.val, "Other")
)</f>
        <v>C30</v>
      </c>
      <c r="D729" s="10" t="str">
        <f>IFERROR(VLOOKUP(Datadetails[[#This Row],[Taskcode]],Dashboard!A:A,1,FALSE),"00 Err Missing")</f>
        <v>0104</v>
      </c>
      <c r="E729" s="79">
        <v>45800</v>
      </c>
      <c r="F729" s="80" t="s">
        <v>325</v>
      </c>
      <c r="G729" s="60" t="s">
        <v>40</v>
      </c>
      <c r="H729" s="80" t="s">
        <v>271</v>
      </c>
      <c r="I729" s="80" t="s">
        <v>34</v>
      </c>
      <c r="J729" s="80" t="s">
        <v>363</v>
      </c>
      <c r="K729" s="80" t="s">
        <v>347</v>
      </c>
      <c r="L729" s="80" t="s">
        <v>343</v>
      </c>
      <c r="M729" s="81">
        <v>0.17</v>
      </c>
      <c r="N729" s="82">
        <v>12.750000000000002</v>
      </c>
    </row>
    <row r="730" spans="1:14" x14ac:dyDescent="0.25">
      <c r="A730" s="10" t="str">
        <f>_xlfn.IFNA(
    IF(J730=
        "PCB-0001",
        "CSS",
        IF(
            ISNUMBER(MATCH(_xlfn.TEXTBEFORE(J730,"-"), {"CSS","CSN","PCB","PCF","BEC","CSD","PCM"}, 0)),
            _xlfn.TEXTBEFORE(J730,"-"),
            "Other"
        )
    ),
"Add")</f>
        <v>PCB</v>
      </c>
      <c r="B730" s="10" t="str">
        <f t="shared" si="12"/>
        <v>0085</v>
      </c>
      <c r="C730" s="10" t="str">
        <f>_xlfn.LET(
    _xlpm.val, IF(Datadetails[[#This Row],[Activity]]="D02","C20",Datadetails[[#This Row],[Activity]]),
    IF(ISNUMBER(MATCH(_xlpm.val,{"D04","C30","c40","C20"},0)), _xlpm.val, "Other")
)</f>
        <v>C30</v>
      </c>
      <c r="D730" s="10" t="str">
        <f>IFERROR(VLOOKUP(Datadetails[[#This Row],[Taskcode]],Dashboard!A:A,1,FALSE),"00 Err Missing")</f>
        <v>0085</v>
      </c>
      <c r="E730" s="79">
        <v>45800</v>
      </c>
      <c r="F730" s="80" t="s">
        <v>330</v>
      </c>
      <c r="G730" s="60" t="s">
        <v>40</v>
      </c>
      <c r="H730" s="80" t="s">
        <v>252</v>
      </c>
      <c r="I730" s="80" t="s">
        <v>34</v>
      </c>
      <c r="J730" s="80" t="s">
        <v>416</v>
      </c>
      <c r="K730" s="80" t="s">
        <v>347</v>
      </c>
      <c r="L730" s="80" t="s">
        <v>343</v>
      </c>
      <c r="M730" s="81">
        <v>0.5</v>
      </c>
      <c r="N730" s="82">
        <v>30</v>
      </c>
    </row>
    <row r="731" spans="1:14" x14ac:dyDescent="0.25">
      <c r="A731" s="10" t="str">
        <f>_xlfn.IFNA(
    IF(J731=
        "PCB-0001",
        "CSS",
        IF(
            ISNUMBER(MATCH(_xlfn.TEXTBEFORE(J731,"-"), {"CSS","CSN","PCB","PCF","BEC","CSD","PCM"}, 0)),
            _xlfn.TEXTBEFORE(J731,"-"),
            "Other"
        )
    ),
"Add")</f>
        <v>BEC</v>
      </c>
      <c r="B731" s="10" t="str">
        <f t="shared" si="12"/>
        <v>0001</v>
      </c>
      <c r="C731" s="10" t="str">
        <f>_xlfn.LET(
    _xlpm.val, IF(Datadetails[[#This Row],[Activity]]="D02","C20",Datadetails[[#This Row],[Activity]]),
    IF(ISNUMBER(MATCH(_xlpm.val,{"D04","C30","c40","C20"},0)), _xlpm.val, "Other")
)</f>
        <v>D04</v>
      </c>
      <c r="D731" s="10" t="str">
        <f>IFERROR(VLOOKUP(Datadetails[[#This Row],[Taskcode]],Dashboard!A:A,1,FALSE),"00 Err Missing")</f>
        <v>0001</v>
      </c>
      <c r="E731" s="79">
        <v>45800</v>
      </c>
      <c r="F731" s="80" t="s">
        <v>332</v>
      </c>
      <c r="G731" s="60" t="s">
        <v>40</v>
      </c>
      <c r="H731" s="80" t="s">
        <v>314</v>
      </c>
      <c r="I731" s="80" t="s">
        <v>35</v>
      </c>
      <c r="J731" s="80" t="s">
        <v>359</v>
      </c>
      <c r="K731" s="80" t="s">
        <v>339</v>
      </c>
      <c r="L731" s="80" t="s">
        <v>352</v>
      </c>
      <c r="M731" s="81">
        <v>7.5</v>
      </c>
      <c r="N731" s="82">
        <v>300</v>
      </c>
    </row>
    <row r="732" spans="1:14" x14ac:dyDescent="0.25">
      <c r="A732" s="10" t="str">
        <f>_xlfn.IFNA(
    IF(J732=
        "PCB-0001",
        "CSS",
        IF(
            ISNUMBER(MATCH(_xlfn.TEXTBEFORE(J732,"-"), {"CSS","CSN","PCB","PCF","BEC","CSD","PCM"}, 0)),
            _xlfn.TEXTBEFORE(J732,"-"),
            "Other"
        )
    ),
"Add")</f>
        <v>BEC</v>
      </c>
      <c r="B732" s="10" t="str">
        <f t="shared" si="12"/>
        <v>0001</v>
      </c>
      <c r="C732" s="10" t="str">
        <f>_xlfn.LET(
    _xlpm.val, IF(Datadetails[[#This Row],[Activity]]="D02","C20",Datadetails[[#This Row],[Activity]]),
    IF(ISNUMBER(MATCH(_xlpm.val,{"D04","C30","c40","C20"},0)), _xlpm.val, "Other")
)</f>
        <v>D04</v>
      </c>
      <c r="D732" s="10" t="str">
        <f>IFERROR(VLOOKUP(Datadetails[[#This Row],[Taskcode]],Dashboard!A:A,1,FALSE),"00 Err Missing")</f>
        <v>0001</v>
      </c>
      <c r="E732" s="79">
        <v>45800</v>
      </c>
      <c r="F732" s="80" t="s">
        <v>324</v>
      </c>
      <c r="G732" s="60" t="s">
        <v>40</v>
      </c>
      <c r="H732" s="80" t="s">
        <v>314</v>
      </c>
      <c r="I732" s="80" t="s">
        <v>35</v>
      </c>
      <c r="J732" s="80" t="s">
        <v>359</v>
      </c>
      <c r="K732" s="80" t="s">
        <v>339</v>
      </c>
      <c r="L732" s="80" t="s">
        <v>352</v>
      </c>
      <c r="M732" s="81">
        <v>5</v>
      </c>
      <c r="N732" s="82">
        <v>375</v>
      </c>
    </row>
    <row r="733" spans="1:14" x14ac:dyDescent="0.25">
      <c r="A733" s="10" t="str">
        <f>_xlfn.IFNA(
    IF(J733=
        "PCB-0001",
        "CSS",
        IF(
            ISNUMBER(MATCH(_xlfn.TEXTBEFORE(J733,"-"), {"CSS","CSN","PCB","PCF","BEC","CSD","PCM"}, 0)),
            _xlfn.TEXTBEFORE(J733,"-"),
            "Other"
        )
    ),
"Add")</f>
        <v>BEC</v>
      </c>
      <c r="B733" s="10" t="str">
        <f t="shared" si="12"/>
        <v>0001</v>
      </c>
      <c r="C733" s="10" t="str">
        <f>_xlfn.LET(
    _xlpm.val, IF(Datadetails[[#This Row],[Activity]]="D02","C20",Datadetails[[#This Row],[Activity]]),
    IF(ISNUMBER(MATCH(_xlpm.val,{"D04","C30","c40","C20"},0)), _xlpm.val, "Other")
)</f>
        <v>D04</v>
      </c>
      <c r="D733" s="10" t="str">
        <f>IFERROR(VLOOKUP(Datadetails[[#This Row],[Taskcode]],Dashboard!A:A,1,FALSE),"00 Err Missing")</f>
        <v>0001</v>
      </c>
      <c r="E733" s="79">
        <v>45801</v>
      </c>
      <c r="F733" s="80" t="s">
        <v>332</v>
      </c>
      <c r="G733" s="60" t="s">
        <v>40</v>
      </c>
      <c r="H733" s="80" t="s">
        <v>314</v>
      </c>
      <c r="I733" s="80" t="s">
        <v>35</v>
      </c>
      <c r="J733" s="80" t="s">
        <v>359</v>
      </c>
      <c r="K733" s="80" t="s">
        <v>339</v>
      </c>
      <c r="L733" s="80" t="s">
        <v>352</v>
      </c>
      <c r="M733" s="81">
        <v>4</v>
      </c>
      <c r="N733" s="82">
        <v>160</v>
      </c>
    </row>
    <row r="734" spans="1:14" x14ac:dyDescent="0.25">
      <c r="A734" s="10" t="str">
        <f>_xlfn.IFNA(
    IF(J734=
        "PCB-0001",
        "CSS",
        IF(
            ISNUMBER(MATCH(_xlfn.TEXTBEFORE(J734,"-"), {"CSS","CSN","PCB","PCF","BEC","CSD","PCM"}, 0)),
            _xlfn.TEXTBEFORE(J734,"-"),
            "Other"
        )
    ),
"Add")</f>
        <v>PCM</v>
      </c>
      <c r="B734" s="10" t="str">
        <f t="shared" si="12"/>
        <v>0001</v>
      </c>
      <c r="C734" s="10" t="str">
        <f>_xlfn.LET(
    _xlpm.val, IF(Datadetails[[#This Row],[Activity]]="D02","C20",Datadetails[[#This Row],[Activity]]),
    IF(ISNUMBER(MATCH(_xlpm.val,{"D04","C30","c40","C20"},0)), _xlpm.val, "Other")
)</f>
        <v>C20</v>
      </c>
      <c r="D734" s="10" t="str">
        <f>IFERROR(VLOOKUP(Datadetails[[#This Row],[Taskcode]],Dashboard!A:A,1,FALSE),"00 Err Missing")</f>
        <v>0001</v>
      </c>
      <c r="E734" s="79">
        <v>45804</v>
      </c>
      <c r="F734" s="80" t="s">
        <v>323</v>
      </c>
      <c r="G734" s="60" t="s">
        <v>40</v>
      </c>
      <c r="H734" s="80" t="s">
        <v>168</v>
      </c>
      <c r="I734" s="80" t="s">
        <v>36</v>
      </c>
      <c r="J734" s="80" t="s">
        <v>419</v>
      </c>
      <c r="K734" s="80" t="s">
        <v>346</v>
      </c>
      <c r="L734" s="80" t="s">
        <v>342</v>
      </c>
      <c r="M734" s="81">
        <v>0.25</v>
      </c>
      <c r="N734" s="82">
        <v>15</v>
      </c>
    </row>
    <row r="735" spans="1:14" x14ac:dyDescent="0.25">
      <c r="A735" s="10" t="str">
        <f>_xlfn.IFNA(
    IF(J735=
        "PCB-0001",
        "CSS",
        IF(
            ISNUMBER(MATCH(_xlfn.TEXTBEFORE(J735,"-"), {"CSS","CSN","PCB","PCF","BEC","CSD","PCM"}, 0)),
            _xlfn.TEXTBEFORE(J735,"-"),
            "Other"
        )
    ),
"Add")</f>
        <v>CSD</v>
      </c>
      <c r="B735" s="10" t="str">
        <f t="shared" si="12"/>
        <v>0001</v>
      </c>
      <c r="C735" s="10" t="str">
        <f>_xlfn.LET(
    _xlpm.val, IF(Datadetails[[#This Row],[Activity]]="D02","C20",Datadetails[[#This Row],[Activity]]),
    IF(ISNUMBER(MATCH(_xlpm.val,{"D04","C30","c40","C20"},0)), _xlpm.val, "Other")
)</f>
        <v>D04</v>
      </c>
      <c r="D735" s="10" t="str">
        <f>IFERROR(VLOOKUP(Datadetails[[#This Row],[Taskcode]],Dashboard!A:A,1,FALSE),"00 Err Missing")</f>
        <v>0001</v>
      </c>
      <c r="E735" s="79">
        <v>45804</v>
      </c>
      <c r="F735" s="80" t="s">
        <v>327</v>
      </c>
      <c r="G735" s="60" t="s">
        <v>40</v>
      </c>
      <c r="H735" s="80" t="s">
        <v>320</v>
      </c>
      <c r="I735" s="80" t="s">
        <v>35</v>
      </c>
      <c r="J735" s="80" t="s">
        <v>322</v>
      </c>
      <c r="K735" s="80" t="s">
        <v>319</v>
      </c>
      <c r="L735" s="80" t="s">
        <v>352</v>
      </c>
      <c r="M735" s="81">
        <v>7.25</v>
      </c>
      <c r="N735" s="82">
        <v>232</v>
      </c>
    </row>
    <row r="736" spans="1:14" x14ac:dyDescent="0.25">
      <c r="A736" s="10" t="str">
        <f>_xlfn.IFNA(
    IF(J736=
        "PCB-0001",
        "CSS",
        IF(
            ISNUMBER(MATCH(_xlfn.TEXTBEFORE(J736,"-"), {"CSS","CSN","PCB","PCF","BEC","CSD","PCM"}, 0)),
            _xlfn.TEXTBEFORE(J736,"-"),
            "Other"
        )
    ),
"Add")</f>
        <v>PCM</v>
      </c>
      <c r="B736" s="10" t="str">
        <f t="shared" si="12"/>
        <v>0099</v>
      </c>
      <c r="C736" s="10" t="str">
        <f>_xlfn.LET(
    _xlpm.val, IF(Datadetails[[#This Row],[Activity]]="D02","C20",Datadetails[[#This Row],[Activity]]),
    IF(ISNUMBER(MATCH(_xlpm.val,{"D04","C30","c40","C20"},0)), _xlpm.val, "Other")
)</f>
        <v>C20</v>
      </c>
      <c r="D736" s="10" t="str">
        <f>IFERROR(VLOOKUP(Datadetails[[#This Row],[Taskcode]],Dashboard!A:A,1,FALSE),"00 Err Missing")</f>
        <v>0099</v>
      </c>
      <c r="E736" s="79">
        <v>45804</v>
      </c>
      <c r="F736" s="80" t="s">
        <v>323</v>
      </c>
      <c r="G736" s="60" t="s">
        <v>40</v>
      </c>
      <c r="H736" s="80" t="s">
        <v>266</v>
      </c>
      <c r="I736" s="80" t="s">
        <v>36</v>
      </c>
      <c r="J736" s="80" t="s">
        <v>394</v>
      </c>
      <c r="K736" s="80" t="s">
        <v>346</v>
      </c>
      <c r="L736" s="80" t="s">
        <v>342</v>
      </c>
      <c r="M736" s="81">
        <v>0.33</v>
      </c>
      <c r="N736" s="82">
        <v>19.8</v>
      </c>
    </row>
    <row r="737" spans="1:14" x14ac:dyDescent="0.25">
      <c r="A737" s="10" t="str">
        <f>_xlfn.IFNA(
    IF(J737=
        "PCB-0001",
        "CSS",
        IF(
            ISNUMBER(MATCH(_xlfn.TEXTBEFORE(J737,"-"), {"CSS","CSN","PCB","PCF","BEC","CSD","PCM"}, 0)),
            _xlfn.TEXTBEFORE(J737,"-"),
            "Other"
        )
    ),
"Add")</f>
        <v>PCM</v>
      </c>
      <c r="B737" s="10" t="str">
        <f t="shared" si="12"/>
        <v>0033</v>
      </c>
      <c r="C737" s="10" t="str">
        <f>_xlfn.LET(
    _xlpm.val, IF(Datadetails[[#This Row],[Activity]]="D02","C20",Datadetails[[#This Row],[Activity]]),
    IF(ISNUMBER(MATCH(_xlpm.val,{"D04","C30","c40","C20"},0)), _xlpm.val, "Other")
)</f>
        <v>C30</v>
      </c>
      <c r="D737" s="10" t="str">
        <f>IFERROR(VLOOKUP(Datadetails[[#This Row],[Taskcode]],Dashboard!A:A,1,FALSE),"00 Err Missing")</f>
        <v>0033</v>
      </c>
      <c r="E737" s="79">
        <v>45804</v>
      </c>
      <c r="F737" s="80" t="s">
        <v>323</v>
      </c>
      <c r="G737" s="60" t="s">
        <v>40</v>
      </c>
      <c r="H737" s="80" t="s">
        <v>200</v>
      </c>
      <c r="I737" s="80" t="s">
        <v>34</v>
      </c>
      <c r="J737" s="80" t="s">
        <v>391</v>
      </c>
      <c r="K737" s="80" t="s">
        <v>346</v>
      </c>
      <c r="L737" s="80" t="s">
        <v>343</v>
      </c>
      <c r="M737" s="81">
        <v>0.33</v>
      </c>
      <c r="N737" s="82">
        <v>19.8</v>
      </c>
    </row>
    <row r="738" spans="1:14" x14ac:dyDescent="0.25">
      <c r="A738" s="10" t="str">
        <f>_xlfn.IFNA(
    IF(J738=
        "PCB-0001",
        "CSS",
        IF(
            ISNUMBER(MATCH(_xlfn.TEXTBEFORE(J738,"-"), {"CSS","CSN","PCB","PCF","BEC","CSD","PCM"}, 0)),
            _xlfn.TEXTBEFORE(J738,"-"),
            "Other"
        )
    ),
"Add")</f>
        <v>PCB</v>
      </c>
      <c r="B738" s="10" t="str">
        <f t="shared" si="12"/>
        <v>0055</v>
      </c>
      <c r="C738" s="10" t="str">
        <f>_xlfn.LET(
    _xlpm.val, IF(Datadetails[[#This Row],[Activity]]="D02","C20",Datadetails[[#This Row],[Activity]]),
    IF(ISNUMBER(MATCH(_xlpm.val,{"D04","C30","c40","C20"},0)), _xlpm.val, "Other")
)</f>
        <v>C30</v>
      </c>
      <c r="D738" s="10" t="str">
        <f>IFERROR(VLOOKUP(Datadetails[[#This Row],[Taskcode]],Dashboard!A:A,1,FALSE),"00 Err Missing")</f>
        <v>0055</v>
      </c>
      <c r="E738" s="79">
        <v>45804</v>
      </c>
      <c r="F738" s="80" t="s">
        <v>330</v>
      </c>
      <c r="G738" s="60" t="s">
        <v>40</v>
      </c>
      <c r="H738" s="80" t="s">
        <v>222</v>
      </c>
      <c r="I738" s="80" t="s">
        <v>34</v>
      </c>
      <c r="J738" s="80" t="s">
        <v>447</v>
      </c>
      <c r="K738" s="80" t="s">
        <v>347</v>
      </c>
      <c r="L738" s="80" t="s">
        <v>343</v>
      </c>
      <c r="M738" s="81">
        <v>0.5</v>
      </c>
      <c r="N738" s="82">
        <v>30</v>
      </c>
    </row>
    <row r="739" spans="1:14" x14ac:dyDescent="0.25">
      <c r="A739" s="10" t="str">
        <f>_xlfn.IFNA(
    IF(J739=
        "PCB-0001",
        "CSS",
        IF(
            ISNUMBER(MATCH(_xlfn.TEXTBEFORE(J739,"-"), {"CSS","CSN","PCB","PCF","BEC","CSD","PCM"}, 0)),
            _xlfn.TEXTBEFORE(J739,"-"),
            "Other"
        )
    ),
"Add")</f>
        <v>PCB</v>
      </c>
      <c r="B739" s="10" t="str">
        <f t="shared" si="12"/>
        <v>0080</v>
      </c>
      <c r="C739" s="10" t="str">
        <f>_xlfn.LET(
    _xlpm.val, IF(Datadetails[[#This Row],[Activity]]="D02","C20",Datadetails[[#This Row],[Activity]]),
    IF(ISNUMBER(MATCH(_xlpm.val,{"D04","C30","c40","C20"},0)), _xlpm.val, "Other")
)</f>
        <v>C30</v>
      </c>
      <c r="D739" s="10" t="str">
        <f>IFERROR(VLOOKUP(Datadetails[[#This Row],[Taskcode]],Dashboard!A:A,1,FALSE),"00 Err Missing")</f>
        <v>0080</v>
      </c>
      <c r="E739" s="79">
        <v>45804</v>
      </c>
      <c r="F739" s="80" t="s">
        <v>329</v>
      </c>
      <c r="G739" s="60" t="s">
        <v>40</v>
      </c>
      <c r="H739" s="80" t="s">
        <v>247</v>
      </c>
      <c r="I739" s="80" t="s">
        <v>34</v>
      </c>
      <c r="J739" s="80" t="s">
        <v>375</v>
      </c>
      <c r="K739" s="80" t="s">
        <v>347</v>
      </c>
      <c r="L739" s="80" t="s">
        <v>343</v>
      </c>
      <c r="M739" s="81">
        <v>0.17</v>
      </c>
      <c r="N739" s="82">
        <v>12.750000000000002</v>
      </c>
    </row>
    <row r="740" spans="1:14" x14ac:dyDescent="0.25">
      <c r="A740" s="10" t="str">
        <f>_xlfn.IFNA(
    IF(J740=
        "PCB-0001",
        "CSS",
        IF(
            ISNUMBER(MATCH(_xlfn.TEXTBEFORE(J740,"-"), {"CSS","CSN","PCB","PCF","BEC","CSD","PCM"}, 0)),
            _xlfn.TEXTBEFORE(J740,"-"),
            "Other"
        )
    ),
"Add")</f>
        <v>PCB</v>
      </c>
      <c r="B740" s="10" t="str">
        <f t="shared" si="12"/>
        <v>0117</v>
      </c>
      <c r="C740" s="10" t="str">
        <f>_xlfn.LET(
    _xlpm.val, IF(Datadetails[[#This Row],[Activity]]="D02","C20",Datadetails[[#This Row],[Activity]]),
    IF(ISNUMBER(MATCH(_xlpm.val,{"D04","C30","c40","C20"},0)), _xlpm.val, "Other")
)</f>
        <v>C30</v>
      </c>
      <c r="D740" s="10" t="str">
        <f>IFERROR(VLOOKUP(Datadetails[[#This Row],[Taskcode]],Dashboard!A:A,1,FALSE),"00 Err Missing")</f>
        <v>0117</v>
      </c>
      <c r="E740" s="79">
        <v>45804</v>
      </c>
      <c r="F740" s="80" t="s">
        <v>330</v>
      </c>
      <c r="G740" s="60" t="s">
        <v>40</v>
      </c>
      <c r="H740" s="80" t="s">
        <v>284</v>
      </c>
      <c r="I740" s="80" t="s">
        <v>34</v>
      </c>
      <c r="J740" s="80" t="s">
        <v>415</v>
      </c>
      <c r="K740" s="80" t="s">
        <v>347</v>
      </c>
      <c r="L740" s="80" t="s">
        <v>343</v>
      </c>
      <c r="M740" s="81">
        <v>0.42</v>
      </c>
      <c r="N740" s="82">
        <v>25.2</v>
      </c>
    </row>
    <row r="741" spans="1:14" x14ac:dyDescent="0.25">
      <c r="A741" s="10" t="str">
        <f>_xlfn.IFNA(
    IF(J741=
        "PCB-0001",
        "CSS",
        IF(
            ISNUMBER(MATCH(_xlfn.TEXTBEFORE(J741,"-"), {"CSS","CSN","PCB","PCF","BEC","CSD","PCM"}, 0)),
            _xlfn.TEXTBEFORE(J741,"-"),
            "Other"
        )
    ),
"Add")</f>
        <v>BEC</v>
      </c>
      <c r="B741" s="10" t="str">
        <f t="shared" si="12"/>
        <v>0001</v>
      </c>
      <c r="C741" s="10" t="str">
        <f>_xlfn.LET(
    _xlpm.val, IF(Datadetails[[#This Row],[Activity]]="D02","C20",Datadetails[[#This Row],[Activity]]),
    IF(ISNUMBER(MATCH(_xlpm.val,{"D04","C30","c40","C20"},0)), _xlpm.val, "Other")
)</f>
        <v>D04</v>
      </c>
      <c r="D741" s="10" t="str">
        <f>IFERROR(VLOOKUP(Datadetails[[#This Row],[Taskcode]],Dashboard!A:A,1,FALSE),"00 Err Missing")</f>
        <v>0001</v>
      </c>
      <c r="E741" s="79">
        <v>45804</v>
      </c>
      <c r="F741" s="80" t="s">
        <v>332</v>
      </c>
      <c r="G741" s="60" t="s">
        <v>40</v>
      </c>
      <c r="H741" s="80" t="s">
        <v>314</v>
      </c>
      <c r="I741" s="80" t="s">
        <v>35</v>
      </c>
      <c r="J741" s="80" t="s">
        <v>359</v>
      </c>
      <c r="K741" s="80" t="s">
        <v>339</v>
      </c>
      <c r="L741" s="80" t="s">
        <v>352</v>
      </c>
      <c r="M741" s="81">
        <v>8.83</v>
      </c>
      <c r="N741" s="82">
        <v>353.2</v>
      </c>
    </row>
    <row r="742" spans="1:14" x14ac:dyDescent="0.25">
      <c r="A742" s="10" t="str">
        <f>_xlfn.IFNA(
    IF(J742=
        "PCB-0001",
        "CSS",
        IF(
            ISNUMBER(MATCH(_xlfn.TEXTBEFORE(J742,"-"), {"CSS","CSN","PCB","PCF","BEC","CSD","PCM"}, 0)),
            _xlfn.TEXTBEFORE(J742,"-"),
            "Other"
        )
    ),
"Add")</f>
        <v>BEC</v>
      </c>
      <c r="B742" s="10" t="str">
        <f t="shared" si="12"/>
        <v>0001</v>
      </c>
      <c r="C742" s="10" t="str">
        <f>_xlfn.LET(
    _xlpm.val, IF(Datadetails[[#This Row],[Activity]]="D02","C20",Datadetails[[#This Row],[Activity]]),
    IF(ISNUMBER(MATCH(_xlpm.val,{"D04","C30","c40","C20"},0)), _xlpm.val, "Other")
)</f>
        <v>D04</v>
      </c>
      <c r="D742" s="10" t="str">
        <f>IFERROR(VLOOKUP(Datadetails[[#This Row],[Taskcode]],Dashboard!A:A,1,FALSE),"00 Err Missing")</f>
        <v>0001</v>
      </c>
      <c r="E742" s="79">
        <v>45804</v>
      </c>
      <c r="F742" s="80" t="s">
        <v>324</v>
      </c>
      <c r="G742" s="60" t="s">
        <v>40</v>
      </c>
      <c r="H742" s="80" t="s">
        <v>314</v>
      </c>
      <c r="I742" s="80" t="s">
        <v>35</v>
      </c>
      <c r="J742" s="80" t="s">
        <v>359</v>
      </c>
      <c r="K742" s="80" t="s">
        <v>339</v>
      </c>
      <c r="L742" s="80" t="s">
        <v>352</v>
      </c>
      <c r="M742" s="81">
        <v>6</v>
      </c>
      <c r="N742" s="82">
        <v>450</v>
      </c>
    </row>
    <row r="743" spans="1:14" x14ac:dyDescent="0.25">
      <c r="A743" s="10" t="str">
        <f>_xlfn.IFNA(
    IF(J743=
        "PCB-0001",
        "CSS",
        IF(
            ISNUMBER(MATCH(_xlfn.TEXTBEFORE(J743,"-"), {"CSS","CSN","PCB","PCF","BEC","CSD","PCM"}, 0)),
            _xlfn.TEXTBEFORE(J743,"-"),
            "Other"
        )
    ),
"Add")</f>
        <v>PCM</v>
      </c>
      <c r="B743" s="10" t="str">
        <f t="shared" si="12"/>
        <v>0033</v>
      </c>
      <c r="C743" s="10" t="str">
        <f>_xlfn.LET(
    _xlpm.val, IF(Datadetails[[#This Row],[Activity]]="D02","C20",Datadetails[[#This Row],[Activity]]),
    IF(ISNUMBER(MATCH(_xlpm.val,{"D04","C30","c40","C20"},0)), _xlpm.val, "Other")
)</f>
        <v>C20</v>
      </c>
      <c r="D743" s="10" t="str">
        <f>IFERROR(VLOOKUP(Datadetails[[#This Row],[Taskcode]],Dashboard!A:A,1,FALSE),"00 Err Missing")</f>
        <v>0033</v>
      </c>
      <c r="E743" s="79">
        <v>45805</v>
      </c>
      <c r="F743" s="80" t="s">
        <v>323</v>
      </c>
      <c r="G743" s="60" t="s">
        <v>40</v>
      </c>
      <c r="H743" s="80" t="s">
        <v>200</v>
      </c>
      <c r="I743" s="80" t="s">
        <v>36</v>
      </c>
      <c r="J743" s="80" t="s">
        <v>391</v>
      </c>
      <c r="K743" s="80" t="s">
        <v>346</v>
      </c>
      <c r="L743" s="80" t="s">
        <v>342</v>
      </c>
      <c r="M743" s="81">
        <v>0.17</v>
      </c>
      <c r="N743" s="82">
        <v>10.200000000000001</v>
      </c>
    </row>
    <row r="744" spans="1:14" x14ac:dyDescent="0.25">
      <c r="A744" s="10" t="str">
        <f>_xlfn.IFNA(
    IF(J744=
        "PCB-0001",
        "CSS",
        IF(
            ISNUMBER(MATCH(_xlfn.TEXTBEFORE(J744,"-"), {"CSS","CSN","PCB","PCF","BEC","CSD","PCM"}, 0)),
            _xlfn.TEXTBEFORE(J744,"-"),
            "Other"
        )
    ),
"Add")</f>
        <v>CSD</v>
      </c>
      <c r="B744" s="10" t="str">
        <f t="shared" si="12"/>
        <v>0001</v>
      </c>
      <c r="C744" s="10" t="str">
        <f>_xlfn.LET(
    _xlpm.val, IF(Datadetails[[#This Row],[Activity]]="D02","C20",Datadetails[[#This Row],[Activity]]),
    IF(ISNUMBER(MATCH(_xlpm.val,{"D04","C30","c40","C20"},0)), _xlpm.val, "Other")
)</f>
        <v>D04</v>
      </c>
      <c r="D744" s="10" t="str">
        <f>IFERROR(VLOOKUP(Datadetails[[#This Row],[Taskcode]],Dashboard!A:A,1,FALSE),"00 Err Missing")</f>
        <v>0001</v>
      </c>
      <c r="E744" s="79">
        <v>45805</v>
      </c>
      <c r="F744" s="80" t="s">
        <v>327</v>
      </c>
      <c r="G744" s="60" t="s">
        <v>40</v>
      </c>
      <c r="H744" s="80" t="s">
        <v>320</v>
      </c>
      <c r="I744" s="80" t="s">
        <v>35</v>
      </c>
      <c r="J744" s="80" t="s">
        <v>322</v>
      </c>
      <c r="K744" s="80" t="s">
        <v>319</v>
      </c>
      <c r="L744" s="80" t="s">
        <v>352</v>
      </c>
      <c r="M744" s="81">
        <v>8.5</v>
      </c>
      <c r="N744" s="82">
        <v>272</v>
      </c>
    </row>
    <row r="745" spans="1:14" x14ac:dyDescent="0.25">
      <c r="A745" s="10" t="str">
        <f>_xlfn.IFNA(
    IF(J745=
        "PCB-0001",
        "CSS",
        IF(
            ISNUMBER(MATCH(_xlfn.TEXTBEFORE(J745,"-"), {"CSS","CSN","PCB","PCF","BEC","CSD","PCM"}, 0)),
            _xlfn.TEXTBEFORE(J745,"-"),
            "Other"
        )
    ),
"Add")</f>
        <v>PCM</v>
      </c>
      <c r="B745" s="10" t="str">
        <f t="shared" si="12"/>
        <v>0078</v>
      </c>
      <c r="C745" s="10" t="str">
        <f>_xlfn.LET(
    _xlpm.val, IF(Datadetails[[#This Row],[Activity]]="D02","C20",Datadetails[[#This Row],[Activity]]),
    IF(ISNUMBER(MATCH(_xlpm.val,{"D04","C30","c40","C20"},0)), _xlpm.val, "Other")
)</f>
        <v>C20</v>
      </c>
      <c r="D745" s="10" t="str">
        <f>IFERROR(VLOOKUP(Datadetails[[#This Row],[Taskcode]],Dashboard!A:A,1,FALSE),"00 Err Missing")</f>
        <v>0078</v>
      </c>
      <c r="E745" s="79">
        <v>45805</v>
      </c>
      <c r="F745" s="80" t="s">
        <v>323</v>
      </c>
      <c r="G745" s="60" t="s">
        <v>40</v>
      </c>
      <c r="H745" s="80" t="s">
        <v>245</v>
      </c>
      <c r="I745" s="80" t="s">
        <v>36</v>
      </c>
      <c r="J745" s="80" t="s">
        <v>435</v>
      </c>
      <c r="K745" s="80" t="s">
        <v>346</v>
      </c>
      <c r="L745" s="80" t="s">
        <v>342</v>
      </c>
      <c r="M745" s="81">
        <v>0.5</v>
      </c>
      <c r="N745" s="82">
        <v>30</v>
      </c>
    </row>
    <row r="746" spans="1:14" x14ac:dyDescent="0.25">
      <c r="A746" s="10" t="str">
        <f>_xlfn.IFNA(
    IF(J746=
        "PCB-0001",
        "CSS",
        IF(
            ISNUMBER(MATCH(_xlfn.TEXTBEFORE(J746,"-"), {"CSS","CSN","PCB","PCF","BEC","CSD","PCM"}, 0)),
            _xlfn.TEXTBEFORE(J746,"-"),
            "Other"
        )
    ),
"Add")</f>
        <v>PCM</v>
      </c>
      <c r="B746" s="10" t="str">
        <f t="shared" si="12"/>
        <v>0099</v>
      </c>
      <c r="C746" s="10" t="str">
        <f>_xlfn.LET(
    _xlpm.val, IF(Datadetails[[#This Row],[Activity]]="D02","C20",Datadetails[[#This Row],[Activity]]),
    IF(ISNUMBER(MATCH(_xlpm.val,{"D04","C30","c40","C20"},0)), _xlpm.val, "Other")
)</f>
        <v>C20</v>
      </c>
      <c r="D746" s="10" t="str">
        <f>IFERROR(VLOOKUP(Datadetails[[#This Row],[Taskcode]],Dashboard!A:A,1,FALSE),"00 Err Missing")</f>
        <v>0099</v>
      </c>
      <c r="E746" s="79">
        <v>45805</v>
      </c>
      <c r="F746" s="80" t="s">
        <v>323</v>
      </c>
      <c r="G746" s="60" t="s">
        <v>40</v>
      </c>
      <c r="H746" s="80" t="s">
        <v>266</v>
      </c>
      <c r="I746" s="80" t="s">
        <v>36</v>
      </c>
      <c r="J746" s="80" t="s">
        <v>394</v>
      </c>
      <c r="K746" s="80" t="s">
        <v>346</v>
      </c>
      <c r="L746" s="80" t="s">
        <v>342</v>
      </c>
      <c r="M746" s="81">
        <v>0.25</v>
      </c>
      <c r="N746" s="82">
        <v>15</v>
      </c>
    </row>
    <row r="747" spans="1:14" x14ac:dyDescent="0.25">
      <c r="A747" s="10" t="str">
        <f>_xlfn.IFNA(
    IF(J747=
        "PCB-0001",
        "CSS",
        IF(
            ISNUMBER(MATCH(_xlfn.TEXTBEFORE(J747,"-"), {"CSS","CSN","PCB","PCF","BEC","CSD","PCM"}, 0)),
            _xlfn.TEXTBEFORE(J747,"-"),
            "Other"
        )
    ),
"Add")</f>
        <v>PCM</v>
      </c>
      <c r="B747" s="10" t="str">
        <f t="shared" si="12"/>
        <v>0107</v>
      </c>
      <c r="C747" s="10" t="str">
        <f>_xlfn.LET(
    _xlpm.val, IF(Datadetails[[#This Row],[Activity]]="D02","C20",Datadetails[[#This Row],[Activity]]),
    IF(ISNUMBER(MATCH(_xlpm.val,{"D04","C30","c40","C20"},0)), _xlpm.val, "Other")
)</f>
        <v>C20</v>
      </c>
      <c r="D747" s="10" t="str">
        <f>IFERROR(VLOOKUP(Datadetails[[#This Row],[Taskcode]],Dashboard!A:A,1,FALSE),"00 Err Missing")</f>
        <v>0107</v>
      </c>
      <c r="E747" s="79">
        <v>45805</v>
      </c>
      <c r="F747" s="80" t="s">
        <v>323</v>
      </c>
      <c r="G747" s="60" t="s">
        <v>40</v>
      </c>
      <c r="H747" s="80" t="s">
        <v>274</v>
      </c>
      <c r="I747" s="80" t="s">
        <v>36</v>
      </c>
      <c r="J747" s="80" t="s">
        <v>421</v>
      </c>
      <c r="K747" s="80" t="s">
        <v>346</v>
      </c>
      <c r="L747" s="80" t="s">
        <v>342</v>
      </c>
      <c r="M747" s="81">
        <v>0.33</v>
      </c>
      <c r="N747" s="82">
        <v>19.8</v>
      </c>
    </row>
    <row r="748" spans="1:14" x14ac:dyDescent="0.25">
      <c r="A748" s="10" t="str">
        <f>_xlfn.IFNA(
    IF(J748=
        "PCB-0001",
        "CSS",
        IF(
            ISNUMBER(MATCH(_xlfn.TEXTBEFORE(J748,"-"), {"CSS","CSN","PCB","PCF","BEC","CSD","PCM"}, 0)),
            _xlfn.TEXTBEFORE(J748,"-"),
            "Other"
        )
    ),
"Add")</f>
        <v>PCB</v>
      </c>
      <c r="B748" s="10" t="str">
        <f t="shared" si="12"/>
        <v>0030</v>
      </c>
      <c r="C748" s="10" t="str">
        <f>_xlfn.LET(
    _xlpm.val, IF(Datadetails[[#This Row],[Activity]]="D02","C20",Datadetails[[#This Row],[Activity]]),
    IF(ISNUMBER(MATCH(_xlpm.val,{"D04","C30","c40","C20"},0)), _xlpm.val, "Other")
)</f>
        <v>C30</v>
      </c>
      <c r="D748" s="10" t="str">
        <f>IFERROR(VLOOKUP(Datadetails[[#This Row],[Taskcode]],Dashboard!A:A,1,FALSE),"00 Err Missing")</f>
        <v>0030</v>
      </c>
      <c r="E748" s="79">
        <v>45805</v>
      </c>
      <c r="F748" s="80" t="s">
        <v>329</v>
      </c>
      <c r="G748" s="60" t="s">
        <v>40</v>
      </c>
      <c r="H748" s="80" t="s">
        <v>197</v>
      </c>
      <c r="I748" s="80" t="s">
        <v>34</v>
      </c>
      <c r="J748" s="80" t="s">
        <v>366</v>
      </c>
      <c r="K748" s="80" t="s">
        <v>347</v>
      </c>
      <c r="L748" s="80" t="s">
        <v>343</v>
      </c>
      <c r="M748" s="81">
        <v>0.08</v>
      </c>
      <c r="N748" s="82">
        <v>6</v>
      </c>
    </row>
    <row r="749" spans="1:14" x14ac:dyDescent="0.25">
      <c r="A749" s="10" t="str">
        <f>_xlfn.IFNA(
    IF(J749=
        "PCB-0001",
        "CSS",
        IF(
            ISNUMBER(MATCH(_xlfn.TEXTBEFORE(J749,"-"), {"CSS","CSN","PCB","PCF","BEC","CSD","PCM"}, 0)),
            _xlfn.TEXTBEFORE(J749,"-"),
            "Other"
        )
    ),
"Add")</f>
        <v>PCB</v>
      </c>
      <c r="B749" s="10" t="str">
        <f t="shared" si="12"/>
        <v>0055</v>
      </c>
      <c r="C749" s="10" t="str">
        <f>_xlfn.LET(
    _xlpm.val, IF(Datadetails[[#This Row],[Activity]]="D02","C20",Datadetails[[#This Row],[Activity]]),
    IF(ISNUMBER(MATCH(_xlpm.val,{"D04","C30","c40","C20"},0)), _xlpm.val, "Other")
)</f>
        <v>C30</v>
      </c>
      <c r="D749" s="10" t="str">
        <f>IFERROR(VLOOKUP(Datadetails[[#This Row],[Taskcode]],Dashboard!A:A,1,FALSE),"00 Err Missing")</f>
        <v>0055</v>
      </c>
      <c r="E749" s="79">
        <v>45805</v>
      </c>
      <c r="F749" s="80" t="s">
        <v>330</v>
      </c>
      <c r="G749" s="60" t="s">
        <v>40</v>
      </c>
      <c r="H749" s="80" t="s">
        <v>222</v>
      </c>
      <c r="I749" s="80" t="s">
        <v>34</v>
      </c>
      <c r="J749" s="80" t="s">
        <v>447</v>
      </c>
      <c r="K749" s="80" t="s">
        <v>347</v>
      </c>
      <c r="L749" s="80" t="s">
        <v>343</v>
      </c>
      <c r="M749" s="81">
        <v>0.5</v>
      </c>
      <c r="N749" s="82">
        <v>30</v>
      </c>
    </row>
    <row r="750" spans="1:14" x14ac:dyDescent="0.25">
      <c r="A750" s="10" t="str">
        <f>_xlfn.IFNA(
    IF(J750=
        "PCB-0001",
        "CSS",
        IF(
            ISNUMBER(MATCH(_xlfn.TEXTBEFORE(J750,"-"), {"CSS","CSN","PCB","PCF","BEC","CSD","PCM"}, 0)),
            _xlfn.TEXTBEFORE(J750,"-"),
            "Other"
        )
    ),
"Add")</f>
        <v>BEC</v>
      </c>
      <c r="B750" s="10" t="str">
        <f t="shared" si="12"/>
        <v>0001</v>
      </c>
      <c r="C750" s="10" t="str">
        <f>_xlfn.LET(
    _xlpm.val, IF(Datadetails[[#This Row],[Activity]]="D02","C20",Datadetails[[#This Row],[Activity]]),
    IF(ISNUMBER(MATCH(_xlpm.val,{"D04","C30","c40","C20"},0)), _xlpm.val, "Other")
)</f>
        <v>D04</v>
      </c>
      <c r="D750" s="10" t="str">
        <f>IFERROR(VLOOKUP(Datadetails[[#This Row],[Taskcode]],Dashboard!A:A,1,FALSE),"00 Err Missing")</f>
        <v>0001</v>
      </c>
      <c r="E750" s="79">
        <v>45805</v>
      </c>
      <c r="F750" s="80" t="s">
        <v>332</v>
      </c>
      <c r="G750" s="60" t="s">
        <v>40</v>
      </c>
      <c r="H750" s="80" t="s">
        <v>314</v>
      </c>
      <c r="I750" s="80" t="s">
        <v>35</v>
      </c>
      <c r="J750" s="80" t="s">
        <v>359</v>
      </c>
      <c r="K750" s="80" t="s">
        <v>339</v>
      </c>
      <c r="L750" s="80" t="s">
        <v>352</v>
      </c>
      <c r="M750" s="81">
        <v>7.33</v>
      </c>
      <c r="N750" s="82">
        <v>293.2</v>
      </c>
    </row>
    <row r="751" spans="1:14" x14ac:dyDescent="0.25">
      <c r="A751" s="10" t="str">
        <f>_xlfn.IFNA(
    IF(J751=
        "PCB-0001",
        "CSS",
        IF(
            ISNUMBER(MATCH(_xlfn.TEXTBEFORE(J751,"-"), {"CSS","CSN","PCB","PCF","BEC","CSD","PCM"}, 0)),
            _xlfn.TEXTBEFORE(J751,"-"),
            "Other"
        )
    ),
"Add")</f>
        <v>BEC</v>
      </c>
      <c r="B751" s="10" t="str">
        <f t="shared" si="12"/>
        <v>0001</v>
      </c>
      <c r="C751" s="10" t="str">
        <f>_xlfn.LET(
    _xlpm.val, IF(Datadetails[[#This Row],[Activity]]="D02","C20",Datadetails[[#This Row],[Activity]]),
    IF(ISNUMBER(MATCH(_xlpm.val,{"D04","C30","c40","C20"},0)), _xlpm.val, "Other")
)</f>
        <v>D04</v>
      </c>
      <c r="D751" s="10" t="str">
        <f>IFERROR(VLOOKUP(Datadetails[[#This Row],[Taskcode]],Dashboard!A:A,1,FALSE),"00 Err Missing")</f>
        <v>0001</v>
      </c>
      <c r="E751" s="79">
        <v>45805</v>
      </c>
      <c r="F751" s="80" t="s">
        <v>324</v>
      </c>
      <c r="G751" s="60" t="s">
        <v>40</v>
      </c>
      <c r="H751" s="80" t="s">
        <v>314</v>
      </c>
      <c r="I751" s="80" t="s">
        <v>35</v>
      </c>
      <c r="J751" s="80" t="s">
        <v>359</v>
      </c>
      <c r="K751" s="80" t="s">
        <v>339</v>
      </c>
      <c r="L751" s="80" t="s">
        <v>352</v>
      </c>
      <c r="M751" s="81">
        <v>5.25</v>
      </c>
      <c r="N751" s="82">
        <v>393.75</v>
      </c>
    </row>
    <row r="752" spans="1:14" x14ac:dyDescent="0.25">
      <c r="A752" s="10" t="str">
        <f>_xlfn.IFNA(
    IF(J752=
        "PCB-0001",
        "CSS",
        IF(
            ISNUMBER(MATCH(_xlfn.TEXTBEFORE(J752,"-"), {"CSS","CSN","PCB","PCF","BEC","CSD","PCM"}, 0)),
            _xlfn.TEXTBEFORE(J752,"-"),
            "Other"
        )
    ),
"Add")</f>
        <v>CSD</v>
      </c>
      <c r="B752" s="10" t="str">
        <f t="shared" si="12"/>
        <v>0001</v>
      </c>
      <c r="C752" s="10" t="str">
        <f>_xlfn.LET(
    _xlpm.val, IF(Datadetails[[#This Row],[Activity]]="D02","C20",Datadetails[[#This Row],[Activity]]),
    IF(ISNUMBER(MATCH(_xlpm.val,{"D04","C30","c40","C20"},0)), _xlpm.val, "Other")
)</f>
        <v>D04</v>
      </c>
      <c r="D752" s="10" t="str">
        <f>IFERROR(VLOOKUP(Datadetails[[#This Row],[Taskcode]],Dashboard!A:A,1,FALSE),"00 Err Missing")</f>
        <v>0001</v>
      </c>
      <c r="E752" s="79">
        <v>45806</v>
      </c>
      <c r="F752" s="80" t="s">
        <v>327</v>
      </c>
      <c r="G752" s="60" t="s">
        <v>40</v>
      </c>
      <c r="H752" s="80" t="s">
        <v>320</v>
      </c>
      <c r="I752" s="80" t="s">
        <v>35</v>
      </c>
      <c r="J752" s="80" t="s">
        <v>322</v>
      </c>
      <c r="K752" s="80" t="s">
        <v>319</v>
      </c>
      <c r="L752" s="80" t="s">
        <v>352</v>
      </c>
      <c r="M752" s="81">
        <v>8.5</v>
      </c>
      <c r="N752" s="82">
        <v>272</v>
      </c>
    </row>
    <row r="753" spans="1:14" x14ac:dyDescent="0.25">
      <c r="A753" s="10" t="str">
        <f>_xlfn.IFNA(
    IF(J753=
        "PCB-0001",
        "CSS",
        IF(
            ISNUMBER(MATCH(_xlfn.TEXTBEFORE(J753,"-"), {"CSS","CSN","PCB","PCF","BEC","CSD","PCM"}, 0)),
            _xlfn.TEXTBEFORE(J753,"-"),
            "Other"
        )
    ),
"Add")</f>
        <v>PCB</v>
      </c>
      <c r="B753" s="10" t="str">
        <f t="shared" si="12"/>
        <v>0030</v>
      </c>
      <c r="C753" s="10" t="str">
        <f>_xlfn.LET(
    _xlpm.val, IF(Datadetails[[#This Row],[Activity]]="D02","C20",Datadetails[[#This Row],[Activity]]),
    IF(ISNUMBER(MATCH(_xlpm.val,{"D04","C30","c40","C20"},0)), _xlpm.val, "Other")
)</f>
        <v>C30</v>
      </c>
      <c r="D753" s="10" t="str">
        <f>IFERROR(VLOOKUP(Datadetails[[#This Row],[Taskcode]],Dashboard!A:A,1,FALSE),"00 Err Missing")</f>
        <v>0030</v>
      </c>
      <c r="E753" s="79">
        <v>45806</v>
      </c>
      <c r="F753" s="80" t="s">
        <v>329</v>
      </c>
      <c r="G753" s="60" t="s">
        <v>40</v>
      </c>
      <c r="H753" s="80" t="s">
        <v>197</v>
      </c>
      <c r="I753" s="80" t="s">
        <v>34</v>
      </c>
      <c r="J753" s="80" t="s">
        <v>366</v>
      </c>
      <c r="K753" s="80" t="s">
        <v>347</v>
      </c>
      <c r="L753" s="80" t="s">
        <v>343</v>
      </c>
      <c r="M753" s="81">
        <v>0.08</v>
      </c>
      <c r="N753" s="82">
        <v>6</v>
      </c>
    </row>
    <row r="754" spans="1:14" x14ac:dyDescent="0.25">
      <c r="A754" s="10" t="str">
        <f>_xlfn.IFNA(
    IF(J754=
        "PCB-0001",
        "CSS",
        IF(
            ISNUMBER(MATCH(_xlfn.TEXTBEFORE(J754,"-"), {"CSS","CSN","PCB","PCF","BEC","CSD","PCM"}, 0)),
            _xlfn.TEXTBEFORE(J754,"-"),
            "Other"
        )
    ),
"Add")</f>
        <v>PCB</v>
      </c>
      <c r="B754" s="10" t="str">
        <f t="shared" si="12"/>
        <v>0080</v>
      </c>
      <c r="C754" s="10" t="str">
        <f>_xlfn.LET(
    _xlpm.val, IF(Datadetails[[#This Row],[Activity]]="D02","C20",Datadetails[[#This Row],[Activity]]),
    IF(ISNUMBER(MATCH(_xlpm.val,{"D04","C30","c40","C20"},0)), _xlpm.val, "Other")
)</f>
        <v>C30</v>
      </c>
      <c r="D754" s="10" t="str">
        <f>IFERROR(VLOOKUP(Datadetails[[#This Row],[Taskcode]],Dashboard!A:A,1,FALSE),"00 Err Missing")</f>
        <v>0080</v>
      </c>
      <c r="E754" s="79">
        <v>45806</v>
      </c>
      <c r="F754" s="80" t="s">
        <v>329</v>
      </c>
      <c r="G754" s="60" t="s">
        <v>40</v>
      </c>
      <c r="H754" s="80" t="s">
        <v>247</v>
      </c>
      <c r="I754" s="80" t="s">
        <v>34</v>
      </c>
      <c r="J754" s="80" t="s">
        <v>375</v>
      </c>
      <c r="K754" s="80" t="s">
        <v>347</v>
      </c>
      <c r="L754" s="80" t="s">
        <v>343</v>
      </c>
      <c r="M754" s="81">
        <v>0.17</v>
      </c>
      <c r="N754" s="82">
        <v>12.750000000000002</v>
      </c>
    </row>
    <row r="755" spans="1:14" x14ac:dyDescent="0.25">
      <c r="A755" s="10" t="str">
        <f>_xlfn.IFNA(
    IF(J755=
        "PCB-0001",
        "CSS",
        IF(
            ISNUMBER(MATCH(_xlfn.TEXTBEFORE(J755,"-"), {"CSS","CSN","PCB","PCF","BEC","CSD","PCM"}, 0)),
            _xlfn.TEXTBEFORE(J755,"-"),
            "Other"
        )
    ),
"Add")</f>
        <v>BEC</v>
      </c>
      <c r="B755" s="10" t="str">
        <f t="shared" si="12"/>
        <v>0001</v>
      </c>
      <c r="C755" s="10" t="str">
        <f>_xlfn.LET(
    _xlpm.val, IF(Datadetails[[#This Row],[Activity]]="D02","C20",Datadetails[[#This Row],[Activity]]),
    IF(ISNUMBER(MATCH(_xlpm.val,{"D04","C30","c40","C20"},0)), _xlpm.val, "Other")
)</f>
        <v>D04</v>
      </c>
      <c r="D755" s="10" t="str">
        <f>IFERROR(VLOOKUP(Datadetails[[#This Row],[Taskcode]],Dashboard!A:A,1,FALSE),"00 Err Missing")</f>
        <v>0001</v>
      </c>
      <c r="E755" s="79">
        <v>45806</v>
      </c>
      <c r="F755" s="80" t="s">
        <v>332</v>
      </c>
      <c r="G755" s="60" t="s">
        <v>40</v>
      </c>
      <c r="H755" s="80" t="s">
        <v>314</v>
      </c>
      <c r="I755" s="80" t="s">
        <v>35</v>
      </c>
      <c r="J755" s="80" t="s">
        <v>359</v>
      </c>
      <c r="K755" s="80" t="s">
        <v>339</v>
      </c>
      <c r="L755" s="80" t="s">
        <v>352</v>
      </c>
      <c r="M755" s="81">
        <v>7.5</v>
      </c>
      <c r="N755" s="82">
        <v>300</v>
      </c>
    </row>
    <row r="756" spans="1:14" x14ac:dyDescent="0.25">
      <c r="A756" s="10" t="str">
        <f>_xlfn.IFNA(
    IF(J756=
        "PCB-0001",
        "CSS",
        IF(
            ISNUMBER(MATCH(_xlfn.TEXTBEFORE(J756,"-"), {"CSS","CSN","PCB","PCF","BEC","CSD","PCM"}, 0)),
            _xlfn.TEXTBEFORE(J756,"-"),
            "Other"
        )
    ),
"Add")</f>
        <v>BEC</v>
      </c>
      <c r="B756" s="10" t="str">
        <f t="shared" si="12"/>
        <v>0001</v>
      </c>
      <c r="C756" s="10" t="str">
        <f>_xlfn.LET(
    _xlpm.val, IF(Datadetails[[#This Row],[Activity]]="D02","C20",Datadetails[[#This Row],[Activity]]),
    IF(ISNUMBER(MATCH(_xlpm.val,{"D04","C30","c40","C20"},0)), _xlpm.val, "Other")
)</f>
        <v>D04</v>
      </c>
      <c r="D756" s="10" t="str">
        <f>IFERROR(VLOOKUP(Datadetails[[#This Row],[Taskcode]],Dashboard!A:A,1,FALSE),"00 Err Missing")</f>
        <v>0001</v>
      </c>
      <c r="E756" s="79">
        <v>45806</v>
      </c>
      <c r="F756" s="80" t="s">
        <v>324</v>
      </c>
      <c r="G756" s="60" t="s">
        <v>40</v>
      </c>
      <c r="H756" s="80" t="s">
        <v>314</v>
      </c>
      <c r="I756" s="80" t="s">
        <v>35</v>
      </c>
      <c r="J756" s="80" t="s">
        <v>359</v>
      </c>
      <c r="K756" s="80" t="s">
        <v>339</v>
      </c>
      <c r="L756" s="80" t="s">
        <v>352</v>
      </c>
      <c r="M756" s="81">
        <v>5</v>
      </c>
      <c r="N756" s="82">
        <v>375</v>
      </c>
    </row>
    <row r="757" spans="1:14" x14ac:dyDescent="0.25">
      <c r="A757" s="10" t="str">
        <f>_xlfn.IFNA(
    IF(J757=
        "PCB-0001",
        "CSS",
        IF(
            ISNUMBER(MATCH(_xlfn.TEXTBEFORE(J757,"-"), {"CSS","CSN","PCB","PCF","BEC","CSD","PCM"}, 0)),
            _xlfn.TEXTBEFORE(J757,"-"),
            "Other"
        )
    ),
"Add")</f>
        <v>CSD</v>
      </c>
      <c r="B757" s="10" t="str">
        <f t="shared" si="12"/>
        <v>0001</v>
      </c>
      <c r="C757" s="10" t="str">
        <f>_xlfn.LET(
    _xlpm.val, IF(Datadetails[[#This Row],[Activity]]="D02","C20",Datadetails[[#This Row],[Activity]]),
    IF(ISNUMBER(MATCH(_xlpm.val,{"D04","C30","c40","C20"},0)), _xlpm.val, "Other")
)</f>
        <v>D04</v>
      </c>
      <c r="D757" s="10" t="str">
        <f>IFERROR(VLOOKUP(Datadetails[[#This Row],[Taskcode]],Dashboard!A:A,1,FALSE),"00 Err Missing")</f>
        <v>0001</v>
      </c>
      <c r="E757" s="79">
        <v>45807</v>
      </c>
      <c r="F757" s="80" t="s">
        <v>327</v>
      </c>
      <c r="G757" s="60" t="s">
        <v>40</v>
      </c>
      <c r="H757" s="80" t="s">
        <v>320</v>
      </c>
      <c r="I757" s="80" t="s">
        <v>35</v>
      </c>
      <c r="J757" s="80" t="s">
        <v>322</v>
      </c>
      <c r="K757" s="80" t="s">
        <v>319</v>
      </c>
      <c r="L757" s="80" t="s">
        <v>352</v>
      </c>
      <c r="M757" s="81">
        <v>8.5</v>
      </c>
      <c r="N757" s="82">
        <v>272</v>
      </c>
    </row>
    <row r="758" spans="1:14" x14ac:dyDescent="0.25">
      <c r="A758" s="10" t="str">
        <f>_xlfn.IFNA(
    IF(J758=
        "PCB-0001",
        "CSS",
        IF(
            ISNUMBER(MATCH(_xlfn.TEXTBEFORE(J758,"-"), {"CSS","CSN","PCB","PCF","BEC","CSD","PCM"}, 0)),
            _xlfn.TEXTBEFORE(J758,"-"),
            "Other"
        )
    ),
"Add")</f>
        <v>PCB</v>
      </c>
      <c r="B758" s="10" t="str">
        <f t="shared" si="12"/>
        <v>0086</v>
      </c>
      <c r="C758" s="10" t="str">
        <f>_xlfn.LET(
    _xlpm.val, IF(Datadetails[[#This Row],[Activity]]="D02","C20",Datadetails[[#This Row],[Activity]]),
    IF(ISNUMBER(MATCH(_xlpm.val,{"D04","C30","c40","C20"},0)), _xlpm.val, "Other")
)</f>
        <v>C30</v>
      </c>
      <c r="D758" s="10" t="str">
        <f>IFERROR(VLOOKUP(Datadetails[[#This Row],[Taskcode]],Dashboard!A:A,1,FALSE),"00 Err Missing")</f>
        <v>0086</v>
      </c>
      <c r="E758" s="79">
        <v>45807</v>
      </c>
      <c r="F758" s="80" t="s">
        <v>325</v>
      </c>
      <c r="G758" s="60" t="s">
        <v>40</v>
      </c>
      <c r="H758" s="80" t="s">
        <v>253</v>
      </c>
      <c r="I758" s="80" t="s">
        <v>34</v>
      </c>
      <c r="J758" s="80" t="s">
        <v>408</v>
      </c>
      <c r="K758" s="80" t="s">
        <v>347</v>
      </c>
      <c r="L758" s="80" t="s">
        <v>343</v>
      </c>
      <c r="M758" s="81">
        <v>0.17</v>
      </c>
      <c r="N758" s="82">
        <v>12.750000000000002</v>
      </c>
    </row>
    <row r="759" spans="1:14" x14ac:dyDescent="0.25">
      <c r="A759" s="10" t="str">
        <f>_xlfn.IFNA(
    IF(J759=
        "PCB-0001",
        "CSS",
        IF(
            ISNUMBER(MATCH(_xlfn.TEXTBEFORE(J759,"-"), {"CSS","CSN","PCB","PCF","BEC","CSD","PCM"}, 0)),
            _xlfn.TEXTBEFORE(J759,"-"),
            "Other"
        )
    ),
"Add")</f>
        <v>PCF</v>
      </c>
      <c r="B759" s="10" t="str">
        <f t="shared" si="12"/>
        <v>0066</v>
      </c>
      <c r="C759" s="10" t="str">
        <f>_xlfn.LET(
    _xlpm.val, IF(Datadetails[[#This Row],[Activity]]="D02","C20",Datadetails[[#This Row],[Activity]]),
    IF(ISNUMBER(MATCH(_xlpm.val,{"D04","C30","c40","C20"},0)), _xlpm.val, "Other")
)</f>
        <v>C20</v>
      </c>
      <c r="D759" s="10" t="str">
        <f>IFERROR(VLOOKUP(Datadetails[[#This Row],[Taskcode]],Dashboard!A:A,1,FALSE),"00 Err Missing")</f>
        <v>0066</v>
      </c>
      <c r="E759" s="79">
        <v>45807</v>
      </c>
      <c r="F759" s="80" t="s">
        <v>326</v>
      </c>
      <c r="G759" s="60" t="s">
        <v>40</v>
      </c>
      <c r="H759" s="80" t="s">
        <v>233</v>
      </c>
      <c r="I759" s="80" t="s">
        <v>36</v>
      </c>
      <c r="J759" s="80" t="s">
        <v>387</v>
      </c>
      <c r="K759" s="80" t="s">
        <v>348</v>
      </c>
      <c r="L759" s="80" t="s">
        <v>342</v>
      </c>
      <c r="M759" s="81">
        <v>1.25</v>
      </c>
      <c r="N759" s="82">
        <v>75</v>
      </c>
    </row>
    <row r="760" spans="1:14" x14ac:dyDescent="0.25">
      <c r="A760" s="10" t="str">
        <f>_xlfn.IFNA(
    IF(J760=
        "PCB-0001",
        "CSS",
        IF(
            ISNUMBER(MATCH(_xlfn.TEXTBEFORE(J760,"-"), {"CSS","CSN","PCB","PCF","BEC","CSD","PCM"}, 0)),
            _xlfn.TEXTBEFORE(J760,"-"),
            "Other"
        )
    ),
"Add")</f>
        <v>BEC</v>
      </c>
      <c r="B760" s="10" t="str">
        <f t="shared" si="12"/>
        <v>0001</v>
      </c>
      <c r="C760" s="10" t="str">
        <f>_xlfn.LET(
    _xlpm.val, IF(Datadetails[[#This Row],[Activity]]="D02","C20",Datadetails[[#This Row],[Activity]]),
    IF(ISNUMBER(MATCH(_xlpm.val,{"D04","C30","c40","C20"},0)), _xlpm.val, "Other")
)</f>
        <v>D04</v>
      </c>
      <c r="D760" s="10" t="str">
        <f>IFERROR(VLOOKUP(Datadetails[[#This Row],[Taskcode]],Dashboard!A:A,1,FALSE),"00 Err Missing")</f>
        <v>0001</v>
      </c>
      <c r="E760" s="79">
        <v>45807</v>
      </c>
      <c r="F760" s="80" t="s">
        <v>332</v>
      </c>
      <c r="G760" s="60" t="s">
        <v>40</v>
      </c>
      <c r="H760" s="80" t="s">
        <v>314</v>
      </c>
      <c r="I760" s="80" t="s">
        <v>35</v>
      </c>
      <c r="J760" s="80" t="s">
        <v>359</v>
      </c>
      <c r="K760" s="80" t="s">
        <v>339</v>
      </c>
      <c r="L760" s="80" t="s">
        <v>352</v>
      </c>
      <c r="M760" s="81">
        <v>6</v>
      </c>
      <c r="N760" s="82">
        <v>240</v>
      </c>
    </row>
    <row r="761" spans="1:14" x14ac:dyDescent="0.25">
      <c r="A761" s="10" t="str">
        <f>_xlfn.IFNA(
    IF(J761=
        "PCB-0001",
        "CSS",
        IF(
            ISNUMBER(MATCH(_xlfn.TEXTBEFORE(J761,"-"), {"CSS","CSN","PCB","PCF","BEC","CSD","PCM"}, 0)),
            _xlfn.TEXTBEFORE(J761,"-"),
            "Other"
        )
    ),
"Add")</f>
        <v>BEC</v>
      </c>
      <c r="B761" s="10" t="str">
        <f t="shared" si="12"/>
        <v>0001</v>
      </c>
      <c r="C761" s="10" t="str">
        <f>_xlfn.LET(
    _xlpm.val, IF(Datadetails[[#This Row],[Activity]]="D02","C20",Datadetails[[#This Row],[Activity]]),
    IF(ISNUMBER(MATCH(_xlpm.val,{"D04","C30","c40","C20"},0)), _xlpm.val, "Other")
)</f>
        <v>D04</v>
      </c>
      <c r="D761" s="10" t="str">
        <f>IFERROR(VLOOKUP(Datadetails[[#This Row],[Taskcode]],Dashboard!A:A,1,FALSE),"00 Err Missing")</f>
        <v>0001</v>
      </c>
      <c r="E761" s="79">
        <v>45807</v>
      </c>
      <c r="F761" s="80" t="s">
        <v>324</v>
      </c>
      <c r="G761" s="60" t="s">
        <v>40</v>
      </c>
      <c r="H761" s="80" t="s">
        <v>314</v>
      </c>
      <c r="I761" s="80" t="s">
        <v>35</v>
      </c>
      <c r="J761" s="80" t="s">
        <v>359</v>
      </c>
      <c r="K761" s="80" t="s">
        <v>339</v>
      </c>
      <c r="L761" s="80" t="s">
        <v>352</v>
      </c>
      <c r="M761" s="81">
        <v>5.5</v>
      </c>
      <c r="N761" s="82">
        <v>412.5</v>
      </c>
    </row>
    <row r="762" spans="1:14" x14ac:dyDescent="0.25">
      <c r="A762" s="10" t="str">
        <f>_xlfn.IFNA(
    IF(J762=
        "PCB-0001",
        "CSS",
        IF(
            ISNUMBER(MATCH(_xlfn.TEXTBEFORE(J762,"-"), {"CSS","CSN","PCB","PCF","BEC","CSD","PCM"}, 0)),
            _xlfn.TEXTBEFORE(J762,"-"),
            "Other"
        )
    ),
"Add")</f>
        <v>BEC</v>
      </c>
      <c r="B762" s="10" t="str">
        <f t="shared" si="12"/>
        <v>0001</v>
      </c>
      <c r="C762" s="10" t="str">
        <f>_xlfn.LET(
    _xlpm.val, IF(Datadetails[[#This Row],[Activity]]="D02","C20",Datadetails[[#This Row],[Activity]]),
    IF(ISNUMBER(MATCH(_xlpm.val,{"D04","C30","c40","C20"},0)), _xlpm.val, "Other")
)</f>
        <v>D04</v>
      </c>
      <c r="D762" s="10" t="str">
        <f>IFERROR(VLOOKUP(Datadetails[[#This Row],[Taskcode]],Dashboard!A:A,1,FALSE),"00 Err Missing")</f>
        <v>0001</v>
      </c>
      <c r="E762" s="79">
        <v>45808</v>
      </c>
      <c r="F762" s="80" t="s">
        <v>332</v>
      </c>
      <c r="G762" s="60" t="s">
        <v>40</v>
      </c>
      <c r="H762" s="80" t="s">
        <v>314</v>
      </c>
      <c r="I762" s="80" t="s">
        <v>35</v>
      </c>
      <c r="J762" s="80" t="s">
        <v>359</v>
      </c>
      <c r="K762" s="80" t="s">
        <v>339</v>
      </c>
      <c r="L762" s="80" t="s">
        <v>352</v>
      </c>
      <c r="M762" s="81">
        <v>4</v>
      </c>
      <c r="N762" s="82">
        <v>160</v>
      </c>
    </row>
    <row r="763" spans="1:14" x14ac:dyDescent="0.25">
      <c r="A763" s="10" t="str">
        <f>_xlfn.IFNA(
    IF(J763=
        "PCB-0001",
        "CSS",
        IF(
            ISNUMBER(MATCH(_xlfn.TEXTBEFORE(J763,"-"), {"CSS","CSN","PCB","PCF","BEC","CSD","PCM"}, 0)),
            _xlfn.TEXTBEFORE(J763,"-"),
            "Other"
        )
    ),
"Add")</f>
        <v>PCB</v>
      </c>
      <c r="B763" s="10" t="str">
        <f t="shared" si="12"/>
        <v>0134</v>
      </c>
      <c r="C763" s="10" t="str">
        <f>_xlfn.LET(
    _xlpm.val, IF(Datadetails[[#This Row],[Activity]]="D02","C20",Datadetails[[#This Row],[Activity]]),
    IF(ISNUMBER(MATCH(_xlpm.val,{"D04","C30","c40","C20"},0)), _xlpm.val, "Other")
)</f>
        <v>C40</v>
      </c>
      <c r="D763" s="10" t="str">
        <f>IFERROR(VLOOKUP(Datadetails[[#This Row],[Taskcode]],Dashboard!A:A,1,FALSE),"00 Err Missing")</f>
        <v>0134</v>
      </c>
      <c r="E763" s="79">
        <v>45810</v>
      </c>
      <c r="F763" s="80" t="s">
        <v>329</v>
      </c>
      <c r="G763" s="60" t="s">
        <v>40</v>
      </c>
      <c r="H763" s="80" t="s">
        <v>301</v>
      </c>
      <c r="I763" s="80" t="s">
        <v>341</v>
      </c>
      <c r="J763" s="80" t="s">
        <v>371</v>
      </c>
      <c r="K763" s="80" t="s">
        <v>347</v>
      </c>
      <c r="L763" s="80" t="s">
        <v>344</v>
      </c>
      <c r="M763" s="81">
        <v>1.83</v>
      </c>
      <c r="N763" s="82">
        <v>137.25</v>
      </c>
    </row>
    <row r="764" spans="1:14" x14ac:dyDescent="0.25">
      <c r="A764" s="10" t="str">
        <f>_xlfn.IFNA(
    IF(J764=
        "PCB-0001",
        "CSS",
        IF(
            ISNUMBER(MATCH(_xlfn.TEXTBEFORE(J764,"-"), {"CSS","CSN","PCB","PCF","BEC","CSD","PCM"}, 0)),
            _xlfn.TEXTBEFORE(J764,"-"),
            "Other"
        )
    ),
"Add")</f>
        <v>CSN</v>
      </c>
      <c r="B764" s="10" t="str">
        <f t="shared" si="12"/>
        <v>0001</v>
      </c>
      <c r="C764" s="10" t="str">
        <f>_xlfn.LET(
    _xlpm.val, IF(Datadetails[[#This Row],[Activity]]="D02","C20",Datadetails[[#This Row],[Activity]]),
    IF(ISNUMBER(MATCH(_xlpm.val,{"D04","C30","c40","C20"},0)), _xlpm.val, "Other")
)</f>
        <v>D04</v>
      </c>
      <c r="D764" s="10" t="str">
        <f>IFERROR(VLOOKUP(Datadetails[[#This Row],[Taskcode]],Dashboard!A:A,1,FALSE),"00 Err Missing")</f>
        <v>0001</v>
      </c>
      <c r="E764" s="79">
        <v>45810</v>
      </c>
      <c r="F764" s="80" t="s">
        <v>331</v>
      </c>
      <c r="G764" s="60" t="s">
        <v>40</v>
      </c>
      <c r="H764" s="80" t="s">
        <v>316</v>
      </c>
      <c r="I764" s="80" t="s">
        <v>35</v>
      </c>
      <c r="J764" s="80" t="s">
        <v>338</v>
      </c>
      <c r="K764" s="80" t="s">
        <v>337</v>
      </c>
      <c r="L764" s="80" t="s">
        <v>352</v>
      </c>
      <c r="M764" s="81">
        <v>1</v>
      </c>
      <c r="N764" s="82">
        <v>32</v>
      </c>
    </row>
    <row r="765" spans="1:14" x14ac:dyDescent="0.25">
      <c r="A765" s="10" t="str">
        <f>_xlfn.IFNA(
    IF(J765=
        "PCB-0001",
        "CSS",
        IF(
            ISNUMBER(MATCH(_xlfn.TEXTBEFORE(J765,"-"), {"CSS","CSN","PCB","PCF","BEC","CSD","PCM"}, 0)),
            _xlfn.TEXTBEFORE(J765,"-"),
            "Other"
        )
    ),
"Add")</f>
        <v>CSN</v>
      </c>
      <c r="B765" s="10" t="str">
        <f t="shared" si="12"/>
        <v>0001</v>
      </c>
      <c r="C765" s="10" t="str">
        <f>_xlfn.LET(
    _xlpm.val, IF(Datadetails[[#This Row],[Activity]]="D02","C20",Datadetails[[#This Row],[Activity]]),
    IF(ISNUMBER(MATCH(_xlpm.val,{"D04","C30","c40","C20"},0)), _xlpm.val, "Other")
)</f>
        <v>D04</v>
      </c>
      <c r="D765" s="10" t="str">
        <f>IFERROR(VLOOKUP(Datadetails[[#This Row],[Taskcode]],Dashboard!A:A,1,FALSE),"00 Err Missing")</f>
        <v>0001</v>
      </c>
      <c r="E765" s="79">
        <v>45810</v>
      </c>
      <c r="F765" s="80" t="s">
        <v>329</v>
      </c>
      <c r="G765" s="60" t="s">
        <v>40</v>
      </c>
      <c r="H765" s="80" t="s">
        <v>316</v>
      </c>
      <c r="I765" s="80" t="s">
        <v>35</v>
      </c>
      <c r="J765" s="80" t="s">
        <v>338</v>
      </c>
      <c r="K765" s="80" t="s">
        <v>337</v>
      </c>
      <c r="L765" s="80" t="s">
        <v>352</v>
      </c>
      <c r="M765" s="81">
        <v>1.33</v>
      </c>
      <c r="N765" s="82">
        <v>99.75</v>
      </c>
    </row>
    <row r="766" spans="1:14" x14ac:dyDescent="0.25">
      <c r="A766" s="10" t="str">
        <f>_xlfn.IFNA(
    IF(J766=
        "PCB-0001",
        "CSS",
        IF(
            ISNUMBER(MATCH(_xlfn.TEXTBEFORE(J766,"-"), {"CSS","CSN","PCB","PCF","BEC","CSD","PCM"}, 0)),
            _xlfn.TEXTBEFORE(J766,"-"),
            "Other"
        )
    ),
"Add")</f>
        <v>CSD</v>
      </c>
      <c r="B766" s="10" t="str">
        <f t="shared" si="12"/>
        <v>0001</v>
      </c>
      <c r="C766" s="10" t="str">
        <f>_xlfn.LET(
    _xlpm.val, IF(Datadetails[[#This Row],[Activity]]="D02","C20",Datadetails[[#This Row],[Activity]]),
    IF(ISNUMBER(MATCH(_xlpm.val,{"D04","C30","c40","C20"},0)), _xlpm.val, "Other")
)</f>
        <v>D04</v>
      </c>
      <c r="D766" s="10" t="str">
        <f>IFERROR(VLOOKUP(Datadetails[[#This Row],[Taskcode]],Dashboard!A:A,1,FALSE),"00 Err Missing")</f>
        <v>0001</v>
      </c>
      <c r="E766" s="79">
        <v>45810</v>
      </c>
      <c r="F766" s="80" t="s">
        <v>333</v>
      </c>
      <c r="G766" s="60" t="s">
        <v>40</v>
      </c>
      <c r="H766" s="80" t="s">
        <v>320</v>
      </c>
      <c r="I766" s="80" t="s">
        <v>35</v>
      </c>
      <c r="J766" s="80" t="s">
        <v>322</v>
      </c>
      <c r="K766" s="80" t="s">
        <v>319</v>
      </c>
      <c r="L766" s="80" t="s">
        <v>352</v>
      </c>
      <c r="M766" s="81">
        <v>7.57</v>
      </c>
      <c r="N766" s="82">
        <v>242.24</v>
      </c>
    </row>
    <row r="767" spans="1:14" x14ac:dyDescent="0.25">
      <c r="A767" s="10" t="str">
        <f>_xlfn.IFNA(
    IF(J767=
        "PCB-0001",
        "CSS",
        IF(
            ISNUMBER(MATCH(_xlfn.TEXTBEFORE(J767,"-"), {"CSS","CSN","PCB","PCF","BEC","CSD","PCM"}, 0)),
            _xlfn.TEXTBEFORE(J767,"-"),
            "Other"
        )
    ),
"Add")</f>
        <v>CSD</v>
      </c>
      <c r="B767" s="10" t="str">
        <f t="shared" si="12"/>
        <v>0001</v>
      </c>
      <c r="C767" s="10" t="str">
        <f>_xlfn.LET(
    _xlpm.val, IF(Datadetails[[#This Row],[Activity]]="D02","C20",Datadetails[[#This Row],[Activity]]),
    IF(ISNUMBER(MATCH(_xlpm.val,{"D04","C30","c40","C20"},0)), _xlpm.val, "Other")
)</f>
        <v>D04</v>
      </c>
      <c r="D767" s="10" t="str">
        <f>IFERROR(VLOOKUP(Datadetails[[#This Row],[Taskcode]],Dashboard!A:A,1,FALSE),"00 Err Missing")</f>
        <v>0001</v>
      </c>
      <c r="E767" s="79">
        <v>45810</v>
      </c>
      <c r="F767" s="80" t="s">
        <v>327</v>
      </c>
      <c r="G767" s="60" t="s">
        <v>40</v>
      </c>
      <c r="H767" s="80" t="s">
        <v>320</v>
      </c>
      <c r="I767" s="80" t="s">
        <v>35</v>
      </c>
      <c r="J767" s="80" t="s">
        <v>322</v>
      </c>
      <c r="K767" s="80" t="s">
        <v>319</v>
      </c>
      <c r="L767" s="80" t="s">
        <v>352</v>
      </c>
      <c r="M767" s="81">
        <v>7.42</v>
      </c>
      <c r="N767" s="82">
        <v>237.44</v>
      </c>
    </row>
    <row r="768" spans="1:14" x14ac:dyDescent="0.25">
      <c r="A768" s="10" t="str">
        <f>_xlfn.IFNA(
    IF(J768=
        "PCB-0001",
        "CSS",
        IF(
            ISNUMBER(MATCH(_xlfn.TEXTBEFORE(J768,"-"), {"CSS","CSN","PCB","PCF","BEC","CSD","PCM"}, 0)),
            _xlfn.TEXTBEFORE(J768,"-"),
            "Other"
        )
    ),
"Add")</f>
        <v>PCB</v>
      </c>
      <c r="B768" s="10" t="str">
        <f t="shared" si="12"/>
        <v>0019</v>
      </c>
      <c r="C768" s="10" t="str">
        <f>_xlfn.LET(
    _xlpm.val, IF(Datadetails[[#This Row],[Activity]]="D02","C20",Datadetails[[#This Row],[Activity]]),
    IF(ISNUMBER(MATCH(_xlpm.val,{"D04","C30","c40","C20"},0)), _xlpm.val, "Other")
)</f>
        <v>C30</v>
      </c>
      <c r="D768" s="10" t="str">
        <f>IFERROR(VLOOKUP(Datadetails[[#This Row],[Taskcode]],Dashboard!A:A,1,FALSE),"00 Err Missing")</f>
        <v>0019</v>
      </c>
      <c r="E768" s="79">
        <v>45810</v>
      </c>
      <c r="F768" s="80" t="s">
        <v>329</v>
      </c>
      <c r="G768" s="60" t="s">
        <v>40</v>
      </c>
      <c r="H768" s="80" t="s">
        <v>186</v>
      </c>
      <c r="I768" s="80" t="s">
        <v>34</v>
      </c>
      <c r="J768" s="80" t="s">
        <v>397</v>
      </c>
      <c r="K768" s="80" t="s">
        <v>347</v>
      </c>
      <c r="L768" s="80" t="s">
        <v>343</v>
      </c>
      <c r="M768" s="81">
        <v>0.25</v>
      </c>
      <c r="N768" s="82">
        <v>18.75</v>
      </c>
    </row>
    <row r="769" spans="1:14" x14ac:dyDescent="0.25">
      <c r="A769" s="10" t="str">
        <f>_xlfn.IFNA(
    IF(J769=
        "PCB-0001",
        "CSS",
        IF(
            ISNUMBER(MATCH(_xlfn.TEXTBEFORE(J769,"-"), {"CSS","CSN","PCB","PCF","BEC","CSD","PCM"}, 0)),
            _xlfn.TEXTBEFORE(J769,"-"),
            "Other"
        )
    ),
"Add")</f>
        <v>PCB</v>
      </c>
      <c r="B769" s="10" t="str">
        <f t="shared" si="12"/>
        <v>0009</v>
      </c>
      <c r="C769" s="10" t="str">
        <f>_xlfn.LET(
    _xlpm.val, IF(Datadetails[[#This Row],[Activity]]="D02","C20",Datadetails[[#This Row],[Activity]]),
    IF(ISNUMBER(MATCH(_xlpm.val,{"D04","C30","c40","C20"},0)), _xlpm.val, "Other")
)</f>
        <v>C30</v>
      </c>
      <c r="D769" s="10" t="str">
        <f>IFERROR(VLOOKUP(Datadetails[[#This Row],[Taskcode]],Dashboard!A:A,1,FALSE),"00 Err Missing")</f>
        <v>0009</v>
      </c>
      <c r="E769" s="79">
        <v>45810</v>
      </c>
      <c r="F769" s="80" t="s">
        <v>330</v>
      </c>
      <c r="G769" s="60" t="s">
        <v>40</v>
      </c>
      <c r="H769" s="80" t="s">
        <v>176</v>
      </c>
      <c r="I769" s="80" t="s">
        <v>34</v>
      </c>
      <c r="J769" s="80" t="s">
        <v>458</v>
      </c>
      <c r="K769" s="80" t="s">
        <v>347</v>
      </c>
      <c r="L769" s="80" t="s">
        <v>343</v>
      </c>
      <c r="M769" s="81">
        <v>0.17</v>
      </c>
      <c r="N769" s="82">
        <v>10.200000000000001</v>
      </c>
    </row>
    <row r="770" spans="1:14" x14ac:dyDescent="0.25">
      <c r="A770" s="10" t="str">
        <f>_xlfn.IFNA(
    IF(J770=
        "PCB-0001",
        "CSS",
        IF(
            ISNUMBER(MATCH(_xlfn.TEXTBEFORE(J770,"-"), {"CSS","CSN","PCB","PCF","BEC","CSD","PCM"}, 0)),
            _xlfn.TEXTBEFORE(J770,"-"),
            "Other"
        )
    ),
"Add")</f>
        <v>PCB</v>
      </c>
      <c r="B770" s="10" t="str">
        <f t="shared" si="12"/>
        <v>0012</v>
      </c>
      <c r="C770" s="10" t="str">
        <f>_xlfn.LET(
    _xlpm.val, IF(Datadetails[[#This Row],[Activity]]="D02","C20",Datadetails[[#This Row],[Activity]]),
    IF(ISNUMBER(MATCH(_xlpm.val,{"D04","C30","c40","C20"},0)), _xlpm.val, "Other")
)</f>
        <v>C30</v>
      </c>
      <c r="D770" s="10" t="str">
        <f>IFERROR(VLOOKUP(Datadetails[[#This Row],[Taskcode]],Dashboard!A:A,1,FALSE),"00 Err Missing")</f>
        <v>0012</v>
      </c>
      <c r="E770" s="79">
        <v>45810</v>
      </c>
      <c r="F770" s="80" t="s">
        <v>325</v>
      </c>
      <c r="G770" s="60" t="s">
        <v>40</v>
      </c>
      <c r="H770" s="80" t="s">
        <v>179</v>
      </c>
      <c r="I770" s="80" t="s">
        <v>34</v>
      </c>
      <c r="J770" s="80" t="s">
        <v>422</v>
      </c>
      <c r="K770" s="80" t="s">
        <v>347</v>
      </c>
      <c r="L770" s="80" t="s">
        <v>343</v>
      </c>
      <c r="M770" s="81">
        <v>0.17</v>
      </c>
      <c r="N770" s="82">
        <v>12.750000000000002</v>
      </c>
    </row>
    <row r="771" spans="1:14" x14ac:dyDescent="0.25">
      <c r="A771" s="10" t="str">
        <f>_xlfn.IFNA(
    IF(J771=
        "PCB-0001",
        "CSS",
        IF(
            ISNUMBER(MATCH(_xlfn.TEXTBEFORE(J771,"-"), {"CSS","CSN","PCB","PCF","BEC","CSD","PCM"}, 0)),
            _xlfn.TEXTBEFORE(J771,"-"),
            "Other"
        )
    ),
"Add")</f>
        <v>PCB</v>
      </c>
      <c r="B771" s="10" t="str">
        <f t="shared" si="12"/>
        <v>0017</v>
      </c>
      <c r="C771" s="10" t="str">
        <f>_xlfn.LET(
    _xlpm.val, IF(Datadetails[[#This Row],[Activity]]="D02","C20",Datadetails[[#This Row],[Activity]]),
    IF(ISNUMBER(MATCH(_xlpm.val,{"D04","C30","c40","C20"},0)), _xlpm.val, "Other")
)</f>
        <v>C30</v>
      </c>
      <c r="D771" s="10" t="str">
        <f>IFERROR(VLOOKUP(Datadetails[[#This Row],[Taskcode]],Dashboard!A:A,1,FALSE),"00 Err Missing")</f>
        <v>0017</v>
      </c>
      <c r="E771" s="79">
        <v>45810</v>
      </c>
      <c r="F771" s="80" t="s">
        <v>330</v>
      </c>
      <c r="G771" s="60" t="s">
        <v>40</v>
      </c>
      <c r="H771" s="80" t="s">
        <v>184</v>
      </c>
      <c r="I771" s="80" t="s">
        <v>34</v>
      </c>
      <c r="J771" s="80" t="s">
        <v>459</v>
      </c>
      <c r="K771" s="80" t="s">
        <v>347</v>
      </c>
      <c r="L771" s="80" t="s">
        <v>343</v>
      </c>
      <c r="M771" s="81">
        <v>0.17</v>
      </c>
      <c r="N771" s="82">
        <v>10.200000000000001</v>
      </c>
    </row>
    <row r="772" spans="1:14" x14ac:dyDescent="0.25">
      <c r="A772" s="10" t="str">
        <f>_xlfn.IFNA(
    IF(J772=
        "PCB-0001",
        "CSS",
        IF(
            ISNUMBER(MATCH(_xlfn.TEXTBEFORE(J772,"-"), {"CSS","CSN","PCB","PCF","BEC","CSD","PCM"}, 0)),
            _xlfn.TEXTBEFORE(J772,"-"),
            "Other"
        )
    ),
"Add")</f>
        <v>PCB</v>
      </c>
      <c r="B772" s="10" t="str">
        <f t="shared" ref="B772:B835" si="13">_xlfn.IFNA(_xlfn.TEXTAFTER(J772,"-"),"Data to C2")</f>
        <v>0048</v>
      </c>
      <c r="C772" s="10" t="str">
        <f>_xlfn.LET(
    _xlpm.val, IF(Datadetails[[#This Row],[Activity]]="D02","C20",Datadetails[[#This Row],[Activity]]),
    IF(ISNUMBER(MATCH(_xlpm.val,{"D04","C30","c40","C20"},0)), _xlpm.val, "Other")
)</f>
        <v>C30</v>
      </c>
      <c r="D772" s="10" t="str">
        <f>IFERROR(VLOOKUP(Datadetails[[#This Row],[Taskcode]],Dashboard!A:A,1,FALSE),"00 Err Missing")</f>
        <v>0048</v>
      </c>
      <c r="E772" s="79">
        <v>45810</v>
      </c>
      <c r="F772" s="80" t="s">
        <v>330</v>
      </c>
      <c r="G772" s="60" t="s">
        <v>40</v>
      </c>
      <c r="H772" s="80" t="s">
        <v>215</v>
      </c>
      <c r="I772" s="80" t="s">
        <v>34</v>
      </c>
      <c r="J772" s="80" t="s">
        <v>450</v>
      </c>
      <c r="K772" s="80" t="s">
        <v>347</v>
      </c>
      <c r="L772" s="80" t="s">
        <v>343</v>
      </c>
      <c r="M772" s="81">
        <v>1</v>
      </c>
      <c r="N772" s="82">
        <v>60</v>
      </c>
    </row>
    <row r="773" spans="1:14" x14ac:dyDescent="0.25">
      <c r="A773" s="10" t="str">
        <f>_xlfn.IFNA(
    IF(J773=
        "PCB-0001",
        "CSS",
        IF(
            ISNUMBER(MATCH(_xlfn.TEXTBEFORE(J773,"-"), {"CSS","CSN","PCB","PCF","BEC","CSD","PCM"}, 0)),
            _xlfn.TEXTBEFORE(J773,"-"),
            "Other"
        )
    ),
"Add")</f>
        <v>PCB</v>
      </c>
      <c r="B773" s="10" t="str">
        <f t="shared" si="13"/>
        <v>0134</v>
      </c>
      <c r="C773" s="10" t="str">
        <f>_xlfn.LET(
    _xlpm.val, IF(Datadetails[[#This Row],[Activity]]="D02","C20",Datadetails[[#This Row],[Activity]]),
    IF(ISNUMBER(MATCH(_xlpm.val,{"D04","C30","c40","C20"},0)), _xlpm.val, "Other")
)</f>
        <v>C30</v>
      </c>
      <c r="D773" s="10" t="str">
        <f>IFERROR(VLOOKUP(Datadetails[[#This Row],[Taskcode]],Dashboard!A:A,1,FALSE),"00 Err Missing")</f>
        <v>0134</v>
      </c>
      <c r="E773" s="79">
        <v>45810</v>
      </c>
      <c r="F773" s="80" t="s">
        <v>329</v>
      </c>
      <c r="G773" s="60" t="s">
        <v>40</v>
      </c>
      <c r="H773" s="80" t="s">
        <v>301</v>
      </c>
      <c r="I773" s="80" t="s">
        <v>34</v>
      </c>
      <c r="J773" s="80" t="s">
        <v>371</v>
      </c>
      <c r="K773" s="80" t="s">
        <v>347</v>
      </c>
      <c r="L773" s="80" t="s">
        <v>343</v>
      </c>
      <c r="M773" s="81">
        <v>0.17</v>
      </c>
      <c r="N773" s="82">
        <v>12.750000000000002</v>
      </c>
    </row>
    <row r="774" spans="1:14" x14ac:dyDescent="0.25">
      <c r="A774" s="10" t="str">
        <f>_xlfn.IFNA(
    IF(J774=
        "PCB-0001",
        "CSS",
        IF(
            ISNUMBER(MATCH(_xlfn.TEXTBEFORE(J774,"-"), {"CSS","CSN","PCB","PCF","BEC","CSD","PCM"}, 0)),
            _xlfn.TEXTBEFORE(J774,"-"),
            "Other"
        )
    ),
"Add")</f>
        <v>PCB</v>
      </c>
      <c r="B774" s="10" t="str">
        <f t="shared" si="13"/>
        <v>0055</v>
      </c>
      <c r="C774" s="10" t="str">
        <f>_xlfn.LET(
    _xlpm.val, IF(Datadetails[[#This Row],[Activity]]="D02","C20",Datadetails[[#This Row],[Activity]]),
    IF(ISNUMBER(MATCH(_xlpm.val,{"D04","C30","c40","C20"},0)), _xlpm.val, "Other")
)</f>
        <v>C30</v>
      </c>
      <c r="D774" s="10" t="str">
        <f>IFERROR(VLOOKUP(Datadetails[[#This Row],[Taskcode]],Dashboard!A:A,1,FALSE),"00 Err Missing")</f>
        <v>0055</v>
      </c>
      <c r="E774" s="79">
        <v>45810</v>
      </c>
      <c r="F774" s="80" t="s">
        <v>330</v>
      </c>
      <c r="G774" s="60" t="s">
        <v>40</v>
      </c>
      <c r="H774" s="80" t="s">
        <v>222</v>
      </c>
      <c r="I774" s="80" t="s">
        <v>34</v>
      </c>
      <c r="J774" s="80" t="s">
        <v>447</v>
      </c>
      <c r="K774" s="80" t="s">
        <v>347</v>
      </c>
      <c r="L774" s="80" t="s">
        <v>343</v>
      </c>
      <c r="M774" s="81">
        <v>0.17</v>
      </c>
      <c r="N774" s="82">
        <v>10.200000000000001</v>
      </c>
    </row>
    <row r="775" spans="1:14" x14ac:dyDescent="0.25">
      <c r="A775" s="10" t="str">
        <f>_xlfn.IFNA(
    IF(J775=
        "PCB-0001",
        "CSS",
        IF(
            ISNUMBER(MATCH(_xlfn.TEXTBEFORE(J775,"-"), {"CSS","CSN","PCB","PCF","BEC","CSD","PCM"}, 0)),
            _xlfn.TEXTBEFORE(J775,"-"),
            "Other"
        )
    ),
"Add")</f>
        <v>PCB</v>
      </c>
      <c r="B775" s="10" t="str">
        <f t="shared" si="13"/>
        <v>0011</v>
      </c>
      <c r="C775" s="10" t="str">
        <f>_xlfn.LET(
    _xlpm.val, IF(Datadetails[[#This Row],[Activity]]="D02","C20",Datadetails[[#This Row],[Activity]]),
    IF(ISNUMBER(MATCH(_xlpm.val,{"D04","C30","c40","C20"},0)), _xlpm.val, "Other")
)</f>
        <v>C30</v>
      </c>
      <c r="D775" s="10" t="str">
        <f>IFERROR(VLOOKUP(Datadetails[[#This Row],[Taskcode]],Dashboard!A:A,1,FALSE),"00 Err Missing")</f>
        <v>0011</v>
      </c>
      <c r="E775" s="79">
        <v>45810</v>
      </c>
      <c r="F775" s="80" t="s">
        <v>330</v>
      </c>
      <c r="G775" s="60" t="s">
        <v>40</v>
      </c>
      <c r="H775" s="80" t="s">
        <v>178</v>
      </c>
      <c r="I775" s="80" t="s">
        <v>34</v>
      </c>
      <c r="J775" s="80" t="s">
        <v>460</v>
      </c>
      <c r="K775" s="80" t="s">
        <v>347</v>
      </c>
      <c r="L775" s="80" t="s">
        <v>343</v>
      </c>
      <c r="M775" s="81">
        <v>0.17</v>
      </c>
      <c r="N775" s="82">
        <v>10.200000000000001</v>
      </c>
    </row>
    <row r="776" spans="1:14" x14ac:dyDescent="0.25">
      <c r="A776" s="10" t="str">
        <f>_xlfn.IFNA(
    IF(J776=
        "PCB-0001",
        "CSS",
        IF(
            ISNUMBER(MATCH(_xlfn.TEXTBEFORE(J776,"-"), {"CSS","CSN","PCB","PCF","BEC","CSD","PCM"}, 0)),
            _xlfn.TEXTBEFORE(J776,"-"),
            "Other"
        )
    ),
"Add")</f>
        <v>PCB</v>
      </c>
      <c r="B776" s="10" t="str">
        <f t="shared" si="13"/>
        <v>0010</v>
      </c>
      <c r="C776" s="10" t="str">
        <f>_xlfn.LET(
    _xlpm.val, IF(Datadetails[[#This Row],[Activity]]="D02","C20",Datadetails[[#This Row],[Activity]]),
    IF(ISNUMBER(MATCH(_xlpm.val,{"D04","C30","c40","C20"},0)), _xlpm.val, "Other")
)</f>
        <v>C30</v>
      </c>
      <c r="D776" s="10" t="str">
        <f>IFERROR(VLOOKUP(Datadetails[[#This Row],[Taskcode]],Dashboard!A:A,1,FALSE),"00 Err Missing")</f>
        <v>0010</v>
      </c>
      <c r="E776" s="79">
        <v>45810</v>
      </c>
      <c r="F776" s="80" t="s">
        <v>330</v>
      </c>
      <c r="G776" s="60" t="s">
        <v>40</v>
      </c>
      <c r="H776" s="80" t="s">
        <v>177</v>
      </c>
      <c r="I776" s="80" t="s">
        <v>34</v>
      </c>
      <c r="J776" s="80" t="s">
        <v>461</v>
      </c>
      <c r="K776" s="80" t="s">
        <v>347</v>
      </c>
      <c r="L776" s="80" t="s">
        <v>343</v>
      </c>
      <c r="M776" s="81">
        <v>0.17</v>
      </c>
      <c r="N776" s="82">
        <v>10.200000000000001</v>
      </c>
    </row>
    <row r="777" spans="1:14" x14ac:dyDescent="0.25">
      <c r="A777" s="10" t="str">
        <f>_xlfn.IFNA(
    IF(J777=
        "PCB-0001",
        "CSS",
        IF(
            ISNUMBER(MATCH(_xlfn.TEXTBEFORE(J777,"-"), {"CSS","CSN","PCB","PCF","BEC","CSD","PCM"}, 0)),
            _xlfn.TEXTBEFORE(J777,"-"),
            "Other"
        )
    ),
"Add")</f>
        <v>PCB</v>
      </c>
      <c r="B777" s="10" t="str">
        <f t="shared" si="13"/>
        <v>0120</v>
      </c>
      <c r="C777" s="10" t="str">
        <f>_xlfn.LET(
    _xlpm.val, IF(Datadetails[[#This Row],[Activity]]="D02","C20",Datadetails[[#This Row],[Activity]]),
    IF(ISNUMBER(MATCH(_xlpm.val,{"D04","C30","c40","C20"},0)), _xlpm.val, "Other")
)</f>
        <v>C30</v>
      </c>
      <c r="D777" s="10" t="str">
        <f>IFERROR(VLOOKUP(Datadetails[[#This Row],[Taskcode]],Dashboard!A:A,1,FALSE),"00 Err Missing")</f>
        <v>0120</v>
      </c>
      <c r="E777" s="79">
        <v>45810</v>
      </c>
      <c r="F777" s="80" t="s">
        <v>325</v>
      </c>
      <c r="G777" s="60" t="s">
        <v>40</v>
      </c>
      <c r="H777" s="80" t="s">
        <v>287</v>
      </c>
      <c r="I777" s="80" t="s">
        <v>34</v>
      </c>
      <c r="J777" s="80" t="s">
        <v>378</v>
      </c>
      <c r="K777" s="80" t="s">
        <v>347</v>
      </c>
      <c r="L777" s="80" t="s">
        <v>343</v>
      </c>
      <c r="M777" s="81">
        <v>0.17</v>
      </c>
      <c r="N777" s="82">
        <v>12.750000000000002</v>
      </c>
    </row>
    <row r="778" spans="1:14" x14ac:dyDescent="0.25">
      <c r="A778" s="10" t="str">
        <f>_xlfn.IFNA(
    IF(J778=
        "PCB-0001",
        "CSS",
        IF(
            ISNUMBER(MATCH(_xlfn.TEXTBEFORE(J778,"-"), {"CSS","CSN","PCB","PCF","BEC","CSD","PCM"}, 0)),
            _xlfn.TEXTBEFORE(J778,"-"),
            "Other"
        )
    ),
"Add")</f>
        <v>PCB</v>
      </c>
      <c r="B778" s="10" t="str">
        <f t="shared" si="13"/>
        <v>0129</v>
      </c>
      <c r="C778" s="10" t="str">
        <f>_xlfn.LET(
    _xlpm.val, IF(Datadetails[[#This Row],[Activity]]="D02","C20",Datadetails[[#This Row],[Activity]]),
    IF(ISNUMBER(MATCH(_xlpm.val,{"D04","C30","c40","C20"},0)), _xlpm.val, "Other")
)</f>
        <v>C30</v>
      </c>
      <c r="D778" s="10" t="str">
        <f>IFERROR(VLOOKUP(Datadetails[[#This Row],[Taskcode]],Dashboard!A:A,1,FALSE),"00 Err Missing")</f>
        <v>0129</v>
      </c>
      <c r="E778" s="79">
        <v>45810</v>
      </c>
      <c r="F778" s="80" t="s">
        <v>329</v>
      </c>
      <c r="G778" s="60" t="s">
        <v>40</v>
      </c>
      <c r="H778" s="80" t="s">
        <v>296</v>
      </c>
      <c r="I778" s="80" t="s">
        <v>34</v>
      </c>
      <c r="J778" s="80" t="s">
        <v>411</v>
      </c>
      <c r="K778" s="80" t="s">
        <v>347</v>
      </c>
      <c r="L778" s="80" t="s">
        <v>343</v>
      </c>
      <c r="M778" s="81">
        <v>0.08</v>
      </c>
      <c r="N778" s="82">
        <v>6</v>
      </c>
    </row>
    <row r="779" spans="1:14" x14ac:dyDescent="0.25">
      <c r="A779" s="10" t="str">
        <f>_xlfn.IFNA(
    IF(J779=
        "PCB-0001",
        "CSS",
        IF(
            ISNUMBER(MATCH(_xlfn.TEXTBEFORE(J779,"-"), {"CSS","CSN","PCB","PCF","BEC","CSD","PCM"}, 0)),
            _xlfn.TEXTBEFORE(J779,"-"),
            "Other"
        )
    ),
"Add")</f>
        <v>PCB</v>
      </c>
      <c r="B779" s="10" t="str">
        <f t="shared" si="13"/>
        <v>0088</v>
      </c>
      <c r="C779" s="10" t="str">
        <f>_xlfn.LET(
    _xlpm.val, IF(Datadetails[[#This Row],[Activity]]="D02","C20",Datadetails[[#This Row],[Activity]]),
    IF(ISNUMBER(MATCH(_xlpm.val,{"D04","C30","c40","C20"},0)), _xlpm.val, "Other")
)</f>
        <v>C30</v>
      </c>
      <c r="D779" s="10" t="str">
        <f>IFERROR(VLOOKUP(Datadetails[[#This Row],[Taskcode]],Dashboard!A:A,1,FALSE),"00 Err Missing")</f>
        <v>0088</v>
      </c>
      <c r="E779" s="79">
        <v>45810</v>
      </c>
      <c r="F779" s="80" t="s">
        <v>330</v>
      </c>
      <c r="G779" s="60" t="s">
        <v>40</v>
      </c>
      <c r="H779" s="80" t="s">
        <v>255</v>
      </c>
      <c r="I779" s="80" t="s">
        <v>34</v>
      </c>
      <c r="J779" s="80" t="s">
        <v>462</v>
      </c>
      <c r="K779" s="80" t="s">
        <v>347</v>
      </c>
      <c r="L779" s="80" t="s">
        <v>343</v>
      </c>
      <c r="M779" s="81">
        <v>0.17</v>
      </c>
      <c r="N779" s="82">
        <v>10.200000000000001</v>
      </c>
    </row>
    <row r="780" spans="1:14" x14ac:dyDescent="0.25">
      <c r="A780" s="10" t="str">
        <f>_xlfn.IFNA(
    IF(J780=
        "PCB-0001",
        "CSS",
        IF(
            ISNUMBER(MATCH(_xlfn.TEXTBEFORE(J780,"-"), {"CSS","CSN","PCB","PCF","BEC","CSD","PCM"}, 0)),
            _xlfn.TEXTBEFORE(J780,"-"),
            "Other"
        )
    ),
"Add")</f>
        <v>PCB</v>
      </c>
      <c r="B780" s="10" t="str">
        <f t="shared" si="13"/>
        <v>0092</v>
      </c>
      <c r="C780" s="10" t="str">
        <f>_xlfn.LET(
    _xlpm.val, IF(Datadetails[[#This Row],[Activity]]="D02","C20",Datadetails[[#This Row],[Activity]]),
    IF(ISNUMBER(MATCH(_xlpm.val,{"D04","C30","c40","C20"},0)), _xlpm.val, "Other")
)</f>
        <v>C30</v>
      </c>
      <c r="D780" s="10" t="str">
        <f>IFERROR(VLOOKUP(Datadetails[[#This Row],[Taskcode]],Dashboard!A:A,1,FALSE),"00 Err Missing")</f>
        <v>0092</v>
      </c>
      <c r="E780" s="79">
        <v>45810</v>
      </c>
      <c r="F780" s="80" t="s">
        <v>329</v>
      </c>
      <c r="G780" s="60" t="s">
        <v>40</v>
      </c>
      <c r="H780" s="80" t="s">
        <v>259</v>
      </c>
      <c r="I780" s="80" t="s">
        <v>34</v>
      </c>
      <c r="J780" s="80" t="s">
        <v>407</v>
      </c>
      <c r="K780" s="80" t="s">
        <v>347</v>
      </c>
      <c r="L780" s="80" t="s">
        <v>343</v>
      </c>
      <c r="M780" s="81">
        <v>0.25</v>
      </c>
      <c r="N780" s="82">
        <v>18.75</v>
      </c>
    </row>
    <row r="781" spans="1:14" x14ac:dyDescent="0.25">
      <c r="A781" s="10" t="str">
        <f>_xlfn.IFNA(
    IF(J781=
        "PCB-0001",
        "CSS",
        IF(
            ISNUMBER(MATCH(_xlfn.TEXTBEFORE(J781,"-"), {"CSS","CSN","PCB","PCF","BEC","CSD","PCM"}, 0)),
            _xlfn.TEXTBEFORE(J781,"-"),
            "Other"
        )
    ),
"Add")</f>
        <v>PCB</v>
      </c>
      <c r="B781" s="10" t="str">
        <f t="shared" si="13"/>
        <v>0089</v>
      </c>
      <c r="C781" s="10" t="str">
        <f>_xlfn.LET(
    _xlpm.val, IF(Datadetails[[#This Row],[Activity]]="D02","C20",Datadetails[[#This Row],[Activity]]),
    IF(ISNUMBER(MATCH(_xlpm.val,{"D04","C30","c40","C20"},0)), _xlpm.val, "Other")
)</f>
        <v>C30</v>
      </c>
      <c r="D781" s="10" t="str">
        <f>IFERROR(VLOOKUP(Datadetails[[#This Row],[Taskcode]],Dashboard!A:A,1,FALSE),"00 Err Missing")</f>
        <v>0089</v>
      </c>
      <c r="E781" s="79">
        <v>45810</v>
      </c>
      <c r="F781" s="80" t="s">
        <v>330</v>
      </c>
      <c r="G781" s="60" t="s">
        <v>40</v>
      </c>
      <c r="H781" s="80" t="s">
        <v>256</v>
      </c>
      <c r="I781" s="80" t="s">
        <v>34</v>
      </c>
      <c r="J781" s="80" t="s">
        <v>463</v>
      </c>
      <c r="K781" s="80" t="s">
        <v>347</v>
      </c>
      <c r="L781" s="80" t="s">
        <v>343</v>
      </c>
      <c r="M781" s="81">
        <v>0.17</v>
      </c>
      <c r="N781" s="82">
        <v>10.200000000000001</v>
      </c>
    </row>
    <row r="782" spans="1:14" x14ac:dyDescent="0.25">
      <c r="A782" s="10" t="str">
        <f>_xlfn.IFNA(
    IF(J782=
        "PCB-0001",
        "CSS",
        IF(
            ISNUMBER(MATCH(_xlfn.TEXTBEFORE(J782,"-"), {"CSS","CSN","PCB","PCF","BEC","CSD","PCM"}, 0)),
            _xlfn.TEXTBEFORE(J782,"-"),
            "Other"
        )
    ),
"Add")</f>
        <v>PCB</v>
      </c>
      <c r="B782" s="10" t="str">
        <f t="shared" si="13"/>
        <v>0094</v>
      </c>
      <c r="C782" s="10" t="str">
        <f>_xlfn.LET(
    _xlpm.val, IF(Datadetails[[#This Row],[Activity]]="D02","C20",Datadetails[[#This Row],[Activity]]),
    IF(ISNUMBER(MATCH(_xlpm.val,{"D04","C30","c40","C20"},0)), _xlpm.val, "Other")
)</f>
        <v>C30</v>
      </c>
      <c r="D782" s="10" t="str">
        <f>IFERROR(VLOOKUP(Datadetails[[#This Row],[Taskcode]],Dashboard!A:A,1,FALSE),"00 Err Missing")</f>
        <v>0094</v>
      </c>
      <c r="E782" s="79">
        <v>45810</v>
      </c>
      <c r="F782" s="80" t="s">
        <v>330</v>
      </c>
      <c r="G782" s="60" t="s">
        <v>40</v>
      </c>
      <c r="H782" s="80" t="s">
        <v>261</v>
      </c>
      <c r="I782" s="80" t="s">
        <v>34</v>
      </c>
      <c r="J782" s="80" t="s">
        <v>444</v>
      </c>
      <c r="K782" s="80" t="s">
        <v>347</v>
      </c>
      <c r="L782" s="80" t="s">
        <v>343</v>
      </c>
      <c r="M782" s="81">
        <v>0.17</v>
      </c>
      <c r="N782" s="82">
        <v>10.200000000000001</v>
      </c>
    </row>
    <row r="783" spans="1:14" x14ac:dyDescent="0.25">
      <c r="A783" s="10" t="str">
        <f>_xlfn.IFNA(
    IF(J783=
        "PCB-0001",
        "CSS",
        IF(
            ISNUMBER(MATCH(_xlfn.TEXTBEFORE(J783,"-"), {"CSS","CSN","PCB","PCF","BEC","CSD","PCM"}, 0)),
            _xlfn.TEXTBEFORE(J783,"-"),
            "Other"
        )
    ),
"Add")</f>
        <v>PCB</v>
      </c>
      <c r="B783" s="10" t="str">
        <f t="shared" si="13"/>
        <v>0080</v>
      </c>
      <c r="C783" s="10" t="str">
        <f>_xlfn.LET(
    _xlpm.val, IF(Datadetails[[#This Row],[Activity]]="D02","C20",Datadetails[[#This Row],[Activity]]),
    IF(ISNUMBER(MATCH(_xlpm.val,{"D04","C30","c40","C20"},0)), _xlpm.val, "Other")
)</f>
        <v>C30</v>
      </c>
      <c r="D783" s="10" t="str">
        <f>IFERROR(VLOOKUP(Datadetails[[#This Row],[Taskcode]],Dashboard!A:A,1,FALSE),"00 Err Missing")</f>
        <v>0080</v>
      </c>
      <c r="E783" s="79">
        <v>45810</v>
      </c>
      <c r="F783" s="80" t="s">
        <v>329</v>
      </c>
      <c r="G783" s="60" t="s">
        <v>40</v>
      </c>
      <c r="H783" s="80" t="s">
        <v>247</v>
      </c>
      <c r="I783" s="80" t="s">
        <v>34</v>
      </c>
      <c r="J783" s="80" t="s">
        <v>375</v>
      </c>
      <c r="K783" s="80" t="s">
        <v>347</v>
      </c>
      <c r="L783" s="80" t="s">
        <v>343</v>
      </c>
      <c r="M783" s="81">
        <v>0.33</v>
      </c>
      <c r="N783" s="82">
        <v>24.75</v>
      </c>
    </row>
    <row r="784" spans="1:14" x14ac:dyDescent="0.25">
      <c r="A784" s="10" t="str">
        <f>_xlfn.IFNA(
    IF(J784=
        "PCB-0001",
        "CSS",
        IF(
            ISNUMBER(MATCH(_xlfn.TEXTBEFORE(J784,"-"), {"CSS","CSN","PCB","PCF","BEC","CSD","PCM"}, 0)),
            _xlfn.TEXTBEFORE(J784,"-"),
            "Other"
        )
    ),
"Add")</f>
        <v>PCB</v>
      </c>
      <c r="B784" s="10" t="str">
        <f t="shared" si="13"/>
        <v>0117</v>
      </c>
      <c r="C784" s="10" t="str">
        <f>_xlfn.LET(
    _xlpm.val, IF(Datadetails[[#This Row],[Activity]]="D02","C20",Datadetails[[#This Row],[Activity]]),
    IF(ISNUMBER(MATCH(_xlpm.val,{"D04","C30","c40","C20"},0)), _xlpm.val, "Other")
)</f>
        <v>C30</v>
      </c>
      <c r="D784" s="10" t="str">
        <f>IFERROR(VLOOKUP(Datadetails[[#This Row],[Taskcode]],Dashboard!A:A,1,FALSE),"00 Err Missing")</f>
        <v>0117</v>
      </c>
      <c r="E784" s="79">
        <v>45810</v>
      </c>
      <c r="F784" s="80" t="s">
        <v>330</v>
      </c>
      <c r="G784" s="60" t="s">
        <v>40</v>
      </c>
      <c r="H784" s="80" t="s">
        <v>284</v>
      </c>
      <c r="I784" s="80" t="s">
        <v>34</v>
      </c>
      <c r="J784" s="80" t="s">
        <v>415</v>
      </c>
      <c r="K784" s="80" t="s">
        <v>347</v>
      </c>
      <c r="L784" s="80" t="s">
        <v>343</v>
      </c>
      <c r="M784" s="81">
        <v>0.17</v>
      </c>
      <c r="N784" s="82">
        <v>10.200000000000001</v>
      </c>
    </row>
    <row r="785" spans="1:14" x14ac:dyDescent="0.25">
      <c r="A785" s="10" t="str">
        <f>_xlfn.IFNA(
    IF(J785=
        "PCB-0001",
        "CSS",
        IF(
            ISNUMBER(MATCH(_xlfn.TEXTBEFORE(J785,"-"), {"CSS","CSN","PCB","PCF","BEC","CSD","PCM"}, 0)),
            _xlfn.TEXTBEFORE(J785,"-"),
            "Other"
        )
    ),
"Add")</f>
        <v>BEC</v>
      </c>
      <c r="B785" s="10" t="str">
        <f t="shared" si="13"/>
        <v>0001</v>
      </c>
      <c r="C785" s="10" t="str">
        <f>_xlfn.LET(
    _xlpm.val, IF(Datadetails[[#This Row],[Activity]]="D02","C20",Datadetails[[#This Row],[Activity]]),
    IF(ISNUMBER(MATCH(_xlpm.val,{"D04","C30","c40","C20"},0)), _xlpm.val, "Other")
)</f>
        <v>D04</v>
      </c>
      <c r="D785" s="10" t="str">
        <f>IFERROR(VLOOKUP(Datadetails[[#This Row],[Taskcode]],Dashboard!A:A,1,FALSE),"00 Err Missing")</f>
        <v>0001</v>
      </c>
      <c r="E785" s="79">
        <v>45810</v>
      </c>
      <c r="F785" s="80" t="s">
        <v>332</v>
      </c>
      <c r="G785" s="60" t="s">
        <v>40</v>
      </c>
      <c r="H785" s="80" t="s">
        <v>314</v>
      </c>
      <c r="I785" s="80" t="s">
        <v>35</v>
      </c>
      <c r="J785" s="80" t="s">
        <v>359</v>
      </c>
      <c r="K785" s="80" t="s">
        <v>339</v>
      </c>
      <c r="L785" s="80" t="s">
        <v>352</v>
      </c>
      <c r="M785" s="81">
        <v>7.5</v>
      </c>
      <c r="N785" s="82">
        <v>300</v>
      </c>
    </row>
    <row r="786" spans="1:14" x14ac:dyDescent="0.25">
      <c r="A786" s="10" t="str">
        <f>_xlfn.IFNA(
    IF(J786=
        "PCB-0001",
        "CSS",
        IF(
            ISNUMBER(MATCH(_xlfn.TEXTBEFORE(J786,"-"), {"CSS","CSN","PCB","PCF","BEC","CSD","PCM"}, 0)),
            _xlfn.TEXTBEFORE(J786,"-"),
            "Other"
        )
    ),
"Add")</f>
        <v>BEC</v>
      </c>
      <c r="B786" s="10" t="str">
        <f t="shared" si="13"/>
        <v>0001</v>
      </c>
      <c r="C786" s="10" t="str">
        <f>_xlfn.LET(
    _xlpm.val, IF(Datadetails[[#This Row],[Activity]]="D02","C20",Datadetails[[#This Row],[Activity]]),
    IF(ISNUMBER(MATCH(_xlpm.val,{"D04","C30","c40","C20"},0)), _xlpm.val, "Other")
)</f>
        <v>D04</v>
      </c>
      <c r="D786" s="10" t="str">
        <f>IFERROR(VLOOKUP(Datadetails[[#This Row],[Taskcode]],Dashboard!A:A,1,FALSE),"00 Err Missing")</f>
        <v>0001</v>
      </c>
      <c r="E786" s="79">
        <v>45810</v>
      </c>
      <c r="F786" s="80" t="s">
        <v>324</v>
      </c>
      <c r="G786" s="60" t="s">
        <v>40</v>
      </c>
      <c r="H786" s="80" t="s">
        <v>314</v>
      </c>
      <c r="I786" s="80" t="s">
        <v>35</v>
      </c>
      <c r="J786" s="80" t="s">
        <v>359</v>
      </c>
      <c r="K786" s="80" t="s">
        <v>339</v>
      </c>
      <c r="L786" s="80" t="s">
        <v>352</v>
      </c>
      <c r="M786" s="81">
        <v>5.5</v>
      </c>
      <c r="N786" s="82">
        <v>412.5</v>
      </c>
    </row>
    <row r="787" spans="1:14" x14ac:dyDescent="0.25">
      <c r="A787" s="10" t="str">
        <f>_xlfn.IFNA(
    IF(J787=
        "PCB-0001",
        "CSS",
        IF(
            ISNUMBER(MATCH(_xlfn.TEXTBEFORE(J787,"-"), {"CSS","CSN","PCB","PCF","BEC","CSD","PCM"}, 0)),
            _xlfn.TEXTBEFORE(J787,"-"),
            "Other"
        )
    ),
"Add")</f>
        <v>PCB</v>
      </c>
      <c r="B787" s="10" t="str">
        <f t="shared" si="13"/>
        <v>0010</v>
      </c>
      <c r="C787" s="10" t="str">
        <f>_xlfn.LET(
    _xlpm.val, IF(Datadetails[[#This Row],[Activity]]="D02","C20",Datadetails[[#This Row],[Activity]]),
    IF(ISNUMBER(MATCH(_xlpm.val,{"D04","C30","c40","C20"},0)), _xlpm.val, "Other")
)</f>
        <v>C40</v>
      </c>
      <c r="D787" s="10" t="str">
        <f>IFERROR(VLOOKUP(Datadetails[[#This Row],[Taskcode]],Dashboard!A:A,1,FALSE),"00 Err Missing")</f>
        <v>0010</v>
      </c>
      <c r="E787" s="79">
        <v>45811</v>
      </c>
      <c r="F787" s="80" t="s">
        <v>330</v>
      </c>
      <c r="G787" s="60" t="s">
        <v>40</v>
      </c>
      <c r="H787" s="80" t="s">
        <v>177</v>
      </c>
      <c r="I787" s="80" t="s">
        <v>341</v>
      </c>
      <c r="J787" s="80" t="s">
        <v>461</v>
      </c>
      <c r="K787" s="80" t="s">
        <v>347</v>
      </c>
      <c r="L787" s="80" t="s">
        <v>344</v>
      </c>
      <c r="M787" s="81">
        <v>0.5</v>
      </c>
      <c r="N787" s="82">
        <v>30</v>
      </c>
    </row>
    <row r="788" spans="1:14" x14ac:dyDescent="0.25">
      <c r="A788" s="10" t="str">
        <f>_xlfn.IFNA(
    IF(J788=
        "PCB-0001",
        "CSS",
        IF(
            ISNUMBER(MATCH(_xlfn.TEXTBEFORE(J788,"-"), {"CSS","CSN","PCB","PCF","BEC","CSD","PCM"}, 0)),
            _xlfn.TEXTBEFORE(J788,"-"),
            "Other"
        )
    ),
"Add")</f>
        <v>PCB</v>
      </c>
      <c r="B788" s="10" t="str">
        <f t="shared" si="13"/>
        <v>0011</v>
      </c>
      <c r="C788" s="10" t="str">
        <f>_xlfn.LET(
    _xlpm.val, IF(Datadetails[[#This Row],[Activity]]="D02","C20",Datadetails[[#This Row],[Activity]]),
    IF(ISNUMBER(MATCH(_xlpm.val,{"D04","C30","c40","C20"},0)), _xlpm.val, "Other")
)</f>
        <v>C40</v>
      </c>
      <c r="D788" s="10" t="str">
        <f>IFERROR(VLOOKUP(Datadetails[[#This Row],[Taskcode]],Dashboard!A:A,1,FALSE),"00 Err Missing")</f>
        <v>0011</v>
      </c>
      <c r="E788" s="79">
        <v>45811</v>
      </c>
      <c r="F788" s="80" t="s">
        <v>330</v>
      </c>
      <c r="G788" s="60" t="s">
        <v>40</v>
      </c>
      <c r="H788" s="80" t="s">
        <v>178</v>
      </c>
      <c r="I788" s="80" t="s">
        <v>341</v>
      </c>
      <c r="J788" s="80" t="s">
        <v>460</v>
      </c>
      <c r="K788" s="80" t="s">
        <v>347</v>
      </c>
      <c r="L788" s="80" t="s">
        <v>344</v>
      </c>
      <c r="M788" s="81">
        <v>1</v>
      </c>
      <c r="N788" s="82">
        <v>60</v>
      </c>
    </row>
    <row r="789" spans="1:14" x14ac:dyDescent="0.25">
      <c r="A789" s="10" t="str">
        <f>_xlfn.IFNA(
    IF(J789=
        "PCB-0001",
        "CSS",
        IF(
            ISNUMBER(MATCH(_xlfn.TEXTBEFORE(J789,"-"), {"CSS","CSN","PCB","PCF","BEC","CSD","PCM"}, 0)),
            _xlfn.TEXTBEFORE(J789,"-"),
            "Other"
        )
    ),
"Add")</f>
        <v>PCB</v>
      </c>
      <c r="B789" s="10" t="str">
        <f t="shared" si="13"/>
        <v>0029</v>
      </c>
      <c r="C789" s="10" t="str">
        <f>_xlfn.LET(
    _xlpm.val, IF(Datadetails[[#This Row],[Activity]]="D02","C20",Datadetails[[#This Row],[Activity]]),
    IF(ISNUMBER(MATCH(_xlpm.val,{"D04","C30","c40","C20"},0)), _xlpm.val, "Other")
)</f>
        <v>C40</v>
      </c>
      <c r="D789" s="10" t="str">
        <f>IFERROR(VLOOKUP(Datadetails[[#This Row],[Taskcode]],Dashboard!A:A,1,FALSE),"00 Err Missing")</f>
        <v>0029</v>
      </c>
      <c r="E789" s="79">
        <v>45811</v>
      </c>
      <c r="F789" s="80" t="s">
        <v>330</v>
      </c>
      <c r="G789" s="60" t="s">
        <v>40</v>
      </c>
      <c r="H789" s="80" t="s">
        <v>196</v>
      </c>
      <c r="I789" s="80" t="s">
        <v>341</v>
      </c>
      <c r="J789" s="80" t="s">
        <v>446</v>
      </c>
      <c r="K789" s="80" t="s">
        <v>347</v>
      </c>
      <c r="L789" s="80" t="s">
        <v>344</v>
      </c>
      <c r="M789" s="81">
        <v>1</v>
      </c>
      <c r="N789" s="82">
        <v>60</v>
      </c>
    </row>
    <row r="790" spans="1:14" x14ac:dyDescent="0.25">
      <c r="A790" s="10" t="str">
        <f>_xlfn.IFNA(
    IF(J790=
        "PCB-0001",
        "CSS",
        IF(
            ISNUMBER(MATCH(_xlfn.TEXTBEFORE(J790,"-"), {"CSS","CSN","PCB","PCF","BEC","CSD","PCM"}, 0)),
            _xlfn.TEXTBEFORE(J790,"-"),
            "Other"
        )
    ),
"Add")</f>
        <v>PCB</v>
      </c>
      <c r="B790" s="10" t="str">
        <f t="shared" si="13"/>
        <v>0009</v>
      </c>
      <c r="C790" s="10" t="str">
        <f>_xlfn.LET(
    _xlpm.val, IF(Datadetails[[#This Row],[Activity]]="D02","C20",Datadetails[[#This Row],[Activity]]),
    IF(ISNUMBER(MATCH(_xlpm.val,{"D04","C30","c40","C20"},0)), _xlpm.val, "Other")
)</f>
        <v>C40</v>
      </c>
      <c r="D790" s="10" t="str">
        <f>IFERROR(VLOOKUP(Datadetails[[#This Row],[Taskcode]],Dashboard!A:A,1,FALSE),"00 Err Missing")</f>
        <v>0009</v>
      </c>
      <c r="E790" s="79">
        <v>45811</v>
      </c>
      <c r="F790" s="80" t="s">
        <v>330</v>
      </c>
      <c r="G790" s="60" t="s">
        <v>40</v>
      </c>
      <c r="H790" s="80" t="s">
        <v>176</v>
      </c>
      <c r="I790" s="80" t="s">
        <v>341</v>
      </c>
      <c r="J790" s="80" t="s">
        <v>458</v>
      </c>
      <c r="K790" s="80" t="s">
        <v>347</v>
      </c>
      <c r="L790" s="80" t="s">
        <v>344</v>
      </c>
      <c r="M790" s="81">
        <v>1</v>
      </c>
      <c r="N790" s="82">
        <v>60</v>
      </c>
    </row>
    <row r="791" spans="1:14" x14ac:dyDescent="0.25">
      <c r="A791" s="10" t="str">
        <f>_xlfn.IFNA(
    IF(J791=
        "PCB-0001",
        "CSS",
        IF(
            ISNUMBER(MATCH(_xlfn.TEXTBEFORE(J791,"-"), {"CSS","CSN","PCB","PCF","BEC","CSD","PCM"}, 0)),
            _xlfn.TEXTBEFORE(J791,"-"),
            "Other"
        )
    ),
"Add")</f>
        <v>CSN</v>
      </c>
      <c r="B791" s="10" t="str">
        <f t="shared" si="13"/>
        <v>0001</v>
      </c>
      <c r="C791" s="10" t="str">
        <f>_xlfn.LET(
    _xlpm.val, IF(Datadetails[[#This Row],[Activity]]="D02","C20",Datadetails[[#This Row],[Activity]]),
    IF(ISNUMBER(MATCH(_xlpm.val,{"D04","C30","c40","C20"},0)), _xlpm.val, "Other")
)</f>
        <v>D04</v>
      </c>
      <c r="D791" s="10" t="str">
        <f>IFERROR(VLOOKUP(Datadetails[[#This Row],[Taskcode]],Dashboard!A:A,1,FALSE),"00 Err Missing")</f>
        <v>0001</v>
      </c>
      <c r="E791" s="79">
        <v>45811</v>
      </c>
      <c r="F791" s="80" t="s">
        <v>329</v>
      </c>
      <c r="G791" s="60" t="s">
        <v>40</v>
      </c>
      <c r="H791" s="80" t="s">
        <v>316</v>
      </c>
      <c r="I791" s="80" t="s">
        <v>35</v>
      </c>
      <c r="J791" s="80" t="s">
        <v>338</v>
      </c>
      <c r="K791" s="80" t="s">
        <v>337</v>
      </c>
      <c r="L791" s="80" t="s">
        <v>352</v>
      </c>
      <c r="M791" s="81">
        <v>2.75</v>
      </c>
      <c r="N791" s="82">
        <v>206.25</v>
      </c>
    </row>
    <row r="792" spans="1:14" x14ac:dyDescent="0.25">
      <c r="A792" s="10" t="str">
        <f>_xlfn.IFNA(
    IF(J792=
        "PCB-0001",
        "CSS",
        IF(
            ISNUMBER(MATCH(_xlfn.TEXTBEFORE(J792,"-"), {"CSS","CSN","PCB","PCF","BEC","CSD","PCM"}, 0)),
            _xlfn.TEXTBEFORE(J792,"-"),
            "Other"
        )
    ),
"Add")</f>
        <v>CSD</v>
      </c>
      <c r="B792" s="10" t="str">
        <f t="shared" si="13"/>
        <v>0001</v>
      </c>
      <c r="C792" s="10" t="str">
        <f>_xlfn.LET(
    _xlpm.val, IF(Datadetails[[#This Row],[Activity]]="D02","C20",Datadetails[[#This Row],[Activity]]),
    IF(ISNUMBER(MATCH(_xlpm.val,{"D04","C30","c40","C20"},0)), _xlpm.val, "Other")
)</f>
        <v>D04</v>
      </c>
      <c r="D792" s="10" t="str">
        <f>IFERROR(VLOOKUP(Datadetails[[#This Row],[Taskcode]],Dashboard!A:A,1,FALSE),"00 Err Missing")</f>
        <v>0001</v>
      </c>
      <c r="E792" s="79">
        <v>45811</v>
      </c>
      <c r="F792" s="80" t="s">
        <v>333</v>
      </c>
      <c r="G792" s="60" t="s">
        <v>40</v>
      </c>
      <c r="H792" s="80" t="s">
        <v>320</v>
      </c>
      <c r="I792" s="80" t="s">
        <v>35</v>
      </c>
      <c r="J792" s="80" t="s">
        <v>322</v>
      </c>
      <c r="K792" s="80" t="s">
        <v>319</v>
      </c>
      <c r="L792" s="80" t="s">
        <v>352</v>
      </c>
      <c r="M792" s="81">
        <v>4.5199999999999996</v>
      </c>
      <c r="N792" s="82">
        <v>144.63999999999999</v>
      </c>
    </row>
    <row r="793" spans="1:14" x14ac:dyDescent="0.25">
      <c r="A793" s="10" t="str">
        <f>_xlfn.IFNA(
    IF(J793=
        "PCB-0001",
        "CSS",
        IF(
            ISNUMBER(MATCH(_xlfn.TEXTBEFORE(J793,"-"), {"CSS","CSN","PCB","PCF","BEC","CSD","PCM"}, 0)),
            _xlfn.TEXTBEFORE(J793,"-"),
            "Other"
        )
    ),
"Add")</f>
        <v>CSD</v>
      </c>
      <c r="B793" s="10" t="str">
        <f t="shared" si="13"/>
        <v>0001</v>
      </c>
      <c r="C793" s="10" t="str">
        <f>_xlfn.LET(
    _xlpm.val, IF(Datadetails[[#This Row],[Activity]]="D02","C20",Datadetails[[#This Row],[Activity]]),
    IF(ISNUMBER(MATCH(_xlpm.val,{"D04","C30","c40","C20"},0)), _xlpm.val, "Other")
)</f>
        <v>D04</v>
      </c>
      <c r="D793" s="10" t="str">
        <f>IFERROR(VLOOKUP(Datadetails[[#This Row],[Taskcode]],Dashboard!A:A,1,FALSE),"00 Err Missing")</f>
        <v>0001</v>
      </c>
      <c r="E793" s="79">
        <v>45811</v>
      </c>
      <c r="F793" s="80" t="s">
        <v>327</v>
      </c>
      <c r="G793" s="60" t="s">
        <v>40</v>
      </c>
      <c r="H793" s="80" t="s">
        <v>320</v>
      </c>
      <c r="I793" s="80" t="s">
        <v>35</v>
      </c>
      <c r="J793" s="80" t="s">
        <v>322</v>
      </c>
      <c r="K793" s="80" t="s">
        <v>319</v>
      </c>
      <c r="L793" s="80" t="s">
        <v>352</v>
      </c>
      <c r="M793" s="81">
        <v>7.5</v>
      </c>
      <c r="N793" s="82">
        <v>240</v>
      </c>
    </row>
    <row r="794" spans="1:14" x14ac:dyDescent="0.25">
      <c r="A794" s="10" t="str">
        <f>_xlfn.IFNA(
    IF(J794=
        "PCB-0001",
        "CSS",
        IF(
            ISNUMBER(MATCH(_xlfn.TEXTBEFORE(J794,"-"), {"CSS","CSN","PCB","PCF","BEC","CSD","PCM"}, 0)),
            _xlfn.TEXTBEFORE(J794,"-"),
            "Other"
        )
    ),
"Add")</f>
        <v>PCB</v>
      </c>
      <c r="B794" s="10" t="str">
        <f t="shared" si="13"/>
        <v>0019</v>
      </c>
      <c r="C794" s="10" t="str">
        <f>_xlfn.LET(
    _xlpm.val, IF(Datadetails[[#This Row],[Activity]]="D02","C20",Datadetails[[#This Row],[Activity]]),
    IF(ISNUMBER(MATCH(_xlpm.val,{"D04","C30","c40","C20"},0)), _xlpm.val, "Other")
)</f>
        <v>C30</v>
      </c>
      <c r="D794" s="10" t="str">
        <f>IFERROR(VLOOKUP(Datadetails[[#This Row],[Taskcode]],Dashboard!A:A,1,FALSE),"00 Err Missing")</f>
        <v>0019</v>
      </c>
      <c r="E794" s="79">
        <v>45811</v>
      </c>
      <c r="F794" s="80" t="s">
        <v>329</v>
      </c>
      <c r="G794" s="60" t="s">
        <v>40</v>
      </c>
      <c r="H794" s="80" t="s">
        <v>186</v>
      </c>
      <c r="I794" s="80" t="s">
        <v>34</v>
      </c>
      <c r="J794" s="80" t="s">
        <v>397</v>
      </c>
      <c r="K794" s="80" t="s">
        <v>347</v>
      </c>
      <c r="L794" s="80" t="s">
        <v>343</v>
      </c>
      <c r="M794" s="81">
        <v>0.08</v>
      </c>
      <c r="N794" s="82">
        <v>6</v>
      </c>
    </row>
    <row r="795" spans="1:14" x14ac:dyDescent="0.25">
      <c r="A795" s="10" t="str">
        <f>_xlfn.IFNA(
    IF(J795=
        "PCB-0001",
        "CSS",
        IF(
            ISNUMBER(MATCH(_xlfn.TEXTBEFORE(J795,"-"), {"CSS","CSN","PCB","PCF","BEC","CSD","PCM"}, 0)),
            _xlfn.TEXTBEFORE(J795,"-"),
            "Other"
        )
    ),
"Add")</f>
        <v>PCB</v>
      </c>
      <c r="B795" s="10" t="str">
        <f t="shared" si="13"/>
        <v>0030</v>
      </c>
      <c r="C795" s="10" t="str">
        <f>_xlfn.LET(
    _xlpm.val, IF(Datadetails[[#This Row],[Activity]]="D02","C20",Datadetails[[#This Row],[Activity]]),
    IF(ISNUMBER(MATCH(_xlpm.val,{"D04","C30","c40","C20"},0)), _xlpm.val, "Other")
)</f>
        <v>C30</v>
      </c>
      <c r="D795" s="10" t="str">
        <f>IFERROR(VLOOKUP(Datadetails[[#This Row],[Taskcode]],Dashboard!A:A,1,FALSE),"00 Err Missing")</f>
        <v>0030</v>
      </c>
      <c r="E795" s="79">
        <v>45811</v>
      </c>
      <c r="F795" s="80" t="s">
        <v>329</v>
      </c>
      <c r="G795" s="60" t="s">
        <v>40</v>
      </c>
      <c r="H795" s="80" t="s">
        <v>197</v>
      </c>
      <c r="I795" s="80" t="s">
        <v>34</v>
      </c>
      <c r="J795" s="80" t="s">
        <v>366</v>
      </c>
      <c r="K795" s="80" t="s">
        <v>347</v>
      </c>
      <c r="L795" s="80" t="s">
        <v>343</v>
      </c>
      <c r="M795" s="81">
        <v>0.17</v>
      </c>
      <c r="N795" s="82">
        <v>12.750000000000002</v>
      </c>
    </row>
    <row r="796" spans="1:14" x14ac:dyDescent="0.25">
      <c r="A796" s="10" t="str">
        <f>_xlfn.IFNA(
    IF(J796=
        "PCB-0001",
        "CSS",
        IF(
            ISNUMBER(MATCH(_xlfn.TEXTBEFORE(J796,"-"), {"CSS","CSN","PCB","PCF","BEC","CSD","PCM"}, 0)),
            _xlfn.TEXTBEFORE(J796,"-"),
            "Other"
        )
    ),
"Add")</f>
        <v>PCB</v>
      </c>
      <c r="B796" s="10" t="str">
        <f t="shared" si="13"/>
        <v>0003</v>
      </c>
      <c r="C796" s="10" t="str">
        <f>_xlfn.LET(
    _xlpm.val, IF(Datadetails[[#This Row],[Activity]]="D02","C20",Datadetails[[#This Row],[Activity]]),
    IF(ISNUMBER(MATCH(_xlpm.val,{"D04","C30","c40","C20"},0)), _xlpm.val, "Other")
)</f>
        <v>C30</v>
      </c>
      <c r="D796" s="10" t="str">
        <f>IFERROR(VLOOKUP(Datadetails[[#This Row],[Taskcode]],Dashboard!A:A,1,FALSE),"00 Err Missing")</f>
        <v>0003</v>
      </c>
      <c r="E796" s="79">
        <v>45811</v>
      </c>
      <c r="F796" s="80" t="s">
        <v>325</v>
      </c>
      <c r="G796" s="60" t="s">
        <v>40</v>
      </c>
      <c r="H796" s="80" t="s">
        <v>170</v>
      </c>
      <c r="I796" s="80" t="s">
        <v>34</v>
      </c>
      <c r="J796" s="80" t="s">
        <v>424</v>
      </c>
      <c r="K796" s="80" t="s">
        <v>347</v>
      </c>
      <c r="L796" s="80" t="s">
        <v>343</v>
      </c>
      <c r="M796" s="81">
        <v>0.42</v>
      </c>
      <c r="N796" s="82">
        <v>31.5</v>
      </c>
    </row>
    <row r="797" spans="1:14" x14ac:dyDescent="0.25">
      <c r="A797" s="10" t="str">
        <f>_xlfn.IFNA(
    IF(J797=
        "PCB-0001",
        "CSS",
        IF(
            ISNUMBER(MATCH(_xlfn.TEXTBEFORE(J797,"-"), {"CSS","CSN","PCB","PCF","BEC","CSD","PCM"}, 0)),
            _xlfn.TEXTBEFORE(J797,"-"),
            "Other"
        )
    ),
"Add")</f>
        <v>PCB</v>
      </c>
      <c r="B797" s="10" t="str">
        <f t="shared" si="13"/>
        <v>0016</v>
      </c>
      <c r="C797" s="10" t="str">
        <f>_xlfn.LET(
    _xlpm.val, IF(Datadetails[[#This Row],[Activity]]="D02","C20",Datadetails[[#This Row],[Activity]]),
    IF(ISNUMBER(MATCH(_xlpm.val,{"D04","C30","c40","C20"},0)), _xlpm.val, "Other")
)</f>
        <v>C30</v>
      </c>
      <c r="D797" s="10" t="str">
        <f>IFERROR(VLOOKUP(Datadetails[[#This Row],[Taskcode]],Dashboard!A:A,1,FALSE),"00 Err Missing")</f>
        <v>0016</v>
      </c>
      <c r="E797" s="79">
        <v>45811</v>
      </c>
      <c r="F797" s="80" t="s">
        <v>329</v>
      </c>
      <c r="G797" s="60" t="s">
        <v>40</v>
      </c>
      <c r="H797" s="80" t="s">
        <v>183</v>
      </c>
      <c r="I797" s="80" t="s">
        <v>34</v>
      </c>
      <c r="J797" s="80" t="s">
        <v>368</v>
      </c>
      <c r="K797" s="80" t="s">
        <v>347</v>
      </c>
      <c r="L797" s="80" t="s">
        <v>343</v>
      </c>
      <c r="M797" s="81">
        <v>0.08</v>
      </c>
      <c r="N797" s="82">
        <v>6</v>
      </c>
    </row>
    <row r="798" spans="1:14" x14ac:dyDescent="0.25">
      <c r="A798" s="10" t="str">
        <f>_xlfn.IFNA(
    IF(J798=
        "PCB-0001",
        "CSS",
        IF(
            ISNUMBER(MATCH(_xlfn.TEXTBEFORE(J798,"-"), {"CSS","CSN","PCB","PCF","BEC","CSD","PCM"}, 0)),
            _xlfn.TEXTBEFORE(J798,"-"),
            "Other"
        )
    ),
"Add")</f>
        <v>PCB</v>
      </c>
      <c r="B798" s="10" t="str">
        <f t="shared" si="13"/>
        <v>0134</v>
      </c>
      <c r="C798" s="10" t="str">
        <f>_xlfn.LET(
    _xlpm.val, IF(Datadetails[[#This Row],[Activity]]="D02","C20",Datadetails[[#This Row],[Activity]]),
    IF(ISNUMBER(MATCH(_xlpm.val,{"D04","C30","c40","C20"},0)), _xlpm.val, "Other")
)</f>
        <v>C30</v>
      </c>
      <c r="D798" s="10" t="str">
        <f>IFERROR(VLOOKUP(Datadetails[[#This Row],[Taskcode]],Dashboard!A:A,1,FALSE),"00 Err Missing")</f>
        <v>0134</v>
      </c>
      <c r="E798" s="79">
        <v>45811</v>
      </c>
      <c r="F798" s="80" t="s">
        <v>329</v>
      </c>
      <c r="G798" s="60" t="s">
        <v>40</v>
      </c>
      <c r="H798" s="80" t="s">
        <v>301</v>
      </c>
      <c r="I798" s="80" t="s">
        <v>34</v>
      </c>
      <c r="J798" s="80" t="s">
        <v>371</v>
      </c>
      <c r="K798" s="80" t="s">
        <v>347</v>
      </c>
      <c r="L798" s="80" t="s">
        <v>343</v>
      </c>
      <c r="M798" s="81">
        <v>0.17</v>
      </c>
      <c r="N798" s="82">
        <v>12.750000000000002</v>
      </c>
    </row>
    <row r="799" spans="1:14" x14ac:dyDescent="0.25">
      <c r="A799" s="10" t="str">
        <f>_xlfn.IFNA(
    IF(J799=
        "PCB-0001",
        "CSS",
        IF(
            ISNUMBER(MATCH(_xlfn.TEXTBEFORE(J799,"-"), {"CSS","CSN","PCB","PCF","BEC","CSD","PCM"}, 0)),
            _xlfn.TEXTBEFORE(J799,"-"),
            "Other"
        )
    ),
"Add")</f>
        <v>PCB</v>
      </c>
      <c r="B799" s="10" t="str">
        <f t="shared" si="13"/>
        <v>0055</v>
      </c>
      <c r="C799" s="10" t="str">
        <f>_xlfn.LET(
    _xlpm.val, IF(Datadetails[[#This Row],[Activity]]="D02","C20",Datadetails[[#This Row],[Activity]]),
    IF(ISNUMBER(MATCH(_xlpm.val,{"D04","C30","c40","C20"},0)), _xlpm.val, "Other")
)</f>
        <v>C30</v>
      </c>
      <c r="D799" s="10" t="str">
        <f>IFERROR(VLOOKUP(Datadetails[[#This Row],[Taskcode]],Dashboard!A:A,1,FALSE),"00 Err Missing")</f>
        <v>0055</v>
      </c>
      <c r="E799" s="79">
        <v>45811</v>
      </c>
      <c r="F799" s="80" t="s">
        <v>330</v>
      </c>
      <c r="G799" s="60" t="s">
        <v>40</v>
      </c>
      <c r="H799" s="80" t="s">
        <v>222</v>
      </c>
      <c r="I799" s="80" t="s">
        <v>34</v>
      </c>
      <c r="J799" s="80" t="s">
        <v>447</v>
      </c>
      <c r="K799" s="80" t="s">
        <v>347</v>
      </c>
      <c r="L799" s="80" t="s">
        <v>343</v>
      </c>
      <c r="M799" s="81">
        <v>0.5</v>
      </c>
      <c r="N799" s="82">
        <v>30</v>
      </c>
    </row>
    <row r="800" spans="1:14" x14ac:dyDescent="0.25">
      <c r="A800" s="10" t="str">
        <f>_xlfn.IFNA(
    IF(J800=
        "PCB-0001",
        "CSS",
        IF(
            ISNUMBER(MATCH(_xlfn.TEXTBEFORE(J800,"-"), {"CSS","CSN","PCB","PCF","BEC","CSD","PCM"}, 0)),
            _xlfn.TEXTBEFORE(J800,"-"),
            "Other"
        )
    ),
"Add")</f>
        <v>PCB</v>
      </c>
      <c r="B800" s="10" t="str">
        <f t="shared" si="13"/>
        <v>0074</v>
      </c>
      <c r="C800" s="10" t="str">
        <f>_xlfn.LET(
    _xlpm.val, IF(Datadetails[[#This Row],[Activity]]="D02","C20",Datadetails[[#This Row],[Activity]]),
    IF(ISNUMBER(MATCH(_xlpm.val,{"D04","C30","c40","C20"},0)), _xlpm.val, "Other")
)</f>
        <v>C30</v>
      </c>
      <c r="D800" s="10" t="str">
        <f>IFERROR(VLOOKUP(Datadetails[[#This Row],[Taskcode]],Dashboard!A:A,1,FALSE),"00 Err Missing")</f>
        <v>0074</v>
      </c>
      <c r="E800" s="79">
        <v>45811</v>
      </c>
      <c r="F800" s="80" t="s">
        <v>329</v>
      </c>
      <c r="G800" s="60" t="s">
        <v>40</v>
      </c>
      <c r="H800" s="80" t="s">
        <v>241</v>
      </c>
      <c r="I800" s="80" t="s">
        <v>34</v>
      </c>
      <c r="J800" s="80" t="s">
        <v>403</v>
      </c>
      <c r="K800" s="80" t="s">
        <v>347</v>
      </c>
      <c r="L800" s="80" t="s">
        <v>343</v>
      </c>
      <c r="M800" s="81">
        <v>0.33</v>
      </c>
      <c r="N800" s="82">
        <v>24.75</v>
      </c>
    </row>
    <row r="801" spans="1:14" x14ac:dyDescent="0.25">
      <c r="A801" s="10" t="str">
        <f>_xlfn.IFNA(
    IF(J801=
        "PCB-0001",
        "CSS",
        IF(
            ISNUMBER(MATCH(_xlfn.TEXTBEFORE(J801,"-"), {"CSS","CSN","PCB","PCF","BEC","CSD","PCM"}, 0)),
            _xlfn.TEXTBEFORE(J801,"-"),
            "Other"
        )
    ),
"Add")</f>
        <v>PCB</v>
      </c>
      <c r="B801" s="10" t="str">
        <f t="shared" si="13"/>
        <v>0091</v>
      </c>
      <c r="C801" s="10" t="str">
        <f>_xlfn.LET(
    _xlpm.val, IF(Datadetails[[#This Row],[Activity]]="D02","C20",Datadetails[[#This Row],[Activity]]),
    IF(ISNUMBER(MATCH(_xlpm.val,{"D04","C30","c40","C20"},0)), _xlpm.val, "Other")
)</f>
        <v>C30</v>
      </c>
      <c r="D801" s="10" t="str">
        <f>IFERROR(VLOOKUP(Datadetails[[#This Row],[Taskcode]],Dashboard!A:A,1,FALSE),"00 Err Missing")</f>
        <v>0091</v>
      </c>
      <c r="E801" s="79">
        <v>45811</v>
      </c>
      <c r="F801" s="80" t="s">
        <v>329</v>
      </c>
      <c r="G801" s="60" t="s">
        <v>40</v>
      </c>
      <c r="H801" s="80" t="s">
        <v>258</v>
      </c>
      <c r="I801" s="80" t="s">
        <v>34</v>
      </c>
      <c r="J801" s="80" t="s">
        <v>381</v>
      </c>
      <c r="K801" s="80" t="s">
        <v>347</v>
      </c>
      <c r="L801" s="80" t="s">
        <v>343</v>
      </c>
      <c r="M801" s="81">
        <v>1</v>
      </c>
      <c r="N801" s="82">
        <v>75</v>
      </c>
    </row>
    <row r="802" spans="1:14" x14ac:dyDescent="0.25">
      <c r="A802" s="10" t="str">
        <f>_xlfn.IFNA(
    IF(J802=
        "PCB-0001",
        "CSS",
        IF(
            ISNUMBER(MATCH(_xlfn.TEXTBEFORE(J802,"-"), {"CSS","CSN","PCB","PCF","BEC","CSD","PCM"}, 0)),
            _xlfn.TEXTBEFORE(J802,"-"),
            "Other"
        )
    ),
"Add")</f>
        <v>PCB</v>
      </c>
      <c r="B802" s="10" t="str">
        <f t="shared" si="13"/>
        <v>0092</v>
      </c>
      <c r="C802" s="10" t="str">
        <f>_xlfn.LET(
    _xlpm.val, IF(Datadetails[[#This Row],[Activity]]="D02","C20",Datadetails[[#This Row],[Activity]]),
    IF(ISNUMBER(MATCH(_xlpm.val,{"D04","C30","c40","C20"},0)), _xlpm.val, "Other")
)</f>
        <v>C30</v>
      </c>
      <c r="D802" s="10" t="str">
        <f>IFERROR(VLOOKUP(Datadetails[[#This Row],[Taskcode]],Dashboard!A:A,1,FALSE),"00 Err Missing")</f>
        <v>0092</v>
      </c>
      <c r="E802" s="79">
        <v>45811</v>
      </c>
      <c r="F802" s="80" t="s">
        <v>329</v>
      </c>
      <c r="G802" s="60" t="s">
        <v>40</v>
      </c>
      <c r="H802" s="80" t="s">
        <v>259</v>
      </c>
      <c r="I802" s="80" t="s">
        <v>34</v>
      </c>
      <c r="J802" s="80" t="s">
        <v>407</v>
      </c>
      <c r="K802" s="80" t="s">
        <v>347</v>
      </c>
      <c r="L802" s="80" t="s">
        <v>343</v>
      </c>
      <c r="M802" s="81">
        <v>0.33</v>
      </c>
      <c r="N802" s="82">
        <v>24.75</v>
      </c>
    </row>
    <row r="803" spans="1:14" x14ac:dyDescent="0.25">
      <c r="A803" s="10" t="str">
        <f>_xlfn.IFNA(
    IF(J803=
        "PCB-0001",
        "CSS",
        IF(
            ISNUMBER(MATCH(_xlfn.TEXTBEFORE(J803,"-"), {"CSS","CSN","PCB","PCF","BEC","CSD","PCM"}, 0)),
            _xlfn.TEXTBEFORE(J803,"-"),
            "Other"
        )
    ),
"Add")</f>
        <v>PCB</v>
      </c>
      <c r="B803" s="10" t="str">
        <f t="shared" si="13"/>
        <v>0085</v>
      </c>
      <c r="C803" s="10" t="str">
        <f>_xlfn.LET(
    _xlpm.val, IF(Datadetails[[#This Row],[Activity]]="D02","C20",Datadetails[[#This Row],[Activity]]),
    IF(ISNUMBER(MATCH(_xlpm.val,{"D04","C30","c40","C20"},0)), _xlpm.val, "Other")
)</f>
        <v>C30</v>
      </c>
      <c r="D803" s="10" t="str">
        <f>IFERROR(VLOOKUP(Datadetails[[#This Row],[Taskcode]],Dashboard!A:A,1,FALSE),"00 Err Missing")</f>
        <v>0085</v>
      </c>
      <c r="E803" s="79">
        <v>45811</v>
      </c>
      <c r="F803" s="80" t="s">
        <v>330</v>
      </c>
      <c r="G803" s="60" t="s">
        <v>40</v>
      </c>
      <c r="H803" s="80" t="s">
        <v>252</v>
      </c>
      <c r="I803" s="80" t="s">
        <v>34</v>
      </c>
      <c r="J803" s="80" t="s">
        <v>416</v>
      </c>
      <c r="K803" s="80" t="s">
        <v>347</v>
      </c>
      <c r="L803" s="80" t="s">
        <v>343</v>
      </c>
      <c r="M803" s="81">
        <v>0.5</v>
      </c>
      <c r="N803" s="82">
        <v>30</v>
      </c>
    </row>
    <row r="804" spans="1:14" x14ac:dyDescent="0.25">
      <c r="A804" s="10" t="str">
        <f>_xlfn.IFNA(
    IF(J804=
        "PCB-0001",
        "CSS",
        IF(
            ISNUMBER(MATCH(_xlfn.TEXTBEFORE(J804,"-"), {"CSS","CSN","PCB","PCF","BEC","CSD","PCM"}, 0)),
            _xlfn.TEXTBEFORE(J804,"-"),
            "Other"
        )
    ),
"Add")</f>
        <v>PCB</v>
      </c>
      <c r="B804" s="10" t="str">
        <f t="shared" si="13"/>
        <v>0080</v>
      </c>
      <c r="C804" s="10" t="str">
        <f>_xlfn.LET(
    _xlpm.val, IF(Datadetails[[#This Row],[Activity]]="D02","C20",Datadetails[[#This Row],[Activity]]),
    IF(ISNUMBER(MATCH(_xlpm.val,{"D04","C30","c40","C20"},0)), _xlpm.val, "Other")
)</f>
        <v>C30</v>
      </c>
      <c r="D804" s="10" t="str">
        <f>IFERROR(VLOOKUP(Datadetails[[#This Row],[Taskcode]],Dashboard!A:A,1,FALSE),"00 Err Missing")</f>
        <v>0080</v>
      </c>
      <c r="E804" s="79">
        <v>45811</v>
      </c>
      <c r="F804" s="80" t="s">
        <v>329</v>
      </c>
      <c r="G804" s="60" t="s">
        <v>40</v>
      </c>
      <c r="H804" s="80" t="s">
        <v>247</v>
      </c>
      <c r="I804" s="80" t="s">
        <v>34</v>
      </c>
      <c r="J804" s="80" t="s">
        <v>375</v>
      </c>
      <c r="K804" s="80" t="s">
        <v>347</v>
      </c>
      <c r="L804" s="80" t="s">
        <v>343</v>
      </c>
      <c r="M804" s="81">
        <v>0.17</v>
      </c>
      <c r="N804" s="82">
        <v>12.750000000000002</v>
      </c>
    </row>
    <row r="805" spans="1:14" x14ac:dyDescent="0.25">
      <c r="A805" s="10" t="str">
        <f>_xlfn.IFNA(
    IF(J805=
        "PCB-0001",
        "CSS",
        IF(
            ISNUMBER(MATCH(_xlfn.TEXTBEFORE(J805,"-"), {"CSS","CSN","PCB","PCF","BEC","CSD","PCM"}, 0)),
            _xlfn.TEXTBEFORE(J805,"-"),
            "Other"
        )
    ),
"Add")</f>
        <v>PCF</v>
      </c>
      <c r="B805" s="10" t="str">
        <f t="shared" si="13"/>
        <v>0069</v>
      </c>
      <c r="C805" s="10" t="str">
        <f>_xlfn.LET(
    _xlpm.val, IF(Datadetails[[#This Row],[Activity]]="D02","C20",Datadetails[[#This Row],[Activity]]),
    IF(ISNUMBER(MATCH(_xlpm.val,{"D04","C30","c40","C20"},0)), _xlpm.val, "Other")
)</f>
        <v>C20</v>
      </c>
      <c r="D805" s="10" t="str">
        <f>IFERROR(VLOOKUP(Datadetails[[#This Row],[Taskcode]],Dashboard!A:A,1,FALSE),"00 Err Missing")</f>
        <v>0069</v>
      </c>
      <c r="E805" s="79">
        <v>45811</v>
      </c>
      <c r="F805" s="80" t="s">
        <v>326</v>
      </c>
      <c r="G805" s="60" t="s">
        <v>40</v>
      </c>
      <c r="H805" s="80" t="s">
        <v>236</v>
      </c>
      <c r="I805" s="80" t="s">
        <v>36</v>
      </c>
      <c r="J805" s="80" t="s">
        <v>357</v>
      </c>
      <c r="K805" s="80" t="s">
        <v>348</v>
      </c>
      <c r="L805" s="80" t="s">
        <v>342</v>
      </c>
      <c r="M805" s="81">
        <v>0.5</v>
      </c>
      <c r="N805" s="82">
        <v>30</v>
      </c>
    </row>
    <row r="806" spans="1:14" x14ac:dyDescent="0.25">
      <c r="A806" s="10" t="str">
        <f>_xlfn.IFNA(
    IF(J806=
        "PCB-0001",
        "CSS",
        IF(
            ISNUMBER(MATCH(_xlfn.TEXTBEFORE(J806,"-"), {"CSS","CSN","PCB","PCF","BEC","CSD","PCM"}, 0)),
            _xlfn.TEXTBEFORE(J806,"-"),
            "Other"
        )
    ),
"Add")</f>
        <v>PCF</v>
      </c>
      <c r="B806" s="10" t="str">
        <f t="shared" si="13"/>
        <v>0040</v>
      </c>
      <c r="C806" s="10" t="str">
        <f>_xlfn.LET(
    _xlpm.val, IF(Datadetails[[#This Row],[Activity]]="D02","C20",Datadetails[[#This Row],[Activity]]),
    IF(ISNUMBER(MATCH(_xlpm.val,{"D04","C30","c40","C20"},0)), _xlpm.val, "Other")
)</f>
        <v>C30</v>
      </c>
      <c r="D806" s="10" t="str">
        <f>IFERROR(VLOOKUP(Datadetails[[#This Row],[Taskcode]],Dashboard!A:A,1,FALSE),"00 Err Missing")</f>
        <v>0040</v>
      </c>
      <c r="E806" s="79">
        <v>45811</v>
      </c>
      <c r="F806" s="80" t="s">
        <v>326</v>
      </c>
      <c r="G806" s="60" t="s">
        <v>40</v>
      </c>
      <c r="H806" s="80" t="s">
        <v>207</v>
      </c>
      <c r="I806" s="80" t="s">
        <v>34</v>
      </c>
      <c r="J806" s="80" t="s">
        <v>417</v>
      </c>
      <c r="K806" s="80" t="s">
        <v>348</v>
      </c>
      <c r="L806" s="80" t="s">
        <v>343</v>
      </c>
      <c r="M806" s="81">
        <v>0.5</v>
      </c>
      <c r="N806" s="82">
        <v>30</v>
      </c>
    </row>
    <row r="807" spans="1:14" x14ac:dyDescent="0.25">
      <c r="A807" s="10" t="str">
        <f>_xlfn.IFNA(
    IF(J807=
        "PCB-0001",
        "CSS",
        IF(
            ISNUMBER(MATCH(_xlfn.TEXTBEFORE(J807,"-"), {"CSS","CSN","PCB","PCF","BEC","CSD","PCM"}, 0)),
            _xlfn.TEXTBEFORE(J807,"-"),
            "Other"
        )
    ),
"Add")</f>
        <v>PCF</v>
      </c>
      <c r="B807" s="10" t="str">
        <f t="shared" si="13"/>
        <v>0133</v>
      </c>
      <c r="C807" s="10" t="str">
        <f>_xlfn.LET(
    _xlpm.val, IF(Datadetails[[#This Row],[Activity]]="D02","C20",Datadetails[[#This Row],[Activity]]),
    IF(ISNUMBER(MATCH(_xlpm.val,{"D04","C30","c40","C20"},0)), _xlpm.val, "Other")
)</f>
        <v>C40</v>
      </c>
      <c r="D807" s="10" t="str">
        <f>IFERROR(VLOOKUP(Datadetails[[#This Row],[Taskcode]],Dashboard!A:A,1,FALSE),"00 Err Missing")</f>
        <v>0133</v>
      </c>
      <c r="E807" s="79">
        <v>45811</v>
      </c>
      <c r="F807" s="80" t="s">
        <v>326</v>
      </c>
      <c r="G807" s="60" t="s">
        <v>40</v>
      </c>
      <c r="H807" s="80" t="s">
        <v>300</v>
      </c>
      <c r="I807" s="80" t="s">
        <v>341</v>
      </c>
      <c r="J807" s="80" t="s">
        <v>464</v>
      </c>
      <c r="K807" s="80" t="s">
        <v>348</v>
      </c>
      <c r="L807" s="80" t="s">
        <v>344</v>
      </c>
      <c r="M807" s="81">
        <v>0.5</v>
      </c>
      <c r="N807" s="82">
        <v>30</v>
      </c>
    </row>
    <row r="808" spans="1:14" x14ac:dyDescent="0.25">
      <c r="A808" s="10" t="str">
        <f>_xlfn.IFNA(
    IF(J808=
        "PCB-0001",
        "CSS",
        IF(
            ISNUMBER(MATCH(_xlfn.TEXTBEFORE(J808,"-"), {"CSS","CSN","PCB","PCF","BEC","CSD","PCM"}, 0)),
            _xlfn.TEXTBEFORE(J808,"-"),
            "Other"
        )
    ),
"Add")</f>
        <v>BEC</v>
      </c>
      <c r="B808" s="10" t="str">
        <f t="shared" si="13"/>
        <v>0001</v>
      </c>
      <c r="C808" s="10" t="str">
        <f>_xlfn.LET(
    _xlpm.val, IF(Datadetails[[#This Row],[Activity]]="D02","C20",Datadetails[[#This Row],[Activity]]),
    IF(ISNUMBER(MATCH(_xlpm.val,{"D04","C30","c40","C20"},0)), _xlpm.val, "Other")
)</f>
        <v>D04</v>
      </c>
      <c r="D808" s="10" t="str">
        <f>IFERROR(VLOOKUP(Datadetails[[#This Row],[Taskcode]],Dashboard!A:A,1,FALSE),"00 Err Missing")</f>
        <v>0001</v>
      </c>
      <c r="E808" s="79">
        <v>45811</v>
      </c>
      <c r="F808" s="80" t="s">
        <v>332</v>
      </c>
      <c r="G808" s="60" t="s">
        <v>40</v>
      </c>
      <c r="H808" s="80" t="s">
        <v>314</v>
      </c>
      <c r="I808" s="80" t="s">
        <v>35</v>
      </c>
      <c r="J808" s="80" t="s">
        <v>359</v>
      </c>
      <c r="K808" s="80" t="s">
        <v>339</v>
      </c>
      <c r="L808" s="80" t="s">
        <v>352</v>
      </c>
      <c r="M808" s="81">
        <v>8.67</v>
      </c>
      <c r="N808" s="82">
        <v>346.8</v>
      </c>
    </row>
    <row r="809" spans="1:14" x14ac:dyDescent="0.25">
      <c r="A809" s="10" t="str">
        <f>_xlfn.IFNA(
    IF(J809=
        "PCB-0001",
        "CSS",
        IF(
            ISNUMBER(MATCH(_xlfn.TEXTBEFORE(J809,"-"), {"CSS","CSN","PCB","PCF","BEC","CSD","PCM"}, 0)),
            _xlfn.TEXTBEFORE(J809,"-"),
            "Other"
        )
    ),
"Add")</f>
        <v>BEC</v>
      </c>
      <c r="B809" s="10" t="str">
        <f t="shared" si="13"/>
        <v>0001</v>
      </c>
      <c r="C809" s="10" t="str">
        <f>_xlfn.LET(
    _xlpm.val, IF(Datadetails[[#This Row],[Activity]]="D02","C20",Datadetails[[#This Row],[Activity]]),
    IF(ISNUMBER(MATCH(_xlpm.val,{"D04","C30","c40","C20"},0)), _xlpm.val, "Other")
)</f>
        <v>D04</v>
      </c>
      <c r="D809" s="10" t="str">
        <f>IFERROR(VLOOKUP(Datadetails[[#This Row],[Taskcode]],Dashboard!A:A,1,FALSE),"00 Err Missing")</f>
        <v>0001</v>
      </c>
      <c r="E809" s="79">
        <v>45811</v>
      </c>
      <c r="F809" s="80" t="s">
        <v>324</v>
      </c>
      <c r="G809" s="60" t="s">
        <v>40</v>
      </c>
      <c r="H809" s="80" t="s">
        <v>314</v>
      </c>
      <c r="I809" s="80" t="s">
        <v>35</v>
      </c>
      <c r="J809" s="80" t="s">
        <v>359</v>
      </c>
      <c r="K809" s="80" t="s">
        <v>339</v>
      </c>
      <c r="L809" s="80" t="s">
        <v>352</v>
      </c>
      <c r="M809" s="81">
        <v>4.5</v>
      </c>
      <c r="N809" s="82">
        <v>337.5</v>
      </c>
    </row>
    <row r="810" spans="1:14" x14ac:dyDescent="0.25">
      <c r="A810" s="10" t="str">
        <f>_xlfn.IFNA(
    IF(J810=
        "PCB-0001",
        "CSS",
        IF(
            ISNUMBER(MATCH(_xlfn.TEXTBEFORE(J810,"-"), {"CSS","CSN","PCB","PCF","BEC","CSD","PCM"}, 0)),
            _xlfn.TEXTBEFORE(J810,"-"),
            "Other"
        )
    ),
"Add")</f>
        <v>PCB</v>
      </c>
      <c r="B810" s="10" t="str">
        <f t="shared" si="13"/>
        <v>0055</v>
      </c>
      <c r="C810" s="10" t="str">
        <f>_xlfn.LET(
    _xlpm.val, IF(Datadetails[[#This Row],[Activity]]="D02","C20",Datadetails[[#This Row],[Activity]]),
    IF(ISNUMBER(MATCH(_xlpm.val,{"D04","C30","c40","C20"},0)), _xlpm.val, "Other")
)</f>
        <v>C40</v>
      </c>
      <c r="D810" s="10" t="str">
        <f>IFERROR(VLOOKUP(Datadetails[[#This Row],[Taskcode]],Dashboard!A:A,1,FALSE),"00 Err Missing")</f>
        <v>0055</v>
      </c>
      <c r="E810" s="79">
        <v>45812</v>
      </c>
      <c r="F810" s="80" t="s">
        <v>330</v>
      </c>
      <c r="G810" s="60" t="s">
        <v>40</v>
      </c>
      <c r="H810" s="80" t="s">
        <v>222</v>
      </c>
      <c r="I810" s="80" t="s">
        <v>341</v>
      </c>
      <c r="J810" s="80" t="s">
        <v>447</v>
      </c>
      <c r="K810" s="80" t="s">
        <v>347</v>
      </c>
      <c r="L810" s="80" t="s">
        <v>344</v>
      </c>
      <c r="M810" s="81">
        <v>1.42</v>
      </c>
      <c r="N810" s="82">
        <v>85.199999999999989</v>
      </c>
    </row>
    <row r="811" spans="1:14" x14ac:dyDescent="0.25">
      <c r="A811" s="10" t="str">
        <f>_xlfn.IFNA(
    IF(J811=
        "PCB-0001",
        "CSS",
        IF(
            ISNUMBER(MATCH(_xlfn.TEXTBEFORE(J811,"-"), {"CSS","CSN","PCB","PCF","BEC","CSD","PCM"}, 0)),
            _xlfn.TEXTBEFORE(J811,"-"),
            "Other"
        )
    ),
"Add")</f>
        <v>PCB</v>
      </c>
      <c r="B811" s="10" t="str">
        <f t="shared" si="13"/>
        <v>0017</v>
      </c>
      <c r="C811" s="10" t="str">
        <f>_xlfn.LET(
    _xlpm.val, IF(Datadetails[[#This Row],[Activity]]="D02","C20",Datadetails[[#This Row],[Activity]]),
    IF(ISNUMBER(MATCH(_xlpm.val,{"D04","C30","c40","C20"},0)), _xlpm.val, "Other")
)</f>
        <v>C40</v>
      </c>
      <c r="D811" s="10" t="str">
        <f>IFERROR(VLOOKUP(Datadetails[[#This Row],[Taskcode]],Dashboard!A:A,1,FALSE),"00 Err Missing")</f>
        <v>0017</v>
      </c>
      <c r="E811" s="79">
        <v>45812</v>
      </c>
      <c r="F811" s="80" t="s">
        <v>330</v>
      </c>
      <c r="G811" s="60" t="s">
        <v>40</v>
      </c>
      <c r="H811" s="80" t="s">
        <v>184</v>
      </c>
      <c r="I811" s="80" t="s">
        <v>341</v>
      </c>
      <c r="J811" s="80" t="s">
        <v>459</v>
      </c>
      <c r="K811" s="80" t="s">
        <v>347</v>
      </c>
      <c r="L811" s="80" t="s">
        <v>344</v>
      </c>
      <c r="M811" s="81">
        <v>1.5</v>
      </c>
      <c r="N811" s="82">
        <v>90</v>
      </c>
    </row>
    <row r="812" spans="1:14" x14ac:dyDescent="0.25">
      <c r="A812" s="10" t="str">
        <f>_xlfn.IFNA(
    IF(J812=
        "PCB-0001",
        "CSS",
        IF(
            ISNUMBER(MATCH(_xlfn.TEXTBEFORE(J812,"-"), {"CSS","CSN","PCB","PCF","BEC","CSD","PCM"}, 0)),
            _xlfn.TEXTBEFORE(J812,"-"),
            "Other"
        )
    ),
"Add")</f>
        <v>CSN</v>
      </c>
      <c r="B812" s="10" t="str">
        <f t="shared" si="13"/>
        <v>0001</v>
      </c>
      <c r="C812" s="10" t="str">
        <f>_xlfn.LET(
    _xlpm.val, IF(Datadetails[[#This Row],[Activity]]="D02","C20",Datadetails[[#This Row],[Activity]]),
    IF(ISNUMBER(MATCH(_xlpm.val,{"D04","C30","c40","C20"},0)), _xlpm.val, "Other")
)</f>
        <v>D04</v>
      </c>
      <c r="D812" s="10" t="str">
        <f>IFERROR(VLOOKUP(Datadetails[[#This Row],[Taskcode]],Dashboard!A:A,1,FALSE),"00 Err Missing")</f>
        <v>0001</v>
      </c>
      <c r="E812" s="79">
        <v>45812</v>
      </c>
      <c r="F812" s="80" t="s">
        <v>329</v>
      </c>
      <c r="G812" s="60" t="s">
        <v>40</v>
      </c>
      <c r="H812" s="80" t="s">
        <v>316</v>
      </c>
      <c r="I812" s="80" t="s">
        <v>35</v>
      </c>
      <c r="J812" s="80" t="s">
        <v>338</v>
      </c>
      <c r="K812" s="80" t="s">
        <v>337</v>
      </c>
      <c r="L812" s="80" t="s">
        <v>352</v>
      </c>
      <c r="M812" s="81">
        <v>2</v>
      </c>
      <c r="N812" s="82">
        <v>150</v>
      </c>
    </row>
    <row r="813" spans="1:14" x14ac:dyDescent="0.25">
      <c r="A813" s="10" t="str">
        <f>_xlfn.IFNA(
    IF(J813=
        "PCB-0001",
        "CSS",
        IF(
            ISNUMBER(MATCH(_xlfn.TEXTBEFORE(J813,"-"), {"CSS","CSN","PCB","PCF","BEC","CSD","PCM"}, 0)),
            _xlfn.TEXTBEFORE(J813,"-"),
            "Other"
        )
    ),
"Add")</f>
        <v>CSD</v>
      </c>
      <c r="B813" s="10" t="str">
        <f t="shared" si="13"/>
        <v>0001</v>
      </c>
      <c r="C813" s="10" t="str">
        <f>_xlfn.LET(
    _xlpm.val, IF(Datadetails[[#This Row],[Activity]]="D02","C20",Datadetails[[#This Row],[Activity]]),
    IF(ISNUMBER(MATCH(_xlpm.val,{"D04","C30","c40","C20"},0)), _xlpm.val, "Other")
)</f>
        <v>D04</v>
      </c>
      <c r="D813" s="10" t="str">
        <f>IFERROR(VLOOKUP(Datadetails[[#This Row],[Taskcode]],Dashboard!A:A,1,FALSE),"00 Err Missing")</f>
        <v>0001</v>
      </c>
      <c r="E813" s="79">
        <v>45812</v>
      </c>
      <c r="F813" s="80" t="s">
        <v>333</v>
      </c>
      <c r="G813" s="60" t="s">
        <v>40</v>
      </c>
      <c r="H813" s="80" t="s">
        <v>320</v>
      </c>
      <c r="I813" s="80" t="s">
        <v>35</v>
      </c>
      <c r="J813" s="80" t="s">
        <v>322</v>
      </c>
      <c r="K813" s="80" t="s">
        <v>319</v>
      </c>
      <c r="L813" s="80" t="s">
        <v>352</v>
      </c>
      <c r="M813" s="81">
        <v>7.72</v>
      </c>
      <c r="N813" s="82">
        <v>247.04</v>
      </c>
    </row>
    <row r="814" spans="1:14" x14ac:dyDescent="0.25">
      <c r="A814" s="10" t="str">
        <f>_xlfn.IFNA(
    IF(J814=
        "PCB-0001",
        "CSS",
        IF(
            ISNUMBER(MATCH(_xlfn.TEXTBEFORE(J814,"-"), {"CSS","CSN","PCB","PCF","BEC","CSD","PCM"}, 0)),
            _xlfn.TEXTBEFORE(J814,"-"),
            "Other"
        )
    ),
"Add")</f>
        <v>CSD</v>
      </c>
      <c r="B814" s="10" t="str">
        <f t="shared" si="13"/>
        <v>0001</v>
      </c>
      <c r="C814" s="10" t="str">
        <f>_xlfn.LET(
    _xlpm.val, IF(Datadetails[[#This Row],[Activity]]="D02","C20",Datadetails[[#This Row],[Activity]]),
    IF(ISNUMBER(MATCH(_xlpm.val,{"D04","C30","c40","C20"},0)), _xlpm.val, "Other")
)</f>
        <v>D04</v>
      </c>
      <c r="D814" s="10" t="str">
        <f>IFERROR(VLOOKUP(Datadetails[[#This Row],[Taskcode]],Dashboard!A:A,1,FALSE),"00 Err Missing")</f>
        <v>0001</v>
      </c>
      <c r="E814" s="79">
        <v>45812</v>
      </c>
      <c r="F814" s="80" t="s">
        <v>327</v>
      </c>
      <c r="G814" s="60" t="s">
        <v>40</v>
      </c>
      <c r="H814" s="80" t="s">
        <v>320</v>
      </c>
      <c r="I814" s="80" t="s">
        <v>35</v>
      </c>
      <c r="J814" s="80" t="s">
        <v>322</v>
      </c>
      <c r="K814" s="80" t="s">
        <v>319</v>
      </c>
      <c r="L814" s="80" t="s">
        <v>352</v>
      </c>
      <c r="M814" s="81">
        <v>7.67</v>
      </c>
      <c r="N814" s="82">
        <v>245.44</v>
      </c>
    </row>
    <row r="815" spans="1:14" x14ac:dyDescent="0.25">
      <c r="A815" s="10" t="str">
        <f>_xlfn.IFNA(
    IF(J815=
        "PCB-0001",
        "CSS",
        IF(
            ISNUMBER(MATCH(_xlfn.TEXTBEFORE(J815,"-"), {"CSS","CSN","PCB","PCF","BEC","CSD","PCM"}, 0)),
            _xlfn.TEXTBEFORE(J815,"-"),
            "Other"
        )
    ),
"Add")</f>
        <v>PCB</v>
      </c>
      <c r="B815" s="10" t="str">
        <f t="shared" si="13"/>
        <v>0012</v>
      </c>
      <c r="C815" s="10" t="str">
        <f>_xlfn.LET(
    _xlpm.val, IF(Datadetails[[#This Row],[Activity]]="D02","C20",Datadetails[[#This Row],[Activity]]),
    IF(ISNUMBER(MATCH(_xlpm.val,{"D04","C30","c40","C20"},0)), _xlpm.val, "Other")
)</f>
        <v>C30</v>
      </c>
      <c r="D815" s="10" t="str">
        <f>IFERROR(VLOOKUP(Datadetails[[#This Row],[Taskcode]],Dashboard!A:A,1,FALSE),"00 Err Missing")</f>
        <v>0012</v>
      </c>
      <c r="E815" s="79">
        <v>45812</v>
      </c>
      <c r="F815" s="80" t="s">
        <v>325</v>
      </c>
      <c r="G815" s="60" t="s">
        <v>40</v>
      </c>
      <c r="H815" s="80" t="s">
        <v>179</v>
      </c>
      <c r="I815" s="80" t="s">
        <v>34</v>
      </c>
      <c r="J815" s="80" t="s">
        <v>422</v>
      </c>
      <c r="K815" s="80" t="s">
        <v>347</v>
      </c>
      <c r="L815" s="80" t="s">
        <v>343</v>
      </c>
      <c r="M815" s="81">
        <v>0.17</v>
      </c>
      <c r="N815" s="82">
        <v>12.750000000000002</v>
      </c>
    </row>
    <row r="816" spans="1:14" x14ac:dyDescent="0.25">
      <c r="A816" s="10" t="str">
        <f>_xlfn.IFNA(
    IF(J816=
        "PCB-0001",
        "CSS",
        IF(
            ISNUMBER(MATCH(_xlfn.TEXTBEFORE(J816,"-"), {"CSS","CSN","PCB","PCF","BEC","CSD","PCM"}, 0)),
            _xlfn.TEXTBEFORE(J816,"-"),
            "Other"
        )
    ),
"Add")</f>
        <v>PCB</v>
      </c>
      <c r="B816" s="10" t="str">
        <f t="shared" si="13"/>
        <v>0059</v>
      </c>
      <c r="C816" s="10" t="str">
        <f>_xlfn.LET(
    _xlpm.val, IF(Datadetails[[#This Row],[Activity]]="D02","C20",Datadetails[[#This Row],[Activity]]),
    IF(ISNUMBER(MATCH(_xlpm.val,{"D04","C30","c40","C20"},0)), _xlpm.val, "Other")
)</f>
        <v>C30</v>
      </c>
      <c r="D816" s="10" t="str">
        <f>IFERROR(VLOOKUP(Datadetails[[#This Row],[Taskcode]],Dashboard!A:A,1,FALSE),"00 Err Missing")</f>
        <v>0059</v>
      </c>
      <c r="E816" s="79">
        <v>45812</v>
      </c>
      <c r="F816" s="80" t="s">
        <v>325</v>
      </c>
      <c r="G816" s="60" t="s">
        <v>40</v>
      </c>
      <c r="H816" s="80" t="s">
        <v>226</v>
      </c>
      <c r="I816" s="80" t="s">
        <v>34</v>
      </c>
      <c r="J816" s="80" t="s">
        <v>401</v>
      </c>
      <c r="K816" s="80" t="s">
        <v>347</v>
      </c>
      <c r="L816" s="80" t="s">
        <v>343</v>
      </c>
      <c r="M816" s="81">
        <v>0.25</v>
      </c>
      <c r="N816" s="82">
        <v>18.75</v>
      </c>
    </row>
    <row r="817" spans="1:14" x14ac:dyDescent="0.25">
      <c r="A817" s="10" t="str">
        <f>_xlfn.IFNA(
    IF(J817=
        "PCB-0001",
        "CSS",
        IF(
            ISNUMBER(MATCH(_xlfn.TEXTBEFORE(J817,"-"), {"CSS","CSN","PCB","PCF","BEC","CSD","PCM"}, 0)),
            _xlfn.TEXTBEFORE(J817,"-"),
            "Other"
        )
    ),
"Add")</f>
        <v>PCB</v>
      </c>
      <c r="B817" s="10" t="str">
        <f t="shared" si="13"/>
        <v>0111</v>
      </c>
      <c r="C817" s="10" t="str">
        <f>_xlfn.LET(
    _xlpm.val, IF(Datadetails[[#This Row],[Activity]]="D02","C20",Datadetails[[#This Row],[Activity]]),
    IF(ISNUMBER(MATCH(_xlpm.val,{"D04","C30","c40","C20"},0)), _xlpm.val, "Other")
)</f>
        <v>C30</v>
      </c>
      <c r="D817" s="10" t="str">
        <f>IFERROR(VLOOKUP(Datadetails[[#This Row],[Taskcode]],Dashboard!A:A,1,FALSE),"00 Err Missing")</f>
        <v>0111</v>
      </c>
      <c r="E817" s="79">
        <v>45812</v>
      </c>
      <c r="F817" s="80" t="s">
        <v>325</v>
      </c>
      <c r="G817" s="60" t="s">
        <v>40</v>
      </c>
      <c r="H817" s="80" t="s">
        <v>278</v>
      </c>
      <c r="I817" s="80" t="s">
        <v>34</v>
      </c>
      <c r="J817" s="80" t="s">
        <v>452</v>
      </c>
      <c r="K817" s="80" t="s">
        <v>347</v>
      </c>
      <c r="L817" s="80" t="s">
        <v>343</v>
      </c>
      <c r="M817" s="81">
        <v>0.33</v>
      </c>
      <c r="N817" s="82">
        <v>24.75</v>
      </c>
    </row>
    <row r="818" spans="1:14" x14ac:dyDescent="0.25">
      <c r="A818" s="10" t="str">
        <f>_xlfn.IFNA(
    IF(J818=
        "PCB-0001",
        "CSS",
        IF(
            ISNUMBER(MATCH(_xlfn.TEXTBEFORE(J818,"-"), {"CSS","CSN","PCB","PCF","BEC","CSD","PCM"}, 0)),
            _xlfn.TEXTBEFORE(J818,"-"),
            "Other"
        )
    ),
"Add")</f>
        <v>PCB</v>
      </c>
      <c r="B818" s="10" t="str">
        <f t="shared" si="13"/>
        <v>0117</v>
      </c>
      <c r="C818" s="10" t="str">
        <f>_xlfn.LET(
    _xlpm.val, IF(Datadetails[[#This Row],[Activity]]="D02","C20",Datadetails[[#This Row],[Activity]]),
    IF(ISNUMBER(MATCH(_xlpm.val,{"D04","C30","c40","C20"},0)), _xlpm.val, "Other")
)</f>
        <v>C40</v>
      </c>
      <c r="D818" s="10" t="str">
        <f>IFERROR(VLOOKUP(Datadetails[[#This Row],[Taskcode]],Dashboard!A:A,1,FALSE),"00 Err Missing")</f>
        <v>0117</v>
      </c>
      <c r="E818" s="79">
        <v>45812</v>
      </c>
      <c r="F818" s="80" t="s">
        <v>330</v>
      </c>
      <c r="G818" s="60" t="s">
        <v>40</v>
      </c>
      <c r="H818" s="80" t="s">
        <v>284</v>
      </c>
      <c r="I818" s="80" t="s">
        <v>341</v>
      </c>
      <c r="J818" s="80" t="s">
        <v>415</v>
      </c>
      <c r="K818" s="80" t="s">
        <v>347</v>
      </c>
      <c r="L818" s="80" t="s">
        <v>344</v>
      </c>
      <c r="M818" s="81">
        <v>1.5</v>
      </c>
      <c r="N818" s="82">
        <v>90</v>
      </c>
    </row>
    <row r="819" spans="1:14" x14ac:dyDescent="0.25">
      <c r="A819" s="10" t="str">
        <f>_xlfn.IFNA(
    IF(J819=
        "PCB-0001",
        "CSS",
        IF(
            ISNUMBER(MATCH(_xlfn.TEXTBEFORE(J819,"-"), {"CSS","CSN","PCB","PCF","BEC","CSD","PCM"}, 0)),
            _xlfn.TEXTBEFORE(J819,"-"),
            "Other"
        )
    ),
"Add")</f>
        <v>PCB</v>
      </c>
      <c r="B819" s="10" t="str">
        <f t="shared" si="13"/>
        <v>0094</v>
      </c>
      <c r="C819" s="10" t="str">
        <f>_xlfn.LET(
    _xlpm.val, IF(Datadetails[[#This Row],[Activity]]="D02","C20",Datadetails[[#This Row],[Activity]]),
    IF(ISNUMBER(MATCH(_xlpm.val,{"D04","C30","c40","C20"},0)), _xlpm.val, "Other")
)</f>
        <v>C40</v>
      </c>
      <c r="D819" s="10" t="str">
        <f>IFERROR(VLOOKUP(Datadetails[[#This Row],[Taskcode]],Dashboard!A:A,1,FALSE),"00 Err Missing")</f>
        <v>0094</v>
      </c>
      <c r="E819" s="79">
        <v>45812</v>
      </c>
      <c r="F819" s="80" t="s">
        <v>330</v>
      </c>
      <c r="G819" s="60" t="s">
        <v>40</v>
      </c>
      <c r="H819" s="80" t="s">
        <v>261</v>
      </c>
      <c r="I819" s="80" t="s">
        <v>341</v>
      </c>
      <c r="J819" s="80" t="s">
        <v>444</v>
      </c>
      <c r="K819" s="80" t="s">
        <v>347</v>
      </c>
      <c r="L819" s="80" t="s">
        <v>344</v>
      </c>
      <c r="M819" s="81">
        <v>1.25</v>
      </c>
      <c r="N819" s="82">
        <v>75</v>
      </c>
    </row>
    <row r="820" spans="1:14" x14ac:dyDescent="0.25">
      <c r="A820" s="10" t="str">
        <f>_xlfn.IFNA(
    IF(J820=
        "PCB-0001",
        "CSS",
        IF(
            ISNUMBER(MATCH(_xlfn.TEXTBEFORE(J820,"-"), {"CSS","CSN","PCB","PCF","BEC","CSD","PCM"}, 0)),
            _xlfn.TEXTBEFORE(J820,"-"),
            "Other"
        )
    ),
"Add")</f>
        <v>PCB</v>
      </c>
      <c r="B820" s="10" t="str">
        <f t="shared" si="13"/>
        <v>0089</v>
      </c>
      <c r="C820" s="10" t="str">
        <f>_xlfn.LET(
    _xlpm.val, IF(Datadetails[[#This Row],[Activity]]="D02","C20",Datadetails[[#This Row],[Activity]]),
    IF(ISNUMBER(MATCH(_xlpm.val,{"D04","C30","c40","C20"},0)), _xlpm.val, "Other")
)</f>
        <v>C40</v>
      </c>
      <c r="D820" s="10" t="str">
        <f>IFERROR(VLOOKUP(Datadetails[[#This Row],[Taskcode]],Dashboard!A:A,1,FALSE),"00 Err Missing")</f>
        <v>0089</v>
      </c>
      <c r="E820" s="79">
        <v>45812</v>
      </c>
      <c r="F820" s="80" t="s">
        <v>330</v>
      </c>
      <c r="G820" s="60" t="s">
        <v>40</v>
      </c>
      <c r="H820" s="80" t="s">
        <v>256</v>
      </c>
      <c r="I820" s="80" t="s">
        <v>341</v>
      </c>
      <c r="J820" s="80" t="s">
        <v>463</v>
      </c>
      <c r="K820" s="80" t="s">
        <v>347</v>
      </c>
      <c r="L820" s="80" t="s">
        <v>344</v>
      </c>
      <c r="M820" s="81">
        <v>0.5</v>
      </c>
      <c r="N820" s="82">
        <v>30</v>
      </c>
    </row>
    <row r="821" spans="1:14" x14ac:dyDescent="0.25">
      <c r="A821" s="10" t="str">
        <f>_xlfn.IFNA(
    IF(J821=
        "PCB-0001",
        "CSS",
        IF(
            ISNUMBER(MATCH(_xlfn.TEXTBEFORE(J821,"-"), {"CSS","CSN","PCB","PCF","BEC","CSD","PCM"}, 0)),
            _xlfn.TEXTBEFORE(J821,"-"),
            "Other"
        )
    ),
"Add")</f>
        <v>PCB</v>
      </c>
      <c r="B821" s="10" t="str">
        <f t="shared" si="13"/>
        <v>0088</v>
      </c>
      <c r="C821" s="10" t="str">
        <f>_xlfn.LET(
    _xlpm.val, IF(Datadetails[[#This Row],[Activity]]="D02","C20",Datadetails[[#This Row],[Activity]]),
    IF(ISNUMBER(MATCH(_xlpm.val,{"D04","C30","c40","C20"},0)), _xlpm.val, "Other")
)</f>
        <v>C40</v>
      </c>
      <c r="D821" s="10" t="str">
        <f>IFERROR(VLOOKUP(Datadetails[[#This Row],[Taskcode]],Dashboard!A:A,1,FALSE),"00 Err Missing")</f>
        <v>0088</v>
      </c>
      <c r="E821" s="79">
        <v>45812</v>
      </c>
      <c r="F821" s="80" t="s">
        <v>330</v>
      </c>
      <c r="G821" s="60" t="s">
        <v>40</v>
      </c>
      <c r="H821" s="80" t="s">
        <v>255</v>
      </c>
      <c r="I821" s="80" t="s">
        <v>341</v>
      </c>
      <c r="J821" s="80" t="s">
        <v>462</v>
      </c>
      <c r="K821" s="80" t="s">
        <v>347</v>
      </c>
      <c r="L821" s="80" t="s">
        <v>344</v>
      </c>
      <c r="M821" s="81">
        <v>0.5</v>
      </c>
      <c r="N821" s="82">
        <v>30</v>
      </c>
    </row>
    <row r="822" spans="1:14" x14ac:dyDescent="0.25">
      <c r="A822" s="10" t="str">
        <f>_xlfn.IFNA(
    IF(J822=
        "PCB-0001",
        "CSS",
        IF(
            ISNUMBER(MATCH(_xlfn.TEXTBEFORE(J822,"-"), {"CSS","CSN","PCB","PCF","BEC","CSD","PCM"}, 0)),
            _xlfn.TEXTBEFORE(J822,"-"),
            "Other"
        )
    ),
"Add")</f>
        <v>BEC</v>
      </c>
      <c r="B822" s="10" t="str">
        <f t="shared" si="13"/>
        <v>0001</v>
      </c>
      <c r="C822" s="10" t="str">
        <f>_xlfn.LET(
    _xlpm.val, IF(Datadetails[[#This Row],[Activity]]="D02","C20",Datadetails[[#This Row],[Activity]]),
    IF(ISNUMBER(MATCH(_xlpm.val,{"D04","C30","c40","C20"},0)), _xlpm.val, "Other")
)</f>
        <v>D04</v>
      </c>
      <c r="D822" s="10" t="str">
        <f>IFERROR(VLOOKUP(Datadetails[[#This Row],[Taskcode]],Dashboard!A:A,1,FALSE),"00 Err Missing")</f>
        <v>0001</v>
      </c>
      <c r="E822" s="79">
        <v>45812</v>
      </c>
      <c r="F822" s="80" t="s">
        <v>332</v>
      </c>
      <c r="G822" s="60" t="s">
        <v>40</v>
      </c>
      <c r="H822" s="80" t="s">
        <v>314</v>
      </c>
      <c r="I822" s="80" t="s">
        <v>35</v>
      </c>
      <c r="J822" s="80" t="s">
        <v>359</v>
      </c>
      <c r="K822" s="80" t="s">
        <v>339</v>
      </c>
      <c r="L822" s="80" t="s">
        <v>352</v>
      </c>
      <c r="M822" s="81">
        <v>8.33</v>
      </c>
      <c r="N822" s="82">
        <v>333.2</v>
      </c>
    </row>
    <row r="823" spans="1:14" x14ac:dyDescent="0.25">
      <c r="A823" s="10" t="str">
        <f>_xlfn.IFNA(
    IF(J823=
        "PCB-0001",
        "CSS",
        IF(
            ISNUMBER(MATCH(_xlfn.TEXTBEFORE(J823,"-"), {"CSS","CSN","PCB","PCF","BEC","CSD","PCM"}, 0)),
            _xlfn.TEXTBEFORE(J823,"-"),
            "Other"
        )
    ),
"Add")</f>
        <v>BEC</v>
      </c>
      <c r="B823" s="10" t="str">
        <f t="shared" si="13"/>
        <v>0001</v>
      </c>
      <c r="C823" s="10" t="str">
        <f>_xlfn.LET(
    _xlpm.val, IF(Datadetails[[#This Row],[Activity]]="D02","C20",Datadetails[[#This Row],[Activity]]),
    IF(ISNUMBER(MATCH(_xlpm.val,{"D04","C30","c40","C20"},0)), _xlpm.val, "Other")
)</f>
        <v>D04</v>
      </c>
      <c r="D823" s="10" t="str">
        <f>IFERROR(VLOOKUP(Datadetails[[#This Row],[Taskcode]],Dashboard!A:A,1,FALSE),"00 Err Missing")</f>
        <v>0001</v>
      </c>
      <c r="E823" s="79">
        <v>45812</v>
      </c>
      <c r="F823" s="80" t="s">
        <v>324</v>
      </c>
      <c r="G823" s="60" t="s">
        <v>40</v>
      </c>
      <c r="H823" s="80" t="s">
        <v>314</v>
      </c>
      <c r="I823" s="80" t="s">
        <v>35</v>
      </c>
      <c r="J823" s="80" t="s">
        <v>359</v>
      </c>
      <c r="K823" s="80" t="s">
        <v>339</v>
      </c>
      <c r="L823" s="80" t="s">
        <v>352</v>
      </c>
      <c r="M823" s="81">
        <v>6.5</v>
      </c>
      <c r="N823" s="82">
        <v>487.5</v>
      </c>
    </row>
    <row r="824" spans="1:14" x14ac:dyDescent="0.25">
      <c r="A824" s="10" t="str">
        <f>_xlfn.IFNA(
    IF(J824=
        "PCB-0001",
        "CSS",
        IF(
            ISNUMBER(MATCH(_xlfn.TEXTBEFORE(J824,"-"), {"CSS","CSN","PCB","PCF","BEC","CSD","PCM"}, 0)),
            _xlfn.TEXTBEFORE(J824,"-"),
            "Other"
        )
    ),
"Add")</f>
        <v>PCB</v>
      </c>
      <c r="B824" s="10" t="str">
        <f t="shared" si="13"/>
        <v>0102</v>
      </c>
      <c r="C824" s="10" t="str">
        <f>_xlfn.LET(
    _xlpm.val, IF(Datadetails[[#This Row],[Activity]]="D02","C20",Datadetails[[#This Row],[Activity]]),
    IF(ISNUMBER(MATCH(_xlpm.val,{"D04","C30","c40","C20"},0)), _xlpm.val, "Other")
)</f>
        <v>C30</v>
      </c>
      <c r="D824" s="10" t="str">
        <f>IFERROR(VLOOKUP(Datadetails[[#This Row],[Taskcode]],Dashboard!A:A,1,FALSE),"00 Err Missing")</f>
        <v>0102</v>
      </c>
      <c r="E824" s="79">
        <v>45813</v>
      </c>
      <c r="F824" s="80" t="s">
        <v>329</v>
      </c>
      <c r="G824" s="60" t="s">
        <v>40</v>
      </c>
      <c r="H824" s="80" t="s">
        <v>269</v>
      </c>
      <c r="I824" s="80" t="s">
        <v>34</v>
      </c>
      <c r="J824" s="80" t="s">
        <v>361</v>
      </c>
      <c r="K824" s="80" t="s">
        <v>347</v>
      </c>
      <c r="L824" s="80" t="s">
        <v>343</v>
      </c>
      <c r="M824" s="81">
        <v>0.33</v>
      </c>
      <c r="N824" s="82">
        <v>24.75</v>
      </c>
    </row>
    <row r="825" spans="1:14" x14ac:dyDescent="0.25">
      <c r="A825" s="10" t="str">
        <f>_xlfn.IFNA(
    IF(J825=
        "PCB-0001",
        "CSS",
        IF(
            ISNUMBER(MATCH(_xlfn.TEXTBEFORE(J825,"-"), {"CSS","CSN","PCB","PCF","BEC","CSD","PCM"}, 0)),
            _xlfn.TEXTBEFORE(J825,"-"),
            "Other"
        )
    ),
"Add")</f>
        <v>CSN</v>
      </c>
      <c r="B825" s="10" t="str">
        <f t="shared" si="13"/>
        <v>0001</v>
      </c>
      <c r="C825" s="10" t="str">
        <f>_xlfn.LET(
    _xlpm.val, IF(Datadetails[[#This Row],[Activity]]="D02","C20",Datadetails[[#This Row],[Activity]]),
    IF(ISNUMBER(MATCH(_xlpm.val,{"D04","C30","c40","C20"},0)), _xlpm.val, "Other")
)</f>
        <v>D04</v>
      </c>
      <c r="D825" s="10" t="str">
        <f>IFERROR(VLOOKUP(Datadetails[[#This Row],[Taskcode]],Dashboard!A:A,1,FALSE),"00 Err Missing")</f>
        <v>0001</v>
      </c>
      <c r="E825" s="79">
        <v>45813</v>
      </c>
      <c r="F825" s="80" t="s">
        <v>329</v>
      </c>
      <c r="G825" s="60" t="s">
        <v>40</v>
      </c>
      <c r="H825" s="80" t="s">
        <v>316</v>
      </c>
      <c r="I825" s="80" t="s">
        <v>35</v>
      </c>
      <c r="J825" s="80" t="s">
        <v>338</v>
      </c>
      <c r="K825" s="80" t="s">
        <v>337</v>
      </c>
      <c r="L825" s="80" t="s">
        <v>352</v>
      </c>
      <c r="M825" s="81">
        <v>1</v>
      </c>
      <c r="N825" s="82">
        <v>75</v>
      </c>
    </row>
    <row r="826" spans="1:14" x14ac:dyDescent="0.25">
      <c r="A826" s="10" t="str">
        <f>_xlfn.IFNA(
    IF(J826=
        "PCB-0001",
        "CSS",
        IF(
            ISNUMBER(MATCH(_xlfn.TEXTBEFORE(J826,"-"), {"CSS","CSN","PCB","PCF","BEC","CSD","PCM"}, 0)),
            _xlfn.TEXTBEFORE(J826,"-"),
            "Other"
        )
    ),
"Add")</f>
        <v>CSD</v>
      </c>
      <c r="B826" s="10" t="str">
        <f t="shared" si="13"/>
        <v>0001</v>
      </c>
      <c r="C826" s="10" t="str">
        <f>_xlfn.LET(
    _xlpm.val, IF(Datadetails[[#This Row],[Activity]]="D02","C20",Datadetails[[#This Row],[Activity]]),
    IF(ISNUMBER(MATCH(_xlpm.val,{"D04","C30","c40","C20"},0)), _xlpm.val, "Other")
)</f>
        <v>D04</v>
      </c>
      <c r="D826" s="10" t="str">
        <f>IFERROR(VLOOKUP(Datadetails[[#This Row],[Taskcode]],Dashboard!A:A,1,FALSE),"00 Err Missing")</f>
        <v>0001</v>
      </c>
      <c r="E826" s="79">
        <v>45813</v>
      </c>
      <c r="F826" s="80" t="s">
        <v>333</v>
      </c>
      <c r="G826" s="60" t="s">
        <v>40</v>
      </c>
      <c r="H826" s="80" t="s">
        <v>320</v>
      </c>
      <c r="I826" s="80" t="s">
        <v>35</v>
      </c>
      <c r="J826" s="80" t="s">
        <v>322</v>
      </c>
      <c r="K826" s="80" t="s">
        <v>319</v>
      </c>
      <c r="L826" s="80" t="s">
        <v>352</v>
      </c>
      <c r="M826" s="81">
        <v>7.52</v>
      </c>
      <c r="N826" s="82">
        <v>240.64</v>
      </c>
    </row>
    <row r="827" spans="1:14" x14ac:dyDescent="0.25">
      <c r="A827" s="10" t="str">
        <f>_xlfn.IFNA(
    IF(J827=
        "PCB-0001",
        "CSS",
        IF(
            ISNUMBER(MATCH(_xlfn.TEXTBEFORE(J827,"-"), {"CSS","CSN","PCB","PCF","BEC","CSD","PCM"}, 0)),
            _xlfn.TEXTBEFORE(J827,"-"),
            "Other"
        )
    ),
"Add")</f>
        <v>CSD</v>
      </c>
      <c r="B827" s="10" t="str">
        <f t="shared" si="13"/>
        <v>0001</v>
      </c>
      <c r="C827" s="10" t="str">
        <f>_xlfn.LET(
    _xlpm.val, IF(Datadetails[[#This Row],[Activity]]="D02","C20",Datadetails[[#This Row],[Activity]]),
    IF(ISNUMBER(MATCH(_xlpm.val,{"D04","C30","c40","C20"},0)), _xlpm.val, "Other")
)</f>
        <v>D04</v>
      </c>
      <c r="D827" s="10" t="str">
        <f>IFERROR(VLOOKUP(Datadetails[[#This Row],[Taskcode]],Dashboard!A:A,1,FALSE),"00 Err Missing")</f>
        <v>0001</v>
      </c>
      <c r="E827" s="79">
        <v>45813</v>
      </c>
      <c r="F827" s="80" t="s">
        <v>327</v>
      </c>
      <c r="G827" s="60" t="s">
        <v>40</v>
      </c>
      <c r="H827" s="80" t="s">
        <v>320</v>
      </c>
      <c r="I827" s="80" t="s">
        <v>35</v>
      </c>
      <c r="J827" s="80" t="s">
        <v>322</v>
      </c>
      <c r="K827" s="80" t="s">
        <v>319</v>
      </c>
      <c r="L827" s="80" t="s">
        <v>352</v>
      </c>
      <c r="M827" s="81">
        <v>7.5</v>
      </c>
      <c r="N827" s="82">
        <v>240</v>
      </c>
    </row>
    <row r="828" spans="1:14" x14ac:dyDescent="0.25">
      <c r="A828" s="10" t="str">
        <f>_xlfn.IFNA(
    IF(J828=
        "PCB-0001",
        "CSS",
        IF(
            ISNUMBER(MATCH(_xlfn.TEXTBEFORE(J828,"-"), {"CSS","CSN","PCB","PCF","BEC","CSD","PCM"}, 0)),
            _xlfn.TEXTBEFORE(J828,"-"),
            "Other"
        )
    ),
"Add")</f>
        <v>PCB</v>
      </c>
      <c r="B828" s="10" t="str">
        <f t="shared" si="13"/>
        <v>0031</v>
      </c>
      <c r="C828" s="10" t="str">
        <f>_xlfn.LET(
    _xlpm.val, IF(Datadetails[[#This Row],[Activity]]="D02","C20",Datadetails[[#This Row],[Activity]]),
    IF(ISNUMBER(MATCH(_xlpm.val,{"D04","C30","c40","C20"},0)), _xlpm.val, "Other")
)</f>
        <v>C20</v>
      </c>
      <c r="D828" s="10" t="str">
        <f>IFERROR(VLOOKUP(Datadetails[[#This Row],[Taskcode]],Dashboard!A:A,1,FALSE),"00 Err Missing")</f>
        <v>0031</v>
      </c>
      <c r="E828" s="79">
        <v>45813</v>
      </c>
      <c r="F828" s="80" t="s">
        <v>325</v>
      </c>
      <c r="G828" s="60" t="s">
        <v>40</v>
      </c>
      <c r="H828" s="80" t="s">
        <v>198</v>
      </c>
      <c r="I828" s="80" t="s">
        <v>36</v>
      </c>
      <c r="J828" s="80" t="s">
        <v>413</v>
      </c>
      <c r="K828" s="80" t="s">
        <v>347</v>
      </c>
      <c r="L828" s="80" t="s">
        <v>342</v>
      </c>
      <c r="M828" s="81">
        <v>3.58</v>
      </c>
      <c r="N828" s="82">
        <v>268.5</v>
      </c>
    </row>
    <row r="829" spans="1:14" x14ac:dyDescent="0.25">
      <c r="A829" s="10" t="str">
        <f>_xlfn.IFNA(
    IF(J829=
        "PCB-0001",
        "CSS",
        IF(
            ISNUMBER(MATCH(_xlfn.TEXTBEFORE(J829,"-"), {"CSS","CSN","PCB","PCF","BEC","CSD","PCM"}, 0)),
            _xlfn.TEXTBEFORE(J829,"-"),
            "Other"
        )
    ),
"Add")</f>
        <v>PCB</v>
      </c>
      <c r="B829" s="10" t="str">
        <f t="shared" si="13"/>
        <v>0019</v>
      </c>
      <c r="C829" s="10" t="str">
        <f>_xlfn.LET(
    _xlpm.val, IF(Datadetails[[#This Row],[Activity]]="D02","C20",Datadetails[[#This Row],[Activity]]),
    IF(ISNUMBER(MATCH(_xlpm.val,{"D04","C30","c40","C20"},0)), _xlpm.val, "Other")
)</f>
        <v>C30</v>
      </c>
      <c r="D829" s="10" t="str">
        <f>IFERROR(VLOOKUP(Datadetails[[#This Row],[Taskcode]],Dashboard!A:A,1,FALSE),"00 Err Missing")</f>
        <v>0019</v>
      </c>
      <c r="E829" s="79">
        <v>45813</v>
      </c>
      <c r="F829" s="80" t="s">
        <v>329</v>
      </c>
      <c r="G829" s="60" t="s">
        <v>40</v>
      </c>
      <c r="H829" s="80" t="s">
        <v>186</v>
      </c>
      <c r="I829" s="80" t="s">
        <v>34</v>
      </c>
      <c r="J829" s="80" t="s">
        <v>397</v>
      </c>
      <c r="K829" s="80" t="s">
        <v>347</v>
      </c>
      <c r="L829" s="80" t="s">
        <v>343</v>
      </c>
      <c r="M829" s="81">
        <v>0.08</v>
      </c>
      <c r="N829" s="82">
        <v>6</v>
      </c>
    </row>
    <row r="830" spans="1:14" x14ac:dyDescent="0.25">
      <c r="A830" s="10" t="str">
        <f>_xlfn.IFNA(
    IF(J830=
        "PCB-0001",
        "CSS",
        IF(
            ISNUMBER(MATCH(_xlfn.TEXTBEFORE(J830,"-"), {"CSS","CSN","PCB","PCF","BEC","CSD","PCM"}, 0)),
            _xlfn.TEXTBEFORE(J830,"-"),
            "Other"
        )
    ),
"Add")</f>
        <v>PCB</v>
      </c>
      <c r="B830" s="10" t="str">
        <f t="shared" si="13"/>
        <v>0085</v>
      </c>
      <c r="C830" s="10" t="str">
        <f>_xlfn.LET(
    _xlpm.val, IF(Datadetails[[#This Row],[Activity]]="D02","C20",Datadetails[[#This Row],[Activity]]),
    IF(ISNUMBER(MATCH(_xlpm.val,{"D04","C30","c40","C20"},0)), _xlpm.val, "Other")
)</f>
        <v>C20</v>
      </c>
      <c r="D830" s="10" t="str">
        <f>IFERROR(VLOOKUP(Datadetails[[#This Row],[Taskcode]],Dashboard!A:A,1,FALSE),"00 Err Missing")</f>
        <v>0085</v>
      </c>
      <c r="E830" s="79">
        <v>45813</v>
      </c>
      <c r="F830" s="80" t="s">
        <v>330</v>
      </c>
      <c r="G830" s="60" t="s">
        <v>40</v>
      </c>
      <c r="H830" s="80" t="s">
        <v>252</v>
      </c>
      <c r="I830" s="80" t="s">
        <v>36</v>
      </c>
      <c r="J830" s="80" t="s">
        <v>416</v>
      </c>
      <c r="K830" s="80" t="s">
        <v>347</v>
      </c>
      <c r="L830" s="80" t="s">
        <v>342</v>
      </c>
      <c r="M830" s="81">
        <v>0.5</v>
      </c>
      <c r="N830" s="82">
        <v>30</v>
      </c>
    </row>
    <row r="831" spans="1:14" x14ac:dyDescent="0.25">
      <c r="A831" s="10" t="str">
        <f>_xlfn.IFNA(
    IF(J831=
        "PCB-0001",
        "CSS",
        IF(
            ISNUMBER(MATCH(_xlfn.TEXTBEFORE(J831,"-"), {"CSS","CSN","PCB","PCF","BEC","CSD","PCM"}, 0)),
            _xlfn.TEXTBEFORE(J831,"-"),
            "Other"
        )
    ),
"Add")</f>
        <v>PCB</v>
      </c>
      <c r="B831" s="10" t="str">
        <f t="shared" si="13"/>
        <v>0013</v>
      </c>
      <c r="C831" s="10" t="str">
        <f>_xlfn.LET(
    _xlpm.val, IF(Datadetails[[#This Row],[Activity]]="D02","C20",Datadetails[[#This Row],[Activity]]),
    IF(ISNUMBER(MATCH(_xlpm.val,{"D04","C30","c40","C20"},0)), _xlpm.val, "Other")
)</f>
        <v>C30</v>
      </c>
      <c r="D831" s="10" t="str">
        <f>IFERROR(VLOOKUP(Datadetails[[#This Row],[Taskcode]],Dashboard!A:A,1,FALSE),"00 Err Missing")</f>
        <v>0013</v>
      </c>
      <c r="E831" s="79">
        <v>45813</v>
      </c>
      <c r="F831" s="80" t="s">
        <v>325</v>
      </c>
      <c r="G831" s="60" t="s">
        <v>40</v>
      </c>
      <c r="H831" s="80" t="s">
        <v>180</v>
      </c>
      <c r="I831" s="80" t="s">
        <v>34</v>
      </c>
      <c r="J831" s="80" t="s">
        <v>465</v>
      </c>
      <c r="K831" s="80" t="s">
        <v>347</v>
      </c>
      <c r="L831" s="80" t="s">
        <v>343</v>
      </c>
      <c r="M831" s="81">
        <v>0.17</v>
      </c>
      <c r="N831" s="82">
        <v>12.750000000000002</v>
      </c>
    </row>
    <row r="832" spans="1:14" x14ac:dyDescent="0.25">
      <c r="A832" s="10" t="str">
        <f>_xlfn.IFNA(
    IF(J832=
        "PCB-0001",
        "CSS",
        IF(
            ISNUMBER(MATCH(_xlfn.TEXTBEFORE(J832,"-"), {"CSS","CSN","PCB","PCF","BEC","CSD","PCM"}, 0)),
            _xlfn.TEXTBEFORE(J832,"-"),
            "Other"
        )
    ),
"Add")</f>
        <v>PCB</v>
      </c>
      <c r="B832" s="10" t="str">
        <f t="shared" si="13"/>
        <v>0012</v>
      </c>
      <c r="C832" s="10" t="str">
        <f>_xlfn.LET(
    _xlpm.val, IF(Datadetails[[#This Row],[Activity]]="D02","C20",Datadetails[[#This Row],[Activity]]),
    IF(ISNUMBER(MATCH(_xlpm.val,{"D04","C30","c40","C20"},0)), _xlpm.val, "Other")
)</f>
        <v>C30</v>
      </c>
      <c r="D832" s="10" t="str">
        <f>IFERROR(VLOOKUP(Datadetails[[#This Row],[Taskcode]],Dashboard!A:A,1,FALSE),"00 Err Missing")</f>
        <v>0012</v>
      </c>
      <c r="E832" s="79">
        <v>45813</v>
      </c>
      <c r="F832" s="80" t="s">
        <v>325</v>
      </c>
      <c r="G832" s="60" t="s">
        <v>40</v>
      </c>
      <c r="H832" s="80" t="s">
        <v>179</v>
      </c>
      <c r="I832" s="80" t="s">
        <v>34</v>
      </c>
      <c r="J832" s="80" t="s">
        <v>422</v>
      </c>
      <c r="K832" s="80" t="s">
        <v>347</v>
      </c>
      <c r="L832" s="80" t="s">
        <v>343</v>
      </c>
      <c r="M832" s="81">
        <v>0.17</v>
      </c>
      <c r="N832" s="82">
        <v>12.750000000000002</v>
      </c>
    </row>
    <row r="833" spans="1:14" x14ac:dyDescent="0.25">
      <c r="A833" s="10" t="str">
        <f>_xlfn.IFNA(
    IF(J833=
        "PCB-0001",
        "CSS",
        IF(
            ISNUMBER(MATCH(_xlfn.TEXTBEFORE(J833,"-"), {"CSS","CSN","PCB","PCF","BEC","CSD","PCM"}, 0)),
            _xlfn.TEXTBEFORE(J833,"-"),
            "Other"
        )
    ),
"Add")</f>
        <v>PCB</v>
      </c>
      <c r="B833" s="10" t="str">
        <f t="shared" si="13"/>
        <v>0004</v>
      </c>
      <c r="C833" s="10" t="str">
        <f>_xlfn.LET(
    _xlpm.val, IF(Datadetails[[#This Row],[Activity]]="D02","C20",Datadetails[[#This Row],[Activity]]),
    IF(ISNUMBER(MATCH(_xlpm.val,{"D04","C30","c40","C20"},0)), _xlpm.val, "Other")
)</f>
        <v>C30</v>
      </c>
      <c r="D833" s="10" t="str">
        <f>IFERROR(VLOOKUP(Datadetails[[#This Row],[Taskcode]],Dashboard!A:A,1,FALSE),"00 Err Missing")</f>
        <v>0004</v>
      </c>
      <c r="E833" s="79">
        <v>45813</v>
      </c>
      <c r="F833" s="80" t="s">
        <v>330</v>
      </c>
      <c r="G833" s="60" t="s">
        <v>40</v>
      </c>
      <c r="H833" s="80" t="s">
        <v>171</v>
      </c>
      <c r="I833" s="80" t="s">
        <v>34</v>
      </c>
      <c r="J833" s="80" t="s">
        <v>390</v>
      </c>
      <c r="K833" s="80" t="s">
        <v>347</v>
      </c>
      <c r="L833" s="80" t="s">
        <v>343</v>
      </c>
      <c r="M833" s="81">
        <v>0.5</v>
      </c>
      <c r="N833" s="82">
        <v>30</v>
      </c>
    </row>
    <row r="834" spans="1:14" x14ac:dyDescent="0.25">
      <c r="A834" s="10" t="str">
        <f>_xlfn.IFNA(
    IF(J834=
        "PCB-0001",
        "CSS",
        IF(
            ISNUMBER(MATCH(_xlfn.TEXTBEFORE(J834,"-"), {"CSS","CSN","PCB","PCF","BEC","CSD","PCM"}, 0)),
            _xlfn.TEXTBEFORE(J834,"-"),
            "Other"
        )
    ),
"Add")</f>
        <v>PCB</v>
      </c>
      <c r="B834" s="10" t="str">
        <f t="shared" si="13"/>
        <v>0017</v>
      </c>
      <c r="C834" s="10" t="str">
        <f>_xlfn.LET(
    _xlpm.val, IF(Datadetails[[#This Row],[Activity]]="D02","C20",Datadetails[[#This Row],[Activity]]),
    IF(ISNUMBER(MATCH(_xlpm.val,{"D04","C30","c40","C20"},0)), _xlpm.val, "Other")
)</f>
        <v>C30</v>
      </c>
      <c r="D834" s="10" t="str">
        <f>IFERROR(VLOOKUP(Datadetails[[#This Row],[Taskcode]],Dashboard!A:A,1,FALSE),"00 Err Missing")</f>
        <v>0017</v>
      </c>
      <c r="E834" s="79">
        <v>45813</v>
      </c>
      <c r="F834" s="80" t="s">
        <v>330</v>
      </c>
      <c r="G834" s="60" t="s">
        <v>40</v>
      </c>
      <c r="H834" s="80" t="s">
        <v>184</v>
      </c>
      <c r="I834" s="80" t="s">
        <v>34</v>
      </c>
      <c r="J834" s="80" t="s">
        <v>459</v>
      </c>
      <c r="K834" s="80" t="s">
        <v>347</v>
      </c>
      <c r="L834" s="80" t="s">
        <v>343</v>
      </c>
      <c r="M834" s="81">
        <v>0.5</v>
      </c>
      <c r="N834" s="82">
        <v>30</v>
      </c>
    </row>
    <row r="835" spans="1:14" x14ac:dyDescent="0.25">
      <c r="A835" s="10" t="str">
        <f>_xlfn.IFNA(
    IF(J835=
        "PCB-0001",
        "CSS",
        IF(
            ISNUMBER(MATCH(_xlfn.TEXTBEFORE(J835,"-"), {"CSS","CSN","PCB","PCF","BEC","CSD","PCM"}, 0)),
            _xlfn.TEXTBEFORE(J835,"-"),
            "Other"
        )
    ),
"Add")</f>
        <v>PCB</v>
      </c>
      <c r="B835" s="10" t="str">
        <f t="shared" si="13"/>
        <v>0134</v>
      </c>
      <c r="C835" s="10" t="str">
        <f>_xlfn.LET(
    _xlpm.val, IF(Datadetails[[#This Row],[Activity]]="D02","C20",Datadetails[[#This Row],[Activity]]),
    IF(ISNUMBER(MATCH(_xlpm.val,{"D04","C30","c40","C20"},0)), _xlpm.val, "Other")
)</f>
        <v>C30</v>
      </c>
      <c r="D835" s="10" t="str">
        <f>IFERROR(VLOOKUP(Datadetails[[#This Row],[Taskcode]],Dashboard!A:A,1,FALSE),"00 Err Missing")</f>
        <v>0134</v>
      </c>
      <c r="E835" s="79">
        <v>45813</v>
      </c>
      <c r="F835" s="80" t="s">
        <v>329</v>
      </c>
      <c r="G835" s="60" t="s">
        <v>40</v>
      </c>
      <c r="H835" s="80" t="s">
        <v>301</v>
      </c>
      <c r="I835" s="80" t="s">
        <v>34</v>
      </c>
      <c r="J835" s="80" t="s">
        <v>371</v>
      </c>
      <c r="K835" s="80" t="s">
        <v>347</v>
      </c>
      <c r="L835" s="80" t="s">
        <v>343</v>
      </c>
      <c r="M835" s="81">
        <v>0.75</v>
      </c>
      <c r="N835" s="82">
        <v>56.25</v>
      </c>
    </row>
    <row r="836" spans="1:14" x14ac:dyDescent="0.25">
      <c r="A836" s="10" t="str">
        <f>_xlfn.IFNA(
    IF(J836=
        "PCB-0001",
        "CSS",
        IF(
            ISNUMBER(MATCH(_xlfn.TEXTBEFORE(J836,"-"), {"CSS","CSN","PCB","PCF","BEC","CSD","PCM"}, 0)),
            _xlfn.TEXTBEFORE(J836,"-"),
            "Other"
        )
    ),
"Add")</f>
        <v>PCB</v>
      </c>
      <c r="B836" s="10" t="str">
        <f t="shared" ref="B836:B899" si="14">_xlfn.IFNA(_xlfn.TEXTAFTER(J836,"-"),"Data to C2")</f>
        <v>0059</v>
      </c>
      <c r="C836" s="10" t="str">
        <f>_xlfn.LET(
    _xlpm.val, IF(Datadetails[[#This Row],[Activity]]="D02","C20",Datadetails[[#This Row],[Activity]]),
    IF(ISNUMBER(MATCH(_xlpm.val,{"D04","C30","c40","C20"},0)), _xlpm.val, "Other")
)</f>
        <v>C30</v>
      </c>
      <c r="D836" s="10" t="str">
        <f>IFERROR(VLOOKUP(Datadetails[[#This Row],[Taskcode]],Dashboard!A:A,1,FALSE),"00 Err Missing")</f>
        <v>0059</v>
      </c>
      <c r="E836" s="79">
        <v>45813</v>
      </c>
      <c r="F836" s="80" t="s">
        <v>325</v>
      </c>
      <c r="G836" s="60" t="s">
        <v>40</v>
      </c>
      <c r="H836" s="80" t="s">
        <v>226</v>
      </c>
      <c r="I836" s="80" t="s">
        <v>34</v>
      </c>
      <c r="J836" s="80" t="s">
        <v>401</v>
      </c>
      <c r="K836" s="80" t="s">
        <v>347</v>
      </c>
      <c r="L836" s="80" t="s">
        <v>343</v>
      </c>
      <c r="M836" s="81">
        <v>0.17</v>
      </c>
      <c r="N836" s="82">
        <v>12.750000000000002</v>
      </c>
    </row>
    <row r="837" spans="1:14" x14ac:dyDescent="0.25">
      <c r="A837" s="10" t="str">
        <f>_xlfn.IFNA(
    IF(J837=
        "PCB-0001",
        "CSS",
        IF(
            ISNUMBER(MATCH(_xlfn.TEXTBEFORE(J837,"-"), {"CSS","CSN","PCB","PCF","BEC","CSD","PCM"}, 0)),
            _xlfn.TEXTBEFORE(J837,"-"),
            "Other"
        )
    ),
"Add")</f>
        <v>PCB</v>
      </c>
      <c r="B837" s="10" t="str">
        <f t="shared" si="14"/>
        <v>0073</v>
      </c>
      <c r="C837" s="10" t="str">
        <f>_xlfn.LET(
    _xlpm.val, IF(Datadetails[[#This Row],[Activity]]="D02","C20",Datadetails[[#This Row],[Activity]]),
    IF(ISNUMBER(MATCH(_xlpm.val,{"D04","C30","c40","C20"},0)), _xlpm.val, "Other")
)</f>
        <v>C30</v>
      </c>
      <c r="D837" s="10" t="str">
        <f>IFERROR(VLOOKUP(Datadetails[[#This Row],[Taskcode]],Dashboard!A:A,1,FALSE),"00 Err Missing")</f>
        <v>0073</v>
      </c>
      <c r="E837" s="79">
        <v>45813</v>
      </c>
      <c r="F837" s="80" t="s">
        <v>329</v>
      </c>
      <c r="G837" s="60" t="s">
        <v>40</v>
      </c>
      <c r="H837" s="80" t="s">
        <v>240</v>
      </c>
      <c r="I837" s="80" t="s">
        <v>34</v>
      </c>
      <c r="J837" s="80" t="s">
        <v>402</v>
      </c>
      <c r="K837" s="80" t="s">
        <v>347</v>
      </c>
      <c r="L837" s="80" t="s">
        <v>343</v>
      </c>
      <c r="M837" s="81">
        <v>0.17</v>
      </c>
      <c r="N837" s="82">
        <v>12.750000000000002</v>
      </c>
    </row>
    <row r="838" spans="1:14" x14ac:dyDescent="0.25">
      <c r="A838" s="10" t="str">
        <f>_xlfn.IFNA(
    IF(J838=
        "PCB-0001",
        "CSS",
        IF(
            ISNUMBER(MATCH(_xlfn.TEXTBEFORE(J838,"-"), {"CSS","CSN","PCB","PCF","BEC","CSD","PCM"}, 0)),
            _xlfn.TEXTBEFORE(J838,"-"),
            "Other"
        )
    ),
"Add")</f>
        <v>PCB</v>
      </c>
      <c r="B838" s="10" t="str">
        <f t="shared" si="14"/>
        <v>0011</v>
      </c>
      <c r="C838" s="10" t="str">
        <f>_xlfn.LET(
    _xlpm.val, IF(Datadetails[[#This Row],[Activity]]="D02","C20",Datadetails[[#This Row],[Activity]]),
    IF(ISNUMBER(MATCH(_xlpm.val,{"D04","C30","c40","C20"},0)), _xlpm.val, "Other")
)</f>
        <v>C30</v>
      </c>
      <c r="D838" s="10" t="str">
        <f>IFERROR(VLOOKUP(Datadetails[[#This Row],[Taskcode]],Dashboard!A:A,1,FALSE),"00 Err Missing")</f>
        <v>0011</v>
      </c>
      <c r="E838" s="79">
        <v>45813</v>
      </c>
      <c r="F838" s="80" t="s">
        <v>330</v>
      </c>
      <c r="G838" s="60" t="s">
        <v>40</v>
      </c>
      <c r="H838" s="80" t="s">
        <v>178</v>
      </c>
      <c r="I838" s="80" t="s">
        <v>34</v>
      </c>
      <c r="J838" s="80" t="s">
        <v>460</v>
      </c>
      <c r="K838" s="80" t="s">
        <v>347</v>
      </c>
      <c r="L838" s="80" t="s">
        <v>343</v>
      </c>
      <c r="M838" s="81">
        <v>0.5</v>
      </c>
      <c r="N838" s="82">
        <v>30</v>
      </c>
    </row>
    <row r="839" spans="1:14" x14ac:dyDescent="0.25">
      <c r="A839" s="10" t="str">
        <f>_xlfn.IFNA(
    IF(J839=
        "PCB-0001",
        "CSS",
        IF(
            ISNUMBER(MATCH(_xlfn.TEXTBEFORE(J839,"-"), {"CSS","CSN","PCB","PCF","BEC","CSD","PCM"}, 0)),
            _xlfn.TEXTBEFORE(J839,"-"),
            "Other"
        )
    ),
"Add")</f>
        <v>PCB</v>
      </c>
      <c r="B839" s="10" t="str">
        <f t="shared" si="14"/>
        <v>0075</v>
      </c>
      <c r="C839" s="10" t="str">
        <f>_xlfn.LET(
    _xlpm.val, IF(Datadetails[[#This Row],[Activity]]="D02","C20",Datadetails[[#This Row],[Activity]]),
    IF(ISNUMBER(MATCH(_xlpm.val,{"D04","C30","c40","C20"},0)), _xlpm.val, "Other")
)</f>
        <v>C30</v>
      </c>
      <c r="D839" s="10" t="str">
        <f>IFERROR(VLOOKUP(Datadetails[[#This Row],[Taskcode]],Dashboard!A:A,1,FALSE),"00 Err Missing")</f>
        <v>0075</v>
      </c>
      <c r="E839" s="79">
        <v>45813</v>
      </c>
      <c r="F839" s="80" t="s">
        <v>329</v>
      </c>
      <c r="G839" s="60" t="s">
        <v>40</v>
      </c>
      <c r="H839" s="80" t="s">
        <v>242</v>
      </c>
      <c r="I839" s="80" t="s">
        <v>34</v>
      </c>
      <c r="J839" s="80" t="s">
        <v>404</v>
      </c>
      <c r="K839" s="80" t="s">
        <v>347</v>
      </c>
      <c r="L839" s="80" t="s">
        <v>343</v>
      </c>
      <c r="M839" s="81">
        <v>0.33</v>
      </c>
      <c r="N839" s="82">
        <v>24.75</v>
      </c>
    </row>
    <row r="840" spans="1:14" x14ac:dyDescent="0.25">
      <c r="A840" s="10" t="str">
        <f>_xlfn.IFNA(
    IF(J840=
        "PCB-0001",
        "CSS",
        IF(
            ISNUMBER(MATCH(_xlfn.TEXTBEFORE(J840,"-"), {"CSS","CSN","PCB","PCF","BEC","CSD","PCM"}, 0)),
            _xlfn.TEXTBEFORE(J840,"-"),
            "Other"
        )
    ),
"Add")</f>
        <v>PCB</v>
      </c>
      <c r="B840" s="10" t="str">
        <f t="shared" si="14"/>
        <v>0126</v>
      </c>
      <c r="C840" s="10" t="str">
        <f>_xlfn.LET(
    _xlpm.val, IF(Datadetails[[#This Row],[Activity]]="D02","C20",Datadetails[[#This Row],[Activity]]),
    IF(ISNUMBER(MATCH(_xlpm.val,{"D04","C30","c40","C20"},0)), _xlpm.val, "Other")
)</f>
        <v>C30</v>
      </c>
      <c r="D840" s="10" t="str">
        <f>IFERROR(VLOOKUP(Datadetails[[#This Row],[Taskcode]],Dashboard!A:A,1,FALSE),"00 Err Missing")</f>
        <v>0126</v>
      </c>
      <c r="E840" s="79">
        <v>45813</v>
      </c>
      <c r="F840" s="80" t="s">
        <v>329</v>
      </c>
      <c r="G840" s="60" t="s">
        <v>40</v>
      </c>
      <c r="H840" s="80" t="s">
        <v>293</v>
      </c>
      <c r="I840" s="80" t="s">
        <v>34</v>
      </c>
      <c r="J840" s="80" t="s">
        <v>376</v>
      </c>
      <c r="K840" s="80" t="s">
        <v>347</v>
      </c>
      <c r="L840" s="80" t="s">
        <v>343</v>
      </c>
      <c r="M840" s="81">
        <v>0.5</v>
      </c>
      <c r="N840" s="82">
        <v>37.5</v>
      </c>
    </row>
    <row r="841" spans="1:14" x14ac:dyDescent="0.25">
      <c r="A841" s="10" t="str">
        <f>_xlfn.IFNA(
    IF(J841=
        "PCB-0001",
        "CSS",
        IF(
            ISNUMBER(MATCH(_xlfn.TEXTBEFORE(J841,"-"), {"CSS","CSN","PCB","PCF","BEC","CSD","PCM"}, 0)),
            _xlfn.TEXTBEFORE(J841,"-"),
            "Other"
        )
    ),
"Add")</f>
        <v>PCB</v>
      </c>
      <c r="B841" s="10" t="str">
        <f t="shared" si="14"/>
        <v>0094</v>
      </c>
      <c r="C841" s="10" t="str">
        <f>_xlfn.LET(
    _xlpm.val, IF(Datadetails[[#This Row],[Activity]]="D02","C20",Datadetails[[#This Row],[Activity]]),
    IF(ISNUMBER(MATCH(_xlpm.val,{"D04","C30","c40","C20"},0)), _xlpm.val, "Other")
)</f>
        <v>C30</v>
      </c>
      <c r="D841" s="10" t="str">
        <f>IFERROR(VLOOKUP(Datadetails[[#This Row],[Taskcode]],Dashboard!A:A,1,FALSE),"00 Err Missing")</f>
        <v>0094</v>
      </c>
      <c r="E841" s="79">
        <v>45813</v>
      </c>
      <c r="F841" s="80" t="s">
        <v>330</v>
      </c>
      <c r="G841" s="60" t="s">
        <v>40</v>
      </c>
      <c r="H841" s="80" t="s">
        <v>261</v>
      </c>
      <c r="I841" s="80" t="s">
        <v>34</v>
      </c>
      <c r="J841" s="80" t="s">
        <v>444</v>
      </c>
      <c r="K841" s="80" t="s">
        <v>347</v>
      </c>
      <c r="L841" s="80" t="s">
        <v>343</v>
      </c>
      <c r="M841" s="81">
        <v>0.5</v>
      </c>
      <c r="N841" s="82">
        <v>30</v>
      </c>
    </row>
    <row r="842" spans="1:14" x14ac:dyDescent="0.25">
      <c r="A842" s="10" t="str">
        <f>_xlfn.IFNA(
    IF(J842=
        "PCB-0001",
        "CSS",
        IF(
            ISNUMBER(MATCH(_xlfn.TEXTBEFORE(J842,"-"), {"CSS","CSN","PCB","PCF","BEC","CSD","PCM"}, 0)),
            _xlfn.TEXTBEFORE(J842,"-"),
            "Other"
        )
    ),
"Add")</f>
        <v>PCB</v>
      </c>
      <c r="B842" s="10" t="str">
        <f t="shared" si="14"/>
        <v>0097</v>
      </c>
      <c r="C842" s="10" t="str">
        <f>_xlfn.LET(
    _xlpm.val, IF(Datadetails[[#This Row],[Activity]]="D02","C20",Datadetails[[#This Row],[Activity]]),
    IF(ISNUMBER(MATCH(_xlpm.val,{"D04","C30","c40","C20"},0)), _xlpm.val, "Other")
)</f>
        <v>C30</v>
      </c>
      <c r="D842" s="10" t="str">
        <f>IFERROR(VLOOKUP(Datadetails[[#This Row],[Taskcode]],Dashboard!A:A,1,FALSE),"00 Err Missing")</f>
        <v>0097</v>
      </c>
      <c r="E842" s="79">
        <v>45813</v>
      </c>
      <c r="F842" s="80" t="s">
        <v>325</v>
      </c>
      <c r="G842" s="60" t="s">
        <v>40</v>
      </c>
      <c r="H842" s="80" t="s">
        <v>264</v>
      </c>
      <c r="I842" s="80" t="s">
        <v>34</v>
      </c>
      <c r="J842" s="80" t="s">
        <v>384</v>
      </c>
      <c r="K842" s="80" t="s">
        <v>347</v>
      </c>
      <c r="L842" s="80" t="s">
        <v>343</v>
      </c>
      <c r="M842" s="81">
        <v>0.17</v>
      </c>
      <c r="N842" s="82">
        <v>12.750000000000002</v>
      </c>
    </row>
    <row r="843" spans="1:14" x14ac:dyDescent="0.25">
      <c r="A843" s="10" t="str">
        <f>_xlfn.IFNA(
    IF(J843=
        "PCB-0001",
        "CSS",
        IF(
            ISNUMBER(MATCH(_xlfn.TEXTBEFORE(J843,"-"), {"CSS","CSN","PCB","PCF","BEC","CSD","PCM"}, 0)),
            _xlfn.TEXTBEFORE(J843,"-"),
            "Other"
        )
    ),
"Add")</f>
        <v>PCB</v>
      </c>
      <c r="B843" s="10" t="str">
        <f t="shared" si="14"/>
        <v>0085</v>
      </c>
      <c r="C843" s="10" t="str">
        <f>_xlfn.LET(
    _xlpm.val, IF(Datadetails[[#This Row],[Activity]]="D02","C20",Datadetails[[#This Row],[Activity]]),
    IF(ISNUMBER(MATCH(_xlpm.val,{"D04","C30","c40","C20"},0)), _xlpm.val, "Other")
)</f>
        <v>C30</v>
      </c>
      <c r="D843" s="10" t="str">
        <f>IFERROR(VLOOKUP(Datadetails[[#This Row],[Taskcode]],Dashboard!A:A,1,FALSE),"00 Err Missing")</f>
        <v>0085</v>
      </c>
      <c r="E843" s="79">
        <v>45813</v>
      </c>
      <c r="F843" s="80" t="s">
        <v>330</v>
      </c>
      <c r="G843" s="60" t="s">
        <v>40</v>
      </c>
      <c r="H843" s="80" t="s">
        <v>252</v>
      </c>
      <c r="I843" s="80" t="s">
        <v>34</v>
      </c>
      <c r="J843" s="80" t="s">
        <v>416</v>
      </c>
      <c r="K843" s="80" t="s">
        <v>347</v>
      </c>
      <c r="L843" s="80" t="s">
        <v>343</v>
      </c>
      <c r="M843" s="81">
        <v>1</v>
      </c>
      <c r="N843" s="82">
        <v>60</v>
      </c>
    </row>
    <row r="844" spans="1:14" x14ac:dyDescent="0.25">
      <c r="A844" s="10" t="str">
        <f>_xlfn.IFNA(
    IF(J844=
        "PCB-0001",
        "CSS",
        IF(
            ISNUMBER(MATCH(_xlfn.TEXTBEFORE(J844,"-"), {"CSS","CSN","PCB","PCF","BEC","CSD","PCM"}, 0)),
            _xlfn.TEXTBEFORE(J844,"-"),
            "Other"
        )
    ),
"Add")</f>
        <v>PCB</v>
      </c>
      <c r="B844" s="10" t="str">
        <f t="shared" si="14"/>
        <v>0080</v>
      </c>
      <c r="C844" s="10" t="str">
        <f>_xlfn.LET(
    _xlpm.val, IF(Datadetails[[#This Row],[Activity]]="D02","C20",Datadetails[[#This Row],[Activity]]),
    IF(ISNUMBER(MATCH(_xlpm.val,{"D04","C30","c40","C20"},0)), _xlpm.val, "Other")
)</f>
        <v>C30</v>
      </c>
      <c r="D844" s="10" t="str">
        <f>IFERROR(VLOOKUP(Datadetails[[#This Row],[Taskcode]],Dashboard!A:A,1,FALSE),"00 Err Missing")</f>
        <v>0080</v>
      </c>
      <c r="E844" s="79">
        <v>45813</v>
      </c>
      <c r="F844" s="80" t="s">
        <v>329</v>
      </c>
      <c r="G844" s="60" t="s">
        <v>40</v>
      </c>
      <c r="H844" s="80" t="s">
        <v>247</v>
      </c>
      <c r="I844" s="80" t="s">
        <v>34</v>
      </c>
      <c r="J844" s="80" t="s">
        <v>375</v>
      </c>
      <c r="K844" s="80" t="s">
        <v>347</v>
      </c>
      <c r="L844" s="80" t="s">
        <v>343</v>
      </c>
      <c r="M844" s="81">
        <v>0.33</v>
      </c>
      <c r="N844" s="82">
        <v>24.75</v>
      </c>
    </row>
    <row r="845" spans="1:14" x14ac:dyDescent="0.25">
      <c r="A845" s="10" t="str">
        <f>_xlfn.IFNA(
    IF(J845=
        "PCB-0001",
        "CSS",
        IF(
            ISNUMBER(MATCH(_xlfn.TEXTBEFORE(J845,"-"), {"CSS","CSN","PCB","PCF","BEC","CSD","PCM"}, 0)),
            _xlfn.TEXTBEFORE(J845,"-"),
            "Other"
        )
    ),
"Add")</f>
        <v>PCB</v>
      </c>
      <c r="B845" s="10" t="str">
        <f t="shared" si="14"/>
        <v>0108</v>
      </c>
      <c r="C845" s="10" t="str">
        <f>_xlfn.LET(
    _xlpm.val, IF(Datadetails[[#This Row],[Activity]]="D02","C20",Datadetails[[#This Row],[Activity]]),
    IF(ISNUMBER(MATCH(_xlpm.val,{"D04","C30","c40","C20"},0)), _xlpm.val, "Other")
)</f>
        <v>C30</v>
      </c>
      <c r="D845" s="10" t="str">
        <f>IFERROR(VLOOKUP(Datadetails[[#This Row],[Taskcode]],Dashboard!A:A,1,FALSE),"00 Err Missing")</f>
        <v>0108</v>
      </c>
      <c r="E845" s="79">
        <v>45813</v>
      </c>
      <c r="F845" s="80" t="s">
        <v>330</v>
      </c>
      <c r="G845" s="60" t="s">
        <v>40</v>
      </c>
      <c r="H845" s="80" t="s">
        <v>275</v>
      </c>
      <c r="I845" s="80" t="s">
        <v>34</v>
      </c>
      <c r="J845" s="80" t="s">
        <v>443</v>
      </c>
      <c r="K845" s="80" t="s">
        <v>347</v>
      </c>
      <c r="L845" s="80" t="s">
        <v>343</v>
      </c>
      <c r="M845" s="81">
        <v>0.5</v>
      </c>
      <c r="N845" s="82">
        <v>30</v>
      </c>
    </row>
    <row r="846" spans="1:14" x14ac:dyDescent="0.25">
      <c r="A846" s="10" t="str">
        <f>_xlfn.IFNA(
    IF(J846=
        "PCB-0001",
        "CSS",
        IF(
            ISNUMBER(MATCH(_xlfn.TEXTBEFORE(J846,"-"), {"CSS","CSN","PCB","PCF","BEC","CSD","PCM"}, 0)),
            _xlfn.TEXTBEFORE(J846,"-"),
            "Other"
        )
    ),
"Add")</f>
        <v>PCB</v>
      </c>
      <c r="B846" s="10" t="str">
        <f t="shared" si="14"/>
        <v>0087</v>
      </c>
      <c r="C846" s="10" t="str">
        <f>_xlfn.LET(
    _xlpm.val, IF(Datadetails[[#This Row],[Activity]]="D02","C20",Datadetails[[#This Row],[Activity]]),
    IF(ISNUMBER(MATCH(_xlpm.val,{"D04","C30","c40","C20"},0)), _xlpm.val, "Other")
)</f>
        <v>C40</v>
      </c>
      <c r="D846" s="10" t="str">
        <f>IFERROR(VLOOKUP(Datadetails[[#This Row],[Taskcode]],Dashboard!A:A,1,FALSE),"00 Err Missing")</f>
        <v>0087</v>
      </c>
      <c r="E846" s="79">
        <v>45813</v>
      </c>
      <c r="F846" s="80" t="s">
        <v>325</v>
      </c>
      <c r="G846" s="60" t="s">
        <v>40</v>
      </c>
      <c r="H846" s="80" t="s">
        <v>254</v>
      </c>
      <c r="I846" s="80" t="s">
        <v>341</v>
      </c>
      <c r="J846" s="80" t="s">
        <v>441</v>
      </c>
      <c r="K846" s="80" t="s">
        <v>347</v>
      </c>
      <c r="L846" s="80" t="s">
        <v>344</v>
      </c>
      <c r="M846" s="81">
        <v>1.58</v>
      </c>
      <c r="N846" s="82">
        <v>118.5</v>
      </c>
    </row>
    <row r="847" spans="1:14" x14ac:dyDescent="0.25">
      <c r="A847" s="10" t="str">
        <f>_xlfn.IFNA(
    IF(J847=
        "PCB-0001",
        "CSS",
        IF(
            ISNUMBER(MATCH(_xlfn.TEXTBEFORE(J847,"-"), {"CSS","CSN","PCB","PCF","BEC","CSD","PCM"}, 0)),
            _xlfn.TEXTBEFORE(J847,"-"),
            "Other"
        )
    ),
"Add")</f>
        <v>PCF</v>
      </c>
      <c r="B847" s="10" t="str">
        <f t="shared" si="14"/>
        <v>0098</v>
      </c>
      <c r="C847" s="10" t="str">
        <f>_xlfn.LET(
    _xlpm.val, IF(Datadetails[[#This Row],[Activity]]="D02","C20",Datadetails[[#This Row],[Activity]]),
    IF(ISNUMBER(MATCH(_xlpm.val,{"D04","C30","c40","C20"},0)), _xlpm.val, "Other")
)</f>
        <v>C30</v>
      </c>
      <c r="D847" s="10" t="str">
        <f>IFERROR(VLOOKUP(Datadetails[[#This Row],[Taskcode]],Dashboard!A:A,1,FALSE),"00 Err Missing")</f>
        <v>0098</v>
      </c>
      <c r="E847" s="79">
        <v>45813</v>
      </c>
      <c r="F847" s="80" t="s">
        <v>326</v>
      </c>
      <c r="G847" s="60" t="s">
        <v>40</v>
      </c>
      <c r="H847" s="80" t="s">
        <v>265</v>
      </c>
      <c r="I847" s="80" t="s">
        <v>34</v>
      </c>
      <c r="J847" s="80" t="s">
        <v>358</v>
      </c>
      <c r="K847" s="80" t="s">
        <v>348</v>
      </c>
      <c r="L847" s="80" t="s">
        <v>343</v>
      </c>
      <c r="M847" s="81">
        <v>1</v>
      </c>
      <c r="N847" s="82">
        <v>60</v>
      </c>
    </row>
    <row r="848" spans="1:14" x14ac:dyDescent="0.25">
      <c r="A848" s="10" t="str">
        <f>_xlfn.IFNA(
    IF(J848=
        "PCB-0001",
        "CSS",
        IF(
            ISNUMBER(MATCH(_xlfn.TEXTBEFORE(J848,"-"), {"CSS","CSN","PCB","PCF","BEC","CSD","PCM"}, 0)),
            _xlfn.TEXTBEFORE(J848,"-"),
            "Other"
        )
    ),
"Add")</f>
        <v>BEC</v>
      </c>
      <c r="B848" s="10" t="str">
        <f t="shared" si="14"/>
        <v>0001</v>
      </c>
      <c r="C848" s="10" t="str">
        <f>_xlfn.LET(
    _xlpm.val, IF(Datadetails[[#This Row],[Activity]]="D02","C20",Datadetails[[#This Row],[Activity]]),
    IF(ISNUMBER(MATCH(_xlpm.val,{"D04","C30","c40","C20"},0)), _xlpm.val, "Other")
)</f>
        <v>D04</v>
      </c>
      <c r="D848" s="10" t="str">
        <f>IFERROR(VLOOKUP(Datadetails[[#This Row],[Taskcode]],Dashboard!A:A,1,FALSE),"00 Err Missing")</f>
        <v>0001</v>
      </c>
      <c r="E848" s="79">
        <v>45813</v>
      </c>
      <c r="F848" s="80" t="s">
        <v>332</v>
      </c>
      <c r="G848" s="60" t="s">
        <v>40</v>
      </c>
      <c r="H848" s="80" t="s">
        <v>314</v>
      </c>
      <c r="I848" s="80" t="s">
        <v>35</v>
      </c>
      <c r="J848" s="80" t="s">
        <v>359</v>
      </c>
      <c r="K848" s="80" t="s">
        <v>339</v>
      </c>
      <c r="L848" s="80" t="s">
        <v>352</v>
      </c>
      <c r="M848" s="81">
        <v>8.5</v>
      </c>
      <c r="N848" s="82">
        <v>340</v>
      </c>
    </row>
    <row r="849" spans="1:14" x14ac:dyDescent="0.25">
      <c r="A849" s="10" t="str">
        <f>_xlfn.IFNA(
    IF(J849=
        "PCB-0001",
        "CSS",
        IF(
            ISNUMBER(MATCH(_xlfn.TEXTBEFORE(J849,"-"), {"CSS","CSN","PCB","PCF","BEC","CSD","PCM"}, 0)),
            _xlfn.TEXTBEFORE(J849,"-"),
            "Other"
        )
    ),
"Add")</f>
        <v>BEC</v>
      </c>
      <c r="B849" s="10" t="str">
        <f t="shared" si="14"/>
        <v>0001</v>
      </c>
      <c r="C849" s="10" t="str">
        <f>_xlfn.LET(
    _xlpm.val, IF(Datadetails[[#This Row],[Activity]]="D02","C20",Datadetails[[#This Row],[Activity]]),
    IF(ISNUMBER(MATCH(_xlpm.val,{"D04","C30","c40","C20"},0)), _xlpm.val, "Other")
)</f>
        <v>D04</v>
      </c>
      <c r="D849" s="10" t="str">
        <f>IFERROR(VLOOKUP(Datadetails[[#This Row],[Taskcode]],Dashboard!A:A,1,FALSE),"00 Err Missing")</f>
        <v>0001</v>
      </c>
      <c r="E849" s="79">
        <v>45813</v>
      </c>
      <c r="F849" s="80" t="s">
        <v>324</v>
      </c>
      <c r="G849" s="60" t="s">
        <v>40</v>
      </c>
      <c r="H849" s="80" t="s">
        <v>314</v>
      </c>
      <c r="I849" s="80" t="s">
        <v>35</v>
      </c>
      <c r="J849" s="80" t="s">
        <v>359</v>
      </c>
      <c r="K849" s="80" t="s">
        <v>339</v>
      </c>
      <c r="L849" s="80" t="s">
        <v>352</v>
      </c>
      <c r="M849" s="81">
        <v>7.75</v>
      </c>
      <c r="N849" s="82">
        <v>581.25</v>
      </c>
    </row>
    <row r="850" spans="1:14" x14ac:dyDescent="0.25">
      <c r="A850" s="10" t="str">
        <f>_xlfn.IFNA(
    IF(J850=
        "PCB-0001",
        "CSS",
        IF(
            ISNUMBER(MATCH(_xlfn.TEXTBEFORE(J850,"-"), {"CSS","CSN","PCB","PCF","BEC","CSD","PCM"}, 0)),
            _xlfn.TEXTBEFORE(J850,"-"),
            "Other"
        )
    ),
"Add")</f>
        <v>PCB</v>
      </c>
      <c r="B850" s="10" t="str">
        <f t="shared" si="14"/>
        <v>0102</v>
      </c>
      <c r="C850" s="10" t="str">
        <f>_xlfn.LET(
    _xlpm.val, IF(Datadetails[[#This Row],[Activity]]="D02","C20",Datadetails[[#This Row],[Activity]]),
    IF(ISNUMBER(MATCH(_xlpm.val,{"D04","C30","c40","C20"},0)), _xlpm.val, "Other")
)</f>
        <v>C30</v>
      </c>
      <c r="D850" s="10" t="str">
        <f>IFERROR(VLOOKUP(Datadetails[[#This Row],[Taskcode]],Dashboard!A:A,1,FALSE),"00 Err Missing")</f>
        <v>0102</v>
      </c>
      <c r="E850" s="79">
        <v>45814</v>
      </c>
      <c r="F850" s="80" t="s">
        <v>329</v>
      </c>
      <c r="G850" s="60" t="s">
        <v>40</v>
      </c>
      <c r="H850" s="80" t="s">
        <v>269</v>
      </c>
      <c r="I850" s="80" t="s">
        <v>34</v>
      </c>
      <c r="J850" s="80" t="s">
        <v>361</v>
      </c>
      <c r="K850" s="80" t="s">
        <v>347</v>
      </c>
      <c r="L850" s="80" t="s">
        <v>343</v>
      </c>
      <c r="M850" s="81">
        <v>0.17</v>
      </c>
      <c r="N850" s="82">
        <v>12.750000000000002</v>
      </c>
    </row>
    <row r="851" spans="1:14" x14ac:dyDescent="0.25">
      <c r="A851" s="10" t="str">
        <f>_xlfn.IFNA(
    IF(J851=
        "PCB-0001",
        "CSS",
        IF(
            ISNUMBER(MATCH(_xlfn.TEXTBEFORE(J851,"-"), {"CSS","CSN","PCB","PCF","BEC","CSD","PCM"}, 0)),
            _xlfn.TEXTBEFORE(J851,"-"),
            "Other"
        )
    ),
"Add")</f>
        <v>CSN</v>
      </c>
      <c r="B851" s="10" t="str">
        <f t="shared" si="14"/>
        <v>0001</v>
      </c>
      <c r="C851" s="10" t="str">
        <f>_xlfn.LET(
    _xlpm.val, IF(Datadetails[[#This Row],[Activity]]="D02","C20",Datadetails[[#This Row],[Activity]]),
    IF(ISNUMBER(MATCH(_xlpm.val,{"D04","C30","c40","C20"},0)), _xlpm.val, "Other")
)</f>
        <v>D04</v>
      </c>
      <c r="D851" s="10" t="str">
        <f>IFERROR(VLOOKUP(Datadetails[[#This Row],[Taskcode]],Dashboard!A:A,1,FALSE),"00 Err Missing")</f>
        <v>0001</v>
      </c>
      <c r="E851" s="79">
        <v>45814</v>
      </c>
      <c r="F851" s="80" t="s">
        <v>329</v>
      </c>
      <c r="G851" s="60" t="s">
        <v>40</v>
      </c>
      <c r="H851" s="80" t="s">
        <v>316</v>
      </c>
      <c r="I851" s="80" t="s">
        <v>35</v>
      </c>
      <c r="J851" s="80" t="s">
        <v>338</v>
      </c>
      <c r="K851" s="80" t="s">
        <v>337</v>
      </c>
      <c r="L851" s="80" t="s">
        <v>352</v>
      </c>
      <c r="M851" s="81">
        <v>0.42</v>
      </c>
      <c r="N851" s="82">
        <v>31.5</v>
      </c>
    </row>
    <row r="852" spans="1:14" x14ac:dyDescent="0.25">
      <c r="A852" s="10" t="str">
        <f>_xlfn.IFNA(
    IF(J852=
        "PCB-0001",
        "CSS",
        IF(
            ISNUMBER(MATCH(_xlfn.TEXTBEFORE(J852,"-"), {"CSS","CSN","PCB","PCF","BEC","CSD","PCM"}, 0)),
            _xlfn.TEXTBEFORE(J852,"-"),
            "Other"
        )
    ),
"Add")</f>
        <v>CSD</v>
      </c>
      <c r="B852" s="10" t="str">
        <f t="shared" si="14"/>
        <v>0001</v>
      </c>
      <c r="C852" s="10" t="str">
        <f>_xlfn.LET(
    _xlpm.val, IF(Datadetails[[#This Row],[Activity]]="D02","C20",Datadetails[[#This Row],[Activity]]),
    IF(ISNUMBER(MATCH(_xlpm.val,{"D04","C30","c40","C20"},0)), _xlpm.val, "Other")
)</f>
        <v>D04</v>
      </c>
      <c r="D852" s="10" t="str">
        <f>IFERROR(VLOOKUP(Datadetails[[#This Row],[Taskcode]],Dashboard!A:A,1,FALSE),"00 Err Missing")</f>
        <v>0001</v>
      </c>
      <c r="E852" s="79">
        <v>45814</v>
      </c>
      <c r="F852" s="80" t="s">
        <v>333</v>
      </c>
      <c r="G852" s="60" t="s">
        <v>40</v>
      </c>
      <c r="H852" s="80" t="s">
        <v>320</v>
      </c>
      <c r="I852" s="80" t="s">
        <v>35</v>
      </c>
      <c r="J852" s="80" t="s">
        <v>322</v>
      </c>
      <c r="K852" s="80" t="s">
        <v>319</v>
      </c>
      <c r="L852" s="80" t="s">
        <v>352</v>
      </c>
      <c r="M852" s="81">
        <v>7.53</v>
      </c>
      <c r="N852" s="82">
        <v>240.96</v>
      </c>
    </row>
    <row r="853" spans="1:14" x14ac:dyDescent="0.25">
      <c r="A853" s="10" t="str">
        <f>_xlfn.IFNA(
    IF(J853=
        "PCB-0001",
        "CSS",
        IF(
            ISNUMBER(MATCH(_xlfn.TEXTBEFORE(J853,"-"), {"CSS","CSN","PCB","PCF","BEC","CSD","PCM"}, 0)),
            _xlfn.TEXTBEFORE(J853,"-"),
            "Other"
        )
    ),
"Add")</f>
        <v>CSD</v>
      </c>
      <c r="B853" s="10" t="str">
        <f t="shared" si="14"/>
        <v>0001</v>
      </c>
      <c r="C853" s="10" t="str">
        <f>_xlfn.LET(
    _xlpm.val, IF(Datadetails[[#This Row],[Activity]]="D02","C20",Datadetails[[#This Row],[Activity]]),
    IF(ISNUMBER(MATCH(_xlpm.val,{"D04","C30","c40","C20"},0)), _xlpm.val, "Other")
)</f>
        <v>D04</v>
      </c>
      <c r="D853" s="10" t="str">
        <f>IFERROR(VLOOKUP(Datadetails[[#This Row],[Taskcode]],Dashboard!A:A,1,FALSE),"00 Err Missing")</f>
        <v>0001</v>
      </c>
      <c r="E853" s="79">
        <v>45814</v>
      </c>
      <c r="F853" s="80" t="s">
        <v>327</v>
      </c>
      <c r="G853" s="60" t="s">
        <v>40</v>
      </c>
      <c r="H853" s="80" t="s">
        <v>320</v>
      </c>
      <c r="I853" s="80" t="s">
        <v>35</v>
      </c>
      <c r="J853" s="80" t="s">
        <v>322</v>
      </c>
      <c r="K853" s="80" t="s">
        <v>319</v>
      </c>
      <c r="L853" s="80" t="s">
        <v>352</v>
      </c>
      <c r="M853" s="81">
        <v>7.17</v>
      </c>
      <c r="N853" s="82">
        <v>229.44</v>
      </c>
    </row>
    <row r="854" spans="1:14" x14ac:dyDescent="0.25">
      <c r="A854" s="10" t="str">
        <f>_xlfn.IFNA(
    IF(J854=
        "PCB-0001",
        "CSS",
        IF(
            ISNUMBER(MATCH(_xlfn.TEXTBEFORE(J854,"-"), {"CSS","CSN","PCB","PCF","BEC","CSD","PCM"}, 0)),
            _xlfn.TEXTBEFORE(J854,"-"),
            "Other"
        )
    ),
"Add")</f>
        <v>PCB</v>
      </c>
      <c r="B854" s="10" t="str">
        <f t="shared" si="14"/>
        <v>0031</v>
      </c>
      <c r="C854" s="10" t="str">
        <f>_xlfn.LET(
    _xlpm.val, IF(Datadetails[[#This Row],[Activity]]="D02","C20",Datadetails[[#This Row],[Activity]]),
    IF(ISNUMBER(MATCH(_xlpm.val,{"D04","C30","c40","C20"},0)), _xlpm.val, "Other")
)</f>
        <v>C20</v>
      </c>
      <c r="D854" s="10" t="str">
        <f>IFERROR(VLOOKUP(Datadetails[[#This Row],[Taskcode]],Dashboard!A:A,1,FALSE),"00 Err Missing")</f>
        <v>0031</v>
      </c>
      <c r="E854" s="79">
        <v>45814</v>
      </c>
      <c r="F854" s="80" t="s">
        <v>325</v>
      </c>
      <c r="G854" s="60" t="s">
        <v>40</v>
      </c>
      <c r="H854" s="80" t="s">
        <v>198</v>
      </c>
      <c r="I854" s="80" t="s">
        <v>36</v>
      </c>
      <c r="J854" s="80" t="s">
        <v>413</v>
      </c>
      <c r="K854" s="80" t="s">
        <v>347</v>
      </c>
      <c r="L854" s="80" t="s">
        <v>342</v>
      </c>
      <c r="M854" s="81">
        <v>0.25</v>
      </c>
      <c r="N854" s="82">
        <v>18.75</v>
      </c>
    </row>
    <row r="855" spans="1:14" x14ac:dyDescent="0.25">
      <c r="A855" s="10" t="str">
        <f>_xlfn.IFNA(
    IF(J855=
        "PCB-0001",
        "CSS",
        IF(
            ISNUMBER(MATCH(_xlfn.TEXTBEFORE(J855,"-"), {"CSS","CSN","PCB","PCF","BEC","CSD","PCM"}, 0)),
            _xlfn.TEXTBEFORE(J855,"-"),
            "Other"
        )
    ),
"Add")</f>
        <v>PCB</v>
      </c>
      <c r="B855" s="10" t="str">
        <f t="shared" si="14"/>
        <v>0030</v>
      </c>
      <c r="C855" s="10" t="str">
        <f>_xlfn.LET(
    _xlpm.val, IF(Datadetails[[#This Row],[Activity]]="D02","C20",Datadetails[[#This Row],[Activity]]),
    IF(ISNUMBER(MATCH(_xlpm.val,{"D04","C30","c40","C20"},0)), _xlpm.val, "Other")
)</f>
        <v>C30</v>
      </c>
      <c r="D855" s="10" t="str">
        <f>IFERROR(VLOOKUP(Datadetails[[#This Row],[Taskcode]],Dashboard!A:A,1,FALSE),"00 Err Missing")</f>
        <v>0030</v>
      </c>
      <c r="E855" s="79">
        <v>45814</v>
      </c>
      <c r="F855" s="80" t="s">
        <v>329</v>
      </c>
      <c r="G855" s="60" t="s">
        <v>40</v>
      </c>
      <c r="H855" s="80" t="s">
        <v>197</v>
      </c>
      <c r="I855" s="80" t="s">
        <v>34</v>
      </c>
      <c r="J855" s="80" t="s">
        <v>366</v>
      </c>
      <c r="K855" s="80" t="s">
        <v>347</v>
      </c>
      <c r="L855" s="80" t="s">
        <v>343</v>
      </c>
      <c r="M855" s="81">
        <v>0.17</v>
      </c>
      <c r="N855" s="82">
        <v>12.750000000000002</v>
      </c>
    </row>
    <row r="856" spans="1:14" x14ac:dyDescent="0.25">
      <c r="A856" s="10" t="str">
        <f>_xlfn.IFNA(
    IF(J856=
        "PCB-0001",
        "CSS",
        IF(
            ISNUMBER(MATCH(_xlfn.TEXTBEFORE(J856,"-"), {"CSS","CSN","PCB","PCF","BEC","CSD","PCM"}, 0)),
            _xlfn.TEXTBEFORE(J856,"-"),
            "Other"
        )
    ),
"Add")</f>
        <v>PCB</v>
      </c>
      <c r="B856" s="10" t="str">
        <f t="shared" si="14"/>
        <v>0013</v>
      </c>
      <c r="C856" s="10" t="str">
        <f>_xlfn.LET(
    _xlpm.val, IF(Datadetails[[#This Row],[Activity]]="D02","C20",Datadetails[[#This Row],[Activity]]),
    IF(ISNUMBER(MATCH(_xlpm.val,{"D04","C30","c40","C20"},0)), _xlpm.val, "Other")
)</f>
        <v>C30</v>
      </c>
      <c r="D856" s="10" t="str">
        <f>IFERROR(VLOOKUP(Datadetails[[#This Row],[Taskcode]],Dashboard!A:A,1,FALSE),"00 Err Missing")</f>
        <v>0013</v>
      </c>
      <c r="E856" s="79">
        <v>45814</v>
      </c>
      <c r="F856" s="80" t="s">
        <v>325</v>
      </c>
      <c r="G856" s="60" t="s">
        <v>40</v>
      </c>
      <c r="H856" s="80" t="s">
        <v>180</v>
      </c>
      <c r="I856" s="80" t="s">
        <v>34</v>
      </c>
      <c r="J856" s="80" t="s">
        <v>465</v>
      </c>
      <c r="K856" s="80" t="s">
        <v>347</v>
      </c>
      <c r="L856" s="80" t="s">
        <v>343</v>
      </c>
      <c r="M856" s="81">
        <v>0.42</v>
      </c>
      <c r="N856" s="82">
        <v>31.5</v>
      </c>
    </row>
    <row r="857" spans="1:14" x14ac:dyDescent="0.25">
      <c r="A857" s="10" t="str">
        <f>_xlfn.IFNA(
    IF(J857=
        "PCB-0001",
        "CSS",
        IF(
            ISNUMBER(MATCH(_xlfn.TEXTBEFORE(J857,"-"), {"CSS","CSN","PCB","PCF","BEC","CSD","PCM"}, 0)),
            _xlfn.TEXTBEFORE(J857,"-"),
            "Other"
        )
    ),
"Add")</f>
        <v>PCB</v>
      </c>
      <c r="B857" s="10" t="str">
        <f t="shared" si="14"/>
        <v>0136</v>
      </c>
      <c r="C857" s="10" t="str">
        <f>_xlfn.LET(
    _xlpm.val, IF(Datadetails[[#This Row],[Activity]]="D02","C20",Datadetails[[#This Row],[Activity]]),
    IF(ISNUMBER(MATCH(_xlpm.val,{"D04","C30","c40","C20"},0)), _xlpm.val, "Other")
)</f>
        <v>C30</v>
      </c>
      <c r="D857" s="10" t="str">
        <f>IFERROR(VLOOKUP(Datadetails[[#This Row],[Taskcode]],Dashboard!A:A,1,FALSE),"00 Err Missing")</f>
        <v>0136</v>
      </c>
      <c r="E857" s="79">
        <v>45814</v>
      </c>
      <c r="F857" s="80" t="s">
        <v>329</v>
      </c>
      <c r="G857" s="60" t="s">
        <v>40</v>
      </c>
      <c r="H857" s="80" t="s">
        <v>303</v>
      </c>
      <c r="I857" s="80" t="s">
        <v>34</v>
      </c>
      <c r="J857" s="80" t="s">
        <v>400</v>
      </c>
      <c r="K857" s="80" t="s">
        <v>347</v>
      </c>
      <c r="L857" s="80" t="s">
        <v>343</v>
      </c>
      <c r="M857" s="81">
        <v>0.33</v>
      </c>
      <c r="N857" s="82">
        <v>24.75</v>
      </c>
    </row>
    <row r="858" spans="1:14" x14ac:dyDescent="0.25">
      <c r="A858" s="10" t="str">
        <f>_xlfn.IFNA(
    IF(J858=
        "PCB-0001",
        "CSS",
        IF(
            ISNUMBER(MATCH(_xlfn.TEXTBEFORE(J858,"-"), {"CSS","CSN","PCB","PCF","BEC","CSD","PCM"}, 0)),
            _xlfn.TEXTBEFORE(J858,"-"),
            "Other"
        )
    ),
"Add")</f>
        <v>PCB</v>
      </c>
      <c r="B858" s="10" t="str">
        <f t="shared" si="14"/>
        <v>0071</v>
      </c>
      <c r="C858" s="10" t="str">
        <f>_xlfn.LET(
    _xlpm.val, IF(Datadetails[[#This Row],[Activity]]="D02","C20",Datadetails[[#This Row],[Activity]]),
    IF(ISNUMBER(MATCH(_xlpm.val,{"D04","C30","c40","C20"},0)), _xlpm.val, "Other")
)</f>
        <v>C30</v>
      </c>
      <c r="D858" s="10" t="str">
        <f>IFERROR(VLOOKUP(Datadetails[[#This Row],[Taskcode]],Dashboard!A:A,1,FALSE),"00 Err Missing")</f>
        <v>0071</v>
      </c>
      <c r="E858" s="79">
        <v>45814</v>
      </c>
      <c r="F858" s="80" t="s">
        <v>329</v>
      </c>
      <c r="G858" s="60" t="s">
        <v>40</v>
      </c>
      <c r="H858" s="80" t="s">
        <v>238</v>
      </c>
      <c r="I858" s="80" t="s">
        <v>34</v>
      </c>
      <c r="J858" s="80" t="s">
        <v>374</v>
      </c>
      <c r="K858" s="80" t="s">
        <v>347</v>
      </c>
      <c r="L858" s="80" t="s">
        <v>343</v>
      </c>
      <c r="M858" s="81">
        <v>0.17</v>
      </c>
      <c r="N858" s="82">
        <v>12.750000000000002</v>
      </c>
    </row>
    <row r="859" spans="1:14" x14ac:dyDescent="0.25">
      <c r="A859" s="10" t="str">
        <f>_xlfn.IFNA(
    IF(J859=
        "PCB-0001",
        "CSS",
        IF(
            ISNUMBER(MATCH(_xlfn.TEXTBEFORE(J859,"-"), {"CSS","CSN","PCB","PCF","BEC","CSD","PCM"}, 0)),
            _xlfn.TEXTBEFORE(J859,"-"),
            "Other"
        )
    ),
"Add")</f>
        <v>PCB</v>
      </c>
      <c r="B859" s="10" t="str">
        <f t="shared" si="14"/>
        <v>0126</v>
      </c>
      <c r="C859" s="10" t="str">
        <f>_xlfn.LET(
    _xlpm.val, IF(Datadetails[[#This Row],[Activity]]="D02","C20",Datadetails[[#This Row],[Activity]]),
    IF(ISNUMBER(MATCH(_xlpm.val,{"D04","C30","c40","C20"},0)), _xlpm.val, "Other")
)</f>
        <v>C30</v>
      </c>
      <c r="D859" s="10" t="str">
        <f>IFERROR(VLOOKUP(Datadetails[[#This Row],[Taskcode]],Dashboard!A:A,1,FALSE),"00 Err Missing")</f>
        <v>0126</v>
      </c>
      <c r="E859" s="79">
        <v>45814</v>
      </c>
      <c r="F859" s="80" t="s">
        <v>329</v>
      </c>
      <c r="G859" s="60" t="s">
        <v>40</v>
      </c>
      <c r="H859" s="80" t="s">
        <v>293</v>
      </c>
      <c r="I859" s="80" t="s">
        <v>34</v>
      </c>
      <c r="J859" s="80" t="s">
        <v>376</v>
      </c>
      <c r="K859" s="80" t="s">
        <v>347</v>
      </c>
      <c r="L859" s="80" t="s">
        <v>343</v>
      </c>
      <c r="M859" s="81">
        <v>0.17</v>
      </c>
      <c r="N859" s="82">
        <v>12.750000000000002</v>
      </c>
    </row>
    <row r="860" spans="1:14" x14ac:dyDescent="0.25">
      <c r="A860" s="10" t="str">
        <f>_xlfn.IFNA(
    IF(J860=
        "PCB-0001",
        "CSS",
        IF(
            ISNUMBER(MATCH(_xlfn.TEXTBEFORE(J860,"-"), {"CSS","CSN","PCB","PCF","BEC","CSD","PCM"}, 0)),
            _xlfn.TEXTBEFORE(J860,"-"),
            "Other"
        )
    ),
"Add")</f>
        <v>PCB</v>
      </c>
      <c r="B860" s="10" t="str">
        <f t="shared" si="14"/>
        <v>0097</v>
      </c>
      <c r="C860" s="10" t="str">
        <f>_xlfn.LET(
    _xlpm.val, IF(Datadetails[[#This Row],[Activity]]="D02","C20",Datadetails[[#This Row],[Activity]]),
    IF(ISNUMBER(MATCH(_xlpm.val,{"D04","C30","c40","C20"},0)), _xlpm.val, "Other")
)</f>
        <v>C30</v>
      </c>
      <c r="D860" s="10" t="str">
        <f>IFERROR(VLOOKUP(Datadetails[[#This Row],[Taskcode]],Dashboard!A:A,1,FALSE),"00 Err Missing")</f>
        <v>0097</v>
      </c>
      <c r="E860" s="79">
        <v>45814</v>
      </c>
      <c r="F860" s="80" t="s">
        <v>325</v>
      </c>
      <c r="G860" s="60" t="s">
        <v>40</v>
      </c>
      <c r="H860" s="80" t="s">
        <v>264</v>
      </c>
      <c r="I860" s="80" t="s">
        <v>34</v>
      </c>
      <c r="J860" s="80" t="s">
        <v>384</v>
      </c>
      <c r="K860" s="80" t="s">
        <v>347</v>
      </c>
      <c r="L860" s="80" t="s">
        <v>343</v>
      </c>
      <c r="M860" s="81">
        <v>0.25</v>
      </c>
      <c r="N860" s="82">
        <v>18.75</v>
      </c>
    </row>
    <row r="861" spans="1:14" x14ac:dyDescent="0.25">
      <c r="A861" s="10" t="str">
        <f>_xlfn.IFNA(
    IF(J861=
        "PCB-0001",
        "CSS",
        IF(
            ISNUMBER(MATCH(_xlfn.TEXTBEFORE(J861,"-"), {"CSS","CSN","PCB","PCF","BEC","CSD","PCM"}, 0)),
            _xlfn.TEXTBEFORE(J861,"-"),
            "Other"
        )
    ),
"Add")</f>
        <v>PCB</v>
      </c>
      <c r="B861" s="10" t="str">
        <f t="shared" si="14"/>
        <v>0132</v>
      </c>
      <c r="C861" s="10" t="str">
        <f>_xlfn.LET(
    _xlpm.val, IF(Datadetails[[#This Row],[Activity]]="D02","C20",Datadetails[[#This Row],[Activity]]),
    IF(ISNUMBER(MATCH(_xlpm.val,{"D04","C30","c40","C20"},0)), _xlpm.val, "Other")
)</f>
        <v>C20</v>
      </c>
      <c r="D861" s="10" t="str">
        <f>IFERROR(VLOOKUP(Datadetails[[#This Row],[Taskcode]],Dashboard!A:A,1,FALSE),"00 Err Missing")</f>
        <v>0132</v>
      </c>
      <c r="E861" s="79">
        <v>45814</v>
      </c>
      <c r="F861" s="80" t="s">
        <v>329</v>
      </c>
      <c r="G861" s="60" t="s">
        <v>40</v>
      </c>
      <c r="H861" s="80" t="s">
        <v>299</v>
      </c>
      <c r="I861" s="80" t="s">
        <v>312</v>
      </c>
      <c r="J861" s="80" t="s">
        <v>455</v>
      </c>
      <c r="K861" s="80" t="s">
        <v>347</v>
      </c>
      <c r="L861" s="80" t="s">
        <v>350</v>
      </c>
      <c r="M861" s="81">
        <v>2.5</v>
      </c>
      <c r="N861" s="82">
        <v>187.5</v>
      </c>
    </row>
    <row r="862" spans="1:14" x14ac:dyDescent="0.25">
      <c r="A862" s="10" t="str">
        <f>_xlfn.IFNA(
    IF(J862=
        "PCB-0001",
        "CSS",
        IF(
            ISNUMBER(MATCH(_xlfn.TEXTBEFORE(J862,"-"), {"CSS","CSN","PCB","PCF","BEC","CSD","PCM"}, 0)),
            _xlfn.TEXTBEFORE(J862,"-"),
            "Other"
        )
    ),
"Add")</f>
        <v>PCF</v>
      </c>
      <c r="B862" s="10" t="str">
        <f t="shared" si="14"/>
        <v>0066</v>
      </c>
      <c r="C862" s="10" t="str">
        <f>_xlfn.LET(
    _xlpm.val, IF(Datadetails[[#This Row],[Activity]]="D02","C20",Datadetails[[#This Row],[Activity]]),
    IF(ISNUMBER(MATCH(_xlpm.val,{"D04","C30","c40","C20"},0)), _xlpm.val, "Other")
)</f>
        <v>C20</v>
      </c>
      <c r="D862" s="10" t="str">
        <f>IFERROR(VLOOKUP(Datadetails[[#This Row],[Taskcode]],Dashboard!A:A,1,FALSE),"00 Err Missing")</f>
        <v>0066</v>
      </c>
      <c r="E862" s="79">
        <v>45814</v>
      </c>
      <c r="F862" s="80" t="s">
        <v>326</v>
      </c>
      <c r="G862" s="60" t="s">
        <v>40</v>
      </c>
      <c r="H862" s="80" t="s">
        <v>233</v>
      </c>
      <c r="I862" s="80" t="s">
        <v>36</v>
      </c>
      <c r="J862" s="80" t="s">
        <v>387</v>
      </c>
      <c r="K862" s="80" t="s">
        <v>348</v>
      </c>
      <c r="L862" s="80" t="s">
        <v>342</v>
      </c>
      <c r="M862" s="81">
        <v>0.75</v>
      </c>
      <c r="N862" s="82">
        <v>45</v>
      </c>
    </row>
    <row r="863" spans="1:14" x14ac:dyDescent="0.25">
      <c r="A863" s="10" t="str">
        <f>_xlfn.IFNA(
    IF(J863=
        "PCB-0001",
        "CSS",
        IF(
            ISNUMBER(MATCH(_xlfn.TEXTBEFORE(J863,"-"), {"CSS","CSN","PCB","PCF","BEC","CSD","PCM"}, 0)),
            _xlfn.TEXTBEFORE(J863,"-"),
            "Other"
        )
    ),
"Add")</f>
        <v>BEC</v>
      </c>
      <c r="B863" s="10" t="str">
        <f t="shared" si="14"/>
        <v>0001</v>
      </c>
      <c r="C863" s="10" t="str">
        <f>_xlfn.LET(
    _xlpm.val, IF(Datadetails[[#This Row],[Activity]]="D02","C20",Datadetails[[#This Row],[Activity]]),
    IF(ISNUMBER(MATCH(_xlpm.val,{"D04","C30","c40","C20"},0)), _xlpm.val, "Other")
)</f>
        <v>D04</v>
      </c>
      <c r="D863" s="10" t="str">
        <f>IFERROR(VLOOKUP(Datadetails[[#This Row],[Taskcode]],Dashboard!A:A,1,FALSE),"00 Err Missing")</f>
        <v>0001</v>
      </c>
      <c r="E863" s="79">
        <v>45814</v>
      </c>
      <c r="F863" s="80" t="s">
        <v>332</v>
      </c>
      <c r="G863" s="60" t="s">
        <v>40</v>
      </c>
      <c r="H863" s="80" t="s">
        <v>314</v>
      </c>
      <c r="I863" s="80" t="s">
        <v>35</v>
      </c>
      <c r="J863" s="80" t="s">
        <v>359</v>
      </c>
      <c r="K863" s="80" t="s">
        <v>339</v>
      </c>
      <c r="L863" s="80" t="s">
        <v>352</v>
      </c>
      <c r="M863" s="81">
        <v>8.17</v>
      </c>
      <c r="N863" s="82">
        <v>326.8</v>
      </c>
    </row>
    <row r="864" spans="1:14" x14ac:dyDescent="0.25">
      <c r="A864" s="10" t="str">
        <f>_xlfn.IFNA(
    IF(J864=
        "PCB-0001",
        "CSS",
        IF(
            ISNUMBER(MATCH(_xlfn.TEXTBEFORE(J864,"-"), {"CSS","CSN","PCB","PCF","BEC","CSD","PCM"}, 0)),
            _xlfn.TEXTBEFORE(J864,"-"),
            "Other"
        )
    ),
"Add")</f>
        <v>BEC</v>
      </c>
      <c r="B864" s="10" t="str">
        <f t="shared" si="14"/>
        <v>0001</v>
      </c>
      <c r="C864" s="10" t="str">
        <f>_xlfn.LET(
    _xlpm.val, IF(Datadetails[[#This Row],[Activity]]="D02","C20",Datadetails[[#This Row],[Activity]]),
    IF(ISNUMBER(MATCH(_xlpm.val,{"D04","C30","c40","C20"},0)), _xlpm.val, "Other")
)</f>
        <v>D04</v>
      </c>
      <c r="D864" s="10" t="str">
        <f>IFERROR(VLOOKUP(Datadetails[[#This Row],[Taskcode]],Dashboard!A:A,1,FALSE),"00 Err Missing")</f>
        <v>0001</v>
      </c>
      <c r="E864" s="79">
        <v>45814</v>
      </c>
      <c r="F864" s="80" t="s">
        <v>324</v>
      </c>
      <c r="G864" s="60" t="s">
        <v>40</v>
      </c>
      <c r="H864" s="80" t="s">
        <v>314</v>
      </c>
      <c r="I864" s="80" t="s">
        <v>35</v>
      </c>
      <c r="J864" s="80" t="s">
        <v>359</v>
      </c>
      <c r="K864" s="80" t="s">
        <v>339</v>
      </c>
      <c r="L864" s="80" t="s">
        <v>352</v>
      </c>
      <c r="M864" s="81">
        <v>6.25</v>
      </c>
      <c r="N864" s="82">
        <v>468.75</v>
      </c>
    </row>
    <row r="865" spans="1:14" x14ac:dyDescent="0.25">
      <c r="A865" s="10" t="str">
        <f>_xlfn.IFNA(
    IF(J865=
        "PCB-0001",
        "CSS",
        IF(
            ISNUMBER(MATCH(_xlfn.TEXTBEFORE(J865,"-"), {"CSS","CSN","PCB","PCF","BEC","CSD","PCM"}, 0)),
            _xlfn.TEXTBEFORE(J865,"-"),
            "Other"
        )
    ),
"Add")</f>
        <v>BEC</v>
      </c>
      <c r="B865" s="10" t="str">
        <f t="shared" si="14"/>
        <v>0001</v>
      </c>
      <c r="C865" s="10" t="str">
        <f>_xlfn.LET(
    _xlpm.val, IF(Datadetails[[#This Row],[Activity]]="D02","C20",Datadetails[[#This Row],[Activity]]),
    IF(ISNUMBER(MATCH(_xlpm.val,{"D04","C30","c40","C20"},0)), _xlpm.val, "Other")
)</f>
        <v>D04</v>
      </c>
      <c r="D865" s="10" t="str">
        <f>IFERROR(VLOOKUP(Datadetails[[#This Row],[Taskcode]],Dashboard!A:A,1,FALSE),"00 Err Missing")</f>
        <v>0001</v>
      </c>
      <c r="E865" s="79">
        <v>45815</v>
      </c>
      <c r="F865" s="80" t="s">
        <v>332</v>
      </c>
      <c r="G865" s="60" t="s">
        <v>40</v>
      </c>
      <c r="H865" s="80" t="s">
        <v>314</v>
      </c>
      <c r="I865" s="80" t="s">
        <v>35</v>
      </c>
      <c r="J865" s="80" t="s">
        <v>359</v>
      </c>
      <c r="K865" s="80" t="s">
        <v>339</v>
      </c>
      <c r="L865" s="80" t="s">
        <v>352</v>
      </c>
      <c r="M865" s="81">
        <v>4</v>
      </c>
      <c r="N865" s="82">
        <v>160</v>
      </c>
    </row>
    <row r="866" spans="1:14" x14ac:dyDescent="0.25">
      <c r="A866" s="10" t="str">
        <f>_xlfn.IFNA(
    IF(J866=
        "PCB-0001",
        "CSS",
        IF(
            ISNUMBER(MATCH(_xlfn.TEXTBEFORE(J866,"-"), {"CSS","CSN","PCB","PCF","BEC","CSD","PCM"}, 0)),
            _xlfn.TEXTBEFORE(J866,"-"),
            "Other"
        )
    ),
"Add")</f>
        <v>PCB</v>
      </c>
      <c r="B866" s="10" t="str">
        <f t="shared" si="14"/>
        <v>0104</v>
      </c>
      <c r="C866" s="10" t="str">
        <f>_xlfn.LET(
    _xlpm.val, IF(Datadetails[[#This Row],[Activity]]="D02","C20",Datadetails[[#This Row],[Activity]]),
    IF(ISNUMBER(MATCH(_xlpm.val,{"D04","C30","c40","C20"},0)), _xlpm.val, "Other")
)</f>
        <v>C40</v>
      </c>
      <c r="D866" s="10" t="str">
        <f>IFERROR(VLOOKUP(Datadetails[[#This Row],[Taskcode]],Dashboard!A:A,1,FALSE),"00 Err Missing")</f>
        <v>0104</v>
      </c>
      <c r="E866" s="79">
        <v>45817</v>
      </c>
      <c r="F866" s="80" t="s">
        <v>325</v>
      </c>
      <c r="G866" s="60" t="s">
        <v>40</v>
      </c>
      <c r="H866" s="80" t="s">
        <v>271</v>
      </c>
      <c r="I866" s="80" t="s">
        <v>341</v>
      </c>
      <c r="J866" s="80" t="s">
        <v>363</v>
      </c>
      <c r="K866" s="80" t="s">
        <v>347</v>
      </c>
      <c r="L866" s="80" t="s">
        <v>344</v>
      </c>
      <c r="M866" s="81">
        <v>0.92</v>
      </c>
      <c r="N866" s="82">
        <v>69</v>
      </c>
    </row>
    <row r="867" spans="1:14" x14ac:dyDescent="0.25">
      <c r="A867" s="10" t="str">
        <f>_xlfn.IFNA(
    IF(J867=
        "PCB-0001",
        "CSS",
        IF(
            ISNUMBER(MATCH(_xlfn.TEXTBEFORE(J867,"-"), {"CSS","CSN","PCB","PCF","BEC","CSD","PCM"}, 0)),
            _xlfn.TEXTBEFORE(J867,"-"),
            "Other"
        )
    ),
"Add")</f>
        <v>CSN</v>
      </c>
      <c r="B867" s="10" t="str">
        <f t="shared" si="14"/>
        <v>0001</v>
      </c>
      <c r="C867" s="10" t="str">
        <f>_xlfn.LET(
    _xlpm.val, IF(Datadetails[[#This Row],[Activity]]="D02","C20",Datadetails[[#This Row],[Activity]]),
    IF(ISNUMBER(MATCH(_xlpm.val,{"D04","C30","c40","C20"},0)), _xlpm.val, "Other")
)</f>
        <v>D04</v>
      </c>
      <c r="D867" s="10" t="str">
        <f>IFERROR(VLOOKUP(Datadetails[[#This Row],[Taskcode]],Dashboard!A:A,1,FALSE),"00 Err Missing")</f>
        <v>0001</v>
      </c>
      <c r="E867" s="79">
        <v>45817</v>
      </c>
      <c r="F867" s="80" t="s">
        <v>329</v>
      </c>
      <c r="G867" s="60" t="s">
        <v>40</v>
      </c>
      <c r="H867" s="80" t="s">
        <v>316</v>
      </c>
      <c r="I867" s="80" t="s">
        <v>35</v>
      </c>
      <c r="J867" s="80" t="s">
        <v>338</v>
      </c>
      <c r="K867" s="80" t="s">
        <v>337</v>
      </c>
      <c r="L867" s="80" t="s">
        <v>352</v>
      </c>
      <c r="M867" s="81">
        <v>1.5</v>
      </c>
      <c r="N867" s="82">
        <v>112.5</v>
      </c>
    </row>
    <row r="868" spans="1:14" x14ac:dyDescent="0.25">
      <c r="A868" s="10" t="str">
        <f>_xlfn.IFNA(
    IF(J868=
        "PCB-0001",
        "CSS",
        IF(
            ISNUMBER(MATCH(_xlfn.TEXTBEFORE(J868,"-"), {"CSS","CSN","PCB","PCF","BEC","CSD","PCM"}, 0)),
            _xlfn.TEXTBEFORE(J868,"-"),
            "Other"
        )
    ),
"Add")</f>
        <v>CSN</v>
      </c>
      <c r="B868" s="10" t="str">
        <f t="shared" si="14"/>
        <v>0001</v>
      </c>
      <c r="C868" s="10" t="str">
        <f>_xlfn.LET(
    _xlpm.val, IF(Datadetails[[#This Row],[Activity]]="D02","C20",Datadetails[[#This Row],[Activity]]),
    IF(ISNUMBER(MATCH(_xlpm.val,{"D04","C30","c40","C20"},0)), _xlpm.val, "Other")
)</f>
        <v>D04</v>
      </c>
      <c r="D868" s="10" t="str">
        <f>IFERROR(VLOOKUP(Datadetails[[#This Row],[Taskcode]],Dashboard!A:A,1,FALSE),"00 Err Missing")</f>
        <v>0001</v>
      </c>
      <c r="E868" s="79">
        <v>45817</v>
      </c>
      <c r="F868" s="80" t="s">
        <v>331</v>
      </c>
      <c r="G868" s="60" t="s">
        <v>40</v>
      </c>
      <c r="H868" s="80" t="s">
        <v>316</v>
      </c>
      <c r="I868" s="80" t="s">
        <v>35</v>
      </c>
      <c r="J868" s="80" t="s">
        <v>338</v>
      </c>
      <c r="K868" s="80" t="s">
        <v>337</v>
      </c>
      <c r="L868" s="80" t="s">
        <v>352</v>
      </c>
      <c r="M868" s="81">
        <v>0.33</v>
      </c>
      <c r="N868" s="82">
        <v>10.56</v>
      </c>
    </row>
    <row r="869" spans="1:14" x14ac:dyDescent="0.25">
      <c r="A869" s="10" t="str">
        <f>_xlfn.IFNA(
    IF(J869=
        "PCB-0001",
        "CSS",
        IF(
            ISNUMBER(MATCH(_xlfn.TEXTBEFORE(J869,"-"), {"CSS","CSN","PCB","PCF","BEC","CSD","PCM"}, 0)),
            _xlfn.TEXTBEFORE(J869,"-"),
            "Other"
        )
    ),
"Add")</f>
        <v>CSD</v>
      </c>
      <c r="B869" s="10" t="str">
        <f t="shared" si="14"/>
        <v>0001</v>
      </c>
      <c r="C869" s="10" t="str">
        <f>_xlfn.LET(
    _xlpm.val, IF(Datadetails[[#This Row],[Activity]]="D02","C20",Datadetails[[#This Row],[Activity]]),
    IF(ISNUMBER(MATCH(_xlpm.val,{"D04","C30","c40","C20"},0)), _xlpm.val, "Other")
)</f>
        <v>D04</v>
      </c>
      <c r="D869" s="10" t="str">
        <f>IFERROR(VLOOKUP(Datadetails[[#This Row],[Taskcode]],Dashboard!A:A,1,FALSE),"00 Err Missing")</f>
        <v>0001</v>
      </c>
      <c r="E869" s="79">
        <v>45817</v>
      </c>
      <c r="F869" s="80" t="s">
        <v>333</v>
      </c>
      <c r="G869" s="60" t="s">
        <v>40</v>
      </c>
      <c r="H869" s="80" t="s">
        <v>320</v>
      </c>
      <c r="I869" s="80" t="s">
        <v>35</v>
      </c>
      <c r="J869" s="80" t="s">
        <v>322</v>
      </c>
      <c r="K869" s="80" t="s">
        <v>319</v>
      </c>
      <c r="L869" s="80" t="s">
        <v>352</v>
      </c>
      <c r="M869" s="81">
        <v>6.92</v>
      </c>
      <c r="N869" s="82">
        <v>221.44</v>
      </c>
    </row>
    <row r="870" spans="1:14" x14ac:dyDescent="0.25">
      <c r="A870" s="10" t="str">
        <f>_xlfn.IFNA(
    IF(J870=
        "PCB-0001",
        "CSS",
        IF(
            ISNUMBER(MATCH(_xlfn.TEXTBEFORE(J870,"-"), {"CSS","CSN","PCB","PCF","BEC","CSD","PCM"}, 0)),
            _xlfn.TEXTBEFORE(J870,"-"),
            "Other"
        )
    ),
"Add")</f>
        <v>CSD</v>
      </c>
      <c r="B870" s="10" t="str">
        <f t="shared" si="14"/>
        <v>0001</v>
      </c>
      <c r="C870" s="10" t="str">
        <f>_xlfn.LET(
    _xlpm.val, IF(Datadetails[[#This Row],[Activity]]="D02","C20",Datadetails[[#This Row],[Activity]]),
    IF(ISNUMBER(MATCH(_xlpm.val,{"D04","C30","c40","C20"},0)), _xlpm.val, "Other")
)</f>
        <v>D04</v>
      </c>
      <c r="D870" s="10" t="str">
        <f>IFERROR(VLOOKUP(Datadetails[[#This Row],[Taskcode]],Dashboard!A:A,1,FALSE),"00 Err Missing")</f>
        <v>0001</v>
      </c>
      <c r="E870" s="79">
        <v>45817</v>
      </c>
      <c r="F870" s="80" t="s">
        <v>327</v>
      </c>
      <c r="G870" s="60" t="s">
        <v>40</v>
      </c>
      <c r="H870" s="80" t="s">
        <v>320</v>
      </c>
      <c r="I870" s="80" t="s">
        <v>35</v>
      </c>
      <c r="J870" s="80" t="s">
        <v>322</v>
      </c>
      <c r="K870" s="80" t="s">
        <v>319</v>
      </c>
      <c r="L870" s="80" t="s">
        <v>352</v>
      </c>
      <c r="M870" s="81">
        <v>7.5</v>
      </c>
      <c r="N870" s="82">
        <v>240</v>
      </c>
    </row>
    <row r="871" spans="1:14" x14ac:dyDescent="0.25">
      <c r="A871" s="10" t="str">
        <f>_xlfn.IFNA(
    IF(J871=
        "PCB-0001",
        "CSS",
        IF(
            ISNUMBER(MATCH(_xlfn.TEXTBEFORE(J871,"-"), {"CSS","CSN","PCB","PCF","BEC","CSD","PCM"}, 0)),
            _xlfn.TEXTBEFORE(J871,"-"),
            "Other"
        )
    ),
"Add")</f>
        <v>PCB</v>
      </c>
      <c r="B871" s="10" t="str">
        <f t="shared" si="14"/>
        <v>0031</v>
      </c>
      <c r="C871" s="10" t="str">
        <f>_xlfn.LET(
    _xlpm.val, IF(Datadetails[[#This Row],[Activity]]="D02","C20",Datadetails[[#This Row],[Activity]]),
    IF(ISNUMBER(MATCH(_xlpm.val,{"D04","C30","c40","C20"},0)), _xlpm.val, "Other")
)</f>
        <v>C20</v>
      </c>
      <c r="D871" s="10" t="str">
        <f>IFERROR(VLOOKUP(Datadetails[[#This Row],[Taskcode]],Dashboard!A:A,1,FALSE),"00 Err Missing")</f>
        <v>0031</v>
      </c>
      <c r="E871" s="79">
        <v>45817</v>
      </c>
      <c r="F871" s="80" t="s">
        <v>325</v>
      </c>
      <c r="G871" s="60" t="s">
        <v>40</v>
      </c>
      <c r="H871" s="80" t="s">
        <v>198</v>
      </c>
      <c r="I871" s="80" t="s">
        <v>36</v>
      </c>
      <c r="J871" s="80" t="s">
        <v>413</v>
      </c>
      <c r="K871" s="80" t="s">
        <v>347</v>
      </c>
      <c r="L871" s="80" t="s">
        <v>342</v>
      </c>
      <c r="M871" s="81">
        <v>0.57999999999999996</v>
      </c>
      <c r="N871" s="82">
        <v>43.5</v>
      </c>
    </row>
    <row r="872" spans="1:14" x14ac:dyDescent="0.25">
      <c r="A872" s="10" t="str">
        <f>_xlfn.IFNA(
    IF(J872=
        "PCB-0001",
        "CSS",
        IF(
            ISNUMBER(MATCH(_xlfn.TEXTBEFORE(J872,"-"), {"CSS","CSN","PCB","PCF","BEC","CSD","PCM"}, 0)),
            _xlfn.TEXTBEFORE(J872,"-"),
            "Other"
        )
    ),
"Add")</f>
        <v>PCB</v>
      </c>
      <c r="B872" s="10" t="str">
        <f t="shared" si="14"/>
        <v>0013</v>
      </c>
      <c r="C872" s="10" t="str">
        <f>_xlfn.LET(
    _xlpm.val, IF(Datadetails[[#This Row],[Activity]]="D02","C20",Datadetails[[#This Row],[Activity]]),
    IF(ISNUMBER(MATCH(_xlpm.val,{"D04","C30","c40","C20"},0)), _xlpm.val, "Other")
)</f>
        <v>C30</v>
      </c>
      <c r="D872" s="10" t="str">
        <f>IFERROR(VLOOKUP(Datadetails[[#This Row],[Taskcode]],Dashboard!A:A,1,FALSE),"00 Err Missing")</f>
        <v>0013</v>
      </c>
      <c r="E872" s="79">
        <v>45817</v>
      </c>
      <c r="F872" s="80" t="s">
        <v>325</v>
      </c>
      <c r="G872" s="60" t="s">
        <v>40</v>
      </c>
      <c r="H872" s="80" t="s">
        <v>180</v>
      </c>
      <c r="I872" s="80" t="s">
        <v>34</v>
      </c>
      <c r="J872" s="80" t="s">
        <v>465</v>
      </c>
      <c r="K872" s="80" t="s">
        <v>347</v>
      </c>
      <c r="L872" s="80" t="s">
        <v>343</v>
      </c>
      <c r="M872" s="81">
        <v>0.33</v>
      </c>
      <c r="N872" s="82">
        <v>24.75</v>
      </c>
    </row>
    <row r="873" spans="1:14" x14ac:dyDescent="0.25">
      <c r="A873" s="10" t="str">
        <f>_xlfn.IFNA(
    IF(J873=
        "PCB-0001",
        "CSS",
        IF(
            ISNUMBER(MATCH(_xlfn.TEXTBEFORE(J873,"-"), {"CSS","CSN","PCB","PCF","BEC","CSD","PCM"}, 0)),
            _xlfn.TEXTBEFORE(J873,"-"),
            "Other"
        )
    ),
"Add")</f>
        <v>PCB</v>
      </c>
      <c r="B873" s="10" t="str">
        <f t="shared" si="14"/>
        <v>0009</v>
      </c>
      <c r="C873" s="10" t="str">
        <f>_xlfn.LET(
    _xlpm.val, IF(Datadetails[[#This Row],[Activity]]="D02","C20",Datadetails[[#This Row],[Activity]]),
    IF(ISNUMBER(MATCH(_xlpm.val,{"D04","C30","c40","C20"},0)), _xlpm.val, "Other")
)</f>
        <v>C30</v>
      </c>
      <c r="D873" s="10" t="str">
        <f>IFERROR(VLOOKUP(Datadetails[[#This Row],[Taskcode]],Dashboard!A:A,1,FALSE),"00 Err Missing")</f>
        <v>0009</v>
      </c>
      <c r="E873" s="79">
        <v>45817</v>
      </c>
      <c r="F873" s="80" t="s">
        <v>330</v>
      </c>
      <c r="G873" s="60" t="s">
        <v>40</v>
      </c>
      <c r="H873" s="80" t="s">
        <v>176</v>
      </c>
      <c r="I873" s="80" t="s">
        <v>34</v>
      </c>
      <c r="J873" s="80" t="s">
        <v>458</v>
      </c>
      <c r="K873" s="80" t="s">
        <v>347</v>
      </c>
      <c r="L873" s="80" t="s">
        <v>343</v>
      </c>
      <c r="M873" s="81">
        <v>0.25</v>
      </c>
      <c r="N873" s="82">
        <v>15</v>
      </c>
    </row>
    <row r="874" spans="1:14" x14ac:dyDescent="0.25">
      <c r="A874" s="10" t="str">
        <f>_xlfn.IFNA(
    IF(J874=
        "PCB-0001",
        "CSS",
        IF(
            ISNUMBER(MATCH(_xlfn.TEXTBEFORE(J874,"-"), {"CSS","CSN","PCB","PCF","BEC","CSD","PCM"}, 0)),
            _xlfn.TEXTBEFORE(J874,"-"),
            "Other"
        )
    ),
"Add")</f>
        <v>PCB</v>
      </c>
      <c r="B874" s="10" t="str">
        <f t="shared" si="14"/>
        <v>0012</v>
      </c>
      <c r="C874" s="10" t="str">
        <f>_xlfn.LET(
    _xlpm.val, IF(Datadetails[[#This Row],[Activity]]="D02","C20",Datadetails[[#This Row],[Activity]]),
    IF(ISNUMBER(MATCH(_xlpm.val,{"D04","C30","c40","C20"},0)), _xlpm.val, "Other")
)</f>
        <v>C30</v>
      </c>
      <c r="D874" s="10" t="str">
        <f>IFERROR(VLOOKUP(Datadetails[[#This Row],[Taskcode]],Dashboard!A:A,1,FALSE),"00 Err Missing")</f>
        <v>0012</v>
      </c>
      <c r="E874" s="79">
        <v>45817</v>
      </c>
      <c r="F874" s="80" t="s">
        <v>325</v>
      </c>
      <c r="G874" s="60" t="s">
        <v>40</v>
      </c>
      <c r="H874" s="80" t="s">
        <v>179</v>
      </c>
      <c r="I874" s="80" t="s">
        <v>34</v>
      </c>
      <c r="J874" s="80" t="s">
        <v>422</v>
      </c>
      <c r="K874" s="80" t="s">
        <v>347</v>
      </c>
      <c r="L874" s="80" t="s">
        <v>343</v>
      </c>
      <c r="M874" s="81">
        <v>0.25</v>
      </c>
      <c r="N874" s="82">
        <v>18.75</v>
      </c>
    </row>
    <row r="875" spans="1:14" x14ac:dyDescent="0.25">
      <c r="A875" s="10" t="str">
        <f>_xlfn.IFNA(
    IF(J875=
        "PCB-0001",
        "CSS",
        IF(
            ISNUMBER(MATCH(_xlfn.TEXTBEFORE(J875,"-"), {"CSS","CSN","PCB","PCF","BEC","CSD","PCM"}, 0)),
            _xlfn.TEXTBEFORE(J875,"-"),
            "Other"
        )
    ),
"Add")</f>
        <v>PCB</v>
      </c>
      <c r="B875" s="10" t="str">
        <f t="shared" si="14"/>
        <v>0017</v>
      </c>
      <c r="C875" s="10" t="str">
        <f>_xlfn.LET(
    _xlpm.val, IF(Datadetails[[#This Row],[Activity]]="D02","C20",Datadetails[[#This Row],[Activity]]),
    IF(ISNUMBER(MATCH(_xlpm.val,{"D04","C30","c40","C20"},0)), _xlpm.val, "Other")
)</f>
        <v>C30</v>
      </c>
      <c r="D875" s="10" t="str">
        <f>IFERROR(VLOOKUP(Datadetails[[#This Row],[Taskcode]],Dashboard!A:A,1,FALSE),"00 Err Missing")</f>
        <v>0017</v>
      </c>
      <c r="E875" s="79">
        <v>45817</v>
      </c>
      <c r="F875" s="80" t="s">
        <v>330</v>
      </c>
      <c r="G875" s="60" t="s">
        <v>40</v>
      </c>
      <c r="H875" s="80" t="s">
        <v>184</v>
      </c>
      <c r="I875" s="80" t="s">
        <v>34</v>
      </c>
      <c r="J875" s="80" t="s">
        <v>459</v>
      </c>
      <c r="K875" s="80" t="s">
        <v>347</v>
      </c>
      <c r="L875" s="80" t="s">
        <v>343</v>
      </c>
      <c r="M875" s="81">
        <v>0.17</v>
      </c>
      <c r="N875" s="82">
        <v>10.200000000000001</v>
      </c>
    </row>
    <row r="876" spans="1:14" x14ac:dyDescent="0.25">
      <c r="A876" s="10" t="str">
        <f>_xlfn.IFNA(
    IF(J876=
        "PCB-0001",
        "CSS",
        IF(
            ISNUMBER(MATCH(_xlfn.TEXTBEFORE(J876,"-"), {"CSS","CSN","PCB","PCF","BEC","CSD","PCM"}, 0)),
            _xlfn.TEXTBEFORE(J876,"-"),
            "Other"
        )
    ),
"Add")</f>
        <v>PCB</v>
      </c>
      <c r="B876" s="10" t="str">
        <f t="shared" si="14"/>
        <v>0071</v>
      </c>
      <c r="C876" s="10" t="str">
        <f>_xlfn.LET(
    _xlpm.val, IF(Datadetails[[#This Row],[Activity]]="D02","C20",Datadetails[[#This Row],[Activity]]),
    IF(ISNUMBER(MATCH(_xlpm.val,{"D04","C30","c40","C20"},0)), _xlpm.val, "Other")
)</f>
        <v>C30</v>
      </c>
      <c r="D876" s="10" t="str">
        <f>IFERROR(VLOOKUP(Datadetails[[#This Row],[Taskcode]],Dashboard!A:A,1,FALSE),"00 Err Missing")</f>
        <v>0071</v>
      </c>
      <c r="E876" s="79">
        <v>45817</v>
      </c>
      <c r="F876" s="80" t="s">
        <v>329</v>
      </c>
      <c r="G876" s="60" t="s">
        <v>40</v>
      </c>
      <c r="H876" s="80" t="s">
        <v>238</v>
      </c>
      <c r="I876" s="80" t="s">
        <v>34</v>
      </c>
      <c r="J876" s="80" t="s">
        <v>374</v>
      </c>
      <c r="K876" s="80" t="s">
        <v>347</v>
      </c>
      <c r="L876" s="80" t="s">
        <v>343</v>
      </c>
      <c r="M876" s="81">
        <v>0.08</v>
      </c>
      <c r="N876" s="82">
        <v>6</v>
      </c>
    </row>
    <row r="877" spans="1:14" x14ac:dyDescent="0.25">
      <c r="A877" s="10" t="str">
        <f>_xlfn.IFNA(
    IF(J877=
        "PCB-0001",
        "CSS",
        IF(
            ISNUMBER(MATCH(_xlfn.TEXTBEFORE(J877,"-"), {"CSS","CSN","PCB","PCF","BEC","CSD","PCM"}, 0)),
            _xlfn.TEXTBEFORE(J877,"-"),
            "Other"
        )
    ),
"Add")</f>
        <v>PCB</v>
      </c>
      <c r="B877" s="10" t="str">
        <f t="shared" si="14"/>
        <v>0075</v>
      </c>
      <c r="C877" s="10" t="str">
        <f>_xlfn.LET(
    _xlpm.val, IF(Datadetails[[#This Row],[Activity]]="D02","C20",Datadetails[[#This Row],[Activity]]),
    IF(ISNUMBER(MATCH(_xlpm.val,{"D04","C30","c40","C20"},0)), _xlpm.val, "Other")
)</f>
        <v>C30</v>
      </c>
      <c r="D877" s="10" t="str">
        <f>IFERROR(VLOOKUP(Datadetails[[#This Row],[Taskcode]],Dashboard!A:A,1,FALSE),"00 Err Missing")</f>
        <v>0075</v>
      </c>
      <c r="E877" s="79">
        <v>45817</v>
      </c>
      <c r="F877" s="80" t="s">
        <v>329</v>
      </c>
      <c r="G877" s="60" t="s">
        <v>40</v>
      </c>
      <c r="H877" s="80" t="s">
        <v>242</v>
      </c>
      <c r="I877" s="80" t="s">
        <v>34</v>
      </c>
      <c r="J877" s="80" t="s">
        <v>404</v>
      </c>
      <c r="K877" s="80" t="s">
        <v>347</v>
      </c>
      <c r="L877" s="80" t="s">
        <v>343</v>
      </c>
      <c r="M877" s="81">
        <v>0.17</v>
      </c>
      <c r="N877" s="82">
        <v>12.750000000000002</v>
      </c>
    </row>
    <row r="878" spans="1:14" x14ac:dyDescent="0.25">
      <c r="A878" s="10" t="str">
        <f>_xlfn.IFNA(
    IF(J878=
        "PCB-0001",
        "CSS",
        IF(
            ISNUMBER(MATCH(_xlfn.TEXTBEFORE(J878,"-"), {"CSS","CSN","PCB","PCF","BEC","CSD","PCM"}, 0)),
            _xlfn.TEXTBEFORE(J878,"-"),
            "Other"
        )
    ),
"Add")</f>
        <v>PCB</v>
      </c>
      <c r="B878" s="10" t="str">
        <f t="shared" si="14"/>
        <v>0126</v>
      </c>
      <c r="C878" s="10" t="str">
        <f>_xlfn.LET(
    _xlpm.val, IF(Datadetails[[#This Row],[Activity]]="D02","C20",Datadetails[[#This Row],[Activity]]),
    IF(ISNUMBER(MATCH(_xlpm.val,{"D04","C30","c40","C20"},0)), _xlpm.val, "Other")
)</f>
        <v>C30</v>
      </c>
      <c r="D878" s="10" t="str">
        <f>IFERROR(VLOOKUP(Datadetails[[#This Row],[Taskcode]],Dashboard!A:A,1,FALSE),"00 Err Missing")</f>
        <v>0126</v>
      </c>
      <c r="E878" s="79">
        <v>45817</v>
      </c>
      <c r="F878" s="80" t="s">
        <v>329</v>
      </c>
      <c r="G878" s="60" t="s">
        <v>40</v>
      </c>
      <c r="H878" s="80" t="s">
        <v>293</v>
      </c>
      <c r="I878" s="80" t="s">
        <v>34</v>
      </c>
      <c r="J878" s="80" t="s">
        <v>376</v>
      </c>
      <c r="K878" s="80" t="s">
        <v>347</v>
      </c>
      <c r="L878" s="80" t="s">
        <v>343</v>
      </c>
      <c r="M878" s="81">
        <v>0.33</v>
      </c>
      <c r="N878" s="82">
        <v>24.75</v>
      </c>
    </row>
    <row r="879" spans="1:14" x14ac:dyDescent="0.25">
      <c r="A879" s="10" t="str">
        <f>_xlfn.IFNA(
    IF(J879=
        "PCB-0001",
        "CSS",
        IF(
            ISNUMBER(MATCH(_xlfn.TEXTBEFORE(J879,"-"), {"CSS","CSN","PCB","PCF","BEC","CSD","PCM"}, 0)),
            _xlfn.TEXTBEFORE(J879,"-"),
            "Other"
        )
    ),
"Add")</f>
        <v>PCB</v>
      </c>
      <c r="B879" s="10" t="str">
        <f t="shared" si="14"/>
        <v>0091</v>
      </c>
      <c r="C879" s="10" t="str">
        <f>_xlfn.LET(
    _xlpm.val, IF(Datadetails[[#This Row],[Activity]]="D02","C20",Datadetails[[#This Row],[Activity]]),
    IF(ISNUMBER(MATCH(_xlpm.val,{"D04","C30","c40","C20"},0)), _xlpm.val, "Other")
)</f>
        <v>C30</v>
      </c>
      <c r="D879" s="10" t="str">
        <f>IFERROR(VLOOKUP(Datadetails[[#This Row],[Taskcode]],Dashboard!A:A,1,FALSE),"00 Err Missing")</f>
        <v>0091</v>
      </c>
      <c r="E879" s="79">
        <v>45817</v>
      </c>
      <c r="F879" s="80" t="s">
        <v>329</v>
      </c>
      <c r="G879" s="60" t="s">
        <v>40</v>
      </c>
      <c r="H879" s="80" t="s">
        <v>258</v>
      </c>
      <c r="I879" s="80" t="s">
        <v>34</v>
      </c>
      <c r="J879" s="80" t="s">
        <v>381</v>
      </c>
      <c r="K879" s="80" t="s">
        <v>347</v>
      </c>
      <c r="L879" s="80" t="s">
        <v>343</v>
      </c>
      <c r="M879" s="81">
        <v>0.08</v>
      </c>
      <c r="N879" s="82">
        <v>6</v>
      </c>
    </row>
    <row r="880" spans="1:14" x14ac:dyDescent="0.25">
      <c r="A880" s="10" t="str">
        <f>_xlfn.IFNA(
    IF(J880=
        "PCB-0001",
        "CSS",
        IF(
            ISNUMBER(MATCH(_xlfn.TEXTBEFORE(J880,"-"), {"CSS","CSN","PCB","PCF","BEC","CSD","PCM"}, 0)),
            _xlfn.TEXTBEFORE(J880,"-"),
            "Other"
        )
    ),
"Add")</f>
        <v>PCB</v>
      </c>
      <c r="B880" s="10" t="str">
        <f t="shared" si="14"/>
        <v>0110</v>
      </c>
      <c r="C880" s="10" t="str">
        <f>_xlfn.LET(
    _xlpm.val, IF(Datadetails[[#This Row],[Activity]]="D02","C20",Datadetails[[#This Row],[Activity]]),
    IF(ISNUMBER(MATCH(_xlpm.val,{"D04","C30","c40","C20"},0)), _xlpm.val, "Other")
)</f>
        <v>C30</v>
      </c>
      <c r="D880" s="10" t="str">
        <f>IFERROR(VLOOKUP(Datadetails[[#This Row],[Taskcode]],Dashboard!A:A,1,FALSE),"00 Err Missing")</f>
        <v>0110</v>
      </c>
      <c r="E880" s="79">
        <v>45817</v>
      </c>
      <c r="F880" s="80" t="s">
        <v>325</v>
      </c>
      <c r="G880" s="60" t="s">
        <v>40</v>
      </c>
      <c r="H880" s="80" t="s">
        <v>277</v>
      </c>
      <c r="I880" s="80" t="s">
        <v>34</v>
      </c>
      <c r="J880" s="80" t="s">
        <v>353</v>
      </c>
      <c r="K880" s="80" t="s">
        <v>347</v>
      </c>
      <c r="L880" s="80" t="s">
        <v>343</v>
      </c>
      <c r="M880" s="81">
        <v>0.17</v>
      </c>
      <c r="N880" s="82">
        <v>12.750000000000002</v>
      </c>
    </row>
    <row r="881" spans="1:14" x14ac:dyDescent="0.25">
      <c r="A881" s="10" t="str">
        <f>_xlfn.IFNA(
    IF(J881=
        "PCB-0001",
        "CSS",
        IF(
            ISNUMBER(MATCH(_xlfn.TEXTBEFORE(J881,"-"), {"CSS","CSN","PCB","PCF","BEC","CSD","PCM"}, 0)),
            _xlfn.TEXTBEFORE(J881,"-"),
            "Other"
        )
    ),
"Add")</f>
        <v>PCB</v>
      </c>
      <c r="B881" s="10" t="str">
        <f t="shared" si="14"/>
        <v>0126</v>
      </c>
      <c r="C881" s="10" t="str">
        <f>_xlfn.LET(
    _xlpm.val, IF(Datadetails[[#This Row],[Activity]]="D02","C20",Datadetails[[#This Row],[Activity]]),
    IF(ISNUMBER(MATCH(_xlpm.val,{"D04","C30","c40","C20"},0)), _xlpm.val, "Other")
)</f>
        <v>C40</v>
      </c>
      <c r="D881" s="10" t="str">
        <f>IFERROR(VLOOKUP(Datadetails[[#This Row],[Taskcode]],Dashboard!A:A,1,FALSE),"00 Err Missing")</f>
        <v>0126</v>
      </c>
      <c r="E881" s="79">
        <v>45817</v>
      </c>
      <c r="F881" s="80" t="s">
        <v>329</v>
      </c>
      <c r="G881" s="60" t="s">
        <v>40</v>
      </c>
      <c r="H881" s="80" t="s">
        <v>293</v>
      </c>
      <c r="I881" s="80" t="s">
        <v>341</v>
      </c>
      <c r="J881" s="80" t="s">
        <v>376</v>
      </c>
      <c r="K881" s="80" t="s">
        <v>347</v>
      </c>
      <c r="L881" s="80" t="s">
        <v>344</v>
      </c>
      <c r="M881" s="81">
        <v>2</v>
      </c>
      <c r="N881" s="82">
        <v>150</v>
      </c>
    </row>
    <row r="882" spans="1:14" x14ac:dyDescent="0.25">
      <c r="A882" s="10" t="str">
        <f>_xlfn.IFNA(
    IF(J882=
        "PCB-0001",
        "CSS",
        IF(
            ISNUMBER(MATCH(_xlfn.TEXTBEFORE(J882,"-"), {"CSS","CSN","PCB","PCF","BEC","CSD","PCM"}, 0)),
            _xlfn.TEXTBEFORE(J882,"-"),
            "Other"
        )
    ),
"Add")</f>
        <v>PCB</v>
      </c>
      <c r="B882" s="10" t="str">
        <f t="shared" si="14"/>
        <v>0132</v>
      </c>
      <c r="C882" s="10" t="str">
        <f>_xlfn.LET(
    _xlpm.val, IF(Datadetails[[#This Row],[Activity]]="D02","C20",Datadetails[[#This Row],[Activity]]),
    IF(ISNUMBER(MATCH(_xlpm.val,{"D04","C30","c40","C20"},0)), _xlpm.val, "Other")
)</f>
        <v>C20</v>
      </c>
      <c r="D882" s="10" t="str">
        <f>IFERROR(VLOOKUP(Datadetails[[#This Row],[Taskcode]],Dashboard!A:A,1,FALSE),"00 Err Missing")</f>
        <v>0132</v>
      </c>
      <c r="E882" s="79">
        <v>45817</v>
      </c>
      <c r="F882" s="80" t="s">
        <v>329</v>
      </c>
      <c r="G882" s="60" t="s">
        <v>40</v>
      </c>
      <c r="H882" s="80" t="s">
        <v>299</v>
      </c>
      <c r="I882" s="80" t="s">
        <v>312</v>
      </c>
      <c r="J882" s="80" t="s">
        <v>455</v>
      </c>
      <c r="K882" s="80" t="s">
        <v>347</v>
      </c>
      <c r="L882" s="80" t="s">
        <v>350</v>
      </c>
      <c r="M882" s="81">
        <v>1</v>
      </c>
      <c r="N882" s="82">
        <v>75</v>
      </c>
    </row>
    <row r="883" spans="1:14" x14ac:dyDescent="0.25">
      <c r="A883" s="10" t="str">
        <f>_xlfn.IFNA(
    IF(J883=
        "PCB-0001",
        "CSS",
        IF(
            ISNUMBER(MATCH(_xlfn.TEXTBEFORE(J883,"-"), {"CSS","CSN","PCB","PCF","BEC","CSD","PCM"}, 0)),
            _xlfn.TEXTBEFORE(J883,"-"),
            "Other"
        )
    ),
"Add")</f>
        <v>PCF</v>
      </c>
      <c r="B883" s="10" t="str">
        <f t="shared" si="14"/>
        <v>0066</v>
      </c>
      <c r="C883" s="10" t="str">
        <f>_xlfn.LET(
    _xlpm.val, IF(Datadetails[[#This Row],[Activity]]="D02","C20",Datadetails[[#This Row],[Activity]]),
    IF(ISNUMBER(MATCH(_xlpm.val,{"D04","C30","c40","C20"},0)), _xlpm.val, "Other")
)</f>
        <v>C20</v>
      </c>
      <c r="D883" s="10" t="str">
        <f>IFERROR(VLOOKUP(Datadetails[[#This Row],[Taskcode]],Dashboard!A:A,1,FALSE),"00 Err Missing")</f>
        <v>0066</v>
      </c>
      <c r="E883" s="79">
        <v>45817</v>
      </c>
      <c r="F883" s="80" t="s">
        <v>326</v>
      </c>
      <c r="G883" s="60" t="s">
        <v>40</v>
      </c>
      <c r="H883" s="80" t="s">
        <v>233</v>
      </c>
      <c r="I883" s="80" t="s">
        <v>36</v>
      </c>
      <c r="J883" s="80" t="s">
        <v>387</v>
      </c>
      <c r="K883" s="80" t="s">
        <v>348</v>
      </c>
      <c r="L883" s="80" t="s">
        <v>342</v>
      </c>
      <c r="M883" s="81">
        <v>0.75</v>
      </c>
      <c r="N883" s="82">
        <v>45</v>
      </c>
    </row>
    <row r="884" spans="1:14" x14ac:dyDescent="0.25">
      <c r="A884" s="10" t="str">
        <f>_xlfn.IFNA(
    IF(J884=
        "PCB-0001",
        "CSS",
        IF(
            ISNUMBER(MATCH(_xlfn.TEXTBEFORE(J884,"-"), {"CSS","CSN","PCB","PCF","BEC","CSD","PCM"}, 0)),
            _xlfn.TEXTBEFORE(J884,"-"),
            "Other"
        )
    ),
"Add")</f>
        <v>PCF</v>
      </c>
      <c r="B884" s="10" t="str">
        <f t="shared" si="14"/>
        <v>0068</v>
      </c>
      <c r="C884" s="10" t="str">
        <f>_xlfn.LET(
    _xlpm.val, IF(Datadetails[[#This Row],[Activity]]="D02","C20",Datadetails[[#This Row],[Activity]]),
    IF(ISNUMBER(MATCH(_xlpm.val,{"D04","C30","c40","C20"},0)), _xlpm.val, "Other")
)</f>
        <v>C30</v>
      </c>
      <c r="D884" s="10" t="str">
        <f>IFERROR(VLOOKUP(Datadetails[[#This Row],[Taskcode]],Dashboard!A:A,1,FALSE),"00 Err Missing")</f>
        <v>0068</v>
      </c>
      <c r="E884" s="79">
        <v>45817</v>
      </c>
      <c r="F884" s="80" t="s">
        <v>326</v>
      </c>
      <c r="G884" s="60" t="s">
        <v>40</v>
      </c>
      <c r="H884" s="80" t="s">
        <v>235</v>
      </c>
      <c r="I884" s="80" t="s">
        <v>34</v>
      </c>
      <c r="J884" s="80" t="s">
        <v>355</v>
      </c>
      <c r="K884" s="80" t="s">
        <v>348</v>
      </c>
      <c r="L884" s="80" t="s">
        <v>343</v>
      </c>
      <c r="M884" s="81">
        <v>0.33</v>
      </c>
      <c r="N884" s="82">
        <v>19.8</v>
      </c>
    </row>
    <row r="885" spans="1:14" x14ac:dyDescent="0.25">
      <c r="A885" s="10" t="str">
        <f>_xlfn.IFNA(
    IF(J885=
        "PCB-0001",
        "CSS",
        IF(
            ISNUMBER(MATCH(_xlfn.TEXTBEFORE(J885,"-"), {"CSS","CSN","PCB","PCF","BEC","CSD","PCM"}, 0)),
            _xlfn.TEXTBEFORE(J885,"-"),
            "Other"
        )
    ),
"Add")</f>
        <v>PCF</v>
      </c>
      <c r="B885" s="10" t="str">
        <f t="shared" si="14"/>
        <v>0068</v>
      </c>
      <c r="C885" s="10" t="str">
        <f>_xlfn.LET(
    _xlpm.val, IF(Datadetails[[#This Row],[Activity]]="D02","C20",Datadetails[[#This Row],[Activity]]),
    IF(ISNUMBER(MATCH(_xlpm.val,{"D04","C30","c40","C20"},0)), _xlpm.val, "Other")
)</f>
        <v>C40</v>
      </c>
      <c r="D885" s="10" t="str">
        <f>IFERROR(VLOOKUP(Datadetails[[#This Row],[Taskcode]],Dashboard!A:A,1,FALSE),"00 Err Missing")</f>
        <v>0068</v>
      </c>
      <c r="E885" s="79">
        <v>45817</v>
      </c>
      <c r="F885" s="80" t="s">
        <v>326</v>
      </c>
      <c r="G885" s="60" t="s">
        <v>40</v>
      </c>
      <c r="H885" s="80" t="s">
        <v>235</v>
      </c>
      <c r="I885" s="80" t="s">
        <v>341</v>
      </c>
      <c r="J885" s="80" t="s">
        <v>355</v>
      </c>
      <c r="K885" s="80" t="s">
        <v>348</v>
      </c>
      <c r="L885" s="80" t="s">
        <v>344</v>
      </c>
      <c r="M885" s="81">
        <v>1.5</v>
      </c>
      <c r="N885" s="82">
        <v>90</v>
      </c>
    </row>
    <row r="886" spans="1:14" x14ac:dyDescent="0.25">
      <c r="A886" s="10" t="str">
        <f>_xlfn.IFNA(
    IF(J886=
        "PCB-0001",
        "CSS",
        IF(
            ISNUMBER(MATCH(_xlfn.TEXTBEFORE(J886,"-"), {"CSS","CSN","PCB","PCF","BEC","CSD","PCM"}, 0)),
            _xlfn.TEXTBEFORE(J886,"-"),
            "Other"
        )
    ),
"Add")</f>
        <v>PCF</v>
      </c>
      <c r="B886" s="10" t="str">
        <f t="shared" si="14"/>
        <v>0069</v>
      </c>
      <c r="C886" s="10" t="str">
        <f>_xlfn.LET(
    _xlpm.val, IF(Datadetails[[#This Row],[Activity]]="D02","C20",Datadetails[[#This Row],[Activity]]),
    IF(ISNUMBER(MATCH(_xlpm.val,{"D04","C30","c40","C20"},0)), _xlpm.val, "Other")
)</f>
        <v>C40</v>
      </c>
      <c r="D886" s="10" t="str">
        <f>IFERROR(VLOOKUP(Datadetails[[#This Row],[Taskcode]],Dashboard!A:A,1,FALSE),"00 Err Missing")</f>
        <v>0069</v>
      </c>
      <c r="E886" s="79">
        <v>45817</v>
      </c>
      <c r="F886" s="80" t="s">
        <v>326</v>
      </c>
      <c r="G886" s="60" t="s">
        <v>40</v>
      </c>
      <c r="H886" s="80" t="s">
        <v>236</v>
      </c>
      <c r="I886" s="80" t="s">
        <v>341</v>
      </c>
      <c r="J886" s="80" t="s">
        <v>357</v>
      </c>
      <c r="K886" s="80" t="s">
        <v>348</v>
      </c>
      <c r="L886" s="80" t="s">
        <v>344</v>
      </c>
      <c r="M886" s="81">
        <v>1.5</v>
      </c>
      <c r="N886" s="82">
        <v>90</v>
      </c>
    </row>
    <row r="887" spans="1:14" x14ac:dyDescent="0.25">
      <c r="A887" s="10" t="str">
        <f>_xlfn.IFNA(
    IF(J887=
        "PCB-0001",
        "CSS",
        IF(
            ISNUMBER(MATCH(_xlfn.TEXTBEFORE(J887,"-"), {"CSS","CSN","PCB","PCF","BEC","CSD","PCM"}, 0)),
            _xlfn.TEXTBEFORE(J887,"-"),
            "Other"
        )
    ),
"Add")</f>
        <v>BEC</v>
      </c>
      <c r="B887" s="10" t="str">
        <f t="shared" si="14"/>
        <v>0001</v>
      </c>
      <c r="C887" s="10" t="str">
        <f>_xlfn.LET(
    _xlpm.val, IF(Datadetails[[#This Row],[Activity]]="D02","C20",Datadetails[[#This Row],[Activity]]),
    IF(ISNUMBER(MATCH(_xlpm.val,{"D04","C30","c40","C20"},0)), _xlpm.val, "Other")
)</f>
        <v>D04</v>
      </c>
      <c r="D887" s="10" t="str">
        <f>IFERROR(VLOOKUP(Datadetails[[#This Row],[Taskcode]],Dashboard!A:A,1,FALSE),"00 Err Missing")</f>
        <v>0001</v>
      </c>
      <c r="E887" s="79">
        <v>45817</v>
      </c>
      <c r="F887" s="80" t="s">
        <v>332</v>
      </c>
      <c r="G887" s="60" t="s">
        <v>40</v>
      </c>
      <c r="H887" s="80" t="s">
        <v>314</v>
      </c>
      <c r="I887" s="80" t="s">
        <v>35</v>
      </c>
      <c r="J887" s="80" t="s">
        <v>359</v>
      </c>
      <c r="K887" s="80" t="s">
        <v>339</v>
      </c>
      <c r="L887" s="80" t="s">
        <v>352</v>
      </c>
      <c r="M887" s="81">
        <v>7.5</v>
      </c>
      <c r="N887" s="82">
        <v>300</v>
      </c>
    </row>
    <row r="888" spans="1:14" x14ac:dyDescent="0.25">
      <c r="A888" s="10" t="str">
        <f>_xlfn.IFNA(
    IF(J888=
        "PCB-0001",
        "CSS",
        IF(
            ISNUMBER(MATCH(_xlfn.TEXTBEFORE(J888,"-"), {"CSS","CSN","PCB","PCF","BEC","CSD","PCM"}, 0)),
            _xlfn.TEXTBEFORE(J888,"-"),
            "Other"
        )
    ),
"Add")</f>
        <v>BEC</v>
      </c>
      <c r="B888" s="10" t="str">
        <f t="shared" si="14"/>
        <v>0001</v>
      </c>
      <c r="C888" s="10" t="str">
        <f>_xlfn.LET(
    _xlpm.val, IF(Datadetails[[#This Row],[Activity]]="D02","C20",Datadetails[[#This Row],[Activity]]),
    IF(ISNUMBER(MATCH(_xlpm.val,{"D04","C30","c40","C20"},0)), _xlpm.val, "Other")
)</f>
        <v>D04</v>
      </c>
      <c r="D888" s="10" t="str">
        <f>IFERROR(VLOOKUP(Datadetails[[#This Row],[Taskcode]],Dashboard!A:A,1,FALSE),"00 Err Missing")</f>
        <v>0001</v>
      </c>
      <c r="E888" s="79">
        <v>45817</v>
      </c>
      <c r="F888" s="80" t="s">
        <v>324</v>
      </c>
      <c r="G888" s="60" t="s">
        <v>40</v>
      </c>
      <c r="H888" s="80" t="s">
        <v>314</v>
      </c>
      <c r="I888" s="80" t="s">
        <v>35</v>
      </c>
      <c r="J888" s="80" t="s">
        <v>359</v>
      </c>
      <c r="K888" s="80" t="s">
        <v>339</v>
      </c>
      <c r="L888" s="80" t="s">
        <v>352</v>
      </c>
      <c r="M888" s="81">
        <v>5.5</v>
      </c>
      <c r="N888" s="82">
        <v>412.5</v>
      </c>
    </row>
    <row r="889" spans="1:14" x14ac:dyDescent="0.25">
      <c r="A889" s="10" t="str">
        <f>_xlfn.IFNA(
    IF(J889=
        "PCB-0001",
        "CSS",
        IF(
            ISNUMBER(MATCH(_xlfn.TEXTBEFORE(J889,"-"), {"CSS","CSN","PCB","PCF","BEC","CSD","PCM"}, 0)),
            _xlfn.TEXTBEFORE(J889,"-"),
            "Other"
        )
    ),
"Add")</f>
        <v>CSN</v>
      </c>
      <c r="B889" s="10" t="str">
        <f t="shared" si="14"/>
        <v>0001</v>
      </c>
      <c r="C889" s="10" t="str">
        <f>_xlfn.LET(
    _xlpm.val, IF(Datadetails[[#This Row],[Activity]]="D02","C20",Datadetails[[#This Row],[Activity]]),
    IF(ISNUMBER(MATCH(_xlpm.val,{"D04","C30","c40","C20"},0)), _xlpm.val, "Other")
)</f>
        <v>D04</v>
      </c>
      <c r="D889" s="10" t="str">
        <f>IFERROR(VLOOKUP(Datadetails[[#This Row],[Taskcode]],Dashboard!A:A,1,FALSE),"00 Err Missing")</f>
        <v>0001</v>
      </c>
      <c r="E889" s="79">
        <v>45818</v>
      </c>
      <c r="F889" s="80" t="s">
        <v>329</v>
      </c>
      <c r="G889" s="60" t="s">
        <v>40</v>
      </c>
      <c r="H889" s="80" t="s">
        <v>316</v>
      </c>
      <c r="I889" s="80" t="s">
        <v>35</v>
      </c>
      <c r="J889" s="80" t="s">
        <v>338</v>
      </c>
      <c r="K889" s="80" t="s">
        <v>337</v>
      </c>
      <c r="L889" s="80" t="s">
        <v>352</v>
      </c>
      <c r="M889" s="81">
        <v>1.33</v>
      </c>
      <c r="N889" s="82">
        <v>99.75</v>
      </c>
    </row>
    <row r="890" spans="1:14" x14ac:dyDescent="0.25">
      <c r="A890" s="10" t="str">
        <f>_xlfn.IFNA(
    IF(J890=
        "PCB-0001",
        "CSS",
        IF(
            ISNUMBER(MATCH(_xlfn.TEXTBEFORE(J890,"-"), {"CSS","CSN","PCB","PCF","BEC","CSD","PCM"}, 0)),
            _xlfn.TEXTBEFORE(J890,"-"),
            "Other"
        )
    ),
"Add")</f>
        <v>CSN</v>
      </c>
      <c r="B890" s="10" t="str">
        <f t="shared" si="14"/>
        <v>0001</v>
      </c>
      <c r="C890" s="10" t="str">
        <f>_xlfn.LET(
    _xlpm.val, IF(Datadetails[[#This Row],[Activity]]="D02","C20",Datadetails[[#This Row],[Activity]]),
    IF(ISNUMBER(MATCH(_xlpm.val,{"D04","C30","c40","C20"},0)), _xlpm.val, "Other")
)</f>
        <v>D04</v>
      </c>
      <c r="D890" s="10" t="str">
        <f>IFERROR(VLOOKUP(Datadetails[[#This Row],[Taskcode]],Dashboard!A:A,1,FALSE),"00 Err Missing")</f>
        <v>0001</v>
      </c>
      <c r="E890" s="79">
        <v>45818</v>
      </c>
      <c r="F890" s="80" t="s">
        <v>331</v>
      </c>
      <c r="G890" s="60" t="s">
        <v>40</v>
      </c>
      <c r="H890" s="80" t="s">
        <v>316</v>
      </c>
      <c r="I890" s="80" t="s">
        <v>35</v>
      </c>
      <c r="J890" s="80" t="s">
        <v>338</v>
      </c>
      <c r="K890" s="80" t="s">
        <v>337</v>
      </c>
      <c r="L890" s="80" t="s">
        <v>352</v>
      </c>
      <c r="M890" s="81">
        <v>2.58</v>
      </c>
      <c r="N890" s="82">
        <v>82.56</v>
      </c>
    </row>
    <row r="891" spans="1:14" x14ac:dyDescent="0.25">
      <c r="A891" s="10" t="str">
        <f>_xlfn.IFNA(
    IF(J891=
        "PCB-0001",
        "CSS",
        IF(
            ISNUMBER(MATCH(_xlfn.TEXTBEFORE(J891,"-"), {"CSS","CSN","PCB","PCF","BEC","CSD","PCM"}, 0)),
            _xlfn.TEXTBEFORE(J891,"-"),
            "Other"
        )
    ),
"Add")</f>
        <v>CSD</v>
      </c>
      <c r="B891" s="10" t="str">
        <f t="shared" si="14"/>
        <v>0001</v>
      </c>
      <c r="C891" s="10" t="str">
        <f>_xlfn.LET(
    _xlpm.val, IF(Datadetails[[#This Row],[Activity]]="D02","C20",Datadetails[[#This Row],[Activity]]),
    IF(ISNUMBER(MATCH(_xlpm.val,{"D04","C30","c40","C20"},0)), _xlpm.val, "Other")
)</f>
        <v>D04</v>
      </c>
      <c r="D891" s="10" t="str">
        <f>IFERROR(VLOOKUP(Datadetails[[#This Row],[Taskcode]],Dashboard!A:A,1,FALSE),"00 Err Missing")</f>
        <v>0001</v>
      </c>
      <c r="E891" s="79">
        <v>45818</v>
      </c>
      <c r="F891" s="80" t="s">
        <v>333</v>
      </c>
      <c r="G891" s="60" t="s">
        <v>40</v>
      </c>
      <c r="H891" s="80" t="s">
        <v>320</v>
      </c>
      <c r="I891" s="80" t="s">
        <v>35</v>
      </c>
      <c r="J891" s="80" t="s">
        <v>322</v>
      </c>
      <c r="K891" s="80" t="s">
        <v>319</v>
      </c>
      <c r="L891" s="80" t="s">
        <v>352</v>
      </c>
      <c r="M891" s="81">
        <v>7.45</v>
      </c>
      <c r="N891" s="82">
        <v>238.4</v>
      </c>
    </row>
    <row r="892" spans="1:14" x14ac:dyDescent="0.25">
      <c r="A892" s="10" t="str">
        <f>_xlfn.IFNA(
    IF(J892=
        "PCB-0001",
        "CSS",
        IF(
            ISNUMBER(MATCH(_xlfn.TEXTBEFORE(J892,"-"), {"CSS","CSN","PCB","PCF","BEC","CSD","PCM"}, 0)),
            _xlfn.TEXTBEFORE(J892,"-"),
            "Other"
        )
    ),
"Add")</f>
        <v>CSD</v>
      </c>
      <c r="B892" s="10" t="str">
        <f t="shared" si="14"/>
        <v>0001</v>
      </c>
      <c r="C892" s="10" t="str">
        <f>_xlfn.LET(
    _xlpm.val, IF(Datadetails[[#This Row],[Activity]]="D02","C20",Datadetails[[#This Row],[Activity]]),
    IF(ISNUMBER(MATCH(_xlpm.val,{"D04","C30","c40","C20"},0)), _xlpm.val, "Other")
)</f>
        <v>D04</v>
      </c>
      <c r="D892" s="10" t="str">
        <f>IFERROR(VLOOKUP(Datadetails[[#This Row],[Taskcode]],Dashboard!A:A,1,FALSE),"00 Err Missing")</f>
        <v>0001</v>
      </c>
      <c r="E892" s="79">
        <v>45818</v>
      </c>
      <c r="F892" s="80" t="s">
        <v>327</v>
      </c>
      <c r="G892" s="60" t="s">
        <v>40</v>
      </c>
      <c r="H892" s="80" t="s">
        <v>320</v>
      </c>
      <c r="I892" s="80" t="s">
        <v>35</v>
      </c>
      <c r="J892" s="80" t="s">
        <v>322</v>
      </c>
      <c r="K892" s="80" t="s">
        <v>319</v>
      </c>
      <c r="L892" s="80" t="s">
        <v>352</v>
      </c>
      <c r="M892" s="81">
        <v>7.42</v>
      </c>
      <c r="N892" s="82">
        <v>237.44</v>
      </c>
    </row>
    <row r="893" spans="1:14" x14ac:dyDescent="0.25">
      <c r="A893" s="10" t="str">
        <f>_xlfn.IFNA(
    IF(J893=
        "PCB-0001",
        "CSS",
        IF(
            ISNUMBER(MATCH(_xlfn.TEXTBEFORE(J893,"-"), {"CSS","CSN","PCB","PCF","BEC","CSD","PCM"}, 0)),
            _xlfn.TEXTBEFORE(J893,"-"),
            "Other"
        )
    ),
"Add")</f>
        <v>PCB</v>
      </c>
      <c r="B893" s="10" t="str">
        <f t="shared" si="14"/>
        <v>0012</v>
      </c>
      <c r="C893" s="10" t="str">
        <f>_xlfn.LET(
    _xlpm.val, IF(Datadetails[[#This Row],[Activity]]="D02","C20",Datadetails[[#This Row],[Activity]]),
    IF(ISNUMBER(MATCH(_xlpm.val,{"D04","C30","c40","C20"},0)), _xlpm.val, "Other")
)</f>
        <v>C30</v>
      </c>
      <c r="D893" s="10" t="str">
        <f>IFERROR(VLOOKUP(Datadetails[[#This Row],[Taskcode]],Dashboard!A:A,1,FALSE),"00 Err Missing")</f>
        <v>0012</v>
      </c>
      <c r="E893" s="79">
        <v>45818</v>
      </c>
      <c r="F893" s="80" t="s">
        <v>325</v>
      </c>
      <c r="G893" s="60" t="s">
        <v>40</v>
      </c>
      <c r="H893" s="80" t="s">
        <v>179</v>
      </c>
      <c r="I893" s="80" t="s">
        <v>34</v>
      </c>
      <c r="J893" s="80" t="s">
        <v>422</v>
      </c>
      <c r="K893" s="80" t="s">
        <v>347</v>
      </c>
      <c r="L893" s="80" t="s">
        <v>343</v>
      </c>
      <c r="M893" s="81">
        <v>0.25</v>
      </c>
      <c r="N893" s="82">
        <v>18.75</v>
      </c>
    </row>
    <row r="894" spans="1:14" x14ac:dyDescent="0.25">
      <c r="A894" s="10" t="str">
        <f>_xlfn.IFNA(
    IF(J894=
        "PCB-0001",
        "CSS",
        IF(
            ISNUMBER(MATCH(_xlfn.TEXTBEFORE(J894,"-"), {"CSS","CSN","PCB","PCF","BEC","CSD","PCM"}, 0)),
            _xlfn.TEXTBEFORE(J894,"-"),
            "Other"
        )
    ),
"Add")</f>
        <v>PCB</v>
      </c>
      <c r="B894" s="10" t="str">
        <f t="shared" si="14"/>
        <v>0054</v>
      </c>
      <c r="C894" s="10" t="str">
        <f>_xlfn.LET(
    _xlpm.val, IF(Datadetails[[#This Row],[Activity]]="D02","C20",Datadetails[[#This Row],[Activity]]),
    IF(ISNUMBER(MATCH(_xlpm.val,{"D04","C30","c40","C20"},0)), _xlpm.val, "Other")
)</f>
        <v>C30</v>
      </c>
      <c r="D894" s="10" t="str">
        <f>IFERROR(VLOOKUP(Datadetails[[#This Row],[Taskcode]],Dashboard!A:A,1,FALSE),"00 Err Missing")</f>
        <v>0054</v>
      </c>
      <c r="E894" s="79">
        <v>45818</v>
      </c>
      <c r="F894" s="80" t="s">
        <v>329</v>
      </c>
      <c r="G894" s="60" t="s">
        <v>40</v>
      </c>
      <c r="H894" s="80" t="s">
        <v>221</v>
      </c>
      <c r="I894" s="80" t="s">
        <v>34</v>
      </c>
      <c r="J894" s="80" t="s">
        <v>369</v>
      </c>
      <c r="K894" s="80" t="s">
        <v>347</v>
      </c>
      <c r="L894" s="80" t="s">
        <v>343</v>
      </c>
      <c r="M894" s="81">
        <v>0.17</v>
      </c>
      <c r="N894" s="82">
        <v>12.750000000000002</v>
      </c>
    </row>
    <row r="895" spans="1:14" x14ac:dyDescent="0.25">
      <c r="A895" s="10" t="str">
        <f>_xlfn.IFNA(
    IF(J895=
        "PCB-0001",
        "CSS",
        IF(
            ISNUMBER(MATCH(_xlfn.TEXTBEFORE(J895,"-"), {"CSS","CSN","PCB","PCF","BEC","CSD","PCM"}, 0)),
            _xlfn.TEXTBEFORE(J895,"-"),
            "Other"
        )
    ),
"Add")</f>
        <v>PCB</v>
      </c>
      <c r="B895" s="10" t="str">
        <f t="shared" si="14"/>
        <v>0043</v>
      </c>
      <c r="C895" s="10" t="str">
        <f>_xlfn.LET(
    _xlpm.val, IF(Datadetails[[#This Row],[Activity]]="D02","C20",Datadetails[[#This Row],[Activity]]),
    IF(ISNUMBER(MATCH(_xlpm.val,{"D04","C30","c40","C20"},0)), _xlpm.val, "Other")
)</f>
        <v>C30</v>
      </c>
      <c r="D895" s="10" t="str">
        <f>IFERROR(VLOOKUP(Datadetails[[#This Row],[Taskcode]],Dashboard!A:A,1,FALSE),"00 Err Missing")</f>
        <v>0043</v>
      </c>
      <c r="E895" s="79">
        <v>45818</v>
      </c>
      <c r="F895" s="80" t="s">
        <v>325</v>
      </c>
      <c r="G895" s="60" t="s">
        <v>40</v>
      </c>
      <c r="H895" s="80" t="s">
        <v>210</v>
      </c>
      <c r="I895" s="80" t="s">
        <v>34</v>
      </c>
      <c r="J895" s="80" t="s">
        <v>399</v>
      </c>
      <c r="K895" s="80" t="s">
        <v>347</v>
      </c>
      <c r="L895" s="80" t="s">
        <v>343</v>
      </c>
      <c r="M895" s="81">
        <v>0.17</v>
      </c>
      <c r="N895" s="82">
        <v>12.750000000000002</v>
      </c>
    </row>
    <row r="896" spans="1:14" x14ac:dyDescent="0.25">
      <c r="A896" s="10" t="str">
        <f>_xlfn.IFNA(
    IF(J896=
        "PCB-0001",
        "CSS",
        IF(
            ISNUMBER(MATCH(_xlfn.TEXTBEFORE(J896,"-"), {"CSS","CSN","PCB","PCF","BEC","CSD","PCM"}, 0)),
            _xlfn.TEXTBEFORE(J896,"-"),
            "Other"
        )
    ),
"Add")</f>
        <v>PCB</v>
      </c>
      <c r="B896" s="10" t="str">
        <f t="shared" si="14"/>
        <v>0134</v>
      </c>
      <c r="C896" s="10" t="str">
        <f>_xlfn.LET(
    _xlpm.val, IF(Datadetails[[#This Row],[Activity]]="D02","C20",Datadetails[[#This Row],[Activity]]),
    IF(ISNUMBER(MATCH(_xlpm.val,{"D04","C30","c40","C20"},0)), _xlpm.val, "Other")
)</f>
        <v>C30</v>
      </c>
      <c r="D896" s="10" t="str">
        <f>IFERROR(VLOOKUP(Datadetails[[#This Row],[Taskcode]],Dashboard!A:A,1,FALSE),"00 Err Missing")</f>
        <v>0134</v>
      </c>
      <c r="E896" s="79">
        <v>45818</v>
      </c>
      <c r="F896" s="80" t="s">
        <v>329</v>
      </c>
      <c r="G896" s="60" t="s">
        <v>40</v>
      </c>
      <c r="H896" s="80" t="s">
        <v>301</v>
      </c>
      <c r="I896" s="80" t="s">
        <v>34</v>
      </c>
      <c r="J896" s="80" t="s">
        <v>371</v>
      </c>
      <c r="K896" s="80" t="s">
        <v>347</v>
      </c>
      <c r="L896" s="80" t="s">
        <v>343</v>
      </c>
      <c r="M896" s="81">
        <v>0.17</v>
      </c>
      <c r="N896" s="82">
        <v>12.750000000000002</v>
      </c>
    </row>
    <row r="897" spans="1:14" x14ac:dyDescent="0.25">
      <c r="A897" s="10" t="str">
        <f>_xlfn.IFNA(
    IF(J897=
        "PCB-0001",
        "CSS",
        IF(
            ISNUMBER(MATCH(_xlfn.TEXTBEFORE(J897,"-"), {"CSS","CSN","PCB","PCF","BEC","CSD","PCM"}, 0)),
            _xlfn.TEXTBEFORE(J897,"-"),
            "Other"
        )
    ),
"Add")</f>
        <v>PCB</v>
      </c>
      <c r="B897" s="10" t="str">
        <f t="shared" si="14"/>
        <v>0075</v>
      </c>
      <c r="C897" s="10" t="str">
        <f>_xlfn.LET(
    _xlpm.val, IF(Datadetails[[#This Row],[Activity]]="D02","C20",Datadetails[[#This Row],[Activity]]),
    IF(ISNUMBER(MATCH(_xlpm.val,{"D04","C30","c40","C20"},0)), _xlpm.val, "Other")
)</f>
        <v>C30</v>
      </c>
      <c r="D897" s="10" t="str">
        <f>IFERROR(VLOOKUP(Datadetails[[#This Row],[Taskcode]],Dashboard!A:A,1,FALSE),"00 Err Missing")</f>
        <v>0075</v>
      </c>
      <c r="E897" s="79">
        <v>45818</v>
      </c>
      <c r="F897" s="80" t="s">
        <v>329</v>
      </c>
      <c r="G897" s="60" t="s">
        <v>40</v>
      </c>
      <c r="H897" s="80" t="s">
        <v>242</v>
      </c>
      <c r="I897" s="80" t="s">
        <v>34</v>
      </c>
      <c r="J897" s="80" t="s">
        <v>404</v>
      </c>
      <c r="K897" s="80" t="s">
        <v>347</v>
      </c>
      <c r="L897" s="80" t="s">
        <v>343</v>
      </c>
      <c r="M897" s="81">
        <v>0.25</v>
      </c>
      <c r="N897" s="82">
        <v>18.75</v>
      </c>
    </row>
    <row r="898" spans="1:14" x14ac:dyDescent="0.25">
      <c r="A898" s="10" t="str">
        <f>_xlfn.IFNA(
    IF(J898=
        "PCB-0001",
        "CSS",
        IF(
            ISNUMBER(MATCH(_xlfn.TEXTBEFORE(J898,"-"), {"CSS","CSN","PCB","PCF","BEC","CSD","PCM"}, 0)),
            _xlfn.TEXTBEFORE(J898,"-"),
            "Other"
        )
    ),
"Add")</f>
        <v>PCB</v>
      </c>
      <c r="B898" s="10" t="str">
        <f t="shared" si="14"/>
        <v>0123</v>
      </c>
      <c r="C898" s="10" t="str">
        <f>_xlfn.LET(
    _xlpm.val, IF(Datadetails[[#This Row],[Activity]]="D02","C20",Datadetails[[#This Row],[Activity]]),
    IF(ISNUMBER(MATCH(_xlpm.val,{"D04","C30","c40","C20"},0)), _xlpm.val, "Other")
)</f>
        <v>C30</v>
      </c>
      <c r="D898" s="10" t="str">
        <f>IFERROR(VLOOKUP(Datadetails[[#This Row],[Taskcode]],Dashboard!A:A,1,FALSE),"00 Err Missing")</f>
        <v>0123</v>
      </c>
      <c r="E898" s="79">
        <v>45818</v>
      </c>
      <c r="F898" s="80" t="s">
        <v>325</v>
      </c>
      <c r="G898" s="60" t="s">
        <v>40</v>
      </c>
      <c r="H898" s="80" t="s">
        <v>290</v>
      </c>
      <c r="I898" s="80" t="s">
        <v>34</v>
      </c>
      <c r="J898" s="80" t="s">
        <v>428</v>
      </c>
      <c r="K898" s="80" t="s">
        <v>347</v>
      </c>
      <c r="L898" s="80" t="s">
        <v>343</v>
      </c>
      <c r="M898" s="81">
        <v>0.17</v>
      </c>
      <c r="N898" s="82">
        <v>12.750000000000002</v>
      </c>
    </row>
    <row r="899" spans="1:14" x14ac:dyDescent="0.25">
      <c r="A899" s="10" t="str">
        <f>_xlfn.IFNA(
    IF(J899=
        "PCB-0001",
        "CSS",
        IF(
            ISNUMBER(MATCH(_xlfn.TEXTBEFORE(J899,"-"), {"CSS","CSN","PCB","PCF","BEC","CSD","PCM"}, 0)),
            _xlfn.TEXTBEFORE(J899,"-"),
            "Other"
        )
    ),
"Add")</f>
        <v>PCB</v>
      </c>
      <c r="B899" s="10" t="str">
        <f t="shared" si="14"/>
        <v>0126</v>
      </c>
      <c r="C899" s="10" t="str">
        <f>_xlfn.LET(
    _xlpm.val, IF(Datadetails[[#This Row],[Activity]]="D02","C20",Datadetails[[#This Row],[Activity]]),
    IF(ISNUMBER(MATCH(_xlpm.val,{"D04","C30","c40","C20"},0)), _xlpm.val, "Other")
)</f>
        <v>C30</v>
      </c>
      <c r="D899" s="10" t="str">
        <f>IFERROR(VLOOKUP(Datadetails[[#This Row],[Taskcode]],Dashboard!A:A,1,FALSE),"00 Err Missing")</f>
        <v>0126</v>
      </c>
      <c r="E899" s="79">
        <v>45818</v>
      </c>
      <c r="F899" s="80" t="s">
        <v>329</v>
      </c>
      <c r="G899" s="60" t="s">
        <v>40</v>
      </c>
      <c r="H899" s="80" t="s">
        <v>293</v>
      </c>
      <c r="I899" s="80" t="s">
        <v>34</v>
      </c>
      <c r="J899" s="80" t="s">
        <v>376</v>
      </c>
      <c r="K899" s="80" t="s">
        <v>347</v>
      </c>
      <c r="L899" s="80" t="s">
        <v>343</v>
      </c>
      <c r="M899" s="81">
        <v>1</v>
      </c>
      <c r="N899" s="82">
        <v>75</v>
      </c>
    </row>
    <row r="900" spans="1:14" x14ac:dyDescent="0.25">
      <c r="A900" s="10" t="str">
        <f>_xlfn.IFNA(
    IF(J900=
        "PCB-0001",
        "CSS",
        IF(
            ISNUMBER(MATCH(_xlfn.TEXTBEFORE(J900,"-"), {"CSS","CSN","PCB","PCF","BEC","CSD","PCM"}, 0)),
            _xlfn.TEXTBEFORE(J900,"-"),
            "Other"
        )
    ),
"Add")</f>
        <v>PCB</v>
      </c>
      <c r="B900" s="10" t="str">
        <f t="shared" ref="B900:B963" si="15">_xlfn.IFNA(_xlfn.TEXTAFTER(J900,"-"),"Data to C2")</f>
        <v>0120</v>
      </c>
      <c r="C900" s="10" t="str">
        <f>_xlfn.LET(
    _xlpm.val, IF(Datadetails[[#This Row],[Activity]]="D02","C20",Datadetails[[#This Row],[Activity]]),
    IF(ISNUMBER(MATCH(_xlpm.val,{"D04","C30","c40","C20"},0)), _xlpm.val, "Other")
)</f>
        <v>C30</v>
      </c>
      <c r="D900" s="10" t="str">
        <f>IFERROR(VLOOKUP(Datadetails[[#This Row],[Taskcode]],Dashboard!A:A,1,FALSE),"00 Err Missing")</f>
        <v>0120</v>
      </c>
      <c r="E900" s="79">
        <v>45818</v>
      </c>
      <c r="F900" s="80" t="s">
        <v>325</v>
      </c>
      <c r="G900" s="60" t="s">
        <v>40</v>
      </c>
      <c r="H900" s="80" t="s">
        <v>287</v>
      </c>
      <c r="I900" s="80" t="s">
        <v>34</v>
      </c>
      <c r="J900" s="80" t="s">
        <v>378</v>
      </c>
      <c r="K900" s="80" t="s">
        <v>347</v>
      </c>
      <c r="L900" s="80" t="s">
        <v>343</v>
      </c>
      <c r="M900" s="81">
        <v>0.25</v>
      </c>
      <c r="N900" s="82">
        <v>18.75</v>
      </c>
    </row>
    <row r="901" spans="1:14" x14ac:dyDescent="0.25">
      <c r="A901" s="10" t="str">
        <f>_xlfn.IFNA(
    IF(J901=
        "PCB-0001",
        "CSS",
        IF(
            ISNUMBER(MATCH(_xlfn.TEXTBEFORE(J901,"-"), {"CSS","CSN","PCB","PCF","BEC","CSD","PCM"}, 0)),
            _xlfn.TEXTBEFORE(J901,"-"),
            "Other"
        )
    ),
"Add")</f>
        <v>PCB</v>
      </c>
      <c r="B901" s="10" t="str">
        <f t="shared" si="15"/>
        <v>0128</v>
      </c>
      <c r="C901" s="10" t="str">
        <f>_xlfn.LET(
    _xlpm.val, IF(Datadetails[[#This Row],[Activity]]="D02","C20",Datadetails[[#This Row],[Activity]]),
    IF(ISNUMBER(MATCH(_xlpm.val,{"D04","C30","c40","C20"},0)), _xlpm.val, "Other")
)</f>
        <v>C30</v>
      </c>
      <c r="D901" s="10" t="str">
        <f>IFERROR(VLOOKUP(Datadetails[[#This Row],[Taskcode]],Dashboard!A:A,1,FALSE),"00 Err Missing")</f>
        <v>0128</v>
      </c>
      <c r="E901" s="79">
        <v>45818</v>
      </c>
      <c r="F901" s="80" t="s">
        <v>329</v>
      </c>
      <c r="G901" s="60" t="s">
        <v>40</v>
      </c>
      <c r="H901" s="80" t="s">
        <v>295</v>
      </c>
      <c r="I901" s="80" t="s">
        <v>34</v>
      </c>
      <c r="J901" s="80" t="s">
        <v>379</v>
      </c>
      <c r="K901" s="80" t="s">
        <v>347</v>
      </c>
      <c r="L901" s="80" t="s">
        <v>343</v>
      </c>
      <c r="M901" s="81">
        <v>0.17</v>
      </c>
      <c r="N901" s="82">
        <v>12.750000000000002</v>
      </c>
    </row>
    <row r="902" spans="1:14" x14ac:dyDescent="0.25">
      <c r="A902" s="10" t="str">
        <f>_xlfn.IFNA(
    IF(J902=
        "PCB-0001",
        "CSS",
        IF(
            ISNUMBER(MATCH(_xlfn.TEXTBEFORE(J902,"-"), {"CSS","CSN","PCB","PCF","BEC","CSD","PCM"}, 0)),
            _xlfn.TEXTBEFORE(J902,"-"),
            "Other"
        )
    ),
"Add")</f>
        <v>PCB</v>
      </c>
      <c r="B902" s="10" t="str">
        <f t="shared" si="15"/>
        <v>0138</v>
      </c>
      <c r="C902" s="10" t="str">
        <f>_xlfn.LET(
    _xlpm.val, IF(Datadetails[[#This Row],[Activity]]="D02","C20",Datadetails[[#This Row],[Activity]]),
    IF(ISNUMBER(MATCH(_xlpm.val,{"D04","C30","c40","C20"},0)), _xlpm.val, "Other")
)</f>
        <v>C30</v>
      </c>
      <c r="D902" s="10" t="str">
        <f>IFERROR(VLOOKUP(Datadetails[[#This Row],[Taskcode]],Dashboard!A:A,1,FALSE),"00 Err Missing")</f>
        <v>0138</v>
      </c>
      <c r="E902" s="79">
        <v>45818</v>
      </c>
      <c r="F902" s="80" t="s">
        <v>325</v>
      </c>
      <c r="G902" s="60" t="s">
        <v>40</v>
      </c>
      <c r="H902" s="80" t="s">
        <v>305</v>
      </c>
      <c r="I902" s="80" t="s">
        <v>34</v>
      </c>
      <c r="J902" s="80" t="s">
        <v>382</v>
      </c>
      <c r="K902" s="80" t="s">
        <v>347</v>
      </c>
      <c r="L902" s="80" t="s">
        <v>343</v>
      </c>
      <c r="M902" s="81">
        <v>0.17</v>
      </c>
      <c r="N902" s="82">
        <v>12.750000000000002</v>
      </c>
    </row>
    <row r="903" spans="1:14" x14ac:dyDescent="0.25">
      <c r="A903" s="10" t="str">
        <f>_xlfn.IFNA(
    IF(J903=
        "PCB-0001",
        "CSS",
        IF(
            ISNUMBER(MATCH(_xlfn.TEXTBEFORE(J903,"-"), {"CSS","CSN","PCB","PCF","BEC","CSD","PCM"}, 0)),
            _xlfn.TEXTBEFORE(J903,"-"),
            "Other"
        )
    ),
"Add")</f>
        <v>PCB</v>
      </c>
      <c r="B903" s="10" t="str">
        <f t="shared" si="15"/>
        <v>0086</v>
      </c>
      <c r="C903" s="10" t="str">
        <f>_xlfn.LET(
    _xlpm.val, IF(Datadetails[[#This Row],[Activity]]="D02","C20",Datadetails[[#This Row],[Activity]]),
    IF(ISNUMBER(MATCH(_xlpm.val,{"D04","C30","c40","C20"},0)), _xlpm.val, "Other")
)</f>
        <v>C30</v>
      </c>
      <c r="D903" s="10" t="str">
        <f>IFERROR(VLOOKUP(Datadetails[[#This Row],[Taskcode]],Dashboard!A:A,1,FALSE),"00 Err Missing")</f>
        <v>0086</v>
      </c>
      <c r="E903" s="79">
        <v>45818</v>
      </c>
      <c r="F903" s="80" t="s">
        <v>325</v>
      </c>
      <c r="G903" s="60" t="s">
        <v>40</v>
      </c>
      <c r="H903" s="80" t="s">
        <v>253</v>
      </c>
      <c r="I903" s="80" t="s">
        <v>34</v>
      </c>
      <c r="J903" s="80" t="s">
        <v>408</v>
      </c>
      <c r="K903" s="80" t="s">
        <v>347</v>
      </c>
      <c r="L903" s="80" t="s">
        <v>343</v>
      </c>
      <c r="M903" s="81">
        <v>0.17</v>
      </c>
      <c r="N903" s="82">
        <v>12.750000000000002</v>
      </c>
    </row>
    <row r="904" spans="1:14" x14ac:dyDescent="0.25">
      <c r="A904" s="10" t="str">
        <f>_xlfn.IFNA(
    IF(J904=
        "PCB-0001",
        "CSS",
        IF(
            ISNUMBER(MATCH(_xlfn.TEXTBEFORE(J904,"-"), {"CSS","CSN","PCB","PCF","BEC","CSD","PCM"}, 0)),
            _xlfn.TEXTBEFORE(J904,"-"),
            "Other"
        )
    ),
"Add")</f>
        <v>PCB</v>
      </c>
      <c r="B904" s="10" t="str">
        <f t="shared" si="15"/>
        <v>0081</v>
      </c>
      <c r="C904" s="10" t="str">
        <f>_xlfn.LET(
    _xlpm.val, IF(Datadetails[[#This Row],[Activity]]="D02","C20",Datadetails[[#This Row],[Activity]]),
    IF(ISNUMBER(MATCH(_xlpm.val,{"D04","C30","c40","C20"},0)), _xlpm.val, "Other")
)</f>
        <v>C30</v>
      </c>
      <c r="D904" s="10" t="str">
        <f>IFERROR(VLOOKUP(Datadetails[[#This Row],[Taskcode]],Dashboard!A:A,1,FALSE),"00 Err Missing")</f>
        <v>0081</v>
      </c>
      <c r="E904" s="79">
        <v>45818</v>
      </c>
      <c r="F904" s="80" t="s">
        <v>329</v>
      </c>
      <c r="G904" s="60" t="s">
        <v>40</v>
      </c>
      <c r="H904" s="80" t="s">
        <v>248</v>
      </c>
      <c r="I904" s="80" t="s">
        <v>34</v>
      </c>
      <c r="J904" s="80" t="s">
        <v>385</v>
      </c>
      <c r="K904" s="80" t="s">
        <v>347</v>
      </c>
      <c r="L904" s="80" t="s">
        <v>343</v>
      </c>
      <c r="M904" s="81">
        <v>0.25</v>
      </c>
      <c r="N904" s="82">
        <v>18.75</v>
      </c>
    </row>
    <row r="905" spans="1:14" x14ac:dyDescent="0.25">
      <c r="A905" s="10" t="str">
        <f>_xlfn.IFNA(
    IF(J905=
        "PCB-0001",
        "CSS",
        IF(
            ISNUMBER(MATCH(_xlfn.TEXTBEFORE(J905,"-"), {"CSS","CSN","PCB","PCF","BEC","CSD","PCM"}, 0)),
            _xlfn.TEXTBEFORE(J905,"-"),
            "Other"
        )
    ),
"Add")</f>
        <v>PCB</v>
      </c>
      <c r="B905" s="10" t="str">
        <f t="shared" si="15"/>
        <v>0109</v>
      </c>
      <c r="C905" s="10" t="str">
        <f>_xlfn.LET(
    _xlpm.val, IF(Datadetails[[#This Row],[Activity]]="D02","C20",Datadetails[[#This Row],[Activity]]),
    IF(ISNUMBER(MATCH(_xlpm.val,{"D04","C30","c40","C20"},0)), _xlpm.val, "Other")
)</f>
        <v>C30</v>
      </c>
      <c r="D905" s="10" t="str">
        <f>IFERROR(VLOOKUP(Datadetails[[#This Row],[Taskcode]],Dashboard!A:A,1,FALSE),"00 Err Missing")</f>
        <v>0109</v>
      </c>
      <c r="E905" s="79">
        <v>45818</v>
      </c>
      <c r="F905" s="80" t="s">
        <v>325</v>
      </c>
      <c r="G905" s="60" t="s">
        <v>40</v>
      </c>
      <c r="H905" s="80" t="s">
        <v>276</v>
      </c>
      <c r="I905" s="80" t="s">
        <v>34</v>
      </c>
      <c r="J905" s="80" t="s">
        <v>425</v>
      </c>
      <c r="K905" s="80" t="s">
        <v>347</v>
      </c>
      <c r="L905" s="80" t="s">
        <v>343</v>
      </c>
      <c r="M905" s="81">
        <v>0.75</v>
      </c>
      <c r="N905" s="82">
        <v>56.25</v>
      </c>
    </row>
    <row r="906" spans="1:14" x14ac:dyDescent="0.25">
      <c r="A906" s="10" t="str">
        <f>_xlfn.IFNA(
    IF(J906=
        "PCB-0001",
        "CSS",
        IF(
            ISNUMBER(MATCH(_xlfn.TEXTBEFORE(J906,"-"), {"CSS","CSN","PCB","PCF","BEC","CSD","PCM"}, 0)),
            _xlfn.TEXTBEFORE(J906,"-"),
            "Other"
        )
    ),
"Add")</f>
        <v>PCB</v>
      </c>
      <c r="B906" s="10" t="str">
        <f t="shared" si="15"/>
        <v>0110</v>
      </c>
      <c r="C906" s="10" t="str">
        <f>_xlfn.LET(
    _xlpm.val, IF(Datadetails[[#This Row],[Activity]]="D02","C20",Datadetails[[#This Row],[Activity]]),
    IF(ISNUMBER(MATCH(_xlpm.val,{"D04","C30","c40","C20"},0)), _xlpm.val, "Other")
)</f>
        <v>C30</v>
      </c>
      <c r="D906" s="10" t="str">
        <f>IFERROR(VLOOKUP(Datadetails[[#This Row],[Taskcode]],Dashboard!A:A,1,FALSE),"00 Err Missing")</f>
        <v>0110</v>
      </c>
      <c r="E906" s="79">
        <v>45818</v>
      </c>
      <c r="F906" s="80" t="s">
        <v>325</v>
      </c>
      <c r="G906" s="60" t="s">
        <v>40</v>
      </c>
      <c r="H906" s="80" t="s">
        <v>277</v>
      </c>
      <c r="I906" s="80" t="s">
        <v>34</v>
      </c>
      <c r="J906" s="80" t="s">
        <v>353</v>
      </c>
      <c r="K906" s="80" t="s">
        <v>347</v>
      </c>
      <c r="L906" s="80" t="s">
        <v>343</v>
      </c>
      <c r="M906" s="81">
        <v>0.33</v>
      </c>
      <c r="N906" s="82">
        <v>24.75</v>
      </c>
    </row>
    <row r="907" spans="1:14" x14ac:dyDescent="0.25">
      <c r="A907" s="10" t="str">
        <f>_xlfn.IFNA(
    IF(J907=
        "PCB-0001",
        "CSS",
        IF(
            ISNUMBER(MATCH(_xlfn.TEXTBEFORE(J907,"-"), {"CSS","CSN","PCB","PCF","BEC","CSD","PCM"}, 0)),
            _xlfn.TEXTBEFORE(J907,"-"),
            "Other"
        )
    ),
"Add")</f>
        <v>PCB</v>
      </c>
      <c r="B907" s="10" t="str">
        <f t="shared" si="15"/>
        <v>0101</v>
      </c>
      <c r="C907" s="10" t="str">
        <f>_xlfn.LET(
    _xlpm.val, IF(Datadetails[[#This Row],[Activity]]="D02","C20",Datadetails[[#This Row],[Activity]]),
    IF(ISNUMBER(MATCH(_xlpm.val,{"D04","C30","c40","C20"},0)), _xlpm.val, "Other")
)</f>
        <v>C30</v>
      </c>
      <c r="D907" s="10" t="str">
        <f>IFERROR(VLOOKUP(Datadetails[[#This Row],[Taskcode]],Dashboard!A:A,1,FALSE),"00 Err Missing")</f>
        <v>0101</v>
      </c>
      <c r="E907" s="79">
        <v>45818</v>
      </c>
      <c r="F907" s="80" t="s">
        <v>329</v>
      </c>
      <c r="G907" s="60" t="s">
        <v>40</v>
      </c>
      <c r="H907" s="80" t="s">
        <v>268</v>
      </c>
      <c r="I907" s="80" t="s">
        <v>34</v>
      </c>
      <c r="J907" s="80" t="s">
        <v>386</v>
      </c>
      <c r="K907" s="80" t="s">
        <v>347</v>
      </c>
      <c r="L907" s="80" t="s">
        <v>343</v>
      </c>
      <c r="M907" s="81">
        <v>0.17</v>
      </c>
      <c r="N907" s="82">
        <v>12.750000000000002</v>
      </c>
    </row>
    <row r="908" spans="1:14" x14ac:dyDescent="0.25">
      <c r="A908" s="10" t="str">
        <f>_xlfn.IFNA(
    IF(J908=
        "PCB-0001",
        "CSS",
        IF(
            ISNUMBER(MATCH(_xlfn.TEXTBEFORE(J908,"-"), {"CSS","CSN","PCB","PCF","BEC","CSD","PCM"}, 0)),
            _xlfn.TEXTBEFORE(J908,"-"),
            "Other"
        )
    ),
"Add")</f>
        <v>PCF</v>
      </c>
      <c r="B908" s="10" t="str">
        <f t="shared" si="15"/>
        <v>0066</v>
      </c>
      <c r="C908" s="10" t="str">
        <f>_xlfn.LET(
    _xlpm.val, IF(Datadetails[[#This Row],[Activity]]="D02","C20",Datadetails[[#This Row],[Activity]]),
    IF(ISNUMBER(MATCH(_xlpm.val,{"D04","C30","c40","C20"},0)), _xlpm.val, "Other")
)</f>
        <v>C20</v>
      </c>
      <c r="D908" s="10" t="str">
        <f>IFERROR(VLOOKUP(Datadetails[[#This Row],[Taskcode]],Dashboard!A:A,1,FALSE),"00 Err Missing")</f>
        <v>0066</v>
      </c>
      <c r="E908" s="79">
        <v>45818</v>
      </c>
      <c r="F908" s="80" t="s">
        <v>326</v>
      </c>
      <c r="G908" s="60" t="s">
        <v>40</v>
      </c>
      <c r="H908" s="80" t="s">
        <v>233</v>
      </c>
      <c r="I908" s="80" t="s">
        <v>36</v>
      </c>
      <c r="J908" s="80" t="s">
        <v>387</v>
      </c>
      <c r="K908" s="80" t="s">
        <v>348</v>
      </c>
      <c r="L908" s="80" t="s">
        <v>342</v>
      </c>
      <c r="M908" s="81">
        <v>1</v>
      </c>
      <c r="N908" s="82">
        <v>60</v>
      </c>
    </row>
    <row r="909" spans="1:14" x14ac:dyDescent="0.25">
      <c r="A909" s="10" t="str">
        <f>_xlfn.IFNA(
    IF(J909=
        "PCB-0001",
        "CSS",
        IF(
            ISNUMBER(MATCH(_xlfn.TEXTBEFORE(J909,"-"), {"CSS","CSN","PCB","PCF","BEC","CSD","PCM"}, 0)),
            _xlfn.TEXTBEFORE(J909,"-"),
            "Other"
        )
    ),
"Add")</f>
        <v>PCF</v>
      </c>
      <c r="B909" s="10" t="str">
        <f t="shared" si="15"/>
        <v>0069</v>
      </c>
      <c r="C909" s="10" t="str">
        <f>_xlfn.LET(
    _xlpm.val, IF(Datadetails[[#This Row],[Activity]]="D02","C20",Datadetails[[#This Row],[Activity]]),
    IF(ISNUMBER(MATCH(_xlpm.val,{"D04","C30","c40","C20"},0)), _xlpm.val, "Other")
)</f>
        <v>C20</v>
      </c>
      <c r="D909" s="10" t="str">
        <f>IFERROR(VLOOKUP(Datadetails[[#This Row],[Taskcode]],Dashboard!A:A,1,FALSE),"00 Err Missing")</f>
        <v>0069</v>
      </c>
      <c r="E909" s="79">
        <v>45818</v>
      </c>
      <c r="F909" s="80" t="s">
        <v>326</v>
      </c>
      <c r="G909" s="60" t="s">
        <v>40</v>
      </c>
      <c r="H909" s="80" t="s">
        <v>236</v>
      </c>
      <c r="I909" s="80" t="s">
        <v>36</v>
      </c>
      <c r="J909" s="80" t="s">
        <v>357</v>
      </c>
      <c r="K909" s="80" t="s">
        <v>348</v>
      </c>
      <c r="L909" s="80" t="s">
        <v>342</v>
      </c>
      <c r="M909" s="81">
        <v>1.42</v>
      </c>
      <c r="N909" s="82">
        <v>85.199999999999989</v>
      </c>
    </row>
    <row r="910" spans="1:14" x14ac:dyDescent="0.25">
      <c r="A910" s="10" t="str">
        <f>_xlfn.IFNA(
    IF(J910=
        "PCB-0001",
        "CSS",
        IF(
            ISNUMBER(MATCH(_xlfn.TEXTBEFORE(J910,"-"), {"CSS","CSN","PCB","PCF","BEC","CSD","PCM"}, 0)),
            _xlfn.TEXTBEFORE(J910,"-"),
            "Other"
        )
    ),
"Add")</f>
        <v>PCF</v>
      </c>
      <c r="B910" s="10" t="str">
        <f t="shared" si="15"/>
        <v>0133</v>
      </c>
      <c r="C910" s="10" t="str">
        <f>_xlfn.LET(
    _xlpm.val, IF(Datadetails[[#This Row],[Activity]]="D02","C20",Datadetails[[#This Row],[Activity]]),
    IF(ISNUMBER(MATCH(_xlpm.val,{"D04","C30","c40","C20"},0)), _xlpm.val, "Other")
)</f>
        <v>C40</v>
      </c>
      <c r="D910" s="10" t="str">
        <f>IFERROR(VLOOKUP(Datadetails[[#This Row],[Taskcode]],Dashboard!A:A,1,FALSE),"00 Err Missing")</f>
        <v>0133</v>
      </c>
      <c r="E910" s="79">
        <v>45818</v>
      </c>
      <c r="F910" s="80" t="s">
        <v>326</v>
      </c>
      <c r="G910" s="60" t="s">
        <v>40</v>
      </c>
      <c r="H910" s="80" t="s">
        <v>300</v>
      </c>
      <c r="I910" s="80" t="s">
        <v>341</v>
      </c>
      <c r="J910" s="80" t="s">
        <v>464</v>
      </c>
      <c r="K910" s="80" t="s">
        <v>348</v>
      </c>
      <c r="L910" s="80" t="s">
        <v>344</v>
      </c>
      <c r="M910" s="81">
        <v>1.67</v>
      </c>
      <c r="N910" s="82">
        <v>100.19999999999999</v>
      </c>
    </row>
    <row r="911" spans="1:14" x14ac:dyDescent="0.25">
      <c r="A911" s="10" t="str">
        <f>_xlfn.IFNA(
    IF(J911=
        "PCB-0001",
        "CSS",
        IF(
            ISNUMBER(MATCH(_xlfn.TEXTBEFORE(J911,"-"), {"CSS","CSN","PCB","PCF","BEC","CSD","PCM"}, 0)),
            _xlfn.TEXTBEFORE(J911,"-"),
            "Other"
        )
    ),
"Add")</f>
        <v>BEC</v>
      </c>
      <c r="B911" s="10" t="str">
        <f t="shared" si="15"/>
        <v>0001</v>
      </c>
      <c r="C911" s="10" t="str">
        <f>_xlfn.LET(
    _xlpm.val, IF(Datadetails[[#This Row],[Activity]]="D02","C20",Datadetails[[#This Row],[Activity]]),
    IF(ISNUMBER(MATCH(_xlpm.val,{"D04","C30","c40","C20"},0)), _xlpm.val, "Other")
)</f>
        <v>D04</v>
      </c>
      <c r="D911" s="10" t="str">
        <f>IFERROR(VLOOKUP(Datadetails[[#This Row],[Taskcode]],Dashboard!A:A,1,FALSE),"00 Err Missing")</f>
        <v>0001</v>
      </c>
      <c r="E911" s="79">
        <v>45818</v>
      </c>
      <c r="F911" s="80" t="s">
        <v>332</v>
      </c>
      <c r="G911" s="60" t="s">
        <v>40</v>
      </c>
      <c r="H911" s="80" t="s">
        <v>314</v>
      </c>
      <c r="I911" s="80" t="s">
        <v>35</v>
      </c>
      <c r="J911" s="80" t="s">
        <v>359</v>
      </c>
      <c r="K911" s="80" t="s">
        <v>339</v>
      </c>
      <c r="L911" s="80" t="s">
        <v>352</v>
      </c>
      <c r="M911" s="81">
        <v>8.83</v>
      </c>
      <c r="N911" s="82">
        <v>353.2</v>
      </c>
    </row>
    <row r="912" spans="1:14" x14ac:dyDescent="0.25">
      <c r="A912" s="10" t="str">
        <f>_xlfn.IFNA(
    IF(J912=
        "PCB-0001",
        "CSS",
        IF(
            ISNUMBER(MATCH(_xlfn.TEXTBEFORE(J912,"-"), {"CSS","CSN","PCB","PCF","BEC","CSD","PCM"}, 0)),
            _xlfn.TEXTBEFORE(J912,"-"),
            "Other"
        )
    ),
"Add")</f>
        <v>BEC</v>
      </c>
      <c r="B912" s="10" t="str">
        <f t="shared" si="15"/>
        <v>0001</v>
      </c>
      <c r="C912" s="10" t="str">
        <f>_xlfn.LET(
    _xlpm.val, IF(Datadetails[[#This Row],[Activity]]="D02","C20",Datadetails[[#This Row],[Activity]]),
    IF(ISNUMBER(MATCH(_xlpm.val,{"D04","C30","c40","C20"},0)), _xlpm.val, "Other")
)</f>
        <v>D04</v>
      </c>
      <c r="D912" s="10" t="str">
        <f>IFERROR(VLOOKUP(Datadetails[[#This Row],[Taskcode]],Dashboard!A:A,1,FALSE),"00 Err Missing")</f>
        <v>0001</v>
      </c>
      <c r="E912" s="79">
        <v>45818</v>
      </c>
      <c r="F912" s="80" t="s">
        <v>324</v>
      </c>
      <c r="G912" s="60" t="s">
        <v>40</v>
      </c>
      <c r="H912" s="80" t="s">
        <v>314</v>
      </c>
      <c r="I912" s="80" t="s">
        <v>35</v>
      </c>
      <c r="J912" s="80" t="s">
        <v>359</v>
      </c>
      <c r="K912" s="80" t="s">
        <v>339</v>
      </c>
      <c r="L912" s="80" t="s">
        <v>352</v>
      </c>
      <c r="M912" s="81">
        <v>6</v>
      </c>
      <c r="N912" s="82">
        <v>450</v>
      </c>
    </row>
    <row r="913" spans="1:14" x14ac:dyDescent="0.25">
      <c r="A913" s="10" t="str">
        <f>_xlfn.IFNA(
    IF(J913=
        "PCB-0001",
        "CSS",
        IF(
            ISNUMBER(MATCH(_xlfn.TEXTBEFORE(J913,"-"), {"CSS","CSN","PCB","PCF","BEC","CSD","PCM"}, 0)),
            _xlfn.TEXTBEFORE(J913,"-"),
            "Other"
        )
    ),
"Add")</f>
        <v>PCB</v>
      </c>
      <c r="B913" s="10" t="str">
        <f t="shared" si="15"/>
        <v>0102</v>
      </c>
      <c r="C913" s="10" t="str">
        <f>_xlfn.LET(
    _xlpm.val, IF(Datadetails[[#This Row],[Activity]]="D02","C20",Datadetails[[#This Row],[Activity]]),
    IF(ISNUMBER(MATCH(_xlpm.val,{"D04","C30","c40","C20"},0)), _xlpm.val, "Other")
)</f>
        <v>C30</v>
      </c>
      <c r="D913" s="10" t="str">
        <f>IFERROR(VLOOKUP(Datadetails[[#This Row],[Taskcode]],Dashboard!A:A,1,FALSE),"00 Err Missing")</f>
        <v>0102</v>
      </c>
      <c r="E913" s="79">
        <v>45819</v>
      </c>
      <c r="F913" s="80" t="s">
        <v>329</v>
      </c>
      <c r="G913" s="60" t="s">
        <v>40</v>
      </c>
      <c r="H913" s="80" t="s">
        <v>269</v>
      </c>
      <c r="I913" s="80" t="s">
        <v>34</v>
      </c>
      <c r="J913" s="80" t="s">
        <v>361</v>
      </c>
      <c r="K913" s="80" t="s">
        <v>347</v>
      </c>
      <c r="L913" s="80" t="s">
        <v>343</v>
      </c>
      <c r="M913" s="81">
        <v>0.08</v>
      </c>
      <c r="N913" s="82">
        <v>6</v>
      </c>
    </row>
    <row r="914" spans="1:14" x14ac:dyDescent="0.25">
      <c r="A914" s="10" t="str">
        <f>_xlfn.IFNA(
    IF(J914=
        "PCB-0001",
        "CSS",
        IF(
            ISNUMBER(MATCH(_xlfn.TEXTBEFORE(J914,"-"), {"CSS","CSN","PCB","PCF","BEC","CSD","PCM"}, 0)),
            _xlfn.TEXTBEFORE(J914,"-"),
            "Other"
        )
    ),
"Add")</f>
        <v>CSN</v>
      </c>
      <c r="B914" s="10" t="str">
        <f t="shared" si="15"/>
        <v>0001</v>
      </c>
      <c r="C914" s="10" t="str">
        <f>_xlfn.LET(
    _xlpm.val, IF(Datadetails[[#This Row],[Activity]]="D02","C20",Datadetails[[#This Row],[Activity]]),
    IF(ISNUMBER(MATCH(_xlpm.val,{"D04","C30","c40","C20"},0)), _xlpm.val, "Other")
)</f>
        <v>D04</v>
      </c>
      <c r="D914" s="10" t="str">
        <f>IFERROR(VLOOKUP(Datadetails[[#This Row],[Taskcode]],Dashboard!A:A,1,FALSE),"00 Err Missing")</f>
        <v>0001</v>
      </c>
      <c r="E914" s="79">
        <v>45819</v>
      </c>
      <c r="F914" s="80" t="s">
        <v>329</v>
      </c>
      <c r="G914" s="60" t="s">
        <v>40</v>
      </c>
      <c r="H914" s="80" t="s">
        <v>316</v>
      </c>
      <c r="I914" s="80" t="s">
        <v>35</v>
      </c>
      <c r="J914" s="80" t="s">
        <v>338</v>
      </c>
      <c r="K914" s="80" t="s">
        <v>337</v>
      </c>
      <c r="L914" s="80" t="s">
        <v>352</v>
      </c>
      <c r="M914" s="81">
        <v>1.17</v>
      </c>
      <c r="N914" s="82">
        <v>87.75</v>
      </c>
    </row>
    <row r="915" spans="1:14" x14ac:dyDescent="0.25">
      <c r="A915" s="10" t="str">
        <f>_xlfn.IFNA(
    IF(J915=
        "PCB-0001",
        "CSS",
        IF(
            ISNUMBER(MATCH(_xlfn.TEXTBEFORE(J915,"-"), {"CSS","CSN","PCB","PCF","BEC","CSD","PCM"}, 0)),
            _xlfn.TEXTBEFORE(J915,"-"),
            "Other"
        )
    ),
"Add")</f>
        <v>CSN</v>
      </c>
      <c r="B915" s="10" t="str">
        <f t="shared" si="15"/>
        <v>0001</v>
      </c>
      <c r="C915" s="10" t="str">
        <f>_xlfn.LET(
    _xlpm.val, IF(Datadetails[[#This Row],[Activity]]="D02","C20",Datadetails[[#This Row],[Activity]]),
    IF(ISNUMBER(MATCH(_xlpm.val,{"D04","C30","c40","C20"},0)), _xlpm.val, "Other")
)</f>
        <v>D04</v>
      </c>
      <c r="D915" s="10" t="str">
        <f>IFERROR(VLOOKUP(Datadetails[[#This Row],[Taskcode]],Dashboard!A:A,1,FALSE),"00 Err Missing")</f>
        <v>0001</v>
      </c>
      <c r="E915" s="79">
        <v>45819</v>
      </c>
      <c r="F915" s="80" t="s">
        <v>331</v>
      </c>
      <c r="G915" s="60" t="s">
        <v>40</v>
      </c>
      <c r="H915" s="80" t="s">
        <v>316</v>
      </c>
      <c r="I915" s="80" t="s">
        <v>35</v>
      </c>
      <c r="J915" s="80" t="s">
        <v>338</v>
      </c>
      <c r="K915" s="80" t="s">
        <v>337</v>
      </c>
      <c r="L915" s="80" t="s">
        <v>352</v>
      </c>
      <c r="M915" s="81">
        <v>0.75</v>
      </c>
      <c r="N915" s="82">
        <v>24</v>
      </c>
    </row>
    <row r="916" spans="1:14" x14ac:dyDescent="0.25">
      <c r="A916" s="10" t="str">
        <f>_xlfn.IFNA(
    IF(J916=
        "PCB-0001",
        "CSS",
        IF(
            ISNUMBER(MATCH(_xlfn.TEXTBEFORE(J916,"-"), {"CSS","CSN","PCB","PCF","BEC","CSD","PCM"}, 0)),
            _xlfn.TEXTBEFORE(J916,"-"),
            "Other"
        )
    ),
"Add")</f>
        <v>CSD</v>
      </c>
      <c r="B916" s="10" t="str">
        <f t="shared" si="15"/>
        <v>0001</v>
      </c>
      <c r="C916" s="10" t="str">
        <f>_xlfn.LET(
    _xlpm.val, IF(Datadetails[[#This Row],[Activity]]="D02","C20",Datadetails[[#This Row],[Activity]]),
    IF(ISNUMBER(MATCH(_xlpm.val,{"D04","C30","c40","C20"},0)), _xlpm.val, "Other")
)</f>
        <v>D04</v>
      </c>
      <c r="D916" s="10" t="str">
        <f>IFERROR(VLOOKUP(Datadetails[[#This Row],[Taskcode]],Dashboard!A:A,1,FALSE),"00 Err Missing")</f>
        <v>0001</v>
      </c>
      <c r="E916" s="79">
        <v>45819</v>
      </c>
      <c r="F916" s="80" t="s">
        <v>333</v>
      </c>
      <c r="G916" s="60" t="s">
        <v>40</v>
      </c>
      <c r="H916" s="80" t="s">
        <v>320</v>
      </c>
      <c r="I916" s="80" t="s">
        <v>35</v>
      </c>
      <c r="J916" s="80" t="s">
        <v>322</v>
      </c>
      <c r="K916" s="80" t="s">
        <v>319</v>
      </c>
      <c r="L916" s="80" t="s">
        <v>352</v>
      </c>
      <c r="M916" s="81">
        <v>7.75</v>
      </c>
      <c r="N916" s="82">
        <v>248</v>
      </c>
    </row>
    <row r="917" spans="1:14" x14ac:dyDescent="0.25">
      <c r="A917" s="10" t="str">
        <f>_xlfn.IFNA(
    IF(J917=
        "PCB-0001",
        "CSS",
        IF(
            ISNUMBER(MATCH(_xlfn.TEXTBEFORE(J917,"-"), {"CSS","CSN","PCB","PCF","BEC","CSD","PCM"}, 0)),
            _xlfn.TEXTBEFORE(J917,"-"),
            "Other"
        )
    ),
"Add")</f>
        <v>CSD</v>
      </c>
      <c r="B917" s="10" t="str">
        <f t="shared" si="15"/>
        <v>0001</v>
      </c>
      <c r="C917" s="10" t="str">
        <f>_xlfn.LET(
    _xlpm.val, IF(Datadetails[[#This Row],[Activity]]="D02","C20",Datadetails[[#This Row],[Activity]]),
    IF(ISNUMBER(MATCH(_xlpm.val,{"D04","C30","c40","C20"},0)), _xlpm.val, "Other")
)</f>
        <v>D04</v>
      </c>
      <c r="D917" s="10" t="str">
        <f>IFERROR(VLOOKUP(Datadetails[[#This Row],[Taskcode]],Dashboard!A:A,1,FALSE),"00 Err Missing")</f>
        <v>0001</v>
      </c>
      <c r="E917" s="79">
        <v>45819</v>
      </c>
      <c r="F917" s="80" t="s">
        <v>327</v>
      </c>
      <c r="G917" s="60" t="s">
        <v>40</v>
      </c>
      <c r="H917" s="80" t="s">
        <v>320</v>
      </c>
      <c r="I917" s="80" t="s">
        <v>35</v>
      </c>
      <c r="J917" s="80" t="s">
        <v>322</v>
      </c>
      <c r="K917" s="80" t="s">
        <v>319</v>
      </c>
      <c r="L917" s="80" t="s">
        <v>352</v>
      </c>
      <c r="M917" s="81">
        <v>4</v>
      </c>
      <c r="N917" s="82">
        <v>128</v>
      </c>
    </row>
    <row r="918" spans="1:14" x14ac:dyDescent="0.25">
      <c r="A918" s="10" t="str">
        <f>_xlfn.IFNA(
    IF(J918=
        "PCB-0001",
        "CSS",
        IF(
            ISNUMBER(MATCH(_xlfn.TEXTBEFORE(J918,"-"), {"CSS","CSN","PCB","PCF","BEC","CSD","PCM"}, 0)),
            _xlfn.TEXTBEFORE(J918,"-"),
            "Other"
        )
    ),
"Add")</f>
        <v>PCB</v>
      </c>
      <c r="B918" s="10" t="str">
        <f t="shared" si="15"/>
        <v>0024</v>
      </c>
      <c r="C918" s="10" t="str">
        <f>_xlfn.LET(
    _xlpm.val, IF(Datadetails[[#This Row],[Activity]]="D02","C20",Datadetails[[#This Row],[Activity]]),
    IF(ISNUMBER(MATCH(_xlpm.val,{"D04","C30","c40","C20"},0)), _xlpm.val, "Other")
)</f>
        <v>C30</v>
      </c>
      <c r="D918" s="10" t="str">
        <f>IFERROR(VLOOKUP(Datadetails[[#This Row],[Taskcode]],Dashboard!A:A,1,FALSE),"00 Err Missing")</f>
        <v>0024</v>
      </c>
      <c r="E918" s="79">
        <v>45819</v>
      </c>
      <c r="F918" s="80" t="s">
        <v>325</v>
      </c>
      <c r="G918" s="60" t="s">
        <v>40</v>
      </c>
      <c r="H918" s="80" t="s">
        <v>191</v>
      </c>
      <c r="I918" s="80" t="s">
        <v>34</v>
      </c>
      <c r="J918" s="80" t="s">
        <v>466</v>
      </c>
      <c r="K918" s="80" t="s">
        <v>347</v>
      </c>
      <c r="L918" s="80" t="s">
        <v>343</v>
      </c>
      <c r="M918" s="81">
        <v>0.33</v>
      </c>
      <c r="N918" s="82">
        <v>24.75</v>
      </c>
    </row>
    <row r="919" spans="1:14" x14ac:dyDescent="0.25">
      <c r="A919" s="10" t="str">
        <f>_xlfn.IFNA(
    IF(J919=
        "PCB-0001",
        "CSS",
        IF(
            ISNUMBER(MATCH(_xlfn.TEXTBEFORE(J919,"-"), {"CSS","CSN","PCB","PCF","BEC","CSD","PCM"}, 0)),
            _xlfn.TEXTBEFORE(J919,"-"),
            "Other"
        )
    ),
"Add")</f>
        <v>PCB</v>
      </c>
      <c r="B919" s="10" t="str">
        <f t="shared" si="15"/>
        <v>0123</v>
      </c>
      <c r="C919" s="10" t="str">
        <f>_xlfn.LET(
    _xlpm.val, IF(Datadetails[[#This Row],[Activity]]="D02","C20",Datadetails[[#This Row],[Activity]]),
    IF(ISNUMBER(MATCH(_xlpm.val,{"D04","C30","c40","C20"},0)), _xlpm.val, "Other")
)</f>
        <v>C20</v>
      </c>
      <c r="D919" s="10" t="str">
        <f>IFERROR(VLOOKUP(Datadetails[[#This Row],[Taskcode]],Dashboard!A:A,1,FALSE),"00 Err Missing")</f>
        <v>0123</v>
      </c>
      <c r="E919" s="79">
        <v>45819</v>
      </c>
      <c r="F919" s="80" t="s">
        <v>325</v>
      </c>
      <c r="G919" s="60" t="s">
        <v>40</v>
      </c>
      <c r="H919" s="80" t="s">
        <v>290</v>
      </c>
      <c r="I919" s="80" t="s">
        <v>36</v>
      </c>
      <c r="J919" s="80" t="s">
        <v>428</v>
      </c>
      <c r="K919" s="80" t="s">
        <v>347</v>
      </c>
      <c r="L919" s="80" t="s">
        <v>342</v>
      </c>
      <c r="M919" s="81">
        <v>0.42</v>
      </c>
      <c r="N919" s="82">
        <v>31.5</v>
      </c>
    </row>
    <row r="920" spans="1:14" x14ac:dyDescent="0.25">
      <c r="A920" s="10" t="str">
        <f>_xlfn.IFNA(
    IF(J920=
        "PCB-0001",
        "CSS",
        IF(
            ISNUMBER(MATCH(_xlfn.TEXTBEFORE(J920,"-"), {"CSS","CSN","PCB","PCF","BEC","CSD","PCM"}, 0)),
            _xlfn.TEXTBEFORE(J920,"-"),
            "Other"
        )
    ),
"Add")</f>
        <v>PCB</v>
      </c>
      <c r="B920" s="10" t="str">
        <f t="shared" si="15"/>
        <v>0012</v>
      </c>
      <c r="C920" s="10" t="str">
        <f>_xlfn.LET(
    _xlpm.val, IF(Datadetails[[#This Row],[Activity]]="D02","C20",Datadetails[[#This Row],[Activity]]),
    IF(ISNUMBER(MATCH(_xlpm.val,{"D04","C30","c40","C20"},0)), _xlpm.val, "Other")
)</f>
        <v>C30</v>
      </c>
      <c r="D920" s="10" t="str">
        <f>IFERROR(VLOOKUP(Datadetails[[#This Row],[Taskcode]],Dashboard!A:A,1,FALSE),"00 Err Missing")</f>
        <v>0012</v>
      </c>
      <c r="E920" s="79">
        <v>45819</v>
      </c>
      <c r="F920" s="80" t="s">
        <v>325</v>
      </c>
      <c r="G920" s="60" t="s">
        <v>40</v>
      </c>
      <c r="H920" s="80" t="s">
        <v>179</v>
      </c>
      <c r="I920" s="80" t="s">
        <v>34</v>
      </c>
      <c r="J920" s="80" t="s">
        <v>422</v>
      </c>
      <c r="K920" s="80" t="s">
        <v>347</v>
      </c>
      <c r="L920" s="80" t="s">
        <v>343</v>
      </c>
      <c r="M920" s="81">
        <v>0.17</v>
      </c>
      <c r="N920" s="82">
        <v>12.750000000000002</v>
      </c>
    </row>
    <row r="921" spans="1:14" x14ac:dyDescent="0.25">
      <c r="A921" s="10" t="str">
        <f>_xlfn.IFNA(
    IF(J921=
        "PCB-0001",
        "CSS",
        IF(
            ISNUMBER(MATCH(_xlfn.TEXTBEFORE(J921,"-"), {"CSS","CSN","PCB","PCF","BEC","CSD","PCM"}, 0)),
            _xlfn.TEXTBEFORE(J921,"-"),
            "Other"
        )
    ),
"Add")</f>
        <v>PCB</v>
      </c>
      <c r="B921" s="10" t="str">
        <f t="shared" si="15"/>
        <v>0135</v>
      </c>
      <c r="C921" s="10" t="str">
        <f>_xlfn.LET(
    _xlpm.val, IF(Datadetails[[#This Row],[Activity]]="D02","C20",Datadetails[[#This Row],[Activity]]),
    IF(ISNUMBER(MATCH(_xlpm.val,{"D04","C30","c40","C20"},0)), _xlpm.val, "Other")
)</f>
        <v>C30</v>
      </c>
      <c r="D921" s="10" t="str">
        <f>IFERROR(VLOOKUP(Datadetails[[#This Row],[Taskcode]],Dashboard!A:A,1,FALSE),"00 Err Missing")</f>
        <v>0135</v>
      </c>
      <c r="E921" s="79">
        <v>45819</v>
      </c>
      <c r="F921" s="80" t="s">
        <v>329</v>
      </c>
      <c r="G921" s="60" t="s">
        <v>40</v>
      </c>
      <c r="H921" s="80" t="s">
        <v>302</v>
      </c>
      <c r="I921" s="80" t="s">
        <v>34</v>
      </c>
      <c r="J921" s="80" t="s">
        <v>398</v>
      </c>
      <c r="K921" s="80" t="s">
        <v>347</v>
      </c>
      <c r="L921" s="80" t="s">
        <v>343</v>
      </c>
      <c r="M921" s="81">
        <v>0.08</v>
      </c>
      <c r="N921" s="82">
        <v>6</v>
      </c>
    </row>
    <row r="922" spans="1:14" x14ac:dyDescent="0.25">
      <c r="A922" s="10" t="str">
        <f>_xlfn.IFNA(
    IF(J922=
        "PCB-0001",
        "CSS",
        IF(
            ISNUMBER(MATCH(_xlfn.TEXTBEFORE(J922,"-"), {"CSS","CSN","PCB","PCF","BEC","CSD","PCM"}, 0)),
            _xlfn.TEXTBEFORE(J922,"-"),
            "Other"
        )
    ),
"Add")</f>
        <v>PCB</v>
      </c>
      <c r="B922" s="10" t="str">
        <f t="shared" si="15"/>
        <v>0134</v>
      </c>
      <c r="C922" s="10" t="str">
        <f>_xlfn.LET(
    _xlpm.val, IF(Datadetails[[#This Row],[Activity]]="D02","C20",Datadetails[[#This Row],[Activity]]),
    IF(ISNUMBER(MATCH(_xlpm.val,{"D04","C30","c40","C20"},0)), _xlpm.val, "Other")
)</f>
        <v>C30</v>
      </c>
      <c r="D922" s="10" t="str">
        <f>IFERROR(VLOOKUP(Datadetails[[#This Row],[Taskcode]],Dashboard!A:A,1,FALSE),"00 Err Missing")</f>
        <v>0134</v>
      </c>
      <c r="E922" s="79">
        <v>45819</v>
      </c>
      <c r="F922" s="80" t="s">
        <v>329</v>
      </c>
      <c r="G922" s="60" t="s">
        <v>40</v>
      </c>
      <c r="H922" s="80" t="s">
        <v>301</v>
      </c>
      <c r="I922" s="80" t="s">
        <v>34</v>
      </c>
      <c r="J922" s="80" t="s">
        <v>371</v>
      </c>
      <c r="K922" s="80" t="s">
        <v>347</v>
      </c>
      <c r="L922" s="80" t="s">
        <v>343</v>
      </c>
      <c r="M922" s="81">
        <v>0.08</v>
      </c>
      <c r="N922" s="82">
        <v>6</v>
      </c>
    </row>
    <row r="923" spans="1:14" x14ac:dyDescent="0.25">
      <c r="A923" s="10" t="str">
        <f>_xlfn.IFNA(
    IF(J923=
        "PCB-0001",
        "CSS",
        IF(
            ISNUMBER(MATCH(_xlfn.TEXTBEFORE(J923,"-"), {"CSS","CSN","PCB","PCF","BEC","CSD","PCM"}, 0)),
            _xlfn.TEXTBEFORE(J923,"-"),
            "Other"
        )
    ),
"Add")</f>
        <v>PCB</v>
      </c>
      <c r="B923" s="10" t="str">
        <f t="shared" si="15"/>
        <v>0136</v>
      </c>
      <c r="C923" s="10" t="str">
        <f>_xlfn.LET(
    _xlpm.val, IF(Datadetails[[#This Row],[Activity]]="D02","C20",Datadetails[[#This Row],[Activity]]),
    IF(ISNUMBER(MATCH(_xlpm.val,{"D04","C30","c40","C20"},0)), _xlpm.val, "Other")
)</f>
        <v>C30</v>
      </c>
      <c r="D923" s="10" t="str">
        <f>IFERROR(VLOOKUP(Datadetails[[#This Row],[Taskcode]],Dashboard!A:A,1,FALSE),"00 Err Missing")</f>
        <v>0136</v>
      </c>
      <c r="E923" s="79">
        <v>45819</v>
      </c>
      <c r="F923" s="80" t="s">
        <v>329</v>
      </c>
      <c r="G923" s="60" t="s">
        <v>40</v>
      </c>
      <c r="H923" s="80" t="s">
        <v>303</v>
      </c>
      <c r="I923" s="80" t="s">
        <v>34</v>
      </c>
      <c r="J923" s="80" t="s">
        <v>400</v>
      </c>
      <c r="K923" s="80" t="s">
        <v>347</v>
      </c>
      <c r="L923" s="80" t="s">
        <v>343</v>
      </c>
      <c r="M923" s="81">
        <v>0.08</v>
      </c>
      <c r="N923" s="82">
        <v>6</v>
      </c>
    </row>
    <row r="924" spans="1:14" x14ac:dyDescent="0.25">
      <c r="A924" s="10" t="str">
        <f>_xlfn.IFNA(
    IF(J924=
        "PCB-0001",
        "CSS",
        IF(
            ISNUMBER(MATCH(_xlfn.TEXTBEFORE(J924,"-"), {"CSS","CSN","PCB","PCF","BEC","CSD","PCM"}, 0)),
            _xlfn.TEXTBEFORE(J924,"-"),
            "Other"
        )
    ),
"Add")</f>
        <v>PCB</v>
      </c>
      <c r="B924" s="10" t="str">
        <f t="shared" si="15"/>
        <v>0126</v>
      </c>
      <c r="C924" s="10" t="str">
        <f>_xlfn.LET(
    _xlpm.val, IF(Datadetails[[#This Row],[Activity]]="D02","C20",Datadetails[[#This Row],[Activity]]),
    IF(ISNUMBER(MATCH(_xlpm.val,{"D04","C30","c40","C20"},0)), _xlpm.val, "Other")
)</f>
        <v>C30</v>
      </c>
      <c r="D924" s="10" t="str">
        <f>IFERROR(VLOOKUP(Datadetails[[#This Row],[Taskcode]],Dashboard!A:A,1,FALSE),"00 Err Missing")</f>
        <v>0126</v>
      </c>
      <c r="E924" s="79">
        <v>45819</v>
      </c>
      <c r="F924" s="80" t="s">
        <v>329</v>
      </c>
      <c r="G924" s="60" t="s">
        <v>40</v>
      </c>
      <c r="H924" s="80" t="s">
        <v>293</v>
      </c>
      <c r="I924" s="80" t="s">
        <v>34</v>
      </c>
      <c r="J924" s="80" t="s">
        <v>376</v>
      </c>
      <c r="K924" s="80" t="s">
        <v>347</v>
      </c>
      <c r="L924" s="80" t="s">
        <v>343</v>
      </c>
      <c r="M924" s="81">
        <v>0.25</v>
      </c>
      <c r="N924" s="82">
        <v>18.75</v>
      </c>
    </row>
    <row r="925" spans="1:14" x14ac:dyDescent="0.25">
      <c r="A925" s="10" t="str">
        <f>_xlfn.IFNA(
    IF(J925=
        "PCB-0001",
        "CSS",
        IF(
            ISNUMBER(MATCH(_xlfn.TEXTBEFORE(J925,"-"), {"CSS","CSN","PCB","PCF","BEC","CSD","PCM"}, 0)),
            _xlfn.TEXTBEFORE(J925,"-"),
            "Other"
        )
    ),
"Add")</f>
        <v>PCB</v>
      </c>
      <c r="B925" s="10" t="str">
        <f t="shared" si="15"/>
        <v>0120</v>
      </c>
      <c r="C925" s="10" t="str">
        <f>_xlfn.LET(
    _xlpm.val, IF(Datadetails[[#This Row],[Activity]]="D02","C20",Datadetails[[#This Row],[Activity]]),
    IF(ISNUMBER(MATCH(_xlpm.val,{"D04","C30","c40","C20"},0)), _xlpm.val, "Other")
)</f>
        <v>C30</v>
      </c>
      <c r="D925" s="10" t="str">
        <f>IFERROR(VLOOKUP(Datadetails[[#This Row],[Taskcode]],Dashboard!A:A,1,FALSE),"00 Err Missing")</f>
        <v>0120</v>
      </c>
      <c r="E925" s="79">
        <v>45819</v>
      </c>
      <c r="F925" s="80" t="s">
        <v>325</v>
      </c>
      <c r="G925" s="60" t="s">
        <v>40</v>
      </c>
      <c r="H925" s="80" t="s">
        <v>287</v>
      </c>
      <c r="I925" s="80" t="s">
        <v>34</v>
      </c>
      <c r="J925" s="80" t="s">
        <v>378</v>
      </c>
      <c r="K925" s="80" t="s">
        <v>347</v>
      </c>
      <c r="L925" s="80" t="s">
        <v>343</v>
      </c>
      <c r="M925" s="81">
        <v>0.57999999999999996</v>
      </c>
      <c r="N925" s="82">
        <v>43.5</v>
      </c>
    </row>
    <row r="926" spans="1:14" x14ac:dyDescent="0.25">
      <c r="A926" s="10" t="str">
        <f>_xlfn.IFNA(
    IF(J926=
        "PCB-0001",
        "CSS",
        IF(
            ISNUMBER(MATCH(_xlfn.TEXTBEFORE(J926,"-"), {"CSS","CSN","PCB","PCF","BEC","CSD","PCM"}, 0)),
            _xlfn.TEXTBEFORE(J926,"-"),
            "Other"
        )
    ),
"Add")</f>
        <v>PCB</v>
      </c>
      <c r="B926" s="10" t="str">
        <f t="shared" si="15"/>
        <v>0129</v>
      </c>
      <c r="C926" s="10" t="str">
        <f>_xlfn.LET(
    _xlpm.val, IF(Datadetails[[#This Row],[Activity]]="D02","C20",Datadetails[[#This Row],[Activity]]),
    IF(ISNUMBER(MATCH(_xlpm.val,{"D04","C30","c40","C20"},0)), _xlpm.val, "Other")
)</f>
        <v>C30</v>
      </c>
      <c r="D926" s="10" t="str">
        <f>IFERROR(VLOOKUP(Datadetails[[#This Row],[Taskcode]],Dashboard!A:A,1,FALSE),"00 Err Missing")</f>
        <v>0129</v>
      </c>
      <c r="E926" s="79">
        <v>45819</v>
      </c>
      <c r="F926" s="80" t="s">
        <v>329</v>
      </c>
      <c r="G926" s="60" t="s">
        <v>40</v>
      </c>
      <c r="H926" s="80" t="s">
        <v>296</v>
      </c>
      <c r="I926" s="80" t="s">
        <v>34</v>
      </c>
      <c r="J926" s="80" t="s">
        <v>411</v>
      </c>
      <c r="K926" s="80" t="s">
        <v>347</v>
      </c>
      <c r="L926" s="80" t="s">
        <v>343</v>
      </c>
      <c r="M926" s="81">
        <v>0.17</v>
      </c>
      <c r="N926" s="82">
        <v>12.750000000000002</v>
      </c>
    </row>
    <row r="927" spans="1:14" x14ac:dyDescent="0.25">
      <c r="A927" s="10" t="str">
        <f>_xlfn.IFNA(
    IF(J927=
        "PCB-0001",
        "CSS",
        IF(
            ISNUMBER(MATCH(_xlfn.TEXTBEFORE(J927,"-"), {"CSS","CSN","PCB","PCF","BEC","CSD","PCM"}, 0)),
            _xlfn.TEXTBEFORE(J927,"-"),
            "Other"
        )
    ),
"Add")</f>
        <v>PCB</v>
      </c>
      <c r="B927" s="10" t="str">
        <f t="shared" si="15"/>
        <v>0091</v>
      </c>
      <c r="C927" s="10" t="str">
        <f>_xlfn.LET(
    _xlpm.val, IF(Datadetails[[#This Row],[Activity]]="D02","C20",Datadetails[[#This Row],[Activity]]),
    IF(ISNUMBER(MATCH(_xlpm.val,{"D04","C30","c40","C20"},0)), _xlpm.val, "Other")
)</f>
        <v>C30</v>
      </c>
      <c r="D927" s="10" t="str">
        <f>IFERROR(VLOOKUP(Datadetails[[#This Row],[Taskcode]],Dashboard!A:A,1,FALSE),"00 Err Missing")</f>
        <v>0091</v>
      </c>
      <c r="E927" s="79">
        <v>45819</v>
      </c>
      <c r="F927" s="80" t="s">
        <v>329</v>
      </c>
      <c r="G927" s="60" t="s">
        <v>40</v>
      </c>
      <c r="H927" s="80" t="s">
        <v>258</v>
      </c>
      <c r="I927" s="80" t="s">
        <v>34</v>
      </c>
      <c r="J927" s="80" t="s">
        <v>381</v>
      </c>
      <c r="K927" s="80" t="s">
        <v>347</v>
      </c>
      <c r="L927" s="80" t="s">
        <v>343</v>
      </c>
      <c r="M927" s="81">
        <v>0.08</v>
      </c>
      <c r="N927" s="82">
        <v>6</v>
      </c>
    </row>
    <row r="928" spans="1:14" x14ac:dyDescent="0.25">
      <c r="A928" s="10" t="str">
        <f>_xlfn.IFNA(
    IF(J928=
        "PCB-0001",
        "CSS",
        IF(
            ISNUMBER(MATCH(_xlfn.TEXTBEFORE(J928,"-"), {"CSS","CSN","PCB","PCF","BEC","CSD","PCM"}, 0)),
            _xlfn.TEXTBEFORE(J928,"-"),
            "Other"
        )
    ),
"Add")</f>
        <v>PCB</v>
      </c>
      <c r="B928" s="10" t="str">
        <f t="shared" si="15"/>
        <v>0092</v>
      </c>
      <c r="C928" s="10" t="str">
        <f>_xlfn.LET(
    _xlpm.val, IF(Datadetails[[#This Row],[Activity]]="D02","C20",Datadetails[[#This Row],[Activity]]),
    IF(ISNUMBER(MATCH(_xlpm.val,{"D04","C30","c40","C20"},0)), _xlpm.val, "Other")
)</f>
        <v>C30</v>
      </c>
      <c r="D928" s="10" t="str">
        <f>IFERROR(VLOOKUP(Datadetails[[#This Row],[Taskcode]],Dashboard!A:A,1,FALSE),"00 Err Missing")</f>
        <v>0092</v>
      </c>
      <c r="E928" s="79">
        <v>45819</v>
      </c>
      <c r="F928" s="80" t="s">
        <v>329</v>
      </c>
      <c r="G928" s="60" t="s">
        <v>40</v>
      </c>
      <c r="H928" s="80" t="s">
        <v>259</v>
      </c>
      <c r="I928" s="80" t="s">
        <v>34</v>
      </c>
      <c r="J928" s="80" t="s">
        <v>407</v>
      </c>
      <c r="K928" s="80" t="s">
        <v>347</v>
      </c>
      <c r="L928" s="80" t="s">
        <v>343</v>
      </c>
      <c r="M928" s="81">
        <v>0.17</v>
      </c>
      <c r="N928" s="82">
        <v>12.750000000000002</v>
      </c>
    </row>
    <row r="929" spans="1:14" x14ac:dyDescent="0.25">
      <c r="A929" s="10" t="str">
        <f>_xlfn.IFNA(
    IF(J929=
        "PCB-0001",
        "CSS",
        IF(
            ISNUMBER(MATCH(_xlfn.TEXTBEFORE(J929,"-"), {"CSS","CSN","PCB","PCF","BEC","CSD","PCM"}, 0)),
            _xlfn.TEXTBEFORE(J929,"-"),
            "Other"
        )
    ),
"Add")</f>
        <v>PCB</v>
      </c>
      <c r="B929" s="10" t="str">
        <f t="shared" si="15"/>
        <v>0110</v>
      </c>
      <c r="C929" s="10" t="str">
        <f>_xlfn.LET(
    _xlpm.val, IF(Datadetails[[#This Row],[Activity]]="D02","C20",Datadetails[[#This Row],[Activity]]),
    IF(ISNUMBER(MATCH(_xlpm.val,{"D04","C30","c40","C20"},0)), _xlpm.val, "Other")
)</f>
        <v>C30</v>
      </c>
      <c r="D929" s="10" t="str">
        <f>IFERROR(VLOOKUP(Datadetails[[#This Row],[Taskcode]],Dashboard!A:A,1,FALSE),"00 Err Missing")</f>
        <v>0110</v>
      </c>
      <c r="E929" s="79">
        <v>45819</v>
      </c>
      <c r="F929" s="80" t="s">
        <v>325</v>
      </c>
      <c r="G929" s="60" t="s">
        <v>40</v>
      </c>
      <c r="H929" s="80" t="s">
        <v>277</v>
      </c>
      <c r="I929" s="80" t="s">
        <v>34</v>
      </c>
      <c r="J929" s="80" t="s">
        <v>353</v>
      </c>
      <c r="K929" s="80" t="s">
        <v>347</v>
      </c>
      <c r="L929" s="80" t="s">
        <v>343</v>
      </c>
      <c r="M929" s="81">
        <v>0.25</v>
      </c>
      <c r="N929" s="82">
        <v>18.75</v>
      </c>
    </row>
    <row r="930" spans="1:14" x14ac:dyDescent="0.25">
      <c r="A930" s="10" t="str">
        <f>_xlfn.IFNA(
    IF(J930=
        "PCB-0001",
        "CSS",
        IF(
            ISNUMBER(MATCH(_xlfn.TEXTBEFORE(J930,"-"), {"CSS","CSN","PCB","PCF","BEC","CSD","PCM"}, 0)),
            _xlfn.TEXTBEFORE(J930,"-"),
            "Other"
        )
    ),
"Add")</f>
        <v>PCB</v>
      </c>
      <c r="B930" s="10" t="str">
        <f t="shared" si="15"/>
        <v>0101</v>
      </c>
      <c r="C930" s="10" t="str">
        <f>_xlfn.LET(
    _xlpm.val, IF(Datadetails[[#This Row],[Activity]]="D02","C20",Datadetails[[#This Row],[Activity]]),
    IF(ISNUMBER(MATCH(_xlpm.val,{"D04","C30","c40","C20"},0)), _xlpm.val, "Other")
)</f>
        <v>C30</v>
      </c>
      <c r="D930" s="10" t="str">
        <f>IFERROR(VLOOKUP(Datadetails[[#This Row],[Taskcode]],Dashboard!A:A,1,FALSE),"00 Err Missing")</f>
        <v>0101</v>
      </c>
      <c r="E930" s="79">
        <v>45819</v>
      </c>
      <c r="F930" s="80" t="s">
        <v>329</v>
      </c>
      <c r="G930" s="60" t="s">
        <v>40</v>
      </c>
      <c r="H930" s="80" t="s">
        <v>268</v>
      </c>
      <c r="I930" s="80" t="s">
        <v>34</v>
      </c>
      <c r="J930" s="80" t="s">
        <v>386</v>
      </c>
      <c r="K930" s="80" t="s">
        <v>347</v>
      </c>
      <c r="L930" s="80" t="s">
        <v>343</v>
      </c>
      <c r="M930" s="81">
        <v>0.08</v>
      </c>
      <c r="N930" s="82">
        <v>6</v>
      </c>
    </row>
    <row r="931" spans="1:14" x14ac:dyDescent="0.25">
      <c r="A931" s="10" t="str">
        <f>_xlfn.IFNA(
    IF(J931=
        "PCB-0001",
        "CSS",
        IF(
            ISNUMBER(MATCH(_xlfn.TEXTBEFORE(J931,"-"), {"CSS","CSN","PCB","PCF","BEC","CSD","PCM"}, 0)),
            _xlfn.TEXTBEFORE(J931,"-"),
            "Other"
        )
    ),
"Add")</f>
        <v>PCB</v>
      </c>
      <c r="B931" s="10" t="str">
        <f t="shared" si="15"/>
        <v>0080</v>
      </c>
      <c r="C931" s="10" t="str">
        <f>_xlfn.LET(
    _xlpm.val, IF(Datadetails[[#This Row],[Activity]]="D02","C20",Datadetails[[#This Row],[Activity]]),
    IF(ISNUMBER(MATCH(_xlpm.val,{"D04","C30","c40","C20"},0)), _xlpm.val, "Other")
)</f>
        <v>C40</v>
      </c>
      <c r="D931" s="10" t="str">
        <f>IFERROR(VLOOKUP(Datadetails[[#This Row],[Taskcode]],Dashboard!A:A,1,FALSE),"00 Err Missing")</f>
        <v>0080</v>
      </c>
      <c r="E931" s="79">
        <v>45819</v>
      </c>
      <c r="F931" s="80" t="s">
        <v>329</v>
      </c>
      <c r="G931" s="60" t="s">
        <v>40</v>
      </c>
      <c r="H931" s="80" t="s">
        <v>247</v>
      </c>
      <c r="I931" s="80" t="s">
        <v>341</v>
      </c>
      <c r="J931" s="80" t="s">
        <v>375</v>
      </c>
      <c r="K931" s="80" t="s">
        <v>347</v>
      </c>
      <c r="L931" s="80" t="s">
        <v>344</v>
      </c>
      <c r="M931" s="81">
        <v>1.83</v>
      </c>
      <c r="N931" s="82">
        <v>137.25</v>
      </c>
    </row>
    <row r="932" spans="1:14" x14ac:dyDescent="0.25">
      <c r="A932" s="10" t="str">
        <f>_xlfn.IFNA(
    IF(J932=
        "PCB-0001",
        "CSS",
        IF(
            ISNUMBER(MATCH(_xlfn.TEXTBEFORE(J932,"-"), {"CSS","CSN","PCB","PCF","BEC","CSD","PCM"}, 0)),
            _xlfn.TEXTBEFORE(J932,"-"),
            "Other"
        )
    ),
"Add")</f>
        <v>PCF</v>
      </c>
      <c r="B932" s="10" t="str">
        <f t="shared" si="15"/>
        <v>0067</v>
      </c>
      <c r="C932" s="10" t="str">
        <f>_xlfn.LET(
    _xlpm.val, IF(Datadetails[[#This Row],[Activity]]="D02","C20",Datadetails[[#This Row],[Activity]]),
    IF(ISNUMBER(MATCH(_xlpm.val,{"D04","C30","c40","C20"},0)), _xlpm.val, "Other")
)</f>
        <v>C30</v>
      </c>
      <c r="D932" s="10" t="str">
        <f>IFERROR(VLOOKUP(Datadetails[[#This Row],[Taskcode]],Dashboard!A:A,1,FALSE),"00 Err Missing")</f>
        <v>0067</v>
      </c>
      <c r="E932" s="79">
        <v>45819</v>
      </c>
      <c r="F932" s="80" t="s">
        <v>326</v>
      </c>
      <c r="G932" s="60" t="s">
        <v>40</v>
      </c>
      <c r="H932" s="80" t="s">
        <v>234</v>
      </c>
      <c r="I932" s="80" t="s">
        <v>34</v>
      </c>
      <c r="J932" s="80" t="s">
        <v>389</v>
      </c>
      <c r="K932" s="80" t="s">
        <v>348</v>
      </c>
      <c r="L932" s="80" t="s">
        <v>343</v>
      </c>
      <c r="M932" s="81">
        <v>1</v>
      </c>
      <c r="N932" s="82">
        <v>60</v>
      </c>
    </row>
    <row r="933" spans="1:14" x14ac:dyDescent="0.25">
      <c r="A933" s="10" t="str">
        <f>_xlfn.IFNA(
    IF(J933=
        "PCB-0001",
        "CSS",
        IF(
            ISNUMBER(MATCH(_xlfn.TEXTBEFORE(J933,"-"), {"CSS","CSN","PCB","PCF","BEC","CSD","PCM"}, 0)),
            _xlfn.TEXTBEFORE(J933,"-"),
            "Other"
        )
    ),
"Add")</f>
        <v>BEC</v>
      </c>
      <c r="B933" s="10" t="str">
        <f t="shared" si="15"/>
        <v>0001</v>
      </c>
      <c r="C933" s="10" t="str">
        <f>_xlfn.LET(
    _xlpm.val, IF(Datadetails[[#This Row],[Activity]]="D02","C20",Datadetails[[#This Row],[Activity]]),
    IF(ISNUMBER(MATCH(_xlpm.val,{"D04","C30","c40","C20"},0)), _xlpm.val, "Other")
)</f>
        <v>D04</v>
      </c>
      <c r="D933" s="10" t="str">
        <f>IFERROR(VLOOKUP(Datadetails[[#This Row],[Taskcode]],Dashboard!A:A,1,FALSE),"00 Err Missing")</f>
        <v>0001</v>
      </c>
      <c r="E933" s="79">
        <v>45819</v>
      </c>
      <c r="F933" s="80" t="s">
        <v>332</v>
      </c>
      <c r="G933" s="60" t="s">
        <v>40</v>
      </c>
      <c r="H933" s="80" t="s">
        <v>314</v>
      </c>
      <c r="I933" s="80" t="s">
        <v>35</v>
      </c>
      <c r="J933" s="80" t="s">
        <v>359</v>
      </c>
      <c r="K933" s="80" t="s">
        <v>339</v>
      </c>
      <c r="L933" s="80" t="s">
        <v>352</v>
      </c>
      <c r="M933" s="81">
        <v>7.67</v>
      </c>
      <c r="N933" s="82">
        <v>306.8</v>
      </c>
    </row>
    <row r="934" spans="1:14" x14ac:dyDescent="0.25">
      <c r="A934" s="10" t="str">
        <f>_xlfn.IFNA(
    IF(J934=
        "PCB-0001",
        "CSS",
        IF(
            ISNUMBER(MATCH(_xlfn.TEXTBEFORE(J934,"-"), {"CSS","CSN","PCB","PCF","BEC","CSD","PCM"}, 0)),
            _xlfn.TEXTBEFORE(J934,"-"),
            "Other"
        )
    ),
"Add")</f>
        <v>BEC</v>
      </c>
      <c r="B934" s="10" t="str">
        <f t="shared" si="15"/>
        <v>0001</v>
      </c>
      <c r="C934" s="10" t="str">
        <f>_xlfn.LET(
    _xlpm.val, IF(Datadetails[[#This Row],[Activity]]="D02","C20",Datadetails[[#This Row],[Activity]]),
    IF(ISNUMBER(MATCH(_xlpm.val,{"D04","C30","c40","C20"},0)), _xlpm.val, "Other")
)</f>
        <v>D04</v>
      </c>
      <c r="D934" s="10" t="str">
        <f>IFERROR(VLOOKUP(Datadetails[[#This Row],[Taskcode]],Dashboard!A:A,1,FALSE),"00 Err Missing")</f>
        <v>0001</v>
      </c>
      <c r="E934" s="79">
        <v>45819</v>
      </c>
      <c r="F934" s="80" t="s">
        <v>324</v>
      </c>
      <c r="G934" s="60" t="s">
        <v>40</v>
      </c>
      <c r="H934" s="80" t="s">
        <v>314</v>
      </c>
      <c r="I934" s="80" t="s">
        <v>35</v>
      </c>
      <c r="J934" s="80" t="s">
        <v>359</v>
      </c>
      <c r="K934" s="80" t="s">
        <v>339</v>
      </c>
      <c r="L934" s="80" t="s">
        <v>352</v>
      </c>
      <c r="M934" s="81">
        <v>7.75</v>
      </c>
      <c r="N934" s="82">
        <v>581.25</v>
      </c>
    </row>
    <row r="935" spans="1:14" x14ac:dyDescent="0.25">
      <c r="A935" s="10" t="str">
        <f>_xlfn.IFNA(
    IF(J935=
        "PCB-0001",
        "CSS",
        IF(
            ISNUMBER(MATCH(_xlfn.TEXTBEFORE(J935,"-"), {"CSS","CSN","PCB","PCF","BEC","CSD","PCM"}, 0)),
            _xlfn.TEXTBEFORE(J935,"-"),
            "Other"
        )
    ),
"Add")</f>
        <v>PCM</v>
      </c>
      <c r="B935" s="10" t="str">
        <f t="shared" si="15"/>
        <v>0002</v>
      </c>
      <c r="C935" s="10" t="str">
        <f>_xlfn.LET(
    _xlpm.val, IF(Datadetails[[#This Row],[Activity]]="D02","C20",Datadetails[[#This Row],[Activity]]),
    IF(ISNUMBER(MATCH(_xlpm.val,{"D04","C30","c40","C20"},0)), _xlpm.val, "Other")
)</f>
        <v>C20</v>
      </c>
      <c r="D935" s="10" t="str">
        <f>IFERROR(VLOOKUP(Datadetails[[#This Row],[Taskcode]],Dashboard!A:A,1,FALSE),"00 Err Missing")</f>
        <v>0002</v>
      </c>
      <c r="E935" s="79">
        <v>45820</v>
      </c>
      <c r="F935" s="80" t="s">
        <v>323</v>
      </c>
      <c r="G935" s="60" t="s">
        <v>40</v>
      </c>
      <c r="H935" s="80" t="s">
        <v>169</v>
      </c>
      <c r="I935" s="80" t="s">
        <v>36</v>
      </c>
      <c r="J935" s="80" t="s">
        <v>433</v>
      </c>
      <c r="K935" s="80" t="s">
        <v>346</v>
      </c>
      <c r="L935" s="80" t="s">
        <v>342</v>
      </c>
      <c r="M935" s="81">
        <v>0.25</v>
      </c>
      <c r="N935" s="82">
        <v>15</v>
      </c>
    </row>
    <row r="936" spans="1:14" x14ac:dyDescent="0.25">
      <c r="A936" s="10" t="str">
        <f>_xlfn.IFNA(
    IF(J936=
        "PCB-0001",
        "CSS",
        IF(
            ISNUMBER(MATCH(_xlfn.TEXTBEFORE(J936,"-"), {"CSS","CSN","PCB","PCF","BEC","CSD","PCM"}, 0)),
            _xlfn.TEXTBEFORE(J936,"-"),
            "Other"
        )
    ),
"Add")</f>
        <v>PCM</v>
      </c>
      <c r="B936" s="10" t="str">
        <f t="shared" si="15"/>
        <v>0034</v>
      </c>
      <c r="C936" s="10" t="str">
        <f>_xlfn.LET(
    _xlpm.val, IF(Datadetails[[#This Row],[Activity]]="D02","C20",Datadetails[[#This Row],[Activity]]),
    IF(ISNUMBER(MATCH(_xlpm.val,{"D04","C30","c40","C20"},0)), _xlpm.val, "Other")
)</f>
        <v>C20</v>
      </c>
      <c r="D936" s="10" t="str">
        <f>IFERROR(VLOOKUP(Datadetails[[#This Row],[Taskcode]],Dashboard!A:A,1,FALSE),"00 Err Missing")</f>
        <v>0034</v>
      </c>
      <c r="E936" s="79">
        <v>45820</v>
      </c>
      <c r="F936" s="80" t="s">
        <v>323</v>
      </c>
      <c r="G936" s="60" t="s">
        <v>40</v>
      </c>
      <c r="H936" s="80" t="s">
        <v>201</v>
      </c>
      <c r="I936" s="80" t="s">
        <v>36</v>
      </c>
      <c r="J936" s="80" t="s">
        <v>395</v>
      </c>
      <c r="K936" s="80" t="s">
        <v>346</v>
      </c>
      <c r="L936" s="80" t="s">
        <v>342</v>
      </c>
      <c r="M936" s="81">
        <v>0.25</v>
      </c>
      <c r="N936" s="82">
        <v>15</v>
      </c>
    </row>
    <row r="937" spans="1:14" x14ac:dyDescent="0.25">
      <c r="A937" s="10" t="str">
        <f>_xlfn.IFNA(
    IF(J937=
        "PCB-0001",
        "CSS",
        IF(
            ISNUMBER(MATCH(_xlfn.TEXTBEFORE(J937,"-"), {"CSS","CSN","PCB","PCF","BEC","CSD","PCM"}, 0)),
            _xlfn.TEXTBEFORE(J937,"-"),
            "Other"
        )
    ),
"Add")</f>
        <v>PCM</v>
      </c>
      <c r="B937" s="10" t="str">
        <f t="shared" si="15"/>
        <v>0035</v>
      </c>
      <c r="C937" s="10" t="str">
        <f>_xlfn.LET(
    _xlpm.val, IF(Datadetails[[#This Row],[Activity]]="D02","C20",Datadetails[[#This Row],[Activity]]),
    IF(ISNUMBER(MATCH(_xlpm.val,{"D04","C30","c40","C20"},0)), _xlpm.val, "Other")
)</f>
        <v>C20</v>
      </c>
      <c r="D937" s="10" t="str">
        <f>IFERROR(VLOOKUP(Datadetails[[#This Row],[Taskcode]],Dashboard!A:A,1,FALSE),"00 Err Missing")</f>
        <v>0035</v>
      </c>
      <c r="E937" s="79">
        <v>45820</v>
      </c>
      <c r="F937" s="80" t="s">
        <v>323</v>
      </c>
      <c r="G937" s="60" t="s">
        <v>40</v>
      </c>
      <c r="H937" s="80" t="s">
        <v>202</v>
      </c>
      <c r="I937" s="80" t="s">
        <v>36</v>
      </c>
      <c r="J937" s="80" t="s">
        <v>431</v>
      </c>
      <c r="K937" s="80" t="s">
        <v>346</v>
      </c>
      <c r="L937" s="80" t="s">
        <v>342</v>
      </c>
      <c r="M937" s="81">
        <v>0.5</v>
      </c>
      <c r="N937" s="82">
        <v>30</v>
      </c>
    </row>
    <row r="938" spans="1:14" x14ac:dyDescent="0.25">
      <c r="A938" s="10" t="str">
        <f>_xlfn.IFNA(
    IF(J938=
        "PCB-0001",
        "CSS",
        IF(
            ISNUMBER(MATCH(_xlfn.TEXTBEFORE(J938,"-"), {"CSS","CSN","PCB","PCF","BEC","CSD","PCM"}, 0)),
            _xlfn.TEXTBEFORE(J938,"-"),
            "Other"
        )
    ),
"Add")</f>
        <v>PCM</v>
      </c>
      <c r="B938" s="10" t="str">
        <f t="shared" si="15"/>
        <v>0041</v>
      </c>
      <c r="C938" s="10" t="str">
        <f>_xlfn.LET(
    _xlpm.val, IF(Datadetails[[#This Row],[Activity]]="D02","C20",Datadetails[[#This Row],[Activity]]),
    IF(ISNUMBER(MATCH(_xlpm.val,{"D04","C30","c40","C20"},0)), _xlpm.val, "Other")
)</f>
        <v>C20</v>
      </c>
      <c r="D938" s="10" t="str">
        <f>IFERROR(VLOOKUP(Datadetails[[#This Row],[Taskcode]],Dashboard!A:A,1,FALSE),"00 Err Missing")</f>
        <v>0041</v>
      </c>
      <c r="E938" s="79">
        <v>45820</v>
      </c>
      <c r="F938" s="80" t="s">
        <v>323</v>
      </c>
      <c r="G938" s="60" t="s">
        <v>40</v>
      </c>
      <c r="H938" s="80" t="s">
        <v>208</v>
      </c>
      <c r="I938" s="80" t="s">
        <v>36</v>
      </c>
      <c r="J938" s="80" t="s">
        <v>456</v>
      </c>
      <c r="K938" s="80" t="s">
        <v>346</v>
      </c>
      <c r="L938" s="80" t="s">
        <v>342</v>
      </c>
      <c r="M938" s="81">
        <v>0.25</v>
      </c>
      <c r="N938" s="82">
        <v>15</v>
      </c>
    </row>
    <row r="939" spans="1:14" x14ac:dyDescent="0.25">
      <c r="A939" s="10" t="str">
        <f>_xlfn.IFNA(
    IF(J939=
        "PCB-0001",
        "CSS",
        IF(
            ISNUMBER(MATCH(_xlfn.TEXTBEFORE(J939,"-"), {"CSS","CSN","PCB","PCF","BEC","CSD","PCM"}, 0)),
            _xlfn.TEXTBEFORE(J939,"-"),
            "Other"
        )
    ),
"Add")</f>
        <v>CSS</v>
      </c>
      <c r="B939" s="10" t="str">
        <f t="shared" si="15"/>
        <v>0001</v>
      </c>
      <c r="C939" s="10" t="str">
        <f>_xlfn.LET(
    _xlpm.val, IF(Datadetails[[#This Row],[Activity]]="D02","C20",Datadetails[[#This Row],[Activity]]),
    IF(ISNUMBER(MATCH(_xlpm.val,{"D04","C30","c40","C20"},0)), _xlpm.val, "Other")
)</f>
        <v>D04</v>
      </c>
      <c r="D939" s="10" t="str">
        <f>IFERROR(VLOOKUP(Datadetails[[#This Row],[Taskcode]],Dashboard!A:A,1,FALSE),"00 Err Missing")</f>
        <v>0001</v>
      </c>
      <c r="E939" s="79">
        <v>45820</v>
      </c>
      <c r="F939" s="80" t="s">
        <v>334</v>
      </c>
      <c r="G939" s="60" t="s">
        <v>40</v>
      </c>
      <c r="H939" s="80" t="s">
        <v>316</v>
      </c>
      <c r="I939" s="80" t="s">
        <v>35</v>
      </c>
      <c r="J939" s="80" t="s">
        <v>321</v>
      </c>
      <c r="K939" s="80" t="s">
        <v>317</v>
      </c>
      <c r="L939" s="80" t="s">
        <v>352</v>
      </c>
      <c r="M939" s="81">
        <v>1</v>
      </c>
      <c r="N939" s="82">
        <v>32</v>
      </c>
    </row>
    <row r="940" spans="1:14" x14ac:dyDescent="0.25">
      <c r="A940" s="10" t="str">
        <f>_xlfn.IFNA(
    IF(J940=
        "PCB-0001",
        "CSS",
        IF(
            ISNUMBER(MATCH(_xlfn.TEXTBEFORE(J940,"-"), {"CSS","CSN","PCB","PCF","BEC","CSD","PCM"}, 0)),
            _xlfn.TEXTBEFORE(J940,"-"),
            "Other"
        )
    ),
"Add")</f>
        <v>CSN</v>
      </c>
      <c r="B940" s="10" t="str">
        <f t="shared" si="15"/>
        <v>0001</v>
      </c>
      <c r="C940" s="10" t="str">
        <f>_xlfn.LET(
    _xlpm.val, IF(Datadetails[[#This Row],[Activity]]="D02","C20",Datadetails[[#This Row],[Activity]]),
    IF(ISNUMBER(MATCH(_xlpm.val,{"D04","C30","c40","C20"},0)), _xlpm.val, "Other")
)</f>
        <v>D04</v>
      </c>
      <c r="D940" s="10" t="str">
        <f>IFERROR(VLOOKUP(Datadetails[[#This Row],[Taskcode]],Dashboard!A:A,1,FALSE),"00 Err Missing")</f>
        <v>0001</v>
      </c>
      <c r="E940" s="79">
        <v>45820</v>
      </c>
      <c r="F940" s="80" t="s">
        <v>329</v>
      </c>
      <c r="G940" s="60" t="s">
        <v>40</v>
      </c>
      <c r="H940" s="80" t="s">
        <v>316</v>
      </c>
      <c r="I940" s="80" t="s">
        <v>35</v>
      </c>
      <c r="J940" s="80" t="s">
        <v>338</v>
      </c>
      <c r="K940" s="80" t="s">
        <v>337</v>
      </c>
      <c r="L940" s="80" t="s">
        <v>352</v>
      </c>
      <c r="M940" s="81">
        <v>1.08</v>
      </c>
      <c r="N940" s="82">
        <v>81</v>
      </c>
    </row>
    <row r="941" spans="1:14" x14ac:dyDescent="0.25">
      <c r="A941" s="10" t="str">
        <f>_xlfn.IFNA(
    IF(J941=
        "PCB-0001",
        "CSS",
        IF(
            ISNUMBER(MATCH(_xlfn.TEXTBEFORE(J941,"-"), {"CSS","CSN","PCB","PCF","BEC","CSD","PCM"}, 0)),
            _xlfn.TEXTBEFORE(J941,"-"),
            "Other"
        )
    ),
"Add")</f>
        <v>CSD</v>
      </c>
      <c r="B941" s="10" t="str">
        <f t="shared" si="15"/>
        <v>0001</v>
      </c>
      <c r="C941" s="10" t="str">
        <f>_xlfn.LET(
    _xlpm.val, IF(Datadetails[[#This Row],[Activity]]="D02","C20",Datadetails[[#This Row],[Activity]]),
    IF(ISNUMBER(MATCH(_xlpm.val,{"D04","C30","c40","C20"},0)), _xlpm.val, "Other")
)</f>
        <v>D04</v>
      </c>
      <c r="D941" s="10" t="str">
        <f>IFERROR(VLOOKUP(Datadetails[[#This Row],[Taskcode]],Dashboard!A:A,1,FALSE),"00 Err Missing")</f>
        <v>0001</v>
      </c>
      <c r="E941" s="79">
        <v>45820</v>
      </c>
      <c r="F941" s="80" t="s">
        <v>333</v>
      </c>
      <c r="G941" s="60" t="s">
        <v>40</v>
      </c>
      <c r="H941" s="80" t="s">
        <v>320</v>
      </c>
      <c r="I941" s="80" t="s">
        <v>35</v>
      </c>
      <c r="J941" s="80" t="s">
        <v>322</v>
      </c>
      <c r="K941" s="80" t="s">
        <v>319</v>
      </c>
      <c r="L941" s="80" t="s">
        <v>352</v>
      </c>
      <c r="M941" s="81">
        <v>8.83</v>
      </c>
      <c r="N941" s="82">
        <v>282.56</v>
      </c>
    </row>
    <row r="942" spans="1:14" x14ac:dyDescent="0.25">
      <c r="A942" s="10" t="str">
        <f>_xlfn.IFNA(
    IF(J942=
        "PCB-0001",
        "CSS",
        IF(
            ISNUMBER(MATCH(_xlfn.TEXTBEFORE(J942,"-"), {"CSS","CSN","PCB","PCF","BEC","CSD","PCM"}, 0)),
            _xlfn.TEXTBEFORE(J942,"-"),
            "Other"
        )
    ),
"Add")</f>
        <v>CSD</v>
      </c>
      <c r="B942" s="10" t="str">
        <f t="shared" si="15"/>
        <v>0001</v>
      </c>
      <c r="C942" s="10" t="str">
        <f>_xlfn.LET(
    _xlpm.val, IF(Datadetails[[#This Row],[Activity]]="D02","C20",Datadetails[[#This Row],[Activity]]),
    IF(ISNUMBER(MATCH(_xlpm.val,{"D04","C30","c40","C20"},0)), _xlpm.val, "Other")
)</f>
        <v>D04</v>
      </c>
      <c r="D942" s="10" t="str">
        <f>IFERROR(VLOOKUP(Datadetails[[#This Row],[Taskcode]],Dashboard!A:A,1,FALSE),"00 Err Missing")</f>
        <v>0001</v>
      </c>
      <c r="E942" s="79">
        <v>45820</v>
      </c>
      <c r="F942" s="80" t="s">
        <v>327</v>
      </c>
      <c r="G942" s="60" t="s">
        <v>40</v>
      </c>
      <c r="H942" s="80" t="s">
        <v>320</v>
      </c>
      <c r="I942" s="80" t="s">
        <v>35</v>
      </c>
      <c r="J942" s="80" t="s">
        <v>322</v>
      </c>
      <c r="K942" s="80" t="s">
        <v>319</v>
      </c>
      <c r="L942" s="80" t="s">
        <v>352</v>
      </c>
      <c r="M942" s="81">
        <v>4</v>
      </c>
      <c r="N942" s="82">
        <v>128</v>
      </c>
    </row>
    <row r="943" spans="1:14" x14ac:dyDescent="0.25">
      <c r="A943" s="10" t="str">
        <f>_xlfn.IFNA(
    IF(J943=
        "PCB-0001",
        "CSS",
        IF(
            ISNUMBER(MATCH(_xlfn.TEXTBEFORE(J943,"-"), {"CSS","CSN","PCB","PCF","BEC","CSD","PCM"}, 0)),
            _xlfn.TEXTBEFORE(J943,"-"),
            "Other"
        )
    ),
"Add")</f>
        <v>PCM</v>
      </c>
      <c r="B943" s="10" t="str">
        <f t="shared" si="15"/>
        <v>0065</v>
      </c>
      <c r="C943" s="10" t="str">
        <f>_xlfn.LET(
    _xlpm.val, IF(Datadetails[[#This Row],[Activity]]="D02","C20",Datadetails[[#This Row],[Activity]]),
    IF(ISNUMBER(MATCH(_xlpm.val,{"D04","C30","c40","C20"},0)), _xlpm.val, "Other")
)</f>
        <v>C20</v>
      </c>
      <c r="D943" s="10" t="str">
        <f>IFERROR(VLOOKUP(Datadetails[[#This Row],[Taskcode]],Dashboard!A:A,1,FALSE),"00 Err Missing")</f>
        <v>0065</v>
      </c>
      <c r="E943" s="79">
        <v>45820</v>
      </c>
      <c r="F943" s="80" t="s">
        <v>323</v>
      </c>
      <c r="G943" s="60" t="s">
        <v>40</v>
      </c>
      <c r="H943" s="80" t="s">
        <v>232</v>
      </c>
      <c r="I943" s="80" t="s">
        <v>36</v>
      </c>
      <c r="J943" s="80" t="s">
        <v>393</v>
      </c>
      <c r="K943" s="80" t="s">
        <v>346</v>
      </c>
      <c r="L943" s="80" t="s">
        <v>342</v>
      </c>
      <c r="M943" s="81">
        <v>0.25</v>
      </c>
      <c r="N943" s="82">
        <v>15</v>
      </c>
    </row>
    <row r="944" spans="1:14" x14ac:dyDescent="0.25">
      <c r="A944" s="10" t="str">
        <f>_xlfn.IFNA(
    IF(J944=
        "PCB-0001",
        "CSS",
        IF(
            ISNUMBER(MATCH(_xlfn.TEXTBEFORE(J944,"-"), {"CSS","CSN","PCB","PCF","BEC","CSD","PCM"}, 0)),
            _xlfn.TEXTBEFORE(J944,"-"),
            "Other"
        )
    ),
"Add")</f>
        <v>PCM</v>
      </c>
      <c r="B944" s="10" t="str">
        <f t="shared" si="15"/>
        <v>0078</v>
      </c>
      <c r="C944" s="10" t="str">
        <f>_xlfn.LET(
    _xlpm.val, IF(Datadetails[[#This Row],[Activity]]="D02","C20",Datadetails[[#This Row],[Activity]]),
    IF(ISNUMBER(MATCH(_xlpm.val,{"D04","C30","c40","C20"},0)), _xlpm.val, "Other")
)</f>
        <v>C20</v>
      </c>
      <c r="D944" s="10" t="str">
        <f>IFERROR(VLOOKUP(Datadetails[[#This Row],[Taskcode]],Dashboard!A:A,1,FALSE),"00 Err Missing")</f>
        <v>0078</v>
      </c>
      <c r="E944" s="79">
        <v>45820</v>
      </c>
      <c r="F944" s="80" t="s">
        <v>323</v>
      </c>
      <c r="G944" s="60" t="s">
        <v>40</v>
      </c>
      <c r="H944" s="80" t="s">
        <v>245</v>
      </c>
      <c r="I944" s="80" t="s">
        <v>36</v>
      </c>
      <c r="J944" s="80" t="s">
        <v>435</v>
      </c>
      <c r="K944" s="80" t="s">
        <v>346</v>
      </c>
      <c r="L944" s="80" t="s">
        <v>342</v>
      </c>
      <c r="M944" s="81">
        <v>0.25</v>
      </c>
      <c r="N944" s="82">
        <v>15</v>
      </c>
    </row>
    <row r="945" spans="1:14" x14ac:dyDescent="0.25">
      <c r="A945" s="10" t="str">
        <f>_xlfn.IFNA(
    IF(J945=
        "PCB-0001",
        "CSS",
        IF(
            ISNUMBER(MATCH(_xlfn.TEXTBEFORE(J945,"-"), {"CSS","CSN","PCB","PCF","BEC","CSD","PCM"}, 0)),
            _xlfn.TEXTBEFORE(J945,"-"),
            "Other"
        )
    ),
"Add")</f>
        <v>PCM</v>
      </c>
      <c r="B945" s="10" t="str">
        <f t="shared" si="15"/>
        <v>0107</v>
      </c>
      <c r="C945" s="10" t="str">
        <f>_xlfn.LET(
    _xlpm.val, IF(Datadetails[[#This Row],[Activity]]="D02","C20",Datadetails[[#This Row],[Activity]]),
    IF(ISNUMBER(MATCH(_xlpm.val,{"D04","C30","c40","C20"},0)), _xlpm.val, "Other")
)</f>
        <v>C20</v>
      </c>
      <c r="D945" s="10" t="str">
        <f>IFERROR(VLOOKUP(Datadetails[[#This Row],[Taskcode]],Dashboard!A:A,1,FALSE),"00 Err Missing")</f>
        <v>0107</v>
      </c>
      <c r="E945" s="79">
        <v>45820</v>
      </c>
      <c r="F945" s="80" t="s">
        <v>323</v>
      </c>
      <c r="G945" s="60" t="s">
        <v>40</v>
      </c>
      <c r="H945" s="80" t="s">
        <v>274</v>
      </c>
      <c r="I945" s="80" t="s">
        <v>36</v>
      </c>
      <c r="J945" s="80" t="s">
        <v>421</v>
      </c>
      <c r="K945" s="80" t="s">
        <v>346</v>
      </c>
      <c r="L945" s="80" t="s">
        <v>342</v>
      </c>
      <c r="M945" s="81">
        <v>0.25</v>
      </c>
      <c r="N945" s="82">
        <v>15</v>
      </c>
    </row>
    <row r="946" spans="1:14" x14ac:dyDescent="0.25">
      <c r="A946" s="10" t="str">
        <f>_xlfn.IFNA(
    IF(J946=
        "PCB-0001",
        "CSS",
        IF(
            ISNUMBER(MATCH(_xlfn.TEXTBEFORE(J946,"-"), {"CSS","CSN","PCB","PCF","BEC","CSD","PCM"}, 0)),
            _xlfn.TEXTBEFORE(J946,"-"),
            "Other"
        )
    ),
"Add")</f>
        <v>PCM</v>
      </c>
      <c r="B946" s="10" t="str">
        <f t="shared" si="15"/>
        <v>0064</v>
      </c>
      <c r="C946" s="10" t="str">
        <f>_xlfn.LET(
    _xlpm.val, IF(Datadetails[[#This Row],[Activity]]="D02","C20",Datadetails[[#This Row],[Activity]]),
    IF(ISNUMBER(MATCH(_xlpm.val,{"D04","C30","c40","C20"},0)), _xlpm.val, "Other")
)</f>
        <v>C30</v>
      </c>
      <c r="D946" s="10" t="str">
        <f>IFERROR(VLOOKUP(Datadetails[[#This Row],[Taskcode]],Dashboard!A:A,1,FALSE),"00 Err Missing")</f>
        <v>0064</v>
      </c>
      <c r="E946" s="79">
        <v>45820</v>
      </c>
      <c r="F946" s="80" t="s">
        <v>323</v>
      </c>
      <c r="G946" s="60" t="s">
        <v>40</v>
      </c>
      <c r="H946" s="80" t="s">
        <v>231</v>
      </c>
      <c r="I946" s="80" t="s">
        <v>34</v>
      </c>
      <c r="J946" s="80" t="s">
        <v>420</v>
      </c>
      <c r="K946" s="80" t="s">
        <v>346</v>
      </c>
      <c r="L946" s="80" t="s">
        <v>343</v>
      </c>
      <c r="M946" s="81">
        <v>0.25</v>
      </c>
      <c r="N946" s="82">
        <v>15</v>
      </c>
    </row>
    <row r="947" spans="1:14" x14ac:dyDescent="0.25">
      <c r="A947" s="10" t="str">
        <f>_xlfn.IFNA(
    IF(J947=
        "PCB-0001",
        "CSS",
        IF(
            ISNUMBER(MATCH(_xlfn.TEXTBEFORE(J947,"-"), {"CSS","CSN","PCB","PCF","BEC","CSD","PCM"}, 0)),
            _xlfn.TEXTBEFORE(J947,"-"),
            "Other"
        )
    ),
"Add")</f>
        <v>PCB</v>
      </c>
      <c r="B947" s="10" t="str">
        <f t="shared" si="15"/>
        <v>0015</v>
      </c>
      <c r="C947" s="10" t="str">
        <f>_xlfn.LET(
    _xlpm.val, IF(Datadetails[[#This Row],[Activity]]="D02","C20",Datadetails[[#This Row],[Activity]]),
    IF(ISNUMBER(MATCH(_xlpm.val,{"D04","C30","c40","C20"},0)), _xlpm.val, "Other")
)</f>
        <v>C30</v>
      </c>
      <c r="D947" s="10" t="str">
        <f>IFERROR(VLOOKUP(Datadetails[[#This Row],[Taskcode]],Dashboard!A:A,1,FALSE),"00 Err Missing")</f>
        <v>0015</v>
      </c>
      <c r="E947" s="79">
        <v>45820</v>
      </c>
      <c r="F947" s="80" t="s">
        <v>325</v>
      </c>
      <c r="G947" s="60" t="s">
        <v>40</v>
      </c>
      <c r="H947" s="80" t="s">
        <v>182</v>
      </c>
      <c r="I947" s="80" t="s">
        <v>34</v>
      </c>
      <c r="J947" s="80" t="s">
        <v>467</v>
      </c>
      <c r="K947" s="80" t="s">
        <v>347</v>
      </c>
      <c r="L947" s="80" t="s">
        <v>343</v>
      </c>
      <c r="M947" s="81">
        <v>0.25</v>
      </c>
      <c r="N947" s="82">
        <v>18.75</v>
      </c>
    </row>
    <row r="948" spans="1:14" x14ac:dyDescent="0.25">
      <c r="A948" s="10" t="str">
        <f>_xlfn.IFNA(
    IF(J948=
        "PCB-0001",
        "CSS",
        IF(
            ISNUMBER(MATCH(_xlfn.TEXTBEFORE(J948,"-"), {"CSS","CSN","PCB","PCF","BEC","CSD","PCM"}, 0)),
            _xlfn.TEXTBEFORE(J948,"-"),
            "Other"
        )
    ),
"Add")</f>
        <v>PCB</v>
      </c>
      <c r="B948" s="10" t="str">
        <f t="shared" si="15"/>
        <v>0012</v>
      </c>
      <c r="C948" s="10" t="str">
        <f>_xlfn.LET(
    _xlpm.val, IF(Datadetails[[#This Row],[Activity]]="D02","C20",Datadetails[[#This Row],[Activity]]),
    IF(ISNUMBER(MATCH(_xlpm.val,{"D04","C30","c40","C20"},0)), _xlpm.val, "Other")
)</f>
        <v>C30</v>
      </c>
      <c r="D948" s="10" t="str">
        <f>IFERROR(VLOOKUP(Datadetails[[#This Row],[Taskcode]],Dashboard!A:A,1,FALSE),"00 Err Missing")</f>
        <v>0012</v>
      </c>
      <c r="E948" s="79">
        <v>45820</v>
      </c>
      <c r="F948" s="80" t="s">
        <v>325</v>
      </c>
      <c r="G948" s="60" t="s">
        <v>40</v>
      </c>
      <c r="H948" s="80" t="s">
        <v>179</v>
      </c>
      <c r="I948" s="80" t="s">
        <v>34</v>
      </c>
      <c r="J948" s="80" t="s">
        <v>422</v>
      </c>
      <c r="K948" s="80" t="s">
        <v>347</v>
      </c>
      <c r="L948" s="80" t="s">
        <v>343</v>
      </c>
      <c r="M948" s="81">
        <v>0.33</v>
      </c>
      <c r="N948" s="82">
        <v>24.75</v>
      </c>
    </row>
    <row r="949" spans="1:14" x14ac:dyDescent="0.25">
      <c r="A949" s="10" t="str">
        <f>_xlfn.IFNA(
    IF(J949=
        "PCB-0001",
        "CSS",
        IF(
            ISNUMBER(MATCH(_xlfn.TEXTBEFORE(J949,"-"), {"CSS","CSN","PCB","PCF","BEC","CSD","PCM"}, 0)),
            _xlfn.TEXTBEFORE(J949,"-"),
            "Other"
        )
    ),
"Add")</f>
        <v>PCB</v>
      </c>
      <c r="B949" s="10" t="str">
        <f t="shared" si="15"/>
        <v>0092</v>
      </c>
      <c r="C949" s="10" t="str">
        <f>_xlfn.LET(
    _xlpm.val, IF(Datadetails[[#This Row],[Activity]]="D02","C20",Datadetails[[#This Row],[Activity]]),
    IF(ISNUMBER(MATCH(_xlpm.val,{"D04","C30","c40","C20"},0)), _xlpm.val, "Other")
)</f>
        <v>C30</v>
      </c>
      <c r="D949" s="10" t="str">
        <f>IFERROR(VLOOKUP(Datadetails[[#This Row],[Taskcode]],Dashboard!A:A,1,FALSE),"00 Err Missing")</f>
        <v>0092</v>
      </c>
      <c r="E949" s="79">
        <v>45820</v>
      </c>
      <c r="F949" s="80" t="s">
        <v>329</v>
      </c>
      <c r="G949" s="60" t="s">
        <v>40</v>
      </c>
      <c r="H949" s="80" t="s">
        <v>259</v>
      </c>
      <c r="I949" s="80" t="s">
        <v>34</v>
      </c>
      <c r="J949" s="80" t="s">
        <v>407</v>
      </c>
      <c r="K949" s="80" t="s">
        <v>347</v>
      </c>
      <c r="L949" s="80" t="s">
        <v>343</v>
      </c>
      <c r="M949" s="81">
        <v>0.33</v>
      </c>
      <c r="N949" s="82">
        <v>24.75</v>
      </c>
    </row>
    <row r="950" spans="1:14" x14ac:dyDescent="0.25">
      <c r="A950" s="10" t="str">
        <f>_xlfn.IFNA(
    IF(J950=
        "PCB-0001",
        "CSS",
        IF(
            ISNUMBER(MATCH(_xlfn.TEXTBEFORE(J950,"-"), {"CSS","CSN","PCB","PCF","BEC","CSD","PCM"}, 0)),
            _xlfn.TEXTBEFORE(J950,"-"),
            "Other"
        )
    ),
"Add")</f>
        <v>PCB</v>
      </c>
      <c r="B950" s="10" t="str">
        <f t="shared" si="15"/>
        <v>0095</v>
      </c>
      <c r="C950" s="10" t="str">
        <f>_xlfn.LET(
    _xlpm.val, IF(Datadetails[[#This Row],[Activity]]="D02","C20",Datadetails[[#This Row],[Activity]]),
    IF(ISNUMBER(MATCH(_xlpm.val,{"D04","C30","c40","C20"},0)), _xlpm.val, "Other")
)</f>
        <v>C30</v>
      </c>
      <c r="D950" s="10" t="str">
        <f>IFERROR(VLOOKUP(Datadetails[[#This Row],[Taskcode]],Dashboard!A:A,1,FALSE),"00 Err Missing")</f>
        <v>0095</v>
      </c>
      <c r="E950" s="79">
        <v>45820</v>
      </c>
      <c r="F950" s="80" t="s">
        <v>325</v>
      </c>
      <c r="G950" s="60" t="s">
        <v>40</v>
      </c>
      <c r="H950" s="80" t="s">
        <v>262</v>
      </c>
      <c r="I950" s="80" t="s">
        <v>34</v>
      </c>
      <c r="J950" s="80" t="s">
        <v>442</v>
      </c>
      <c r="K950" s="80" t="s">
        <v>347</v>
      </c>
      <c r="L950" s="80" t="s">
        <v>343</v>
      </c>
      <c r="M950" s="81">
        <v>0.17</v>
      </c>
      <c r="N950" s="82">
        <v>12.750000000000002</v>
      </c>
    </row>
    <row r="951" spans="1:14" x14ac:dyDescent="0.25">
      <c r="A951" s="10" t="str">
        <f>_xlfn.IFNA(
    IF(J951=
        "PCB-0001",
        "CSS",
        IF(
            ISNUMBER(MATCH(_xlfn.TEXTBEFORE(J951,"-"), {"CSS","CSN","PCB","PCF","BEC","CSD","PCM"}, 0)),
            _xlfn.TEXTBEFORE(J951,"-"),
            "Other"
        )
    ),
"Add")</f>
        <v>PCB</v>
      </c>
      <c r="B951" s="10" t="str">
        <f t="shared" si="15"/>
        <v>0097</v>
      </c>
      <c r="C951" s="10" t="str">
        <f>_xlfn.LET(
    _xlpm.val, IF(Datadetails[[#This Row],[Activity]]="D02","C20",Datadetails[[#This Row],[Activity]]),
    IF(ISNUMBER(MATCH(_xlpm.val,{"D04","C30","c40","C20"},0)), _xlpm.val, "Other")
)</f>
        <v>C30</v>
      </c>
      <c r="D951" s="10" t="str">
        <f>IFERROR(VLOOKUP(Datadetails[[#This Row],[Taskcode]],Dashboard!A:A,1,FALSE),"00 Err Missing")</f>
        <v>0097</v>
      </c>
      <c r="E951" s="79">
        <v>45820</v>
      </c>
      <c r="F951" s="80" t="s">
        <v>325</v>
      </c>
      <c r="G951" s="60" t="s">
        <v>40</v>
      </c>
      <c r="H951" s="80" t="s">
        <v>264</v>
      </c>
      <c r="I951" s="80" t="s">
        <v>34</v>
      </c>
      <c r="J951" s="80" t="s">
        <v>384</v>
      </c>
      <c r="K951" s="80" t="s">
        <v>347</v>
      </c>
      <c r="L951" s="80" t="s">
        <v>343</v>
      </c>
      <c r="M951" s="81">
        <v>0.25</v>
      </c>
      <c r="N951" s="82">
        <v>18.75</v>
      </c>
    </row>
    <row r="952" spans="1:14" x14ac:dyDescent="0.25">
      <c r="A952" s="10" t="str">
        <f>_xlfn.IFNA(
    IF(J952=
        "PCB-0001",
        "CSS",
        IF(
            ISNUMBER(MATCH(_xlfn.TEXTBEFORE(J952,"-"), {"CSS","CSN","PCB","PCF","BEC","CSD","PCM"}, 0)),
            _xlfn.TEXTBEFORE(J952,"-"),
            "Other"
        )
    ),
"Add")</f>
        <v>PCB</v>
      </c>
      <c r="B952" s="10" t="str">
        <f t="shared" si="15"/>
        <v>0080</v>
      </c>
      <c r="C952" s="10" t="str">
        <f>_xlfn.LET(
    _xlpm.val, IF(Datadetails[[#This Row],[Activity]]="D02","C20",Datadetails[[#This Row],[Activity]]),
    IF(ISNUMBER(MATCH(_xlpm.val,{"D04","C30","c40","C20"},0)), _xlpm.val, "Other")
)</f>
        <v>C30</v>
      </c>
      <c r="D952" s="10" t="str">
        <f>IFERROR(VLOOKUP(Datadetails[[#This Row],[Taskcode]],Dashboard!A:A,1,FALSE),"00 Err Missing")</f>
        <v>0080</v>
      </c>
      <c r="E952" s="79">
        <v>45820</v>
      </c>
      <c r="F952" s="80" t="s">
        <v>329</v>
      </c>
      <c r="G952" s="60" t="s">
        <v>40</v>
      </c>
      <c r="H952" s="80" t="s">
        <v>247</v>
      </c>
      <c r="I952" s="80" t="s">
        <v>34</v>
      </c>
      <c r="J952" s="80" t="s">
        <v>375</v>
      </c>
      <c r="K952" s="80" t="s">
        <v>347</v>
      </c>
      <c r="L952" s="80" t="s">
        <v>343</v>
      </c>
      <c r="M952" s="81">
        <v>0.17</v>
      </c>
      <c r="N952" s="82">
        <v>12.750000000000002</v>
      </c>
    </row>
    <row r="953" spans="1:14" x14ac:dyDescent="0.25">
      <c r="A953" s="10" t="str">
        <f>_xlfn.IFNA(
    IF(J953=
        "PCB-0001",
        "CSS",
        IF(
            ISNUMBER(MATCH(_xlfn.TEXTBEFORE(J953,"-"), {"CSS","CSN","PCB","PCF","BEC","CSD","PCM"}, 0)),
            _xlfn.TEXTBEFORE(J953,"-"),
            "Other"
        )
    ),
"Add")</f>
        <v>PCB</v>
      </c>
      <c r="B953" s="10" t="str">
        <f t="shared" si="15"/>
        <v>0110</v>
      </c>
      <c r="C953" s="10" t="str">
        <f>_xlfn.LET(
    _xlpm.val, IF(Datadetails[[#This Row],[Activity]]="D02","C20",Datadetails[[#This Row],[Activity]]),
    IF(ISNUMBER(MATCH(_xlpm.val,{"D04","C30","c40","C20"},0)), _xlpm.val, "Other")
)</f>
        <v>C30</v>
      </c>
      <c r="D953" s="10" t="str">
        <f>IFERROR(VLOOKUP(Datadetails[[#This Row],[Taskcode]],Dashboard!A:A,1,FALSE),"00 Err Missing")</f>
        <v>0110</v>
      </c>
      <c r="E953" s="79">
        <v>45820</v>
      </c>
      <c r="F953" s="80" t="s">
        <v>325</v>
      </c>
      <c r="G953" s="60" t="s">
        <v>40</v>
      </c>
      <c r="H953" s="80" t="s">
        <v>277</v>
      </c>
      <c r="I953" s="80" t="s">
        <v>34</v>
      </c>
      <c r="J953" s="80" t="s">
        <v>353</v>
      </c>
      <c r="K953" s="80" t="s">
        <v>347</v>
      </c>
      <c r="L953" s="80" t="s">
        <v>343</v>
      </c>
      <c r="M953" s="81">
        <v>0.17</v>
      </c>
      <c r="N953" s="82">
        <v>12.750000000000002</v>
      </c>
    </row>
    <row r="954" spans="1:14" x14ac:dyDescent="0.25">
      <c r="A954" s="10" t="str">
        <f>_xlfn.IFNA(
    IF(J954=
        "PCB-0001",
        "CSS",
        IF(
            ISNUMBER(MATCH(_xlfn.TEXTBEFORE(J954,"-"), {"CSS","CSN","PCB","PCF","BEC","CSD","PCM"}, 0)),
            _xlfn.TEXTBEFORE(J954,"-"),
            "Other"
        )
    ),
"Add")</f>
        <v>PCF</v>
      </c>
      <c r="B954" s="10" t="str">
        <f t="shared" si="15"/>
        <v>0069</v>
      </c>
      <c r="C954" s="10" t="str">
        <f>_xlfn.LET(
    _xlpm.val, IF(Datadetails[[#This Row],[Activity]]="D02","C20",Datadetails[[#This Row],[Activity]]),
    IF(ISNUMBER(MATCH(_xlpm.val,{"D04","C30","c40","C20"},0)), _xlpm.val, "Other")
)</f>
        <v>C20</v>
      </c>
      <c r="D954" s="10" t="str">
        <f>IFERROR(VLOOKUP(Datadetails[[#This Row],[Taskcode]],Dashboard!A:A,1,FALSE),"00 Err Missing")</f>
        <v>0069</v>
      </c>
      <c r="E954" s="79">
        <v>45820</v>
      </c>
      <c r="F954" s="80" t="s">
        <v>326</v>
      </c>
      <c r="G954" s="60" t="s">
        <v>40</v>
      </c>
      <c r="H954" s="80" t="s">
        <v>236</v>
      </c>
      <c r="I954" s="80" t="s">
        <v>36</v>
      </c>
      <c r="J954" s="80" t="s">
        <v>357</v>
      </c>
      <c r="K954" s="80" t="s">
        <v>348</v>
      </c>
      <c r="L954" s="80" t="s">
        <v>342</v>
      </c>
      <c r="M954" s="81">
        <v>1.75</v>
      </c>
      <c r="N954" s="82">
        <v>105</v>
      </c>
    </row>
    <row r="955" spans="1:14" x14ac:dyDescent="0.25">
      <c r="A955" s="10" t="str">
        <f>_xlfn.IFNA(
    IF(J955=
        "PCB-0001",
        "CSS",
        IF(
            ISNUMBER(MATCH(_xlfn.TEXTBEFORE(J955,"-"), {"CSS","CSN","PCB","PCF","BEC","CSD","PCM"}, 0)),
            _xlfn.TEXTBEFORE(J955,"-"),
            "Other"
        )
    ),
"Add")</f>
        <v>PCF</v>
      </c>
      <c r="B955" s="10" t="str">
        <f t="shared" si="15"/>
        <v>0098</v>
      </c>
      <c r="C955" s="10" t="str">
        <f>_xlfn.LET(
    _xlpm.val, IF(Datadetails[[#This Row],[Activity]]="D02","C20",Datadetails[[#This Row],[Activity]]),
    IF(ISNUMBER(MATCH(_xlpm.val,{"D04","C30","c40","C20"},0)), _xlpm.val, "Other")
)</f>
        <v>C20</v>
      </c>
      <c r="D955" s="10" t="str">
        <f>IFERROR(VLOOKUP(Datadetails[[#This Row],[Taskcode]],Dashboard!A:A,1,FALSE),"00 Err Missing")</f>
        <v>0098</v>
      </c>
      <c r="E955" s="79">
        <v>45820</v>
      </c>
      <c r="F955" s="80" t="s">
        <v>326</v>
      </c>
      <c r="G955" s="60" t="s">
        <v>40</v>
      </c>
      <c r="H955" s="80" t="s">
        <v>265</v>
      </c>
      <c r="I955" s="80" t="s">
        <v>36</v>
      </c>
      <c r="J955" s="80" t="s">
        <v>358</v>
      </c>
      <c r="K955" s="80" t="s">
        <v>348</v>
      </c>
      <c r="L955" s="80" t="s">
        <v>342</v>
      </c>
      <c r="M955" s="81">
        <v>1.25</v>
      </c>
      <c r="N955" s="82">
        <v>75</v>
      </c>
    </row>
    <row r="956" spans="1:14" x14ac:dyDescent="0.25">
      <c r="A956" s="10" t="str">
        <f>_xlfn.IFNA(
    IF(J956=
        "PCB-0001",
        "CSS",
        IF(
            ISNUMBER(MATCH(_xlfn.TEXTBEFORE(J956,"-"), {"CSS","CSN","PCB","PCF","BEC","CSD","PCM"}, 0)),
            _xlfn.TEXTBEFORE(J956,"-"),
            "Other"
        )
    ),
"Add")</f>
        <v>PCF</v>
      </c>
      <c r="B956" s="10" t="str">
        <f t="shared" si="15"/>
        <v>0142</v>
      </c>
      <c r="C956" s="10" t="str">
        <f>_xlfn.LET(
    _xlpm.val, IF(Datadetails[[#This Row],[Activity]]="D02","C20",Datadetails[[#This Row],[Activity]]),
    IF(ISNUMBER(MATCH(_xlpm.val,{"D04","C30","c40","C20"},0)), _xlpm.val, "Other")
)</f>
        <v>C30</v>
      </c>
      <c r="D956" s="10" t="str">
        <f>IFERROR(VLOOKUP(Datadetails[[#This Row],[Taskcode]],Dashboard!A:A,1,FALSE),"00 Err Missing")</f>
        <v>0142</v>
      </c>
      <c r="E956" s="79">
        <v>45820</v>
      </c>
      <c r="F956" s="80" t="s">
        <v>326</v>
      </c>
      <c r="G956" s="60" t="s">
        <v>40</v>
      </c>
      <c r="H956" s="80" t="s">
        <v>309</v>
      </c>
      <c r="I956" s="80" t="s">
        <v>34</v>
      </c>
      <c r="J956" s="80" t="s">
        <v>454</v>
      </c>
      <c r="K956" s="80" t="s">
        <v>348</v>
      </c>
      <c r="L956" s="80" t="s">
        <v>343</v>
      </c>
      <c r="M956" s="81">
        <v>1.33</v>
      </c>
      <c r="N956" s="82">
        <v>79.800000000000011</v>
      </c>
    </row>
    <row r="957" spans="1:14" x14ac:dyDescent="0.25">
      <c r="A957" s="10" t="str">
        <f>_xlfn.IFNA(
    IF(J957=
        "PCB-0001",
        "CSS",
        IF(
            ISNUMBER(MATCH(_xlfn.TEXTBEFORE(J957,"-"), {"CSS","CSN","PCB","PCF","BEC","CSD","PCM"}, 0)),
            _xlfn.TEXTBEFORE(J957,"-"),
            "Other"
        )
    ),
"Add")</f>
        <v>PCF</v>
      </c>
      <c r="B957" s="10" t="str">
        <f t="shared" si="15"/>
        <v>0133</v>
      </c>
      <c r="C957" s="10" t="str">
        <f>_xlfn.LET(
    _xlpm.val, IF(Datadetails[[#This Row],[Activity]]="D02","C20",Datadetails[[#This Row],[Activity]]),
    IF(ISNUMBER(MATCH(_xlpm.val,{"D04","C30","c40","C20"},0)), _xlpm.val, "Other")
)</f>
        <v>C40</v>
      </c>
      <c r="D957" s="10" t="str">
        <f>IFERROR(VLOOKUP(Datadetails[[#This Row],[Taskcode]],Dashboard!A:A,1,FALSE),"00 Err Missing")</f>
        <v>0133</v>
      </c>
      <c r="E957" s="79">
        <v>45820</v>
      </c>
      <c r="F957" s="80" t="s">
        <v>326</v>
      </c>
      <c r="G957" s="60" t="s">
        <v>40</v>
      </c>
      <c r="H957" s="80" t="s">
        <v>300</v>
      </c>
      <c r="I957" s="80" t="s">
        <v>341</v>
      </c>
      <c r="J957" s="80" t="s">
        <v>464</v>
      </c>
      <c r="K957" s="80" t="s">
        <v>348</v>
      </c>
      <c r="L957" s="80" t="s">
        <v>344</v>
      </c>
      <c r="M957" s="81">
        <v>1.17</v>
      </c>
      <c r="N957" s="82">
        <v>70.199999999999989</v>
      </c>
    </row>
    <row r="958" spans="1:14" x14ac:dyDescent="0.25">
      <c r="A958" s="10" t="str">
        <f>_xlfn.IFNA(
    IF(J958=
        "PCB-0001",
        "CSS",
        IF(
            ISNUMBER(MATCH(_xlfn.TEXTBEFORE(J958,"-"), {"CSS","CSN","PCB","PCF","BEC","CSD","PCM"}, 0)),
            _xlfn.TEXTBEFORE(J958,"-"),
            "Other"
        )
    ),
"Add")</f>
        <v>BEC</v>
      </c>
      <c r="B958" s="10" t="str">
        <f t="shared" si="15"/>
        <v>0001</v>
      </c>
      <c r="C958" s="10" t="str">
        <f>_xlfn.LET(
    _xlpm.val, IF(Datadetails[[#This Row],[Activity]]="D02","C20",Datadetails[[#This Row],[Activity]]),
    IF(ISNUMBER(MATCH(_xlpm.val,{"D04","C30","c40","C20"},0)), _xlpm.val, "Other")
)</f>
        <v>D04</v>
      </c>
      <c r="D958" s="10" t="str">
        <f>IFERROR(VLOOKUP(Datadetails[[#This Row],[Taskcode]],Dashboard!A:A,1,FALSE),"00 Err Missing")</f>
        <v>0001</v>
      </c>
      <c r="E958" s="79">
        <v>45820</v>
      </c>
      <c r="F958" s="80" t="s">
        <v>332</v>
      </c>
      <c r="G958" s="60" t="s">
        <v>40</v>
      </c>
      <c r="H958" s="80" t="s">
        <v>314</v>
      </c>
      <c r="I958" s="80" t="s">
        <v>35</v>
      </c>
      <c r="J958" s="80" t="s">
        <v>359</v>
      </c>
      <c r="K958" s="80" t="s">
        <v>339</v>
      </c>
      <c r="L958" s="80" t="s">
        <v>352</v>
      </c>
      <c r="M958" s="81">
        <v>9.17</v>
      </c>
      <c r="N958" s="82">
        <v>366.8</v>
      </c>
    </row>
    <row r="959" spans="1:14" x14ac:dyDescent="0.25">
      <c r="A959" s="10" t="str">
        <f>_xlfn.IFNA(
    IF(J959=
        "PCB-0001",
        "CSS",
        IF(
            ISNUMBER(MATCH(_xlfn.TEXTBEFORE(J959,"-"), {"CSS","CSN","PCB","PCF","BEC","CSD","PCM"}, 0)),
            _xlfn.TEXTBEFORE(J959,"-"),
            "Other"
        )
    ),
"Add")</f>
        <v>BEC</v>
      </c>
      <c r="B959" s="10" t="str">
        <f t="shared" si="15"/>
        <v>0001</v>
      </c>
      <c r="C959" s="10" t="str">
        <f>_xlfn.LET(
    _xlpm.val, IF(Datadetails[[#This Row],[Activity]]="D02","C20",Datadetails[[#This Row],[Activity]]),
    IF(ISNUMBER(MATCH(_xlpm.val,{"D04","C30","c40","C20"},0)), _xlpm.val, "Other")
)</f>
        <v>D04</v>
      </c>
      <c r="D959" s="10" t="str">
        <f>IFERROR(VLOOKUP(Datadetails[[#This Row],[Taskcode]],Dashboard!A:A,1,FALSE),"00 Err Missing")</f>
        <v>0001</v>
      </c>
      <c r="E959" s="79">
        <v>45820</v>
      </c>
      <c r="F959" s="80" t="s">
        <v>324</v>
      </c>
      <c r="G959" s="60" t="s">
        <v>40</v>
      </c>
      <c r="H959" s="80" t="s">
        <v>314</v>
      </c>
      <c r="I959" s="80" t="s">
        <v>35</v>
      </c>
      <c r="J959" s="80" t="s">
        <v>359</v>
      </c>
      <c r="K959" s="80" t="s">
        <v>339</v>
      </c>
      <c r="L959" s="80" t="s">
        <v>352</v>
      </c>
      <c r="M959" s="81">
        <v>6</v>
      </c>
      <c r="N959" s="82">
        <v>450</v>
      </c>
    </row>
    <row r="960" spans="1:14" x14ac:dyDescent="0.25">
      <c r="A960" s="10" t="str">
        <f>_xlfn.IFNA(
    IF(J960=
        "PCB-0001",
        "CSS",
        IF(
            ISNUMBER(MATCH(_xlfn.TEXTBEFORE(J960,"-"), {"CSS","CSN","PCB","PCF","BEC","CSD","PCM"}, 0)),
            _xlfn.TEXTBEFORE(J960,"-"),
            "Other"
        )
    ),
"Add")</f>
        <v>PCM</v>
      </c>
      <c r="B960" s="10" t="str">
        <f t="shared" si="15"/>
        <v>0001</v>
      </c>
      <c r="C960" s="10" t="str">
        <f>_xlfn.LET(
    _xlpm.val, IF(Datadetails[[#This Row],[Activity]]="D02","C20",Datadetails[[#This Row],[Activity]]),
    IF(ISNUMBER(MATCH(_xlpm.val,{"D04","C30","c40","C20"},0)), _xlpm.val, "Other")
)</f>
        <v>C20</v>
      </c>
      <c r="D960" s="10" t="str">
        <f>IFERROR(VLOOKUP(Datadetails[[#This Row],[Taskcode]],Dashboard!A:A,1,FALSE),"00 Err Missing")</f>
        <v>0001</v>
      </c>
      <c r="E960" s="79">
        <v>45821</v>
      </c>
      <c r="F960" s="80" t="s">
        <v>323</v>
      </c>
      <c r="G960" s="60" t="s">
        <v>40</v>
      </c>
      <c r="H960" s="80" t="s">
        <v>168</v>
      </c>
      <c r="I960" s="80" t="s">
        <v>36</v>
      </c>
      <c r="J960" s="80" t="s">
        <v>419</v>
      </c>
      <c r="K960" s="80" t="s">
        <v>346</v>
      </c>
      <c r="L960" s="80" t="s">
        <v>342</v>
      </c>
      <c r="M960" s="81">
        <v>0.25</v>
      </c>
      <c r="N960" s="82">
        <v>15</v>
      </c>
    </row>
    <row r="961" spans="1:14" x14ac:dyDescent="0.25">
      <c r="A961" s="10" t="str">
        <f>_xlfn.IFNA(
    IF(J961=
        "PCB-0001",
        "CSS",
        IF(
            ISNUMBER(MATCH(_xlfn.TEXTBEFORE(J961,"-"), {"CSS","CSN","PCB","PCF","BEC","CSD","PCM"}, 0)),
            _xlfn.TEXTBEFORE(J961,"-"),
            "Other"
        )
    ),
"Add")</f>
        <v>PCM</v>
      </c>
      <c r="B961" s="10" t="str">
        <f t="shared" si="15"/>
        <v>0041</v>
      </c>
      <c r="C961" s="10" t="str">
        <f>_xlfn.LET(
    _xlpm.val, IF(Datadetails[[#This Row],[Activity]]="D02","C20",Datadetails[[#This Row],[Activity]]),
    IF(ISNUMBER(MATCH(_xlpm.val,{"D04","C30","c40","C20"},0)), _xlpm.val, "Other")
)</f>
        <v>C20</v>
      </c>
      <c r="D961" s="10" t="str">
        <f>IFERROR(VLOOKUP(Datadetails[[#This Row],[Taskcode]],Dashboard!A:A,1,FALSE),"00 Err Missing")</f>
        <v>0041</v>
      </c>
      <c r="E961" s="79">
        <v>45821</v>
      </c>
      <c r="F961" s="80" t="s">
        <v>323</v>
      </c>
      <c r="G961" s="60" t="s">
        <v>40</v>
      </c>
      <c r="H961" s="80" t="s">
        <v>208</v>
      </c>
      <c r="I961" s="80" t="s">
        <v>36</v>
      </c>
      <c r="J961" s="80" t="s">
        <v>456</v>
      </c>
      <c r="K961" s="80" t="s">
        <v>346</v>
      </c>
      <c r="L961" s="80" t="s">
        <v>342</v>
      </c>
      <c r="M961" s="81">
        <v>0.25</v>
      </c>
      <c r="N961" s="82">
        <v>15</v>
      </c>
    </row>
    <row r="962" spans="1:14" x14ac:dyDescent="0.25">
      <c r="A962" s="10" t="str">
        <f>_xlfn.IFNA(
    IF(J962=
        "PCB-0001",
        "CSS",
        IF(
            ISNUMBER(MATCH(_xlfn.TEXTBEFORE(J962,"-"), {"CSS","CSN","PCB","PCF","BEC","CSD","PCM"}, 0)),
            _xlfn.TEXTBEFORE(J962,"-"),
            "Other"
        )
    ),
"Add")</f>
        <v>CSN</v>
      </c>
      <c r="B962" s="10" t="str">
        <f t="shared" si="15"/>
        <v>0001</v>
      </c>
      <c r="C962" s="10" t="str">
        <f>_xlfn.LET(
    _xlpm.val, IF(Datadetails[[#This Row],[Activity]]="D02","C20",Datadetails[[#This Row],[Activity]]),
    IF(ISNUMBER(MATCH(_xlpm.val,{"D04","C30","c40","C20"},0)), _xlpm.val, "Other")
)</f>
        <v>D04</v>
      </c>
      <c r="D962" s="10" t="str">
        <f>IFERROR(VLOOKUP(Datadetails[[#This Row],[Taskcode]],Dashboard!A:A,1,FALSE),"00 Err Missing")</f>
        <v>0001</v>
      </c>
      <c r="E962" s="79">
        <v>45821</v>
      </c>
      <c r="F962" s="80" t="s">
        <v>329</v>
      </c>
      <c r="G962" s="60" t="s">
        <v>40</v>
      </c>
      <c r="H962" s="80" t="s">
        <v>316</v>
      </c>
      <c r="I962" s="80" t="s">
        <v>35</v>
      </c>
      <c r="J962" s="80" t="s">
        <v>338</v>
      </c>
      <c r="K962" s="80" t="s">
        <v>337</v>
      </c>
      <c r="L962" s="80" t="s">
        <v>352</v>
      </c>
      <c r="M962" s="81">
        <v>2</v>
      </c>
      <c r="N962" s="82">
        <v>150</v>
      </c>
    </row>
    <row r="963" spans="1:14" x14ac:dyDescent="0.25">
      <c r="A963" s="10" t="str">
        <f>_xlfn.IFNA(
    IF(J963=
        "PCB-0001",
        "CSS",
        IF(
            ISNUMBER(MATCH(_xlfn.TEXTBEFORE(J963,"-"), {"CSS","CSN","PCB","PCF","BEC","CSD","PCM"}, 0)),
            _xlfn.TEXTBEFORE(J963,"-"),
            "Other"
        )
    ),
"Add")</f>
        <v>CSD</v>
      </c>
      <c r="B963" s="10" t="str">
        <f t="shared" si="15"/>
        <v>0001</v>
      </c>
      <c r="C963" s="10" t="str">
        <f>_xlfn.LET(
    _xlpm.val, IF(Datadetails[[#This Row],[Activity]]="D02","C20",Datadetails[[#This Row],[Activity]]),
    IF(ISNUMBER(MATCH(_xlpm.val,{"D04","C30","c40","C20"},0)), _xlpm.val, "Other")
)</f>
        <v>D04</v>
      </c>
      <c r="D963" s="10" t="str">
        <f>IFERROR(VLOOKUP(Datadetails[[#This Row],[Taskcode]],Dashboard!A:A,1,FALSE),"00 Err Missing")</f>
        <v>0001</v>
      </c>
      <c r="E963" s="79">
        <v>45821</v>
      </c>
      <c r="F963" s="80" t="s">
        <v>333</v>
      </c>
      <c r="G963" s="60" t="s">
        <v>40</v>
      </c>
      <c r="H963" s="80" t="s">
        <v>320</v>
      </c>
      <c r="I963" s="80" t="s">
        <v>35</v>
      </c>
      <c r="J963" s="80" t="s">
        <v>322</v>
      </c>
      <c r="K963" s="80" t="s">
        <v>319</v>
      </c>
      <c r="L963" s="80" t="s">
        <v>352</v>
      </c>
      <c r="M963" s="81">
        <v>7.47</v>
      </c>
      <c r="N963" s="82">
        <v>239.04</v>
      </c>
    </row>
    <row r="964" spans="1:14" x14ac:dyDescent="0.25">
      <c r="A964" s="10" t="str">
        <f>_xlfn.IFNA(
    IF(J964=
        "PCB-0001",
        "CSS",
        IF(
            ISNUMBER(MATCH(_xlfn.TEXTBEFORE(J964,"-"), {"CSS","CSN","PCB","PCF","BEC","CSD","PCM"}, 0)),
            _xlfn.TEXTBEFORE(J964,"-"),
            "Other"
        )
    ),
"Add")</f>
        <v>CSD</v>
      </c>
      <c r="B964" s="10" t="str">
        <f t="shared" ref="B964:B1027" si="16">_xlfn.IFNA(_xlfn.TEXTAFTER(J964,"-"),"Data to C2")</f>
        <v>0001</v>
      </c>
      <c r="C964" s="10" t="str">
        <f>_xlfn.LET(
    _xlpm.val, IF(Datadetails[[#This Row],[Activity]]="D02","C20",Datadetails[[#This Row],[Activity]]),
    IF(ISNUMBER(MATCH(_xlpm.val,{"D04","C30","c40","C20"},0)), _xlpm.val, "Other")
)</f>
        <v>D04</v>
      </c>
      <c r="D964" s="10" t="str">
        <f>IFERROR(VLOOKUP(Datadetails[[#This Row],[Taskcode]],Dashboard!A:A,1,FALSE),"00 Err Missing")</f>
        <v>0001</v>
      </c>
      <c r="E964" s="79">
        <v>45821</v>
      </c>
      <c r="F964" s="80" t="s">
        <v>327</v>
      </c>
      <c r="G964" s="60" t="s">
        <v>40</v>
      </c>
      <c r="H964" s="80" t="s">
        <v>320</v>
      </c>
      <c r="I964" s="80" t="s">
        <v>35</v>
      </c>
      <c r="J964" s="80" t="s">
        <v>322</v>
      </c>
      <c r="K964" s="80" t="s">
        <v>319</v>
      </c>
      <c r="L964" s="80" t="s">
        <v>352</v>
      </c>
      <c r="M964" s="81">
        <v>7.25</v>
      </c>
      <c r="N964" s="82">
        <v>232</v>
      </c>
    </row>
    <row r="965" spans="1:14" x14ac:dyDescent="0.25">
      <c r="A965" s="10" t="str">
        <f>_xlfn.IFNA(
    IF(J965=
        "PCB-0001",
        "CSS",
        IF(
            ISNUMBER(MATCH(_xlfn.TEXTBEFORE(J965,"-"), {"CSS","CSN","PCB","PCF","BEC","CSD","PCM"}, 0)),
            _xlfn.TEXTBEFORE(J965,"-"),
            "Other"
        )
    ),
"Add")</f>
        <v>PCM</v>
      </c>
      <c r="B965" s="10" t="str">
        <f t="shared" si="16"/>
        <v>0064</v>
      </c>
      <c r="C965" s="10" t="str">
        <f>_xlfn.LET(
    _xlpm.val, IF(Datadetails[[#This Row],[Activity]]="D02","C20",Datadetails[[#This Row],[Activity]]),
    IF(ISNUMBER(MATCH(_xlpm.val,{"D04","C30","c40","C20"},0)), _xlpm.val, "Other")
)</f>
        <v>C30</v>
      </c>
      <c r="D965" s="10" t="str">
        <f>IFERROR(VLOOKUP(Datadetails[[#This Row],[Taskcode]],Dashboard!A:A,1,FALSE),"00 Err Missing")</f>
        <v>0064</v>
      </c>
      <c r="E965" s="79">
        <v>45821</v>
      </c>
      <c r="F965" s="80" t="s">
        <v>323</v>
      </c>
      <c r="G965" s="60" t="s">
        <v>40</v>
      </c>
      <c r="H965" s="80" t="s">
        <v>231</v>
      </c>
      <c r="I965" s="80" t="s">
        <v>34</v>
      </c>
      <c r="J965" s="80" t="s">
        <v>420</v>
      </c>
      <c r="K965" s="80" t="s">
        <v>346</v>
      </c>
      <c r="L965" s="80" t="s">
        <v>343</v>
      </c>
      <c r="M965" s="81">
        <v>0.25</v>
      </c>
      <c r="N965" s="82">
        <v>15</v>
      </c>
    </row>
    <row r="966" spans="1:14" x14ac:dyDescent="0.25">
      <c r="A966" s="10" t="str">
        <f>_xlfn.IFNA(
    IF(J966=
        "PCB-0001",
        "CSS",
        IF(
            ISNUMBER(MATCH(_xlfn.TEXTBEFORE(J966,"-"), {"CSS","CSN","PCB","PCF","BEC","CSD","PCM"}, 0)),
            _xlfn.TEXTBEFORE(J966,"-"),
            "Other"
        )
    ),
"Add")</f>
        <v>PCB</v>
      </c>
      <c r="B966" s="10" t="str">
        <f t="shared" si="16"/>
        <v>0019</v>
      </c>
      <c r="C966" s="10" t="str">
        <f>_xlfn.LET(
    _xlpm.val, IF(Datadetails[[#This Row],[Activity]]="D02","C20",Datadetails[[#This Row],[Activity]]),
    IF(ISNUMBER(MATCH(_xlpm.val,{"D04","C30","c40","C20"},0)), _xlpm.val, "Other")
)</f>
        <v>C30</v>
      </c>
      <c r="D966" s="10" t="str">
        <f>IFERROR(VLOOKUP(Datadetails[[#This Row],[Taskcode]],Dashboard!A:A,1,FALSE),"00 Err Missing")</f>
        <v>0019</v>
      </c>
      <c r="E966" s="79">
        <v>45821</v>
      </c>
      <c r="F966" s="80" t="s">
        <v>329</v>
      </c>
      <c r="G966" s="60" t="s">
        <v>40</v>
      </c>
      <c r="H966" s="80" t="s">
        <v>186</v>
      </c>
      <c r="I966" s="80" t="s">
        <v>34</v>
      </c>
      <c r="J966" s="80" t="s">
        <v>397</v>
      </c>
      <c r="K966" s="80" t="s">
        <v>347</v>
      </c>
      <c r="L966" s="80" t="s">
        <v>343</v>
      </c>
      <c r="M966" s="81">
        <v>0.17</v>
      </c>
      <c r="N966" s="82">
        <v>12.750000000000002</v>
      </c>
    </row>
    <row r="967" spans="1:14" x14ac:dyDescent="0.25">
      <c r="A967" s="10" t="str">
        <f>_xlfn.IFNA(
    IF(J967=
        "PCB-0001",
        "CSS",
        IF(
            ISNUMBER(MATCH(_xlfn.TEXTBEFORE(J967,"-"), {"CSS","CSN","PCB","PCF","BEC","CSD","PCM"}, 0)),
            _xlfn.TEXTBEFORE(J967,"-"),
            "Other"
        )
    ),
"Add")</f>
        <v>PCB</v>
      </c>
      <c r="B967" s="10" t="str">
        <f t="shared" si="16"/>
        <v>0030</v>
      </c>
      <c r="C967" s="10" t="str">
        <f>_xlfn.LET(
    _xlpm.val, IF(Datadetails[[#This Row],[Activity]]="D02","C20",Datadetails[[#This Row],[Activity]]),
    IF(ISNUMBER(MATCH(_xlpm.val,{"D04","C30","c40","C20"},0)), _xlpm.val, "Other")
)</f>
        <v>C30</v>
      </c>
      <c r="D967" s="10" t="str">
        <f>IFERROR(VLOOKUP(Datadetails[[#This Row],[Taskcode]],Dashboard!A:A,1,FALSE),"00 Err Missing")</f>
        <v>0030</v>
      </c>
      <c r="E967" s="79">
        <v>45821</v>
      </c>
      <c r="F967" s="80" t="s">
        <v>329</v>
      </c>
      <c r="G967" s="60" t="s">
        <v>40</v>
      </c>
      <c r="H967" s="80" t="s">
        <v>197</v>
      </c>
      <c r="I967" s="80" t="s">
        <v>34</v>
      </c>
      <c r="J967" s="80" t="s">
        <v>366</v>
      </c>
      <c r="K967" s="80" t="s">
        <v>347</v>
      </c>
      <c r="L967" s="80" t="s">
        <v>343</v>
      </c>
      <c r="M967" s="81">
        <v>0.08</v>
      </c>
      <c r="N967" s="82">
        <v>6</v>
      </c>
    </row>
    <row r="968" spans="1:14" x14ac:dyDescent="0.25">
      <c r="A968" s="10" t="str">
        <f>_xlfn.IFNA(
    IF(J968=
        "PCB-0001",
        "CSS",
        IF(
            ISNUMBER(MATCH(_xlfn.TEXTBEFORE(J968,"-"), {"CSS","CSN","PCB","PCF","BEC","CSD","PCM"}, 0)),
            _xlfn.TEXTBEFORE(J968,"-"),
            "Other"
        )
    ),
"Add")</f>
        <v>PCB</v>
      </c>
      <c r="B968" s="10" t="str">
        <f t="shared" si="16"/>
        <v>0054</v>
      </c>
      <c r="C968" s="10" t="str">
        <f>_xlfn.LET(
    _xlpm.val, IF(Datadetails[[#This Row],[Activity]]="D02","C20",Datadetails[[#This Row],[Activity]]),
    IF(ISNUMBER(MATCH(_xlpm.val,{"D04","C30","c40","C20"},0)), _xlpm.val, "Other")
)</f>
        <v>C30</v>
      </c>
      <c r="D968" s="10" t="str">
        <f>IFERROR(VLOOKUP(Datadetails[[#This Row],[Taskcode]],Dashboard!A:A,1,FALSE),"00 Err Missing")</f>
        <v>0054</v>
      </c>
      <c r="E968" s="79">
        <v>45821</v>
      </c>
      <c r="F968" s="80" t="s">
        <v>329</v>
      </c>
      <c r="G968" s="60" t="s">
        <v>40</v>
      </c>
      <c r="H968" s="80" t="s">
        <v>221</v>
      </c>
      <c r="I968" s="80" t="s">
        <v>34</v>
      </c>
      <c r="J968" s="80" t="s">
        <v>369</v>
      </c>
      <c r="K968" s="80" t="s">
        <v>347</v>
      </c>
      <c r="L968" s="80" t="s">
        <v>343</v>
      </c>
      <c r="M968" s="81">
        <v>0.42</v>
      </c>
      <c r="N968" s="82">
        <v>31.5</v>
      </c>
    </row>
    <row r="969" spans="1:14" x14ac:dyDescent="0.25">
      <c r="A969" s="10" t="str">
        <f>_xlfn.IFNA(
    IF(J969=
        "PCB-0001",
        "CSS",
        IF(
            ISNUMBER(MATCH(_xlfn.TEXTBEFORE(J969,"-"), {"CSS","CSN","PCB","PCF","BEC","CSD","PCM"}, 0)),
            _xlfn.TEXTBEFORE(J969,"-"),
            "Other"
        )
    ),
"Add")</f>
        <v>PCB</v>
      </c>
      <c r="B969" s="10" t="str">
        <f t="shared" si="16"/>
        <v>0134</v>
      </c>
      <c r="C969" s="10" t="str">
        <f>_xlfn.LET(
    _xlpm.val, IF(Datadetails[[#This Row],[Activity]]="D02","C20",Datadetails[[#This Row],[Activity]]),
    IF(ISNUMBER(MATCH(_xlpm.val,{"D04","C30","c40","C20"},0)), _xlpm.val, "Other")
)</f>
        <v>C30</v>
      </c>
      <c r="D969" s="10" t="str">
        <f>IFERROR(VLOOKUP(Datadetails[[#This Row],[Taskcode]],Dashboard!A:A,1,FALSE),"00 Err Missing")</f>
        <v>0134</v>
      </c>
      <c r="E969" s="79">
        <v>45821</v>
      </c>
      <c r="F969" s="80" t="s">
        <v>329</v>
      </c>
      <c r="G969" s="60" t="s">
        <v>40</v>
      </c>
      <c r="H969" s="80" t="s">
        <v>301</v>
      </c>
      <c r="I969" s="80" t="s">
        <v>34</v>
      </c>
      <c r="J969" s="80" t="s">
        <v>371</v>
      </c>
      <c r="K969" s="80" t="s">
        <v>347</v>
      </c>
      <c r="L969" s="80" t="s">
        <v>343</v>
      </c>
      <c r="M969" s="81">
        <v>0.75</v>
      </c>
      <c r="N969" s="82">
        <v>56.25</v>
      </c>
    </row>
    <row r="970" spans="1:14" x14ac:dyDescent="0.25">
      <c r="A970" s="10" t="str">
        <f>_xlfn.IFNA(
    IF(J970=
        "PCB-0001",
        "CSS",
        IF(
            ISNUMBER(MATCH(_xlfn.TEXTBEFORE(J970,"-"), {"CSS","CSN","PCB","PCF","BEC","CSD","PCM"}, 0)),
            _xlfn.TEXTBEFORE(J970,"-"),
            "Other"
        )
    ),
"Add")</f>
        <v>PCB</v>
      </c>
      <c r="B970" s="10" t="str">
        <f t="shared" si="16"/>
        <v>0075</v>
      </c>
      <c r="C970" s="10" t="str">
        <f>_xlfn.LET(
    _xlpm.val, IF(Datadetails[[#This Row],[Activity]]="D02","C20",Datadetails[[#This Row],[Activity]]),
    IF(ISNUMBER(MATCH(_xlpm.val,{"D04","C30","c40","C20"},0)), _xlpm.val, "Other")
)</f>
        <v>C30</v>
      </c>
      <c r="D970" s="10" t="str">
        <f>IFERROR(VLOOKUP(Datadetails[[#This Row],[Taskcode]],Dashboard!A:A,1,FALSE),"00 Err Missing")</f>
        <v>0075</v>
      </c>
      <c r="E970" s="79">
        <v>45821</v>
      </c>
      <c r="F970" s="80" t="s">
        <v>329</v>
      </c>
      <c r="G970" s="60" t="s">
        <v>40</v>
      </c>
      <c r="H970" s="80" t="s">
        <v>242</v>
      </c>
      <c r="I970" s="80" t="s">
        <v>34</v>
      </c>
      <c r="J970" s="80" t="s">
        <v>404</v>
      </c>
      <c r="K970" s="80" t="s">
        <v>347</v>
      </c>
      <c r="L970" s="80" t="s">
        <v>343</v>
      </c>
      <c r="M970" s="81">
        <v>0.67</v>
      </c>
      <c r="N970" s="82">
        <v>50.25</v>
      </c>
    </row>
    <row r="971" spans="1:14" x14ac:dyDescent="0.25">
      <c r="A971" s="10" t="str">
        <f>_xlfn.IFNA(
    IF(J971=
        "PCB-0001",
        "CSS",
        IF(
            ISNUMBER(MATCH(_xlfn.TEXTBEFORE(J971,"-"), {"CSS","CSN","PCB","PCF","BEC","CSD","PCM"}, 0)),
            _xlfn.TEXTBEFORE(J971,"-"),
            "Other"
        )
    ),
"Add")</f>
        <v>PCB</v>
      </c>
      <c r="B971" s="10" t="str">
        <f t="shared" si="16"/>
        <v>0088</v>
      </c>
      <c r="C971" s="10" t="str">
        <f>_xlfn.LET(
    _xlpm.val, IF(Datadetails[[#This Row],[Activity]]="D02","C20",Datadetails[[#This Row],[Activity]]),
    IF(ISNUMBER(MATCH(_xlpm.val,{"D04","C30","c40","C20"},0)), _xlpm.val, "Other")
)</f>
        <v>C30</v>
      </c>
      <c r="D971" s="10" t="str">
        <f>IFERROR(VLOOKUP(Datadetails[[#This Row],[Taskcode]],Dashboard!A:A,1,FALSE),"00 Err Missing")</f>
        <v>0088</v>
      </c>
      <c r="E971" s="79">
        <v>45821</v>
      </c>
      <c r="F971" s="80" t="s">
        <v>330</v>
      </c>
      <c r="G971" s="60" t="s">
        <v>40</v>
      </c>
      <c r="H971" s="80" t="s">
        <v>255</v>
      </c>
      <c r="I971" s="80" t="s">
        <v>34</v>
      </c>
      <c r="J971" s="80" t="s">
        <v>462</v>
      </c>
      <c r="K971" s="80" t="s">
        <v>347</v>
      </c>
      <c r="L971" s="80" t="s">
        <v>343</v>
      </c>
      <c r="M971" s="81">
        <v>0.5</v>
      </c>
      <c r="N971" s="82">
        <v>30</v>
      </c>
    </row>
    <row r="972" spans="1:14" x14ac:dyDescent="0.25">
      <c r="A972" s="10" t="str">
        <f>_xlfn.IFNA(
    IF(J972=
        "PCB-0001",
        "CSS",
        IF(
            ISNUMBER(MATCH(_xlfn.TEXTBEFORE(J972,"-"), {"CSS","CSN","PCB","PCF","BEC","CSD","PCM"}, 0)),
            _xlfn.TEXTBEFORE(J972,"-"),
            "Other"
        )
    ),
"Add")</f>
        <v>PCB</v>
      </c>
      <c r="B972" s="10" t="str">
        <f t="shared" si="16"/>
        <v>0092</v>
      </c>
      <c r="C972" s="10" t="str">
        <f>_xlfn.LET(
    _xlpm.val, IF(Datadetails[[#This Row],[Activity]]="D02","C20",Datadetails[[#This Row],[Activity]]),
    IF(ISNUMBER(MATCH(_xlpm.val,{"D04","C30","c40","C20"},0)), _xlpm.val, "Other")
)</f>
        <v>C30</v>
      </c>
      <c r="D972" s="10" t="str">
        <f>IFERROR(VLOOKUP(Datadetails[[#This Row],[Taskcode]],Dashboard!A:A,1,FALSE),"00 Err Missing")</f>
        <v>0092</v>
      </c>
      <c r="E972" s="79">
        <v>45821</v>
      </c>
      <c r="F972" s="80" t="s">
        <v>329</v>
      </c>
      <c r="G972" s="60" t="s">
        <v>40</v>
      </c>
      <c r="H972" s="80" t="s">
        <v>259</v>
      </c>
      <c r="I972" s="80" t="s">
        <v>34</v>
      </c>
      <c r="J972" s="80" t="s">
        <v>407</v>
      </c>
      <c r="K972" s="80" t="s">
        <v>347</v>
      </c>
      <c r="L972" s="80" t="s">
        <v>343</v>
      </c>
      <c r="M972" s="81">
        <v>0.17</v>
      </c>
      <c r="N972" s="82">
        <v>12.750000000000002</v>
      </c>
    </row>
    <row r="973" spans="1:14" x14ac:dyDescent="0.25">
      <c r="A973" s="10" t="str">
        <f>_xlfn.IFNA(
    IF(J973=
        "PCB-0001",
        "CSS",
        IF(
            ISNUMBER(MATCH(_xlfn.TEXTBEFORE(J973,"-"), {"CSS","CSN","PCB","PCF","BEC","CSD","PCM"}, 0)),
            _xlfn.TEXTBEFORE(J973,"-"),
            "Other"
        )
    ),
"Add")</f>
        <v>PCB</v>
      </c>
      <c r="B973" s="10" t="str">
        <f t="shared" si="16"/>
        <v>0080</v>
      </c>
      <c r="C973" s="10" t="str">
        <f>_xlfn.LET(
    _xlpm.val, IF(Datadetails[[#This Row],[Activity]]="D02","C20",Datadetails[[#This Row],[Activity]]),
    IF(ISNUMBER(MATCH(_xlpm.val,{"D04","C30","c40","C20"},0)), _xlpm.val, "Other")
)</f>
        <v>C30</v>
      </c>
      <c r="D973" s="10" t="str">
        <f>IFERROR(VLOOKUP(Datadetails[[#This Row],[Taskcode]],Dashboard!A:A,1,FALSE),"00 Err Missing")</f>
        <v>0080</v>
      </c>
      <c r="E973" s="79">
        <v>45821</v>
      </c>
      <c r="F973" s="80" t="s">
        <v>329</v>
      </c>
      <c r="G973" s="60" t="s">
        <v>40</v>
      </c>
      <c r="H973" s="80" t="s">
        <v>247</v>
      </c>
      <c r="I973" s="80" t="s">
        <v>34</v>
      </c>
      <c r="J973" s="80" t="s">
        <v>375</v>
      </c>
      <c r="K973" s="80" t="s">
        <v>347</v>
      </c>
      <c r="L973" s="80" t="s">
        <v>343</v>
      </c>
      <c r="M973" s="81">
        <v>0.5</v>
      </c>
      <c r="N973" s="82">
        <v>37.5</v>
      </c>
    </row>
    <row r="974" spans="1:14" x14ac:dyDescent="0.25">
      <c r="A974" s="10" t="str">
        <f>_xlfn.IFNA(
    IF(J974=
        "PCB-0001",
        "CSS",
        IF(
            ISNUMBER(MATCH(_xlfn.TEXTBEFORE(J974,"-"), {"CSS","CSN","PCB","PCF","BEC","CSD","PCM"}, 0)),
            _xlfn.TEXTBEFORE(J974,"-"),
            "Other"
        )
    ),
"Add")</f>
        <v>PCB</v>
      </c>
      <c r="B974" s="10" t="str">
        <f t="shared" si="16"/>
        <v>0081</v>
      </c>
      <c r="C974" s="10" t="str">
        <f>_xlfn.LET(
    _xlpm.val, IF(Datadetails[[#This Row],[Activity]]="D02","C20",Datadetails[[#This Row],[Activity]]),
    IF(ISNUMBER(MATCH(_xlpm.val,{"D04","C30","c40","C20"},0)), _xlpm.val, "Other")
)</f>
        <v>C30</v>
      </c>
      <c r="D974" s="10" t="str">
        <f>IFERROR(VLOOKUP(Datadetails[[#This Row],[Taskcode]],Dashboard!A:A,1,FALSE),"00 Err Missing")</f>
        <v>0081</v>
      </c>
      <c r="E974" s="79">
        <v>45821</v>
      </c>
      <c r="F974" s="80" t="s">
        <v>329</v>
      </c>
      <c r="G974" s="60" t="s">
        <v>40</v>
      </c>
      <c r="H974" s="80" t="s">
        <v>248</v>
      </c>
      <c r="I974" s="80" t="s">
        <v>34</v>
      </c>
      <c r="J974" s="80" t="s">
        <v>385</v>
      </c>
      <c r="K974" s="80" t="s">
        <v>347</v>
      </c>
      <c r="L974" s="80" t="s">
        <v>343</v>
      </c>
      <c r="M974" s="81">
        <v>0.17</v>
      </c>
      <c r="N974" s="82">
        <v>12.750000000000002</v>
      </c>
    </row>
    <row r="975" spans="1:14" x14ac:dyDescent="0.25">
      <c r="A975" s="10" t="str">
        <f>_xlfn.IFNA(
    IF(J975=
        "PCB-0001",
        "CSS",
        IF(
            ISNUMBER(MATCH(_xlfn.TEXTBEFORE(J975,"-"), {"CSS","CSN","PCB","PCF","BEC","CSD","PCM"}, 0)),
            _xlfn.TEXTBEFORE(J975,"-"),
            "Other"
        )
    ),
"Add")</f>
        <v>PCF</v>
      </c>
      <c r="B975" s="10" t="str">
        <f t="shared" si="16"/>
        <v>0069</v>
      </c>
      <c r="C975" s="10" t="str">
        <f>_xlfn.LET(
    _xlpm.val, IF(Datadetails[[#This Row],[Activity]]="D02","C20",Datadetails[[#This Row],[Activity]]),
    IF(ISNUMBER(MATCH(_xlpm.val,{"D04","C30","c40","C20"},0)), _xlpm.val, "Other")
)</f>
        <v>C20</v>
      </c>
      <c r="D975" s="10" t="str">
        <f>IFERROR(VLOOKUP(Datadetails[[#This Row],[Taskcode]],Dashboard!A:A,1,FALSE),"00 Err Missing")</f>
        <v>0069</v>
      </c>
      <c r="E975" s="79">
        <v>45821</v>
      </c>
      <c r="F975" s="80" t="s">
        <v>326</v>
      </c>
      <c r="G975" s="60" t="s">
        <v>40</v>
      </c>
      <c r="H975" s="80" t="s">
        <v>236</v>
      </c>
      <c r="I975" s="80" t="s">
        <v>36</v>
      </c>
      <c r="J975" s="80" t="s">
        <v>357</v>
      </c>
      <c r="K975" s="80" t="s">
        <v>348</v>
      </c>
      <c r="L975" s="80" t="s">
        <v>342</v>
      </c>
      <c r="M975" s="81">
        <v>1.25</v>
      </c>
      <c r="N975" s="82">
        <v>75</v>
      </c>
    </row>
    <row r="976" spans="1:14" x14ac:dyDescent="0.25">
      <c r="A976" s="10" t="str">
        <f>_xlfn.IFNA(
    IF(J976=
        "PCB-0001",
        "CSS",
        IF(
            ISNUMBER(MATCH(_xlfn.TEXTBEFORE(J976,"-"), {"CSS","CSN","PCB","PCF","BEC","CSD","PCM"}, 0)),
            _xlfn.TEXTBEFORE(J976,"-"),
            "Other"
        )
    ),
"Add")</f>
        <v>BEC</v>
      </c>
      <c r="B976" s="10" t="str">
        <f t="shared" si="16"/>
        <v>0001</v>
      </c>
      <c r="C976" s="10" t="str">
        <f>_xlfn.LET(
    _xlpm.val, IF(Datadetails[[#This Row],[Activity]]="D02","C20",Datadetails[[#This Row],[Activity]]),
    IF(ISNUMBER(MATCH(_xlpm.val,{"D04","C30","c40","C20"},0)), _xlpm.val, "Other")
)</f>
        <v>D04</v>
      </c>
      <c r="D976" s="10" t="str">
        <f>IFERROR(VLOOKUP(Datadetails[[#This Row],[Taskcode]],Dashboard!A:A,1,FALSE),"00 Err Missing")</f>
        <v>0001</v>
      </c>
      <c r="E976" s="79">
        <v>45821</v>
      </c>
      <c r="F976" s="80" t="s">
        <v>332</v>
      </c>
      <c r="G976" s="60" t="s">
        <v>40</v>
      </c>
      <c r="H976" s="80" t="s">
        <v>314</v>
      </c>
      <c r="I976" s="80" t="s">
        <v>35</v>
      </c>
      <c r="J976" s="80" t="s">
        <v>359</v>
      </c>
      <c r="K976" s="80" t="s">
        <v>339</v>
      </c>
      <c r="L976" s="80" t="s">
        <v>352</v>
      </c>
      <c r="M976" s="81">
        <v>6</v>
      </c>
      <c r="N976" s="82">
        <v>240</v>
      </c>
    </row>
    <row r="977" spans="1:14" x14ac:dyDescent="0.25">
      <c r="A977" s="10" t="str">
        <f>_xlfn.IFNA(
    IF(J977=
        "PCB-0001",
        "CSS",
        IF(
            ISNUMBER(MATCH(_xlfn.TEXTBEFORE(J977,"-"), {"CSS","CSN","PCB","PCF","BEC","CSD","PCM"}, 0)),
            _xlfn.TEXTBEFORE(J977,"-"),
            "Other"
        )
    ),
"Add")</f>
        <v>BEC</v>
      </c>
      <c r="B977" s="10" t="str">
        <f t="shared" si="16"/>
        <v>0001</v>
      </c>
      <c r="C977" s="10" t="str">
        <f>_xlfn.LET(
    _xlpm.val, IF(Datadetails[[#This Row],[Activity]]="D02","C20",Datadetails[[#This Row],[Activity]]),
    IF(ISNUMBER(MATCH(_xlpm.val,{"D04","C30","c40","C20"},0)), _xlpm.val, "Other")
)</f>
        <v>D04</v>
      </c>
      <c r="D977" s="10" t="str">
        <f>IFERROR(VLOOKUP(Datadetails[[#This Row],[Taskcode]],Dashboard!A:A,1,FALSE),"00 Err Missing")</f>
        <v>0001</v>
      </c>
      <c r="E977" s="79">
        <v>45821</v>
      </c>
      <c r="F977" s="80" t="s">
        <v>324</v>
      </c>
      <c r="G977" s="60" t="s">
        <v>40</v>
      </c>
      <c r="H977" s="80" t="s">
        <v>314</v>
      </c>
      <c r="I977" s="80" t="s">
        <v>35</v>
      </c>
      <c r="J977" s="80" t="s">
        <v>359</v>
      </c>
      <c r="K977" s="80" t="s">
        <v>339</v>
      </c>
      <c r="L977" s="80" t="s">
        <v>352</v>
      </c>
      <c r="M977" s="81">
        <v>6.25</v>
      </c>
      <c r="N977" s="82">
        <v>468.75</v>
      </c>
    </row>
    <row r="978" spans="1:14" x14ac:dyDescent="0.25">
      <c r="A978" s="10" t="str">
        <f>_xlfn.IFNA(
    IF(J978=
        "PCB-0001",
        "CSS",
        IF(
            ISNUMBER(MATCH(_xlfn.TEXTBEFORE(J978,"-"), {"CSS","CSN","PCB","PCF","BEC","CSD","PCM"}, 0)),
            _xlfn.TEXTBEFORE(J978,"-"),
            "Other"
        )
    ),
"Add")</f>
        <v>BEC</v>
      </c>
      <c r="B978" s="10" t="str">
        <f t="shared" si="16"/>
        <v>0001</v>
      </c>
      <c r="C978" s="10" t="str">
        <f>_xlfn.LET(
    _xlpm.val, IF(Datadetails[[#This Row],[Activity]]="D02","C20",Datadetails[[#This Row],[Activity]]),
    IF(ISNUMBER(MATCH(_xlpm.val,{"D04","C30","c40","C20"},0)), _xlpm.val, "Other")
)</f>
        <v>D04</v>
      </c>
      <c r="D978" s="10" t="str">
        <f>IFERROR(VLOOKUP(Datadetails[[#This Row],[Taskcode]],Dashboard!A:A,1,FALSE),"00 Err Missing")</f>
        <v>0001</v>
      </c>
      <c r="E978" s="79">
        <v>45822</v>
      </c>
      <c r="F978" s="80" t="s">
        <v>332</v>
      </c>
      <c r="G978" s="60" t="s">
        <v>40</v>
      </c>
      <c r="H978" s="80" t="s">
        <v>314</v>
      </c>
      <c r="I978" s="80" t="s">
        <v>35</v>
      </c>
      <c r="J978" s="80" t="s">
        <v>359</v>
      </c>
      <c r="K978" s="80" t="s">
        <v>339</v>
      </c>
      <c r="L978" s="80" t="s">
        <v>352</v>
      </c>
      <c r="M978" s="81">
        <v>2</v>
      </c>
      <c r="N978" s="82">
        <v>80</v>
      </c>
    </row>
    <row r="979" spans="1:14" x14ac:dyDescent="0.25">
      <c r="A979" s="10" t="str">
        <f>_xlfn.IFNA(
    IF(J979=
        "PCB-0001",
        "CSS",
        IF(
            ISNUMBER(MATCH(_xlfn.TEXTBEFORE(J979,"-"), {"CSS","CSN","PCB","PCF","BEC","CSD","PCM"}, 0)),
            _xlfn.TEXTBEFORE(J979,"-"),
            "Other"
        )
    ),
"Add")</f>
        <v>PCB</v>
      </c>
      <c r="B979" s="10" t="str">
        <f t="shared" si="16"/>
        <v>0075</v>
      </c>
      <c r="C979" s="10" t="str">
        <f>_xlfn.LET(
    _xlpm.val, IF(Datadetails[[#This Row],[Activity]]="D02","C20",Datadetails[[#This Row],[Activity]]),
    IF(ISNUMBER(MATCH(_xlpm.val,{"D04","C30","c40","C20"},0)), _xlpm.val, "Other")
)</f>
        <v>C40</v>
      </c>
      <c r="D979" s="10" t="str">
        <f>IFERROR(VLOOKUP(Datadetails[[#This Row],[Taskcode]],Dashboard!A:A,1,FALSE),"00 Err Missing")</f>
        <v>0075</v>
      </c>
      <c r="E979" s="79">
        <v>45824</v>
      </c>
      <c r="F979" s="80" t="s">
        <v>329</v>
      </c>
      <c r="G979" s="60" t="s">
        <v>40</v>
      </c>
      <c r="H979" s="80" t="s">
        <v>242</v>
      </c>
      <c r="I979" s="80" t="s">
        <v>341</v>
      </c>
      <c r="J979" s="80" t="s">
        <v>404</v>
      </c>
      <c r="K979" s="80" t="s">
        <v>347</v>
      </c>
      <c r="L979" s="80" t="s">
        <v>344</v>
      </c>
      <c r="M979" s="81">
        <v>3.5</v>
      </c>
      <c r="N979" s="82">
        <v>262.5</v>
      </c>
    </row>
    <row r="980" spans="1:14" x14ac:dyDescent="0.25">
      <c r="A980" s="10" t="str">
        <f>_xlfn.IFNA(
    IF(J980=
        "PCB-0001",
        "CSS",
        IF(
            ISNUMBER(MATCH(_xlfn.TEXTBEFORE(J980,"-"), {"CSS","CSN","PCB","PCF","BEC","CSD","PCM"}, 0)),
            _xlfn.TEXTBEFORE(J980,"-"),
            "Other"
        )
    ),
"Add")</f>
        <v>PCB</v>
      </c>
      <c r="B980" s="10" t="str">
        <f t="shared" si="16"/>
        <v>0012</v>
      </c>
      <c r="C980" s="10" t="str">
        <f>_xlfn.LET(
    _xlpm.val, IF(Datadetails[[#This Row],[Activity]]="D02","C20",Datadetails[[#This Row],[Activity]]),
    IF(ISNUMBER(MATCH(_xlpm.val,{"D04","C30","c40","C20"},0)), _xlpm.val, "Other")
)</f>
        <v>C40</v>
      </c>
      <c r="D980" s="10" t="str">
        <f>IFERROR(VLOOKUP(Datadetails[[#This Row],[Taskcode]],Dashboard!A:A,1,FALSE),"00 Err Missing")</f>
        <v>0012</v>
      </c>
      <c r="E980" s="79">
        <v>45824</v>
      </c>
      <c r="F980" s="80" t="s">
        <v>325</v>
      </c>
      <c r="G980" s="60" t="s">
        <v>40</v>
      </c>
      <c r="H980" s="80" t="s">
        <v>179</v>
      </c>
      <c r="I980" s="80" t="s">
        <v>341</v>
      </c>
      <c r="J980" s="80" t="s">
        <v>422</v>
      </c>
      <c r="K980" s="80" t="s">
        <v>347</v>
      </c>
      <c r="L980" s="80" t="s">
        <v>344</v>
      </c>
      <c r="M980" s="81">
        <v>1.42</v>
      </c>
      <c r="N980" s="82">
        <v>106.5</v>
      </c>
    </row>
    <row r="981" spans="1:14" x14ac:dyDescent="0.25">
      <c r="A981" s="10" t="str">
        <f>_xlfn.IFNA(
    IF(J981=
        "PCB-0001",
        "CSS",
        IF(
            ISNUMBER(MATCH(_xlfn.TEXTBEFORE(J981,"-"), {"CSS","CSN","PCB","PCF","BEC","CSD","PCM"}, 0)),
            _xlfn.TEXTBEFORE(J981,"-"),
            "Other"
        )
    ),
"Add")</f>
        <v>CSN</v>
      </c>
      <c r="B981" s="10" t="str">
        <f t="shared" si="16"/>
        <v>0001</v>
      </c>
      <c r="C981" s="10" t="str">
        <f>_xlfn.LET(
    _xlpm.val, IF(Datadetails[[#This Row],[Activity]]="D02","C20",Datadetails[[#This Row],[Activity]]),
    IF(ISNUMBER(MATCH(_xlpm.val,{"D04","C30","c40","C20"},0)), _xlpm.val, "Other")
)</f>
        <v>D04</v>
      </c>
      <c r="D981" s="10" t="str">
        <f>IFERROR(VLOOKUP(Datadetails[[#This Row],[Taskcode]],Dashboard!A:A,1,FALSE),"00 Err Missing")</f>
        <v>0001</v>
      </c>
      <c r="E981" s="79">
        <v>45824</v>
      </c>
      <c r="F981" s="80" t="s">
        <v>329</v>
      </c>
      <c r="G981" s="60" t="s">
        <v>40</v>
      </c>
      <c r="H981" s="80" t="s">
        <v>316</v>
      </c>
      <c r="I981" s="80" t="s">
        <v>35</v>
      </c>
      <c r="J981" s="80" t="s">
        <v>338</v>
      </c>
      <c r="K981" s="80" t="s">
        <v>337</v>
      </c>
      <c r="L981" s="80" t="s">
        <v>352</v>
      </c>
      <c r="M981" s="81">
        <v>1.25</v>
      </c>
      <c r="N981" s="82">
        <v>93.75</v>
      </c>
    </row>
    <row r="982" spans="1:14" x14ac:dyDescent="0.25">
      <c r="A982" s="10" t="str">
        <f>_xlfn.IFNA(
    IF(J982=
        "PCB-0001",
        "CSS",
        IF(
            ISNUMBER(MATCH(_xlfn.TEXTBEFORE(J982,"-"), {"CSS","CSN","PCB","PCF","BEC","CSD","PCM"}, 0)),
            _xlfn.TEXTBEFORE(J982,"-"),
            "Other"
        )
    ),
"Add")</f>
        <v>CSD</v>
      </c>
      <c r="B982" s="10" t="str">
        <f t="shared" si="16"/>
        <v>0001</v>
      </c>
      <c r="C982" s="10" t="str">
        <f>_xlfn.LET(
    _xlpm.val, IF(Datadetails[[#This Row],[Activity]]="D02","C20",Datadetails[[#This Row],[Activity]]),
    IF(ISNUMBER(MATCH(_xlpm.val,{"D04","C30","c40","C20"},0)), _xlpm.val, "Other")
)</f>
        <v>D04</v>
      </c>
      <c r="D982" s="10" t="str">
        <f>IFERROR(VLOOKUP(Datadetails[[#This Row],[Taskcode]],Dashboard!A:A,1,FALSE),"00 Err Missing")</f>
        <v>0001</v>
      </c>
      <c r="E982" s="79">
        <v>45824</v>
      </c>
      <c r="F982" s="80" t="s">
        <v>333</v>
      </c>
      <c r="G982" s="60" t="s">
        <v>40</v>
      </c>
      <c r="H982" s="80" t="s">
        <v>320</v>
      </c>
      <c r="I982" s="80" t="s">
        <v>35</v>
      </c>
      <c r="J982" s="80" t="s">
        <v>322</v>
      </c>
      <c r="K982" s="80" t="s">
        <v>319</v>
      </c>
      <c r="L982" s="80" t="s">
        <v>352</v>
      </c>
      <c r="M982" s="81">
        <v>7.63</v>
      </c>
      <c r="N982" s="82">
        <v>244.16</v>
      </c>
    </row>
    <row r="983" spans="1:14" x14ac:dyDescent="0.25">
      <c r="A983" s="10" t="str">
        <f>_xlfn.IFNA(
    IF(J983=
        "PCB-0001",
        "CSS",
        IF(
            ISNUMBER(MATCH(_xlfn.TEXTBEFORE(J983,"-"), {"CSS","CSN","PCB","PCF","BEC","CSD","PCM"}, 0)),
            _xlfn.TEXTBEFORE(J983,"-"),
            "Other"
        )
    ),
"Add")</f>
        <v>CSD</v>
      </c>
      <c r="B983" s="10" t="str">
        <f t="shared" si="16"/>
        <v>0001</v>
      </c>
      <c r="C983" s="10" t="str">
        <f>_xlfn.LET(
    _xlpm.val, IF(Datadetails[[#This Row],[Activity]]="D02","C20",Datadetails[[#This Row],[Activity]]),
    IF(ISNUMBER(MATCH(_xlpm.val,{"D04","C30","c40","C20"},0)), _xlpm.val, "Other")
)</f>
        <v>D04</v>
      </c>
      <c r="D983" s="10" t="str">
        <f>IFERROR(VLOOKUP(Datadetails[[#This Row],[Taskcode]],Dashboard!A:A,1,FALSE),"00 Err Missing")</f>
        <v>0001</v>
      </c>
      <c r="E983" s="79">
        <v>45824</v>
      </c>
      <c r="F983" s="80" t="s">
        <v>327</v>
      </c>
      <c r="G983" s="60" t="s">
        <v>40</v>
      </c>
      <c r="H983" s="80" t="s">
        <v>320</v>
      </c>
      <c r="I983" s="80" t="s">
        <v>35</v>
      </c>
      <c r="J983" s="80" t="s">
        <v>322</v>
      </c>
      <c r="K983" s="80" t="s">
        <v>319</v>
      </c>
      <c r="L983" s="80" t="s">
        <v>352</v>
      </c>
      <c r="M983" s="81">
        <v>7.5</v>
      </c>
      <c r="N983" s="82">
        <v>240</v>
      </c>
    </row>
    <row r="984" spans="1:14" x14ac:dyDescent="0.25">
      <c r="A984" s="10" t="str">
        <f>_xlfn.IFNA(
    IF(J984=
        "PCB-0001",
        "CSS",
        IF(
            ISNUMBER(MATCH(_xlfn.TEXTBEFORE(J984,"-"), {"CSS","CSN","PCB","PCF","BEC","CSD","PCM"}, 0)),
            _xlfn.TEXTBEFORE(J984,"-"),
            "Other"
        )
    ),
"Add")</f>
        <v>PCM</v>
      </c>
      <c r="B984" s="10" t="str">
        <f t="shared" si="16"/>
        <v>0001</v>
      </c>
      <c r="C984" s="10" t="str">
        <f>_xlfn.LET(
    _xlpm.val, IF(Datadetails[[#This Row],[Activity]]="D02","C20",Datadetails[[#This Row],[Activity]]),
    IF(ISNUMBER(MATCH(_xlpm.val,{"D04","C30","c40","C20"},0)), _xlpm.val, "Other")
)</f>
        <v>C40</v>
      </c>
      <c r="D984" s="10" t="str">
        <f>IFERROR(VLOOKUP(Datadetails[[#This Row],[Taskcode]],Dashboard!A:A,1,FALSE),"00 Err Missing")</f>
        <v>0001</v>
      </c>
      <c r="E984" s="79">
        <v>45824</v>
      </c>
      <c r="F984" s="80" t="s">
        <v>323</v>
      </c>
      <c r="G984" s="60" t="s">
        <v>40</v>
      </c>
      <c r="H984" s="80" t="s">
        <v>168</v>
      </c>
      <c r="I984" s="80" t="s">
        <v>341</v>
      </c>
      <c r="J984" s="80" t="s">
        <v>419</v>
      </c>
      <c r="K984" s="80" t="s">
        <v>346</v>
      </c>
      <c r="L984" s="80" t="s">
        <v>344</v>
      </c>
      <c r="M984" s="81">
        <v>1</v>
      </c>
      <c r="N984" s="82">
        <v>60</v>
      </c>
    </row>
    <row r="985" spans="1:14" x14ac:dyDescent="0.25">
      <c r="A985" s="10" t="str">
        <f>_xlfn.IFNA(
    IF(J985=
        "PCB-0001",
        "CSS",
        IF(
            ISNUMBER(MATCH(_xlfn.TEXTBEFORE(J985,"-"), {"CSS","CSN","PCB","PCF","BEC","CSD","PCM"}, 0)),
            _xlfn.TEXTBEFORE(J985,"-"),
            "Other"
        )
    ),
"Add")</f>
        <v>PCM</v>
      </c>
      <c r="B985" s="10" t="str">
        <f t="shared" si="16"/>
        <v>0114</v>
      </c>
      <c r="C985" s="10" t="str">
        <f>_xlfn.LET(
    _xlpm.val, IF(Datadetails[[#This Row],[Activity]]="D02","C20",Datadetails[[#This Row],[Activity]]),
    IF(ISNUMBER(MATCH(_xlpm.val,{"D04","C30","c40","C20"},0)), _xlpm.val, "Other")
)</f>
        <v>C40</v>
      </c>
      <c r="D985" s="10" t="str">
        <f>IFERROR(VLOOKUP(Datadetails[[#This Row],[Taskcode]],Dashboard!A:A,1,FALSE),"00 Err Missing")</f>
        <v>0114</v>
      </c>
      <c r="E985" s="79">
        <v>45824</v>
      </c>
      <c r="F985" s="80" t="s">
        <v>323</v>
      </c>
      <c r="G985" s="60" t="s">
        <v>40</v>
      </c>
      <c r="H985" s="80" t="s">
        <v>281</v>
      </c>
      <c r="I985" s="80" t="s">
        <v>341</v>
      </c>
      <c r="J985" s="80" t="s">
        <v>430</v>
      </c>
      <c r="K985" s="80" t="s">
        <v>346</v>
      </c>
      <c r="L985" s="80" t="s">
        <v>344</v>
      </c>
      <c r="M985" s="81">
        <v>1.5</v>
      </c>
      <c r="N985" s="82">
        <v>90</v>
      </c>
    </row>
    <row r="986" spans="1:14" x14ac:dyDescent="0.25">
      <c r="A986" s="10" t="str">
        <f>_xlfn.IFNA(
    IF(J986=
        "PCB-0001",
        "CSS",
        IF(
            ISNUMBER(MATCH(_xlfn.TEXTBEFORE(J986,"-"), {"CSS","CSN","PCB","PCF","BEC","CSD","PCM"}, 0)),
            _xlfn.TEXTBEFORE(J986,"-"),
            "Other"
        )
    ),
"Add")</f>
        <v>PCB</v>
      </c>
      <c r="B986" s="10" t="str">
        <f t="shared" si="16"/>
        <v>0019</v>
      </c>
      <c r="C986" s="10" t="str">
        <f>_xlfn.LET(
    _xlpm.val, IF(Datadetails[[#This Row],[Activity]]="D02","C20",Datadetails[[#This Row],[Activity]]),
    IF(ISNUMBER(MATCH(_xlpm.val,{"D04","C30","c40","C20"},0)), _xlpm.val, "Other")
)</f>
        <v>C30</v>
      </c>
      <c r="D986" s="10" t="str">
        <f>IFERROR(VLOOKUP(Datadetails[[#This Row],[Taskcode]],Dashboard!A:A,1,FALSE),"00 Err Missing")</f>
        <v>0019</v>
      </c>
      <c r="E986" s="79">
        <v>45824</v>
      </c>
      <c r="F986" s="80" t="s">
        <v>329</v>
      </c>
      <c r="G986" s="60" t="s">
        <v>40</v>
      </c>
      <c r="H986" s="80" t="s">
        <v>186</v>
      </c>
      <c r="I986" s="80" t="s">
        <v>34</v>
      </c>
      <c r="J986" s="80" t="s">
        <v>397</v>
      </c>
      <c r="K986" s="80" t="s">
        <v>347</v>
      </c>
      <c r="L986" s="80" t="s">
        <v>343</v>
      </c>
      <c r="M986" s="81">
        <v>0.08</v>
      </c>
      <c r="N986" s="82">
        <v>6</v>
      </c>
    </row>
    <row r="987" spans="1:14" x14ac:dyDescent="0.25">
      <c r="A987" s="10" t="str">
        <f>_xlfn.IFNA(
    IF(J987=
        "PCB-0001",
        "CSS",
        IF(
            ISNUMBER(MATCH(_xlfn.TEXTBEFORE(J987,"-"), {"CSS","CSN","PCB","PCF","BEC","CSD","PCM"}, 0)),
            _xlfn.TEXTBEFORE(J987,"-"),
            "Other"
        )
    ),
"Add")</f>
        <v>PCB</v>
      </c>
      <c r="B987" s="10" t="str">
        <f t="shared" si="16"/>
        <v>0024</v>
      </c>
      <c r="C987" s="10" t="str">
        <f>_xlfn.LET(
    _xlpm.val, IF(Datadetails[[#This Row],[Activity]]="D02","C20",Datadetails[[#This Row],[Activity]]),
    IF(ISNUMBER(MATCH(_xlpm.val,{"D04","C30","c40","C20"},0)), _xlpm.val, "Other")
)</f>
        <v>C30</v>
      </c>
      <c r="D987" s="10" t="str">
        <f>IFERROR(VLOOKUP(Datadetails[[#This Row],[Taskcode]],Dashboard!A:A,1,FALSE),"00 Err Missing")</f>
        <v>0024</v>
      </c>
      <c r="E987" s="79">
        <v>45824</v>
      </c>
      <c r="F987" s="80" t="s">
        <v>325</v>
      </c>
      <c r="G987" s="60" t="s">
        <v>40</v>
      </c>
      <c r="H987" s="80" t="s">
        <v>191</v>
      </c>
      <c r="I987" s="80" t="s">
        <v>34</v>
      </c>
      <c r="J987" s="80" t="s">
        <v>466</v>
      </c>
      <c r="K987" s="80" t="s">
        <v>347</v>
      </c>
      <c r="L987" s="80" t="s">
        <v>343</v>
      </c>
      <c r="M987" s="81">
        <v>0.17</v>
      </c>
      <c r="N987" s="82">
        <v>12.750000000000002</v>
      </c>
    </row>
    <row r="988" spans="1:14" x14ac:dyDescent="0.25">
      <c r="A988" s="10" t="str">
        <f>_xlfn.IFNA(
    IF(J988=
        "PCB-0001",
        "CSS",
        IF(
            ISNUMBER(MATCH(_xlfn.TEXTBEFORE(J988,"-"), {"CSS","CSN","PCB","PCF","BEC","CSD","PCM"}, 0)),
            _xlfn.TEXTBEFORE(J988,"-"),
            "Other"
        )
    ),
"Add")</f>
        <v>PCB</v>
      </c>
      <c r="B988" s="10" t="str">
        <f t="shared" si="16"/>
        <v>0012</v>
      </c>
      <c r="C988" s="10" t="str">
        <f>_xlfn.LET(
    _xlpm.val, IF(Datadetails[[#This Row],[Activity]]="D02","C20",Datadetails[[#This Row],[Activity]]),
    IF(ISNUMBER(MATCH(_xlpm.val,{"D04","C30","c40","C20"},0)), _xlpm.val, "Other")
)</f>
        <v>C20</v>
      </c>
      <c r="D988" s="10" t="str">
        <f>IFERROR(VLOOKUP(Datadetails[[#This Row],[Taskcode]],Dashboard!A:A,1,FALSE),"00 Err Missing")</f>
        <v>0012</v>
      </c>
      <c r="E988" s="79">
        <v>45824</v>
      </c>
      <c r="F988" s="80" t="s">
        <v>325</v>
      </c>
      <c r="G988" s="60" t="s">
        <v>40</v>
      </c>
      <c r="H988" s="80" t="s">
        <v>179</v>
      </c>
      <c r="I988" s="80" t="s">
        <v>36</v>
      </c>
      <c r="J988" s="80" t="s">
        <v>422</v>
      </c>
      <c r="K988" s="80" t="s">
        <v>347</v>
      </c>
      <c r="L988" s="80" t="s">
        <v>342</v>
      </c>
      <c r="M988" s="81">
        <v>0.25</v>
      </c>
      <c r="N988" s="82">
        <v>18.75</v>
      </c>
    </row>
    <row r="989" spans="1:14" x14ac:dyDescent="0.25">
      <c r="A989" s="10" t="str">
        <f>_xlfn.IFNA(
    IF(J989=
        "PCB-0001",
        "CSS",
        IF(
            ISNUMBER(MATCH(_xlfn.TEXTBEFORE(J989,"-"), {"CSS","CSN","PCB","PCF","BEC","CSD","PCM"}, 0)),
            _xlfn.TEXTBEFORE(J989,"-"),
            "Other"
        )
    ),
"Add")</f>
        <v>PCB</v>
      </c>
      <c r="B989" s="10" t="str">
        <f t="shared" si="16"/>
        <v>0013</v>
      </c>
      <c r="C989" s="10" t="str">
        <f>_xlfn.LET(
    _xlpm.val, IF(Datadetails[[#This Row],[Activity]]="D02","C20",Datadetails[[#This Row],[Activity]]),
    IF(ISNUMBER(MATCH(_xlpm.val,{"D04","C30","c40","C20"},0)), _xlpm.val, "Other")
)</f>
        <v>C30</v>
      </c>
      <c r="D989" s="10" t="str">
        <f>IFERROR(VLOOKUP(Datadetails[[#This Row],[Taskcode]],Dashboard!A:A,1,FALSE),"00 Err Missing")</f>
        <v>0013</v>
      </c>
      <c r="E989" s="79">
        <v>45824</v>
      </c>
      <c r="F989" s="80" t="s">
        <v>325</v>
      </c>
      <c r="G989" s="60" t="s">
        <v>40</v>
      </c>
      <c r="H989" s="80" t="s">
        <v>180</v>
      </c>
      <c r="I989" s="80" t="s">
        <v>34</v>
      </c>
      <c r="J989" s="80" t="s">
        <v>465</v>
      </c>
      <c r="K989" s="80" t="s">
        <v>347</v>
      </c>
      <c r="L989" s="80" t="s">
        <v>343</v>
      </c>
      <c r="M989" s="81">
        <v>0.25</v>
      </c>
      <c r="N989" s="82">
        <v>18.75</v>
      </c>
    </row>
    <row r="990" spans="1:14" x14ac:dyDescent="0.25">
      <c r="A990" s="10" t="str">
        <f>_xlfn.IFNA(
    IF(J990=
        "PCB-0001",
        "CSS",
        IF(
            ISNUMBER(MATCH(_xlfn.TEXTBEFORE(J990,"-"), {"CSS","CSN","PCB","PCF","BEC","CSD","PCM"}, 0)),
            _xlfn.TEXTBEFORE(J990,"-"),
            "Other"
        )
    ),
"Add")</f>
        <v>PCB</v>
      </c>
      <c r="B990" s="10" t="str">
        <f t="shared" si="16"/>
        <v>0016</v>
      </c>
      <c r="C990" s="10" t="str">
        <f>_xlfn.LET(
    _xlpm.val, IF(Datadetails[[#This Row],[Activity]]="D02","C20",Datadetails[[#This Row],[Activity]]),
    IF(ISNUMBER(MATCH(_xlpm.val,{"D04","C30","c40","C20"},0)), _xlpm.val, "Other")
)</f>
        <v>C30</v>
      </c>
      <c r="D990" s="10" t="str">
        <f>IFERROR(VLOOKUP(Datadetails[[#This Row],[Taskcode]],Dashboard!A:A,1,FALSE),"00 Err Missing")</f>
        <v>0016</v>
      </c>
      <c r="E990" s="79">
        <v>45824</v>
      </c>
      <c r="F990" s="80" t="s">
        <v>329</v>
      </c>
      <c r="G990" s="60" t="s">
        <v>40</v>
      </c>
      <c r="H990" s="80" t="s">
        <v>183</v>
      </c>
      <c r="I990" s="80" t="s">
        <v>34</v>
      </c>
      <c r="J990" s="80" t="s">
        <v>368</v>
      </c>
      <c r="K990" s="80" t="s">
        <v>347</v>
      </c>
      <c r="L990" s="80" t="s">
        <v>343</v>
      </c>
      <c r="M990" s="81">
        <v>0.17</v>
      </c>
      <c r="N990" s="82">
        <v>12.750000000000002</v>
      </c>
    </row>
    <row r="991" spans="1:14" x14ac:dyDescent="0.25">
      <c r="A991" s="10" t="str">
        <f>_xlfn.IFNA(
    IF(J991=
        "PCB-0001",
        "CSS",
        IF(
            ISNUMBER(MATCH(_xlfn.TEXTBEFORE(J991,"-"), {"CSS","CSN","PCB","PCF","BEC","CSD","PCM"}, 0)),
            _xlfn.TEXTBEFORE(J991,"-"),
            "Other"
        )
    ),
"Add")</f>
        <v>PCB</v>
      </c>
      <c r="B991" s="10" t="str">
        <f t="shared" si="16"/>
        <v>0054</v>
      </c>
      <c r="C991" s="10" t="str">
        <f>_xlfn.LET(
    _xlpm.val, IF(Datadetails[[#This Row],[Activity]]="D02","C20",Datadetails[[#This Row],[Activity]]),
    IF(ISNUMBER(MATCH(_xlpm.val,{"D04","C30","c40","C20"},0)), _xlpm.val, "Other")
)</f>
        <v>C30</v>
      </c>
      <c r="D991" s="10" t="str">
        <f>IFERROR(VLOOKUP(Datadetails[[#This Row],[Taskcode]],Dashboard!A:A,1,FALSE),"00 Err Missing")</f>
        <v>0054</v>
      </c>
      <c r="E991" s="79">
        <v>45824</v>
      </c>
      <c r="F991" s="80" t="s">
        <v>329</v>
      </c>
      <c r="G991" s="60" t="s">
        <v>40</v>
      </c>
      <c r="H991" s="80" t="s">
        <v>221</v>
      </c>
      <c r="I991" s="80" t="s">
        <v>34</v>
      </c>
      <c r="J991" s="80" t="s">
        <v>369</v>
      </c>
      <c r="K991" s="80" t="s">
        <v>347</v>
      </c>
      <c r="L991" s="80" t="s">
        <v>343</v>
      </c>
      <c r="M991" s="81">
        <v>0.17</v>
      </c>
      <c r="N991" s="82">
        <v>12.750000000000002</v>
      </c>
    </row>
    <row r="992" spans="1:14" x14ac:dyDescent="0.25">
      <c r="A992" s="10" t="str">
        <f>_xlfn.IFNA(
    IF(J992=
        "PCB-0001",
        "CSS",
        IF(
            ISNUMBER(MATCH(_xlfn.TEXTBEFORE(J992,"-"), {"CSS","CSN","PCB","PCF","BEC","CSD","PCM"}, 0)),
            _xlfn.TEXTBEFORE(J992,"-"),
            "Other"
        )
    ),
"Add")</f>
        <v>PCB</v>
      </c>
      <c r="B992" s="10" t="str">
        <f t="shared" si="16"/>
        <v>0134</v>
      </c>
      <c r="C992" s="10" t="str">
        <f>_xlfn.LET(
    _xlpm.val, IF(Datadetails[[#This Row],[Activity]]="D02","C20",Datadetails[[#This Row],[Activity]]),
    IF(ISNUMBER(MATCH(_xlpm.val,{"D04","C30","c40","C20"},0)), _xlpm.val, "Other")
)</f>
        <v>C30</v>
      </c>
      <c r="D992" s="10" t="str">
        <f>IFERROR(VLOOKUP(Datadetails[[#This Row],[Taskcode]],Dashboard!A:A,1,FALSE),"00 Err Missing")</f>
        <v>0134</v>
      </c>
      <c r="E992" s="79">
        <v>45824</v>
      </c>
      <c r="F992" s="80" t="s">
        <v>329</v>
      </c>
      <c r="G992" s="60" t="s">
        <v>40</v>
      </c>
      <c r="H992" s="80" t="s">
        <v>301</v>
      </c>
      <c r="I992" s="80" t="s">
        <v>34</v>
      </c>
      <c r="J992" s="80" t="s">
        <v>371</v>
      </c>
      <c r="K992" s="80" t="s">
        <v>347</v>
      </c>
      <c r="L992" s="80" t="s">
        <v>343</v>
      </c>
      <c r="M992" s="81">
        <v>0.17</v>
      </c>
      <c r="N992" s="82">
        <v>12.750000000000002</v>
      </c>
    </row>
    <row r="993" spans="1:14" x14ac:dyDescent="0.25">
      <c r="A993" s="10" t="str">
        <f>_xlfn.IFNA(
    IF(J993=
        "PCB-0001",
        "CSS",
        IF(
            ISNUMBER(MATCH(_xlfn.TEXTBEFORE(J993,"-"), {"CSS","CSN","PCB","PCF","BEC","CSD","PCM"}, 0)),
            _xlfn.TEXTBEFORE(J993,"-"),
            "Other"
        )
    ),
"Add")</f>
        <v>PCB</v>
      </c>
      <c r="B993" s="10" t="str">
        <f t="shared" si="16"/>
        <v>0059</v>
      </c>
      <c r="C993" s="10" t="str">
        <f>_xlfn.LET(
    _xlpm.val, IF(Datadetails[[#This Row],[Activity]]="D02","C20",Datadetails[[#This Row],[Activity]]),
    IF(ISNUMBER(MATCH(_xlpm.val,{"D04","C30","c40","C20"},0)), _xlpm.val, "Other")
)</f>
        <v>C30</v>
      </c>
      <c r="D993" s="10" t="str">
        <f>IFERROR(VLOOKUP(Datadetails[[#This Row],[Taskcode]],Dashboard!A:A,1,FALSE),"00 Err Missing")</f>
        <v>0059</v>
      </c>
      <c r="E993" s="79">
        <v>45824</v>
      </c>
      <c r="F993" s="80" t="s">
        <v>325</v>
      </c>
      <c r="G993" s="60" t="s">
        <v>40</v>
      </c>
      <c r="H993" s="80" t="s">
        <v>226</v>
      </c>
      <c r="I993" s="80" t="s">
        <v>34</v>
      </c>
      <c r="J993" s="80" t="s">
        <v>401</v>
      </c>
      <c r="K993" s="80" t="s">
        <v>347</v>
      </c>
      <c r="L993" s="80" t="s">
        <v>343</v>
      </c>
      <c r="M993" s="81">
        <v>0.17</v>
      </c>
      <c r="N993" s="82">
        <v>12.750000000000002</v>
      </c>
    </row>
    <row r="994" spans="1:14" x14ac:dyDescent="0.25">
      <c r="A994" s="10" t="str">
        <f>_xlfn.IFNA(
    IF(J994=
        "PCB-0001",
        "CSS",
        IF(
            ISNUMBER(MATCH(_xlfn.TEXTBEFORE(J994,"-"), {"CSS","CSN","PCB","PCF","BEC","CSD","PCM"}, 0)),
            _xlfn.TEXTBEFORE(J994,"-"),
            "Other"
        )
    ),
"Add")</f>
        <v>PCB</v>
      </c>
      <c r="B994" s="10" t="str">
        <f t="shared" si="16"/>
        <v>0075</v>
      </c>
      <c r="C994" s="10" t="str">
        <f>_xlfn.LET(
    _xlpm.val, IF(Datadetails[[#This Row],[Activity]]="D02","C20",Datadetails[[#This Row],[Activity]]),
    IF(ISNUMBER(MATCH(_xlpm.val,{"D04","C30","c40","C20"},0)), _xlpm.val, "Other")
)</f>
        <v>C30</v>
      </c>
      <c r="D994" s="10" t="str">
        <f>IFERROR(VLOOKUP(Datadetails[[#This Row],[Taskcode]],Dashboard!A:A,1,FALSE),"00 Err Missing")</f>
        <v>0075</v>
      </c>
      <c r="E994" s="79">
        <v>45824</v>
      </c>
      <c r="F994" s="80" t="s">
        <v>329</v>
      </c>
      <c r="G994" s="60" t="s">
        <v>40</v>
      </c>
      <c r="H994" s="80" t="s">
        <v>242</v>
      </c>
      <c r="I994" s="80" t="s">
        <v>34</v>
      </c>
      <c r="J994" s="80" t="s">
        <v>404</v>
      </c>
      <c r="K994" s="80" t="s">
        <v>347</v>
      </c>
      <c r="L994" s="80" t="s">
        <v>343</v>
      </c>
      <c r="M994" s="81">
        <v>0.33</v>
      </c>
      <c r="N994" s="82">
        <v>24.75</v>
      </c>
    </row>
    <row r="995" spans="1:14" x14ac:dyDescent="0.25">
      <c r="A995" s="10" t="str">
        <f>_xlfn.IFNA(
    IF(J995=
        "PCB-0001",
        "CSS",
        IF(
            ISNUMBER(MATCH(_xlfn.TEXTBEFORE(J995,"-"), {"CSS","CSN","PCB","PCF","BEC","CSD","PCM"}, 0)),
            _xlfn.TEXTBEFORE(J995,"-"),
            "Other"
        )
    ),
"Add")</f>
        <v>PCB</v>
      </c>
      <c r="B995" s="10" t="str">
        <f t="shared" si="16"/>
        <v>0128</v>
      </c>
      <c r="C995" s="10" t="str">
        <f>_xlfn.LET(
    _xlpm.val, IF(Datadetails[[#This Row],[Activity]]="D02","C20",Datadetails[[#This Row],[Activity]]),
    IF(ISNUMBER(MATCH(_xlpm.val,{"D04","C30","c40","C20"},0)), _xlpm.val, "Other")
)</f>
        <v>C30</v>
      </c>
      <c r="D995" s="10" t="str">
        <f>IFERROR(VLOOKUP(Datadetails[[#This Row],[Taskcode]],Dashboard!A:A,1,FALSE),"00 Err Missing")</f>
        <v>0128</v>
      </c>
      <c r="E995" s="79">
        <v>45824</v>
      </c>
      <c r="F995" s="80" t="s">
        <v>329</v>
      </c>
      <c r="G995" s="60" t="s">
        <v>40</v>
      </c>
      <c r="H995" s="80" t="s">
        <v>295</v>
      </c>
      <c r="I995" s="80" t="s">
        <v>34</v>
      </c>
      <c r="J995" s="80" t="s">
        <v>379</v>
      </c>
      <c r="K995" s="80" t="s">
        <v>347</v>
      </c>
      <c r="L995" s="80" t="s">
        <v>343</v>
      </c>
      <c r="M995" s="81">
        <v>0.17</v>
      </c>
      <c r="N995" s="82">
        <v>12.750000000000002</v>
      </c>
    </row>
    <row r="996" spans="1:14" x14ac:dyDescent="0.25">
      <c r="A996" s="10" t="str">
        <f>_xlfn.IFNA(
    IF(J996=
        "PCB-0001",
        "CSS",
        IF(
            ISNUMBER(MATCH(_xlfn.TEXTBEFORE(J996,"-"), {"CSS","CSN","PCB","PCF","BEC","CSD","PCM"}, 0)),
            _xlfn.TEXTBEFORE(J996,"-"),
            "Other"
        )
    ),
"Add")</f>
        <v>PCB</v>
      </c>
      <c r="B996" s="10" t="str">
        <f t="shared" si="16"/>
        <v>0129</v>
      </c>
      <c r="C996" s="10" t="str">
        <f>_xlfn.LET(
    _xlpm.val, IF(Datadetails[[#This Row],[Activity]]="D02","C20",Datadetails[[#This Row],[Activity]]),
    IF(ISNUMBER(MATCH(_xlpm.val,{"D04","C30","c40","C20"},0)), _xlpm.val, "Other")
)</f>
        <v>C30</v>
      </c>
      <c r="D996" s="10" t="str">
        <f>IFERROR(VLOOKUP(Datadetails[[#This Row],[Taskcode]],Dashboard!A:A,1,FALSE),"00 Err Missing")</f>
        <v>0129</v>
      </c>
      <c r="E996" s="79">
        <v>45824</v>
      </c>
      <c r="F996" s="80" t="s">
        <v>329</v>
      </c>
      <c r="G996" s="60" t="s">
        <v>40</v>
      </c>
      <c r="H996" s="80" t="s">
        <v>296</v>
      </c>
      <c r="I996" s="80" t="s">
        <v>34</v>
      </c>
      <c r="J996" s="80" t="s">
        <v>411</v>
      </c>
      <c r="K996" s="80" t="s">
        <v>347</v>
      </c>
      <c r="L996" s="80" t="s">
        <v>343</v>
      </c>
      <c r="M996" s="81">
        <v>0.33</v>
      </c>
      <c r="N996" s="82">
        <v>24.75</v>
      </c>
    </row>
    <row r="997" spans="1:14" x14ac:dyDescent="0.25">
      <c r="A997" s="10" t="str">
        <f>_xlfn.IFNA(
    IF(J997=
        "PCB-0001",
        "CSS",
        IF(
            ISNUMBER(MATCH(_xlfn.TEXTBEFORE(J997,"-"), {"CSS","CSN","PCB","PCF","BEC","CSD","PCM"}, 0)),
            _xlfn.TEXTBEFORE(J997,"-"),
            "Other"
        )
    ),
"Add")</f>
        <v>PCB</v>
      </c>
      <c r="B997" s="10" t="str">
        <f t="shared" si="16"/>
        <v>0097</v>
      </c>
      <c r="C997" s="10" t="str">
        <f>_xlfn.LET(
    _xlpm.val, IF(Datadetails[[#This Row],[Activity]]="D02","C20",Datadetails[[#This Row],[Activity]]),
    IF(ISNUMBER(MATCH(_xlpm.val,{"D04","C30","c40","C20"},0)), _xlpm.val, "Other")
)</f>
        <v>C30</v>
      </c>
      <c r="D997" s="10" t="str">
        <f>IFERROR(VLOOKUP(Datadetails[[#This Row],[Taskcode]],Dashboard!A:A,1,FALSE),"00 Err Missing")</f>
        <v>0097</v>
      </c>
      <c r="E997" s="79">
        <v>45824</v>
      </c>
      <c r="F997" s="80" t="s">
        <v>325</v>
      </c>
      <c r="G997" s="60" t="s">
        <v>40</v>
      </c>
      <c r="H997" s="80" t="s">
        <v>264</v>
      </c>
      <c r="I997" s="80" t="s">
        <v>34</v>
      </c>
      <c r="J997" s="80" t="s">
        <v>384</v>
      </c>
      <c r="K997" s="80" t="s">
        <v>347</v>
      </c>
      <c r="L997" s="80" t="s">
        <v>343</v>
      </c>
      <c r="M997" s="81">
        <v>0.25</v>
      </c>
      <c r="N997" s="82">
        <v>18.75</v>
      </c>
    </row>
    <row r="998" spans="1:14" x14ac:dyDescent="0.25">
      <c r="A998" s="10" t="str">
        <f>_xlfn.IFNA(
    IF(J998=
        "PCB-0001",
        "CSS",
        IF(
            ISNUMBER(MATCH(_xlfn.TEXTBEFORE(J998,"-"), {"CSS","CSN","PCB","PCF","BEC","CSD","PCM"}, 0)),
            _xlfn.TEXTBEFORE(J998,"-"),
            "Other"
        )
    ),
"Add")</f>
        <v>PCB</v>
      </c>
      <c r="B998" s="10" t="str">
        <f t="shared" si="16"/>
        <v>0080</v>
      </c>
      <c r="C998" s="10" t="str">
        <f>_xlfn.LET(
    _xlpm.val, IF(Datadetails[[#This Row],[Activity]]="D02","C20",Datadetails[[#This Row],[Activity]]),
    IF(ISNUMBER(MATCH(_xlpm.val,{"D04","C30","c40","C20"},0)), _xlpm.val, "Other")
)</f>
        <v>C30</v>
      </c>
      <c r="D998" s="10" t="str">
        <f>IFERROR(VLOOKUP(Datadetails[[#This Row],[Taskcode]],Dashboard!A:A,1,FALSE),"00 Err Missing")</f>
        <v>0080</v>
      </c>
      <c r="E998" s="79">
        <v>45824</v>
      </c>
      <c r="F998" s="80" t="s">
        <v>329</v>
      </c>
      <c r="G998" s="60" t="s">
        <v>40</v>
      </c>
      <c r="H998" s="80" t="s">
        <v>247</v>
      </c>
      <c r="I998" s="80" t="s">
        <v>34</v>
      </c>
      <c r="J998" s="80" t="s">
        <v>375</v>
      </c>
      <c r="K998" s="80" t="s">
        <v>347</v>
      </c>
      <c r="L998" s="80" t="s">
        <v>343</v>
      </c>
      <c r="M998" s="81">
        <v>0.5</v>
      </c>
      <c r="N998" s="82">
        <v>37.5</v>
      </c>
    </row>
    <row r="999" spans="1:14" x14ac:dyDescent="0.25">
      <c r="A999" s="10" t="str">
        <f>_xlfn.IFNA(
    IF(J999=
        "PCB-0001",
        "CSS",
        IF(
            ISNUMBER(MATCH(_xlfn.TEXTBEFORE(J999,"-"), {"CSS","CSN","PCB","PCF","BEC","CSD","PCM"}, 0)),
            _xlfn.TEXTBEFORE(J999,"-"),
            "Other"
        )
    ),
"Add")</f>
        <v>PCB</v>
      </c>
      <c r="B999" s="10" t="str">
        <f t="shared" si="16"/>
        <v>0081</v>
      </c>
      <c r="C999" s="10" t="str">
        <f>_xlfn.LET(
    _xlpm.val, IF(Datadetails[[#This Row],[Activity]]="D02","C20",Datadetails[[#This Row],[Activity]]),
    IF(ISNUMBER(MATCH(_xlpm.val,{"D04","C30","c40","C20"},0)), _xlpm.val, "Other")
)</f>
        <v>C30</v>
      </c>
      <c r="D999" s="10" t="str">
        <f>IFERROR(VLOOKUP(Datadetails[[#This Row],[Taskcode]],Dashboard!A:A,1,FALSE),"00 Err Missing")</f>
        <v>0081</v>
      </c>
      <c r="E999" s="79">
        <v>45824</v>
      </c>
      <c r="F999" s="80" t="s">
        <v>329</v>
      </c>
      <c r="G999" s="60" t="s">
        <v>40</v>
      </c>
      <c r="H999" s="80" t="s">
        <v>248</v>
      </c>
      <c r="I999" s="80" t="s">
        <v>34</v>
      </c>
      <c r="J999" s="80" t="s">
        <v>385</v>
      </c>
      <c r="K999" s="80" t="s">
        <v>347</v>
      </c>
      <c r="L999" s="80" t="s">
        <v>343</v>
      </c>
      <c r="M999" s="81">
        <v>0.08</v>
      </c>
      <c r="N999" s="82">
        <v>6</v>
      </c>
    </row>
    <row r="1000" spans="1:14" x14ac:dyDescent="0.25">
      <c r="A1000" s="10" t="str">
        <f>_xlfn.IFNA(
    IF(J1000=
        "PCB-0001",
        "CSS",
        IF(
            ISNUMBER(MATCH(_xlfn.TEXTBEFORE(J1000,"-"), {"CSS","CSN","PCB","PCF","BEC","CSD","PCM"}, 0)),
            _xlfn.TEXTBEFORE(J1000,"-"),
            "Other"
        )
    ),
"Add")</f>
        <v>PCB</v>
      </c>
      <c r="B1000" s="10" t="str">
        <f t="shared" si="16"/>
        <v>0110</v>
      </c>
      <c r="C1000" s="10" t="str">
        <f>_xlfn.LET(
    _xlpm.val, IF(Datadetails[[#This Row],[Activity]]="D02","C20",Datadetails[[#This Row],[Activity]]),
    IF(ISNUMBER(MATCH(_xlpm.val,{"D04","C30","c40","C20"},0)), _xlpm.val, "Other")
)</f>
        <v>C30</v>
      </c>
      <c r="D1000" s="10" t="str">
        <f>IFERROR(VLOOKUP(Datadetails[[#This Row],[Taskcode]],Dashboard!A:A,1,FALSE),"00 Err Missing")</f>
        <v>0110</v>
      </c>
      <c r="E1000" s="79">
        <v>45824</v>
      </c>
      <c r="F1000" s="80" t="s">
        <v>325</v>
      </c>
      <c r="G1000" s="60" t="s">
        <v>40</v>
      </c>
      <c r="H1000" s="80" t="s">
        <v>277</v>
      </c>
      <c r="I1000" s="80" t="s">
        <v>34</v>
      </c>
      <c r="J1000" s="80" t="s">
        <v>353</v>
      </c>
      <c r="K1000" s="80" t="s">
        <v>347</v>
      </c>
      <c r="L1000" s="80" t="s">
        <v>343</v>
      </c>
      <c r="M1000" s="81">
        <v>0.17</v>
      </c>
      <c r="N1000" s="82">
        <v>12.750000000000002</v>
      </c>
    </row>
    <row r="1001" spans="1:14" x14ac:dyDescent="0.25">
      <c r="A1001" s="10" t="str">
        <f>_xlfn.IFNA(
    IF(J1001=
        "PCB-0001",
        "CSS",
        IF(
            ISNUMBER(MATCH(_xlfn.TEXTBEFORE(J1001,"-"), {"CSS","CSN","PCB","PCF","BEC","CSD","PCM"}, 0)),
            _xlfn.TEXTBEFORE(J1001,"-"),
            "Other"
        )
    ),
"Add")</f>
        <v>PCB</v>
      </c>
      <c r="B1001" s="10" t="str">
        <f t="shared" si="16"/>
        <v>0111</v>
      </c>
      <c r="C1001" s="10" t="str">
        <f>_xlfn.LET(
    _xlpm.val, IF(Datadetails[[#This Row],[Activity]]="D02","C20",Datadetails[[#This Row],[Activity]]),
    IF(ISNUMBER(MATCH(_xlpm.val,{"D04","C30","c40","C20"},0)), _xlpm.val, "Other")
)</f>
        <v>C30</v>
      </c>
      <c r="D1001" s="10" t="str">
        <f>IFERROR(VLOOKUP(Datadetails[[#This Row],[Taskcode]],Dashboard!A:A,1,FALSE),"00 Err Missing")</f>
        <v>0111</v>
      </c>
      <c r="E1001" s="79">
        <v>45824</v>
      </c>
      <c r="F1001" s="80" t="s">
        <v>325</v>
      </c>
      <c r="G1001" s="60" t="s">
        <v>40</v>
      </c>
      <c r="H1001" s="80" t="s">
        <v>278</v>
      </c>
      <c r="I1001" s="80" t="s">
        <v>34</v>
      </c>
      <c r="J1001" s="80" t="s">
        <v>452</v>
      </c>
      <c r="K1001" s="80" t="s">
        <v>347</v>
      </c>
      <c r="L1001" s="80" t="s">
        <v>343</v>
      </c>
      <c r="M1001" s="81">
        <v>0.17</v>
      </c>
      <c r="N1001" s="82">
        <v>12.750000000000002</v>
      </c>
    </row>
    <row r="1002" spans="1:14" x14ac:dyDescent="0.25">
      <c r="A1002" s="10" t="str">
        <f>_xlfn.IFNA(
    IF(J1002=
        "PCB-0001",
        "CSS",
        IF(
            ISNUMBER(MATCH(_xlfn.TEXTBEFORE(J1002,"-"), {"CSS","CSN","PCB","PCF","BEC","CSD","PCM"}, 0)),
            _xlfn.TEXTBEFORE(J1002,"-"),
            "Other"
        )
    ),
"Add")</f>
        <v>PCB</v>
      </c>
      <c r="B1002" s="10" t="str">
        <f t="shared" si="16"/>
        <v>0097</v>
      </c>
      <c r="C1002" s="10" t="str">
        <f>_xlfn.LET(
    _xlpm.val, IF(Datadetails[[#This Row],[Activity]]="D02","C20",Datadetails[[#This Row],[Activity]]),
    IF(ISNUMBER(MATCH(_xlpm.val,{"D04","C30","c40","C20"},0)), _xlpm.val, "Other")
)</f>
        <v>C40</v>
      </c>
      <c r="D1002" s="10" t="str">
        <f>IFERROR(VLOOKUP(Datadetails[[#This Row],[Taskcode]],Dashboard!A:A,1,FALSE),"00 Err Missing")</f>
        <v>0097</v>
      </c>
      <c r="E1002" s="79">
        <v>45824</v>
      </c>
      <c r="F1002" s="80" t="s">
        <v>325</v>
      </c>
      <c r="G1002" s="60" t="s">
        <v>40</v>
      </c>
      <c r="H1002" s="80" t="s">
        <v>264</v>
      </c>
      <c r="I1002" s="80" t="s">
        <v>341</v>
      </c>
      <c r="J1002" s="80" t="s">
        <v>384</v>
      </c>
      <c r="K1002" s="80" t="s">
        <v>347</v>
      </c>
      <c r="L1002" s="80" t="s">
        <v>344</v>
      </c>
      <c r="M1002" s="81">
        <v>1.67</v>
      </c>
      <c r="N1002" s="82">
        <v>125.25</v>
      </c>
    </row>
    <row r="1003" spans="1:14" x14ac:dyDescent="0.25">
      <c r="A1003" s="10" t="str">
        <f>_xlfn.IFNA(
    IF(J1003=
        "PCB-0001",
        "CSS",
        IF(
            ISNUMBER(MATCH(_xlfn.TEXTBEFORE(J1003,"-"), {"CSS","CSN","PCB","PCF","BEC","CSD","PCM"}, 0)),
            _xlfn.TEXTBEFORE(J1003,"-"),
            "Other"
        )
    ),
"Add")</f>
        <v>PCF</v>
      </c>
      <c r="B1003" s="10" t="str">
        <f t="shared" si="16"/>
        <v>0066</v>
      </c>
      <c r="C1003" s="10" t="str">
        <f>_xlfn.LET(
    _xlpm.val, IF(Datadetails[[#This Row],[Activity]]="D02","C20",Datadetails[[#This Row],[Activity]]),
    IF(ISNUMBER(MATCH(_xlpm.val,{"D04","C30","c40","C20"},0)), _xlpm.val, "Other")
)</f>
        <v>C20</v>
      </c>
      <c r="D1003" s="10" t="str">
        <f>IFERROR(VLOOKUP(Datadetails[[#This Row],[Taskcode]],Dashboard!A:A,1,FALSE),"00 Err Missing")</f>
        <v>0066</v>
      </c>
      <c r="E1003" s="79">
        <v>45824</v>
      </c>
      <c r="F1003" s="80" t="s">
        <v>326</v>
      </c>
      <c r="G1003" s="60" t="s">
        <v>40</v>
      </c>
      <c r="H1003" s="80" t="s">
        <v>233</v>
      </c>
      <c r="I1003" s="80" t="s">
        <v>36</v>
      </c>
      <c r="J1003" s="80" t="s">
        <v>387</v>
      </c>
      <c r="K1003" s="80" t="s">
        <v>348</v>
      </c>
      <c r="L1003" s="80" t="s">
        <v>342</v>
      </c>
      <c r="M1003" s="81">
        <v>0.5</v>
      </c>
      <c r="N1003" s="82">
        <v>30</v>
      </c>
    </row>
    <row r="1004" spans="1:14" x14ac:dyDescent="0.25">
      <c r="A1004" s="10" t="str">
        <f>_xlfn.IFNA(
    IF(J1004=
        "PCB-0001",
        "CSS",
        IF(
            ISNUMBER(MATCH(_xlfn.TEXTBEFORE(J1004,"-"), {"CSS","CSN","PCB","PCF","BEC","CSD","PCM"}, 0)),
            _xlfn.TEXTBEFORE(J1004,"-"),
            "Other"
        )
    ),
"Add")</f>
        <v>PCF</v>
      </c>
      <c r="B1004" s="10" t="str">
        <f t="shared" si="16"/>
        <v>0069</v>
      </c>
      <c r="C1004" s="10" t="str">
        <f>_xlfn.LET(
    _xlpm.val, IF(Datadetails[[#This Row],[Activity]]="D02","C20",Datadetails[[#This Row],[Activity]]),
    IF(ISNUMBER(MATCH(_xlpm.val,{"D04","C30","c40","C20"},0)), _xlpm.val, "Other")
)</f>
        <v>C20</v>
      </c>
      <c r="D1004" s="10" t="str">
        <f>IFERROR(VLOOKUP(Datadetails[[#This Row],[Taskcode]],Dashboard!A:A,1,FALSE),"00 Err Missing")</f>
        <v>0069</v>
      </c>
      <c r="E1004" s="79">
        <v>45824</v>
      </c>
      <c r="F1004" s="80" t="s">
        <v>326</v>
      </c>
      <c r="G1004" s="60" t="s">
        <v>40</v>
      </c>
      <c r="H1004" s="80" t="s">
        <v>236</v>
      </c>
      <c r="I1004" s="80" t="s">
        <v>36</v>
      </c>
      <c r="J1004" s="80" t="s">
        <v>357</v>
      </c>
      <c r="K1004" s="80" t="s">
        <v>348</v>
      </c>
      <c r="L1004" s="80" t="s">
        <v>342</v>
      </c>
      <c r="M1004" s="81">
        <v>0.67</v>
      </c>
      <c r="N1004" s="82">
        <v>40.200000000000003</v>
      </c>
    </row>
    <row r="1005" spans="1:14" x14ac:dyDescent="0.25">
      <c r="A1005" s="10" t="str">
        <f>_xlfn.IFNA(
    IF(J1005=
        "PCB-0001",
        "CSS",
        IF(
            ISNUMBER(MATCH(_xlfn.TEXTBEFORE(J1005,"-"), {"CSS","CSN","PCB","PCF","BEC","CSD","PCM"}, 0)),
            _xlfn.TEXTBEFORE(J1005,"-"),
            "Other"
        )
    ),
"Add")</f>
        <v>BEC</v>
      </c>
      <c r="B1005" s="10" t="str">
        <f t="shared" si="16"/>
        <v>0001</v>
      </c>
      <c r="C1005" s="10" t="str">
        <f>_xlfn.LET(
    _xlpm.val, IF(Datadetails[[#This Row],[Activity]]="D02","C20",Datadetails[[#This Row],[Activity]]),
    IF(ISNUMBER(MATCH(_xlpm.val,{"D04","C30","c40","C20"},0)), _xlpm.val, "Other")
)</f>
        <v>D04</v>
      </c>
      <c r="D1005" s="10" t="str">
        <f>IFERROR(VLOOKUP(Datadetails[[#This Row],[Taskcode]],Dashboard!A:A,1,FALSE),"00 Err Missing")</f>
        <v>0001</v>
      </c>
      <c r="E1005" s="79">
        <v>45824</v>
      </c>
      <c r="F1005" s="80" t="s">
        <v>332</v>
      </c>
      <c r="G1005" s="60" t="s">
        <v>40</v>
      </c>
      <c r="H1005" s="80" t="s">
        <v>314</v>
      </c>
      <c r="I1005" s="80" t="s">
        <v>35</v>
      </c>
      <c r="J1005" s="80" t="s">
        <v>359</v>
      </c>
      <c r="K1005" s="80" t="s">
        <v>339</v>
      </c>
      <c r="L1005" s="80" t="s">
        <v>352</v>
      </c>
      <c r="M1005" s="81">
        <v>8.67</v>
      </c>
      <c r="N1005" s="82">
        <v>346.8</v>
      </c>
    </row>
    <row r="1006" spans="1:14" x14ac:dyDescent="0.25">
      <c r="A1006" s="10" t="str">
        <f>_xlfn.IFNA(
    IF(J1006=
        "PCB-0001",
        "CSS",
        IF(
            ISNUMBER(MATCH(_xlfn.TEXTBEFORE(J1006,"-"), {"CSS","CSN","PCB","PCF","BEC","CSD","PCM"}, 0)),
            _xlfn.TEXTBEFORE(J1006,"-"),
            "Other"
        )
    ),
"Add")</f>
        <v>BEC</v>
      </c>
      <c r="B1006" s="10" t="str">
        <f t="shared" si="16"/>
        <v>0001</v>
      </c>
      <c r="C1006" s="10" t="str">
        <f>_xlfn.LET(
    _xlpm.val, IF(Datadetails[[#This Row],[Activity]]="D02","C20",Datadetails[[#This Row],[Activity]]),
    IF(ISNUMBER(MATCH(_xlpm.val,{"D04","C30","c40","C20"},0)), _xlpm.val, "Other")
)</f>
        <v>D04</v>
      </c>
      <c r="D1006" s="10" t="str">
        <f>IFERROR(VLOOKUP(Datadetails[[#This Row],[Taskcode]],Dashboard!A:A,1,FALSE),"00 Err Missing")</f>
        <v>0001</v>
      </c>
      <c r="E1006" s="79">
        <v>45824</v>
      </c>
      <c r="F1006" s="80" t="s">
        <v>324</v>
      </c>
      <c r="G1006" s="60" t="s">
        <v>40</v>
      </c>
      <c r="H1006" s="80" t="s">
        <v>314</v>
      </c>
      <c r="I1006" s="80" t="s">
        <v>35</v>
      </c>
      <c r="J1006" s="80" t="s">
        <v>359</v>
      </c>
      <c r="K1006" s="80" t="s">
        <v>339</v>
      </c>
      <c r="L1006" s="80" t="s">
        <v>352</v>
      </c>
      <c r="M1006" s="81">
        <v>6.5</v>
      </c>
      <c r="N1006" s="82">
        <v>487.5</v>
      </c>
    </row>
    <row r="1007" spans="1:14" x14ac:dyDescent="0.25">
      <c r="A1007" s="10" t="str">
        <f>_xlfn.IFNA(
    IF(J1007=
        "PCB-0001",
        "CSS",
        IF(
            ISNUMBER(MATCH(_xlfn.TEXTBEFORE(J1007,"-"), {"CSS","CSN","PCB","PCF","BEC","CSD","PCM"}, 0)),
            _xlfn.TEXTBEFORE(J1007,"-"),
            "Other"
        )
    ),
"Add")</f>
        <v>PCM</v>
      </c>
      <c r="B1007" s="10" t="str">
        <f t="shared" si="16"/>
        <v>0001</v>
      </c>
      <c r="C1007" s="10" t="str">
        <f>_xlfn.LET(
    _xlpm.val, IF(Datadetails[[#This Row],[Activity]]="D02","C20",Datadetails[[#This Row],[Activity]]),
    IF(ISNUMBER(MATCH(_xlpm.val,{"D04","C30","c40","C20"},0)), _xlpm.val, "Other")
)</f>
        <v>C20</v>
      </c>
      <c r="D1007" s="10" t="str">
        <f>IFERROR(VLOOKUP(Datadetails[[#This Row],[Taskcode]],Dashboard!A:A,1,FALSE),"00 Err Missing")</f>
        <v>0001</v>
      </c>
      <c r="E1007" s="79">
        <v>45825</v>
      </c>
      <c r="F1007" s="80" t="s">
        <v>323</v>
      </c>
      <c r="G1007" s="60" t="s">
        <v>40</v>
      </c>
      <c r="H1007" s="80" t="s">
        <v>168</v>
      </c>
      <c r="I1007" s="80" t="s">
        <v>36</v>
      </c>
      <c r="J1007" s="80" t="s">
        <v>419</v>
      </c>
      <c r="K1007" s="80" t="s">
        <v>346</v>
      </c>
      <c r="L1007" s="80" t="s">
        <v>342</v>
      </c>
      <c r="M1007" s="81">
        <v>0.5</v>
      </c>
      <c r="N1007" s="82">
        <v>30</v>
      </c>
    </row>
    <row r="1008" spans="1:14" x14ac:dyDescent="0.25">
      <c r="A1008" s="10" t="str">
        <f>_xlfn.IFNA(
    IF(J1008=
        "PCB-0001",
        "CSS",
        IF(
            ISNUMBER(MATCH(_xlfn.TEXTBEFORE(J1008,"-"), {"CSS","CSN","PCB","PCF","BEC","CSD","PCM"}, 0)),
            _xlfn.TEXTBEFORE(J1008,"-"),
            "Other"
        )
    ),
"Add")</f>
        <v>CSN</v>
      </c>
      <c r="B1008" s="10" t="str">
        <f t="shared" si="16"/>
        <v>0001</v>
      </c>
      <c r="C1008" s="10" t="str">
        <f>_xlfn.LET(
    _xlpm.val, IF(Datadetails[[#This Row],[Activity]]="D02","C20",Datadetails[[#This Row],[Activity]]),
    IF(ISNUMBER(MATCH(_xlpm.val,{"D04","C30","c40","C20"},0)), _xlpm.val, "Other")
)</f>
        <v>D04</v>
      </c>
      <c r="D1008" s="10" t="str">
        <f>IFERROR(VLOOKUP(Datadetails[[#This Row],[Taskcode]],Dashboard!A:A,1,FALSE),"00 Err Missing")</f>
        <v>0001</v>
      </c>
      <c r="E1008" s="79">
        <v>45825</v>
      </c>
      <c r="F1008" s="80" t="s">
        <v>329</v>
      </c>
      <c r="G1008" s="60" t="s">
        <v>40</v>
      </c>
      <c r="H1008" s="80" t="s">
        <v>316</v>
      </c>
      <c r="I1008" s="80" t="s">
        <v>35</v>
      </c>
      <c r="J1008" s="80" t="s">
        <v>338</v>
      </c>
      <c r="K1008" s="80" t="s">
        <v>337</v>
      </c>
      <c r="L1008" s="80" t="s">
        <v>352</v>
      </c>
      <c r="M1008" s="81">
        <v>1.25</v>
      </c>
      <c r="N1008" s="82">
        <v>93.75</v>
      </c>
    </row>
    <row r="1009" spans="1:14" x14ac:dyDescent="0.25">
      <c r="A1009" s="10" t="str">
        <f>_xlfn.IFNA(
    IF(J1009=
        "PCB-0001",
        "CSS",
        IF(
            ISNUMBER(MATCH(_xlfn.TEXTBEFORE(J1009,"-"), {"CSS","CSN","PCB","PCF","BEC","CSD","PCM"}, 0)),
            _xlfn.TEXTBEFORE(J1009,"-"),
            "Other"
        )
    ),
"Add")</f>
        <v>CSD</v>
      </c>
      <c r="B1009" s="10" t="str">
        <f t="shared" si="16"/>
        <v>0001</v>
      </c>
      <c r="C1009" s="10" t="str">
        <f>_xlfn.LET(
    _xlpm.val, IF(Datadetails[[#This Row],[Activity]]="D02","C20",Datadetails[[#This Row],[Activity]]),
    IF(ISNUMBER(MATCH(_xlpm.val,{"D04","C30","c40","C20"},0)), _xlpm.val, "Other")
)</f>
        <v>D04</v>
      </c>
      <c r="D1009" s="10" t="str">
        <f>IFERROR(VLOOKUP(Datadetails[[#This Row],[Taskcode]],Dashboard!A:A,1,FALSE),"00 Err Missing")</f>
        <v>0001</v>
      </c>
      <c r="E1009" s="79">
        <v>45825</v>
      </c>
      <c r="F1009" s="80" t="s">
        <v>333</v>
      </c>
      <c r="G1009" s="60" t="s">
        <v>40</v>
      </c>
      <c r="H1009" s="80" t="s">
        <v>320</v>
      </c>
      <c r="I1009" s="80" t="s">
        <v>35</v>
      </c>
      <c r="J1009" s="80" t="s">
        <v>322</v>
      </c>
      <c r="K1009" s="80" t="s">
        <v>319</v>
      </c>
      <c r="L1009" s="80" t="s">
        <v>352</v>
      </c>
      <c r="M1009" s="81">
        <v>7.3</v>
      </c>
      <c r="N1009" s="82">
        <v>233.6</v>
      </c>
    </row>
    <row r="1010" spans="1:14" x14ac:dyDescent="0.25">
      <c r="A1010" s="10" t="str">
        <f>_xlfn.IFNA(
    IF(J1010=
        "PCB-0001",
        "CSS",
        IF(
            ISNUMBER(MATCH(_xlfn.TEXTBEFORE(J1010,"-"), {"CSS","CSN","PCB","PCF","BEC","CSD","PCM"}, 0)),
            _xlfn.TEXTBEFORE(J1010,"-"),
            "Other"
        )
    ),
"Add")</f>
        <v>CSD</v>
      </c>
      <c r="B1010" s="10" t="str">
        <f t="shared" si="16"/>
        <v>0001</v>
      </c>
      <c r="C1010" s="10" t="str">
        <f>_xlfn.LET(
    _xlpm.val, IF(Datadetails[[#This Row],[Activity]]="D02","C20",Datadetails[[#This Row],[Activity]]),
    IF(ISNUMBER(MATCH(_xlpm.val,{"D04","C30","c40","C20"},0)), _xlpm.val, "Other")
)</f>
        <v>D04</v>
      </c>
      <c r="D1010" s="10" t="str">
        <f>IFERROR(VLOOKUP(Datadetails[[#This Row],[Taskcode]],Dashboard!A:A,1,FALSE),"00 Err Missing")</f>
        <v>0001</v>
      </c>
      <c r="E1010" s="79">
        <v>45825</v>
      </c>
      <c r="F1010" s="80" t="s">
        <v>327</v>
      </c>
      <c r="G1010" s="60" t="s">
        <v>40</v>
      </c>
      <c r="H1010" s="80" t="s">
        <v>320</v>
      </c>
      <c r="I1010" s="80" t="s">
        <v>35</v>
      </c>
      <c r="J1010" s="80" t="s">
        <v>322</v>
      </c>
      <c r="K1010" s="80" t="s">
        <v>319</v>
      </c>
      <c r="L1010" s="80" t="s">
        <v>352</v>
      </c>
      <c r="M1010" s="81">
        <v>7.25</v>
      </c>
      <c r="N1010" s="82">
        <v>232</v>
      </c>
    </row>
    <row r="1011" spans="1:14" x14ac:dyDescent="0.25">
      <c r="A1011" s="10" t="str">
        <f>_xlfn.IFNA(
    IF(J1011=
        "PCB-0001",
        "CSS",
        IF(
            ISNUMBER(MATCH(_xlfn.TEXTBEFORE(J1011,"-"), {"CSS","CSN","PCB","PCF","BEC","CSD","PCM"}, 0)),
            _xlfn.TEXTBEFORE(J1011,"-"),
            "Other"
        )
    ),
"Add")</f>
        <v>PCM</v>
      </c>
      <c r="B1011" s="10" t="str">
        <f t="shared" si="16"/>
        <v>0034</v>
      </c>
      <c r="C1011" s="10" t="str">
        <f>_xlfn.LET(
    _xlpm.val, IF(Datadetails[[#This Row],[Activity]]="D02","C20",Datadetails[[#This Row],[Activity]]),
    IF(ISNUMBER(MATCH(_xlpm.val,{"D04","C30","c40","C20"},0)), _xlpm.val, "Other")
)</f>
        <v>C40</v>
      </c>
      <c r="D1011" s="10" t="str">
        <f>IFERROR(VLOOKUP(Datadetails[[#This Row],[Taskcode]],Dashboard!A:A,1,FALSE),"00 Err Missing")</f>
        <v>0034</v>
      </c>
      <c r="E1011" s="79">
        <v>45825</v>
      </c>
      <c r="F1011" s="80" t="s">
        <v>323</v>
      </c>
      <c r="G1011" s="60" t="s">
        <v>40</v>
      </c>
      <c r="H1011" s="80" t="s">
        <v>201</v>
      </c>
      <c r="I1011" s="80" t="s">
        <v>341</v>
      </c>
      <c r="J1011" s="80" t="s">
        <v>395</v>
      </c>
      <c r="K1011" s="80" t="s">
        <v>346</v>
      </c>
      <c r="L1011" s="80" t="s">
        <v>344</v>
      </c>
      <c r="M1011" s="81">
        <v>0.5</v>
      </c>
      <c r="N1011" s="82">
        <v>30</v>
      </c>
    </row>
    <row r="1012" spans="1:14" x14ac:dyDescent="0.25">
      <c r="A1012" s="10" t="str">
        <f>_xlfn.IFNA(
    IF(J1012=
        "PCB-0001",
        "CSS",
        IF(
            ISNUMBER(MATCH(_xlfn.TEXTBEFORE(J1012,"-"), {"CSS","CSN","PCB","PCF","BEC","CSD","PCM"}, 0)),
            _xlfn.TEXTBEFORE(J1012,"-"),
            "Other"
        )
    ),
"Add")</f>
        <v>PCM</v>
      </c>
      <c r="B1012" s="10" t="str">
        <f t="shared" si="16"/>
        <v>0064</v>
      </c>
      <c r="C1012" s="10" t="str">
        <f>_xlfn.LET(
    _xlpm.val, IF(Datadetails[[#This Row],[Activity]]="D02","C20",Datadetails[[#This Row],[Activity]]),
    IF(ISNUMBER(MATCH(_xlpm.val,{"D04","C30","c40","C20"},0)), _xlpm.val, "Other")
)</f>
        <v>C40</v>
      </c>
      <c r="D1012" s="10" t="str">
        <f>IFERROR(VLOOKUP(Datadetails[[#This Row],[Taskcode]],Dashboard!A:A,1,FALSE),"00 Err Missing")</f>
        <v>0064</v>
      </c>
      <c r="E1012" s="79">
        <v>45825</v>
      </c>
      <c r="F1012" s="80" t="s">
        <v>323</v>
      </c>
      <c r="G1012" s="60" t="s">
        <v>40</v>
      </c>
      <c r="H1012" s="80" t="s">
        <v>231</v>
      </c>
      <c r="I1012" s="80" t="s">
        <v>341</v>
      </c>
      <c r="J1012" s="80" t="s">
        <v>420</v>
      </c>
      <c r="K1012" s="80" t="s">
        <v>346</v>
      </c>
      <c r="L1012" s="80" t="s">
        <v>344</v>
      </c>
      <c r="M1012" s="81">
        <v>0.5</v>
      </c>
      <c r="N1012" s="82">
        <v>30</v>
      </c>
    </row>
    <row r="1013" spans="1:14" x14ac:dyDescent="0.25">
      <c r="A1013" s="10" t="str">
        <f>_xlfn.IFNA(
    IF(J1013=
        "PCB-0001",
        "CSS",
        IF(
            ISNUMBER(MATCH(_xlfn.TEXTBEFORE(J1013,"-"), {"CSS","CSN","PCB","PCF","BEC","CSD","PCM"}, 0)),
            _xlfn.TEXTBEFORE(J1013,"-"),
            "Other"
        )
    ),
"Add")</f>
        <v>PCM</v>
      </c>
      <c r="B1013" s="10" t="str">
        <f t="shared" si="16"/>
        <v>0065</v>
      </c>
      <c r="C1013" s="10" t="str">
        <f>_xlfn.LET(
    _xlpm.val, IF(Datadetails[[#This Row],[Activity]]="D02","C20",Datadetails[[#This Row],[Activity]]),
    IF(ISNUMBER(MATCH(_xlpm.val,{"D04","C30","c40","C20"},0)), _xlpm.val, "Other")
)</f>
        <v>C40</v>
      </c>
      <c r="D1013" s="10" t="str">
        <f>IFERROR(VLOOKUP(Datadetails[[#This Row],[Taskcode]],Dashboard!A:A,1,FALSE),"00 Err Missing")</f>
        <v>0065</v>
      </c>
      <c r="E1013" s="79">
        <v>45825</v>
      </c>
      <c r="F1013" s="80" t="s">
        <v>323</v>
      </c>
      <c r="G1013" s="60" t="s">
        <v>40</v>
      </c>
      <c r="H1013" s="80" t="s">
        <v>232</v>
      </c>
      <c r="I1013" s="80" t="s">
        <v>341</v>
      </c>
      <c r="J1013" s="80" t="s">
        <v>393</v>
      </c>
      <c r="K1013" s="80" t="s">
        <v>346</v>
      </c>
      <c r="L1013" s="80" t="s">
        <v>344</v>
      </c>
      <c r="M1013" s="81">
        <v>0.5</v>
      </c>
      <c r="N1013" s="82">
        <v>30</v>
      </c>
    </row>
    <row r="1014" spans="1:14" x14ac:dyDescent="0.25">
      <c r="A1014" s="10" t="str">
        <f>_xlfn.IFNA(
    IF(J1014=
        "PCB-0001",
        "CSS",
        IF(
            ISNUMBER(MATCH(_xlfn.TEXTBEFORE(J1014,"-"), {"CSS","CSN","PCB","PCF","BEC","CSD","PCM"}, 0)),
            _xlfn.TEXTBEFORE(J1014,"-"),
            "Other"
        )
    ),
"Add")</f>
        <v>PCB</v>
      </c>
      <c r="B1014" s="10" t="str">
        <f t="shared" si="16"/>
        <v>0019</v>
      </c>
      <c r="C1014" s="10" t="str">
        <f>_xlfn.LET(
    _xlpm.val, IF(Datadetails[[#This Row],[Activity]]="D02","C20",Datadetails[[#This Row],[Activity]]),
    IF(ISNUMBER(MATCH(_xlpm.val,{"D04","C30","c40","C20"},0)), _xlpm.val, "Other")
)</f>
        <v>C30</v>
      </c>
      <c r="D1014" s="10" t="str">
        <f>IFERROR(VLOOKUP(Datadetails[[#This Row],[Taskcode]],Dashboard!A:A,1,FALSE),"00 Err Missing")</f>
        <v>0019</v>
      </c>
      <c r="E1014" s="79">
        <v>45825</v>
      </c>
      <c r="F1014" s="80" t="s">
        <v>329</v>
      </c>
      <c r="G1014" s="60" t="s">
        <v>40</v>
      </c>
      <c r="H1014" s="80" t="s">
        <v>186</v>
      </c>
      <c r="I1014" s="80" t="s">
        <v>34</v>
      </c>
      <c r="J1014" s="80" t="s">
        <v>397</v>
      </c>
      <c r="K1014" s="80" t="s">
        <v>347</v>
      </c>
      <c r="L1014" s="80" t="s">
        <v>343</v>
      </c>
      <c r="M1014" s="81">
        <v>0.08</v>
      </c>
      <c r="N1014" s="82">
        <v>6</v>
      </c>
    </row>
    <row r="1015" spans="1:14" x14ac:dyDescent="0.25">
      <c r="A1015" s="10" t="str">
        <f>_xlfn.IFNA(
    IF(J1015=
        "PCB-0001",
        "CSS",
        IF(
            ISNUMBER(MATCH(_xlfn.TEXTBEFORE(J1015,"-"), {"CSS","CSN","PCB","PCF","BEC","CSD","PCM"}, 0)),
            _xlfn.TEXTBEFORE(J1015,"-"),
            "Other"
        )
    ),
"Add")</f>
        <v>PCB</v>
      </c>
      <c r="B1015" s="10" t="str">
        <f t="shared" si="16"/>
        <v>0032</v>
      </c>
      <c r="C1015" s="10" t="str">
        <f>_xlfn.LET(
    _xlpm.val, IF(Datadetails[[#This Row],[Activity]]="D02","C20",Datadetails[[#This Row],[Activity]]),
    IF(ISNUMBER(MATCH(_xlpm.val,{"D04","C30","c40","C20"},0)), _xlpm.val, "Other")
)</f>
        <v>C30</v>
      </c>
      <c r="D1015" s="10" t="str">
        <f>IFERROR(VLOOKUP(Datadetails[[#This Row],[Taskcode]],Dashboard!A:A,1,FALSE),"00 Err Missing")</f>
        <v>0032</v>
      </c>
      <c r="E1015" s="79">
        <v>45825</v>
      </c>
      <c r="F1015" s="80" t="s">
        <v>330</v>
      </c>
      <c r="G1015" s="60" t="s">
        <v>40</v>
      </c>
      <c r="H1015" s="80" t="s">
        <v>199</v>
      </c>
      <c r="I1015" s="80" t="s">
        <v>34</v>
      </c>
      <c r="J1015" s="80" t="s">
        <v>414</v>
      </c>
      <c r="K1015" s="80" t="s">
        <v>347</v>
      </c>
      <c r="L1015" s="80" t="s">
        <v>343</v>
      </c>
      <c r="M1015" s="81">
        <v>0.5</v>
      </c>
      <c r="N1015" s="82">
        <v>30</v>
      </c>
    </row>
    <row r="1016" spans="1:14" x14ac:dyDescent="0.25">
      <c r="A1016" s="10" t="str">
        <f>_xlfn.IFNA(
    IF(J1016=
        "PCB-0001",
        "CSS",
        IF(
            ISNUMBER(MATCH(_xlfn.TEXTBEFORE(J1016,"-"), {"CSS","CSN","PCB","PCF","BEC","CSD","PCM"}, 0)),
            _xlfn.TEXTBEFORE(J1016,"-"),
            "Other"
        )
    ),
"Add")</f>
        <v>PCB</v>
      </c>
      <c r="B1016" s="10" t="str">
        <f t="shared" si="16"/>
        <v>0012</v>
      </c>
      <c r="C1016" s="10" t="str">
        <f>_xlfn.LET(
    _xlpm.val, IF(Datadetails[[#This Row],[Activity]]="D02","C20",Datadetails[[#This Row],[Activity]]),
    IF(ISNUMBER(MATCH(_xlpm.val,{"D04","C30","c40","C20"},0)), _xlpm.val, "Other")
)</f>
        <v>C30</v>
      </c>
      <c r="D1016" s="10" t="str">
        <f>IFERROR(VLOOKUP(Datadetails[[#This Row],[Taskcode]],Dashboard!A:A,1,FALSE),"00 Err Missing")</f>
        <v>0012</v>
      </c>
      <c r="E1016" s="79">
        <v>45825</v>
      </c>
      <c r="F1016" s="80" t="s">
        <v>325</v>
      </c>
      <c r="G1016" s="60" t="s">
        <v>40</v>
      </c>
      <c r="H1016" s="80" t="s">
        <v>179</v>
      </c>
      <c r="I1016" s="80" t="s">
        <v>34</v>
      </c>
      <c r="J1016" s="80" t="s">
        <v>422</v>
      </c>
      <c r="K1016" s="80" t="s">
        <v>347</v>
      </c>
      <c r="L1016" s="80" t="s">
        <v>343</v>
      </c>
      <c r="M1016" s="81">
        <v>0.25</v>
      </c>
      <c r="N1016" s="82">
        <v>18.75</v>
      </c>
    </row>
    <row r="1017" spans="1:14" x14ac:dyDescent="0.25">
      <c r="A1017" s="10" t="str">
        <f>_xlfn.IFNA(
    IF(J1017=
        "PCB-0001",
        "CSS",
        IF(
            ISNUMBER(MATCH(_xlfn.TEXTBEFORE(J1017,"-"), {"CSS","CSN","PCB","PCF","BEC","CSD","PCM"}, 0)),
            _xlfn.TEXTBEFORE(J1017,"-"),
            "Other"
        )
    ),
"Add")</f>
        <v>PCB</v>
      </c>
      <c r="B1017" s="10" t="str">
        <f t="shared" si="16"/>
        <v>0075</v>
      </c>
      <c r="C1017" s="10" t="str">
        <f>_xlfn.LET(
    _xlpm.val, IF(Datadetails[[#This Row],[Activity]]="D02","C20",Datadetails[[#This Row],[Activity]]),
    IF(ISNUMBER(MATCH(_xlpm.val,{"D04","C30","c40","C20"},0)), _xlpm.val, "Other")
)</f>
        <v>C30</v>
      </c>
      <c r="D1017" s="10" t="str">
        <f>IFERROR(VLOOKUP(Datadetails[[#This Row],[Taskcode]],Dashboard!A:A,1,FALSE),"00 Err Missing")</f>
        <v>0075</v>
      </c>
      <c r="E1017" s="79">
        <v>45825</v>
      </c>
      <c r="F1017" s="80" t="s">
        <v>329</v>
      </c>
      <c r="G1017" s="60" t="s">
        <v>40</v>
      </c>
      <c r="H1017" s="80" t="s">
        <v>242</v>
      </c>
      <c r="I1017" s="80" t="s">
        <v>34</v>
      </c>
      <c r="J1017" s="80" t="s">
        <v>404</v>
      </c>
      <c r="K1017" s="80" t="s">
        <v>347</v>
      </c>
      <c r="L1017" s="80" t="s">
        <v>343</v>
      </c>
      <c r="M1017" s="81">
        <v>0.33</v>
      </c>
      <c r="N1017" s="82">
        <v>24.75</v>
      </c>
    </row>
    <row r="1018" spans="1:14" x14ac:dyDescent="0.25">
      <c r="A1018" s="10" t="str">
        <f>_xlfn.IFNA(
    IF(J1018=
        "PCB-0001",
        "CSS",
        IF(
            ISNUMBER(MATCH(_xlfn.TEXTBEFORE(J1018,"-"), {"CSS","CSN","PCB","PCF","BEC","CSD","PCM"}, 0)),
            _xlfn.TEXTBEFORE(J1018,"-"),
            "Other"
        )
    ),
"Add")</f>
        <v>PCB</v>
      </c>
      <c r="B1018" s="10" t="str">
        <f t="shared" si="16"/>
        <v>0126</v>
      </c>
      <c r="C1018" s="10" t="str">
        <f>_xlfn.LET(
    _xlpm.val, IF(Datadetails[[#This Row],[Activity]]="D02","C20",Datadetails[[#This Row],[Activity]]),
    IF(ISNUMBER(MATCH(_xlpm.val,{"D04","C30","c40","C20"},0)), _xlpm.val, "Other")
)</f>
        <v>C30</v>
      </c>
      <c r="D1018" s="10" t="str">
        <f>IFERROR(VLOOKUP(Datadetails[[#This Row],[Taskcode]],Dashboard!A:A,1,FALSE),"00 Err Missing")</f>
        <v>0126</v>
      </c>
      <c r="E1018" s="79">
        <v>45825</v>
      </c>
      <c r="F1018" s="80" t="s">
        <v>329</v>
      </c>
      <c r="G1018" s="60" t="s">
        <v>40</v>
      </c>
      <c r="H1018" s="80" t="s">
        <v>293</v>
      </c>
      <c r="I1018" s="80" t="s">
        <v>34</v>
      </c>
      <c r="J1018" s="80" t="s">
        <v>376</v>
      </c>
      <c r="K1018" s="80" t="s">
        <v>347</v>
      </c>
      <c r="L1018" s="80" t="s">
        <v>343</v>
      </c>
      <c r="M1018" s="81">
        <v>0.17</v>
      </c>
      <c r="N1018" s="82">
        <v>12.750000000000002</v>
      </c>
    </row>
    <row r="1019" spans="1:14" x14ac:dyDescent="0.25">
      <c r="A1019" s="10" t="str">
        <f>_xlfn.IFNA(
    IF(J1019=
        "PCB-0001",
        "CSS",
        IF(
            ISNUMBER(MATCH(_xlfn.TEXTBEFORE(J1019,"-"), {"CSS","CSN","PCB","PCF","BEC","CSD","PCM"}, 0)),
            _xlfn.TEXTBEFORE(J1019,"-"),
            "Other"
        )
    ),
"Add")</f>
        <v>PCB</v>
      </c>
      <c r="B1019" s="10" t="str">
        <f t="shared" si="16"/>
        <v>0127</v>
      </c>
      <c r="C1019" s="10" t="str">
        <f>_xlfn.LET(
    _xlpm.val, IF(Datadetails[[#This Row],[Activity]]="D02","C20",Datadetails[[#This Row],[Activity]]),
    IF(ISNUMBER(MATCH(_xlpm.val,{"D04","C30","c40","C20"},0)), _xlpm.val, "Other")
)</f>
        <v>C30</v>
      </c>
      <c r="D1019" s="10" t="str">
        <f>IFERROR(VLOOKUP(Datadetails[[#This Row],[Taskcode]],Dashboard!A:A,1,FALSE),"00 Err Missing")</f>
        <v>0127</v>
      </c>
      <c r="E1019" s="79">
        <v>45825</v>
      </c>
      <c r="F1019" s="80" t="s">
        <v>329</v>
      </c>
      <c r="G1019" s="60" t="s">
        <v>40</v>
      </c>
      <c r="H1019" s="80" t="s">
        <v>294</v>
      </c>
      <c r="I1019" s="80" t="s">
        <v>34</v>
      </c>
      <c r="J1019" s="80" t="s">
        <v>377</v>
      </c>
      <c r="K1019" s="80" t="s">
        <v>347</v>
      </c>
      <c r="L1019" s="80" t="s">
        <v>343</v>
      </c>
      <c r="M1019" s="81">
        <v>0.17</v>
      </c>
      <c r="N1019" s="82">
        <v>12.750000000000002</v>
      </c>
    </row>
    <row r="1020" spans="1:14" x14ac:dyDescent="0.25">
      <c r="A1020" s="10" t="str">
        <f>_xlfn.IFNA(
    IF(J1020=
        "PCB-0001",
        "CSS",
        IF(
            ISNUMBER(MATCH(_xlfn.TEXTBEFORE(J1020,"-"), {"CSS","CSN","PCB","PCF","BEC","CSD","PCM"}, 0)),
            _xlfn.TEXTBEFORE(J1020,"-"),
            "Other"
        )
    ),
"Add")</f>
        <v>PCB</v>
      </c>
      <c r="B1020" s="10" t="str">
        <f t="shared" si="16"/>
        <v>0092</v>
      </c>
      <c r="C1020" s="10" t="str">
        <f>_xlfn.LET(
    _xlpm.val, IF(Datadetails[[#This Row],[Activity]]="D02","C20",Datadetails[[#This Row],[Activity]]),
    IF(ISNUMBER(MATCH(_xlpm.val,{"D04","C30","c40","C20"},0)), _xlpm.val, "Other")
)</f>
        <v>C30</v>
      </c>
      <c r="D1020" s="10" t="str">
        <f>IFERROR(VLOOKUP(Datadetails[[#This Row],[Taskcode]],Dashboard!A:A,1,FALSE),"00 Err Missing")</f>
        <v>0092</v>
      </c>
      <c r="E1020" s="79">
        <v>45825</v>
      </c>
      <c r="F1020" s="80" t="s">
        <v>329</v>
      </c>
      <c r="G1020" s="60" t="s">
        <v>40</v>
      </c>
      <c r="H1020" s="80" t="s">
        <v>259</v>
      </c>
      <c r="I1020" s="80" t="s">
        <v>34</v>
      </c>
      <c r="J1020" s="80" t="s">
        <v>407</v>
      </c>
      <c r="K1020" s="80" t="s">
        <v>347</v>
      </c>
      <c r="L1020" s="80" t="s">
        <v>343</v>
      </c>
      <c r="M1020" s="81">
        <v>0.17</v>
      </c>
      <c r="N1020" s="82">
        <v>12.750000000000002</v>
      </c>
    </row>
    <row r="1021" spans="1:14" x14ac:dyDescent="0.25">
      <c r="A1021" s="10" t="str">
        <f>_xlfn.IFNA(
    IF(J1021=
        "PCB-0001",
        "CSS",
        IF(
            ISNUMBER(MATCH(_xlfn.TEXTBEFORE(J1021,"-"), {"CSS","CSN","PCB","PCF","BEC","CSD","PCM"}, 0)),
            _xlfn.TEXTBEFORE(J1021,"-"),
            "Other"
        )
    ),
"Add")</f>
        <v>PCB</v>
      </c>
      <c r="B1021" s="10" t="str">
        <f t="shared" si="16"/>
        <v>0082</v>
      </c>
      <c r="C1021" s="10" t="str">
        <f>_xlfn.LET(
    _xlpm.val, IF(Datadetails[[#This Row],[Activity]]="D02","C20",Datadetails[[#This Row],[Activity]]),
    IF(ISNUMBER(MATCH(_xlpm.val,{"D04","C30","c40","C20"},0)), _xlpm.val, "Other")
)</f>
        <v>C30</v>
      </c>
      <c r="D1021" s="10" t="str">
        <f>IFERROR(VLOOKUP(Datadetails[[#This Row],[Taskcode]],Dashboard!A:A,1,FALSE),"00 Err Missing")</f>
        <v>0082</v>
      </c>
      <c r="E1021" s="79">
        <v>45825</v>
      </c>
      <c r="F1021" s="80" t="s">
        <v>325</v>
      </c>
      <c r="G1021" s="60" t="s">
        <v>40</v>
      </c>
      <c r="H1021" s="80" t="s">
        <v>249</v>
      </c>
      <c r="I1021" s="80" t="s">
        <v>34</v>
      </c>
      <c r="J1021" s="80" t="s">
        <v>409</v>
      </c>
      <c r="K1021" s="80" t="s">
        <v>347</v>
      </c>
      <c r="L1021" s="80" t="s">
        <v>343</v>
      </c>
      <c r="M1021" s="81">
        <v>0.25</v>
      </c>
      <c r="N1021" s="82">
        <v>18.75</v>
      </c>
    </row>
    <row r="1022" spans="1:14" x14ac:dyDescent="0.25">
      <c r="A1022" s="10" t="str">
        <f>_xlfn.IFNA(
    IF(J1022=
        "PCB-0001",
        "CSS",
        IF(
            ISNUMBER(MATCH(_xlfn.TEXTBEFORE(J1022,"-"), {"CSS","CSN","PCB","PCF","BEC","CSD","PCM"}, 0)),
            _xlfn.TEXTBEFORE(J1022,"-"),
            "Other"
        )
    ),
"Add")</f>
        <v>PCB</v>
      </c>
      <c r="B1022" s="10" t="str">
        <f t="shared" si="16"/>
        <v>0108</v>
      </c>
      <c r="C1022" s="10" t="str">
        <f>_xlfn.LET(
    _xlpm.val, IF(Datadetails[[#This Row],[Activity]]="D02","C20",Datadetails[[#This Row],[Activity]]),
    IF(ISNUMBER(MATCH(_xlpm.val,{"D04","C30","c40","C20"},0)), _xlpm.val, "Other")
)</f>
        <v>C30</v>
      </c>
      <c r="D1022" s="10" t="str">
        <f>IFERROR(VLOOKUP(Datadetails[[#This Row],[Taskcode]],Dashboard!A:A,1,FALSE),"00 Err Missing")</f>
        <v>0108</v>
      </c>
      <c r="E1022" s="79">
        <v>45825</v>
      </c>
      <c r="F1022" s="80" t="s">
        <v>330</v>
      </c>
      <c r="G1022" s="60" t="s">
        <v>40</v>
      </c>
      <c r="H1022" s="80" t="s">
        <v>275</v>
      </c>
      <c r="I1022" s="80" t="s">
        <v>34</v>
      </c>
      <c r="J1022" s="80" t="s">
        <v>443</v>
      </c>
      <c r="K1022" s="80" t="s">
        <v>347</v>
      </c>
      <c r="L1022" s="80" t="s">
        <v>343</v>
      </c>
      <c r="M1022" s="81">
        <v>0.5</v>
      </c>
      <c r="N1022" s="82">
        <v>30</v>
      </c>
    </row>
    <row r="1023" spans="1:14" x14ac:dyDescent="0.25">
      <c r="A1023" s="10" t="str">
        <f>_xlfn.IFNA(
    IF(J1023=
        "PCB-0001",
        "CSS",
        IF(
            ISNUMBER(MATCH(_xlfn.TEXTBEFORE(J1023,"-"), {"CSS","CSN","PCB","PCF","BEC","CSD","PCM"}, 0)),
            _xlfn.TEXTBEFORE(J1023,"-"),
            "Other"
        )
    ),
"Add")</f>
        <v>PCB</v>
      </c>
      <c r="B1023" s="10" t="str">
        <f t="shared" si="16"/>
        <v>0089</v>
      </c>
      <c r="C1023" s="10" t="str">
        <f>_xlfn.LET(
    _xlpm.val, IF(Datadetails[[#This Row],[Activity]]="D02","C20",Datadetails[[#This Row],[Activity]]),
    IF(ISNUMBER(MATCH(_xlpm.val,{"D04","C30","c40","C20"},0)), _xlpm.val, "Other")
)</f>
        <v>C40</v>
      </c>
      <c r="D1023" s="10" t="str">
        <f>IFERROR(VLOOKUP(Datadetails[[#This Row],[Taskcode]],Dashboard!A:A,1,FALSE),"00 Err Missing")</f>
        <v>0089</v>
      </c>
      <c r="E1023" s="79">
        <v>45825</v>
      </c>
      <c r="F1023" s="80" t="s">
        <v>330</v>
      </c>
      <c r="G1023" s="60" t="s">
        <v>40</v>
      </c>
      <c r="H1023" s="80" t="s">
        <v>256</v>
      </c>
      <c r="I1023" s="80" t="s">
        <v>341</v>
      </c>
      <c r="J1023" s="80" t="s">
        <v>463</v>
      </c>
      <c r="K1023" s="80" t="s">
        <v>347</v>
      </c>
      <c r="L1023" s="80" t="s">
        <v>344</v>
      </c>
      <c r="M1023" s="81">
        <v>1.5</v>
      </c>
      <c r="N1023" s="82">
        <v>90</v>
      </c>
    </row>
    <row r="1024" spans="1:14" x14ac:dyDescent="0.25">
      <c r="A1024" s="10" t="str">
        <f>_xlfn.IFNA(
    IF(J1024=
        "PCB-0001",
        "CSS",
        IF(
            ISNUMBER(MATCH(_xlfn.TEXTBEFORE(J1024,"-"), {"CSS","CSN","PCB","PCF","BEC","CSD","PCM"}, 0)),
            _xlfn.TEXTBEFORE(J1024,"-"),
            "Other"
        )
    ),
"Add")</f>
        <v>PCB</v>
      </c>
      <c r="B1024" s="10" t="str">
        <f t="shared" si="16"/>
        <v>0129</v>
      </c>
      <c r="C1024" s="10" t="str">
        <f>_xlfn.LET(
    _xlpm.val, IF(Datadetails[[#This Row],[Activity]]="D02","C20",Datadetails[[#This Row],[Activity]]),
    IF(ISNUMBER(MATCH(_xlpm.val,{"D04","C30","c40","C20"},0)), _xlpm.val, "Other")
)</f>
        <v>C40</v>
      </c>
      <c r="D1024" s="10" t="str">
        <f>IFERROR(VLOOKUP(Datadetails[[#This Row],[Taskcode]],Dashboard!A:A,1,FALSE),"00 Err Missing")</f>
        <v>0129</v>
      </c>
      <c r="E1024" s="79">
        <v>45825</v>
      </c>
      <c r="F1024" s="80" t="s">
        <v>329</v>
      </c>
      <c r="G1024" s="60" t="s">
        <v>40</v>
      </c>
      <c r="H1024" s="80" t="s">
        <v>296</v>
      </c>
      <c r="I1024" s="80" t="s">
        <v>341</v>
      </c>
      <c r="J1024" s="80" t="s">
        <v>411</v>
      </c>
      <c r="K1024" s="80" t="s">
        <v>347</v>
      </c>
      <c r="L1024" s="80" t="s">
        <v>344</v>
      </c>
      <c r="M1024" s="81">
        <v>1.67</v>
      </c>
      <c r="N1024" s="82">
        <v>125.25</v>
      </c>
    </row>
    <row r="1025" spans="1:14" x14ac:dyDescent="0.25">
      <c r="A1025" s="10" t="str">
        <f>_xlfn.IFNA(
    IF(J1025=
        "PCB-0001",
        "CSS",
        IF(
            ISNUMBER(MATCH(_xlfn.TEXTBEFORE(J1025,"-"), {"CSS","CSN","PCB","PCF","BEC","CSD","PCM"}, 0)),
            _xlfn.TEXTBEFORE(J1025,"-"),
            "Other"
        )
    ),
"Add")</f>
        <v>PCB</v>
      </c>
      <c r="B1025" s="10" t="str">
        <f t="shared" si="16"/>
        <v>0132</v>
      </c>
      <c r="C1025" s="10" t="str">
        <f>_xlfn.LET(
    _xlpm.val, IF(Datadetails[[#This Row],[Activity]]="D02","C20",Datadetails[[#This Row],[Activity]]),
    IF(ISNUMBER(MATCH(_xlpm.val,{"D04","C30","c40","C20"},0)), _xlpm.val, "Other")
)</f>
        <v>C20</v>
      </c>
      <c r="D1025" s="10" t="str">
        <f>IFERROR(VLOOKUP(Datadetails[[#This Row],[Taskcode]],Dashboard!A:A,1,FALSE),"00 Err Missing")</f>
        <v>0132</v>
      </c>
      <c r="E1025" s="79">
        <v>45825</v>
      </c>
      <c r="F1025" s="80" t="s">
        <v>329</v>
      </c>
      <c r="G1025" s="60" t="s">
        <v>40</v>
      </c>
      <c r="H1025" s="80" t="s">
        <v>299</v>
      </c>
      <c r="I1025" s="80" t="s">
        <v>312</v>
      </c>
      <c r="J1025" s="80" t="s">
        <v>455</v>
      </c>
      <c r="K1025" s="80" t="s">
        <v>347</v>
      </c>
      <c r="L1025" s="80" t="s">
        <v>350</v>
      </c>
      <c r="M1025" s="81">
        <v>0.08</v>
      </c>
      <c r="N1025" s="82">
        <v>6</v>
      </c>
    </row>
    <row r="1026" spans="1:14" x14ac:dyDescent="0.25">
      <c r="A1026" s="10" t="str">
        <f>_xlfn.IFNA(
    IF(J1026=
        "PCB-0001",
        "CSS",
        IF(
            ISNUMBER(MATCH(_xlfn.TEXTBEFORE(J1026,"-"), {"CSS","CSN","PCB","PCF","BEC","CSD","PCM"}, 0)),
            _xlfn.TEXTBEFORE(J1026,"-"),
            "Other"
        )
    ),
"Add")</f>
        <v>PCF</v>
      </c>
      <c r="B1026" s="10" t="str">
        <f t="shared" si="16"/>
        <v>0008</v>
      </c>
      <c r="C1026" s="10" t="str">
        <f>_xlfn.LET(
    _xlpm.val, IF(Datadetails[[#This Row],[Activity]]="D02","C20",Datadetails[[#This Row],[Activity]]),
    IF(ISNUMBER(MATCH(_xlpm.val,{"D04","C30","c40","C20"},0)), _xlpm.val, "Other")
)</f>
        <v>C20</v>
      </c>
      <c r="D1026" s="10" t="str">
        <f>IFERROR(VLOOKUP(Datadetails[[#This Row],[Taskcode]],Dashboard!A:A,1,FALSE),"00 Err Missing")</f>
        <v>0008</v>
      </c>
      <c r="E1026" s="79">
        <v>45825</v>
      </c>
      <c r="F1026" s="80" t="s">
        <v>326</v>
      </c>
      <c r="G1026" s="60" t="s">
        <v>40</v>
      </c>
      <c r="H1026" s="80" t="s">
        <v>175</v>
      </c>
      <c r="I1026" s="80" t="s">
        <v>36</v>
      </c>
      <c r="J1026" s="80" t="s">
        <v>388</v>
      </c>
      <c r="K1026" s="80" t="s">
        <v>348</v>
      </c>
      <c r="L1026" s="80" t="s">
        <v>342</v>
      </c>
      <c r="M1026" s="81">
        <v>0.5</v>
      </c>
      <c r="N1026" s="82">
        <v>30</v>
      </c>
    </row>
    <row r="1027" spans="1:14" x14ac:dyDescent="0.25">
      <c r="A1027" s="10" t="str">
        <f>_xlfn.IFNA(
    IF(J1027=
        "PCB-0001",
        "CSS",
        IF(
            ISNUMBER(MATCH(_xlfn.TEXTBEFORE(J1027,"-"), {"CSS","CSN","PCB","PCF","BEC","CSD","PCM"}, 0)),
            _xlfn.TEXTBEFORE(J1027,"-"),
            "Other"
        )
    ),
"Add")</f>
        <v>PCF</v>
      </c>
      <c r="B1027" s="10" t="str">
        <f t="shared" si="16"/>
        <v>0060</v>
      </c>
      <c r="C1027" s="10" t="str">
        <f>_xlfn.LET(
    _xlpm.val, IF(Datadetails[[#This Row],[Activity]]="D02","C20",Datadetails[[#This Row],[Activity]]),
    IF(ISNUMBER(MATCH(_xlpm.val,{"D04","C30","c40","C20"},0)), _xlpm.val, "Other")
)</f>
        <v>C20</v>
      </c>
      <c r="D1027" s="10" t="str">
        <f>IFERROR(VLOOKUP(Datadetails[[#This Row],[Taskcode]],Dashboard!A:A,1,FALSE),"00 Err Missing")</f>
        <v>0060</v>
      </c>
      <c r="E1027" s="79">
        <v>45825</v>
      </c>
      <c r="F1027" s="80" t="s">
        <v>326</v>
      </c>
      <c r="G1027" s="60" t="s">
        <v>40</v>
      </c>
      <c r="H1027" s="80" t="s">
        <v>227</v>
      </c>
      <c r="I1027" s="80" t="s">
        <v>36</v>
      </c>
      <c r="J1027" s="80" t="s">
        <v>453</v>
      </c>
      <c r="K1027" s="80" t="s">
        <v>348</v>
      </c>
      <c r="L1027" s="80" t="s">
        <v>342</v>
      </c>
      <c r="M1027" s="81">
        <v>0.57999999999999996</v>
      </c>
      <c r="N1027" s="82">
        <v>34.799999999999997</v>
      </c>
    </row>
    <row r="1028" spans="1:14" x14ac:dyDescent="0.25">
      <c r="A1028" s="10" t="str">
        <f>_xlfn.IFNA(
    IF(J1028=
        "PCB-0001",
        "CSS",
        IF(
            ISNUMBER(MATCH(_xlfn.TEXTBEFORE(J1028,"-"), {"CSS","CSN","PCB","PCF","BEC","CSD","PCM"}, 0)),
            _xlfn.TEXTBEFORE(J1028,"-"),
            "Other"
        )
    ),
"Add")</f>
        <v>PCF</v>
      </c>
      <c r="B1028" s="10" t="str">
        <f t="shared" ref="B1028:B1091" si="17">_xlfn.IFNA(_xlfn.TEXTAFTER(J1028,"-"),"Data to C2")</f>
        <v>0040</v>
      </c>
      <c r="C1028" s="10" t="str">
        <f>_xlfn.LET(
    _xlpm.val, IF(Datadetails[[#This Row],[Activity]]="D02","C20",Datadetails[[#This Row],[Activity]]),
    IF(ISNUMBER(MATCH(_xlpm.val,{"D04","C30","c40","C20"},0)), _xlpm.val, "Other")
)</f>
        <v>C20</v>
      </c>
      <c r="D1028" s="10" t="str">
        <f>IFERROR(VLOOKUP(Datadetails[[#This Row],[Taskcode]],Dashboard!A:A,1,FALSE),"00 Err Missing")</f>
        <v>0040</v>
      </c>
      <c r="E1028" s="79">
        <v>45825</v>
      </c>
      <c r="F1028" s="80" t="s">
        <v>326</v>
      </c>
      <c r="G1028" s="60" t="s">
        <v>40</v>
      </c>
      <c r="H1028" s="80" t="s">
        <v>207</v>
      </c>
      <c r="I1028" s="80" t="s">
        <v>36</v>
      </c>
      <c r="J1028" s="80" t="s">
        <v>417</v>
      </c>
      <c r="K1028" s="80" t="s">
        <v>348</v>
      </c>
      <c r="L1028" s="80" t="s">
        <v>342</v>
      </c>
      <c r="M1028" s="81">
        <v>0.75</v>
      </c>
      <c r="N1028" s="82">
        <v>45</v>
      </c>
    </row>
    <row r="1029" spans="1:14" x14ac:dyDescent="0.25">
      <c r="A1029" s="10" t="str">
        <f>_xlfn.IFNA(
    IF(J1029=
        "PCB-0001",
        "CSS",
        IF(
            ISNUMBER(MATCH(_xlfn.TEXTBEFORE(J1029,"-"), {"CSS","CSN","PCB","PCF","BEC","CSD","PCM"}, 0)),
            _xlfn.TEXTBEFORE(J1029,"-"),
            "Other"
        )
    ),
"Add")</f>
        <v>PCF</v>
      </c>
      <c r="B1029" s="10" t="str">
        <f t="shared" si="17"/>
        <v>0008</v>
      </c>
      <c r="C1029" s="10" t="str">
        <f>_xlfn.LET(
    _xlpm.val, IF(Datadetails[[#This Row],[Activity]]="D02","C20",Datadetails[[#This Row],[Activity]]),
    IF(ISNUMBER(MATCH(_xlpm.val,{"D04","C30","c40","C20"},0)), _xlpm.val, "Other")
)</f>
        <v>C30</v>
      </c>
      <c r="D1029" s="10" t="str">
        <f>IFERROR(VLOOKUP(Datadetails[[#This Row],[Taskcode]],Dashboard!A:A,1,FALSE),"00 Err Missing")</f>
        <v>0008</v>
      </c>
      <c r="E1029" s="79">
        <v>45825</v>
      </c>
      <c r="F1029" s="80" t="s">
        <v>326</v>
      </c>
      <c r="G1029" s="60" t="s">
        <v>40</v>
      </c>
      <c r="H1029" s="80" t="s">
        <v>175</v>
      </c>
      <c r="I1029" s="80" t="s">
        <v>34</v>
      </c>
      <c r="J1029" s="80" t="s">
        <v>388</v>
      </c>
      <c r="K1029" s="80" t="s">
        <v>348</v>
      </c>
      <c r="L1029" s="80" t="s">
        <v>343</v>
      </c>
      <c r="M1029" s="81">
        <v>1</v>
      </c>
      <c r="N1029" s="82">
        <v>60</v>
      </c>
    </row>
    <row r="1030" spans="1:14" x14ac:dyDescent="0.25">
      <c r="A1030" s="10" t="str">
        <f>_xlfn.IFNA(
    IF(J1030=
        "PCB-0001",
        "CSS",
        IF(
            ISNUMBER(MATCH(_xlfn.TEXTBEFORE(J1030,"-"), {"CSS","CSN","PCB","PCF","BEC","CSD","PCM"}, 0)),
            _xlfn.TEXTBEFORE(J1030,"-"),
            "Other"
        )
    ),
"Add")</f>
        <v>BEC</v>
      </c>
      <c r="B1030" s="10" t="str">
        <f t="shared" si="17"/>
        <v>0001</v>
      </c>
      <c r="C1030" s="10" t="str">
        <f>_xlfn.LET(
    _xlpm.val, IF(Datadetails[[#This Row],[Activity]]="D02","C20",Datadetails[[#This Row],[Activity]]),
    IF(ISNUMBER(MATCH(_xlpm.val,{"D04","C30","c40","C20"},0)), _xlpm.val, "Other")
)</f>
        <v>D04</v>
      </c>
      <c r="D1030" s="10" t="str">
        <f>IFERROR(VLOOKUP(Datadetails[[#This Row],[Taskcode]],Dashboard!A:A,1,FALSE),"00 Err Missing")</f>
        <v>0001</v>
      </c>
      <c r="E1030" s="79">
        <v>45825</v>
      </c>
      <c r="F1030" s="80" t="s">
        <v>332</v>
      </c>
      <c r="G1030" s="60" t="s">
        <v>40</v>
      </c>
      <c r="H1030" s="80" t="s">
        <v>314</v>
      </c>
      <c r="I1030" s="80" t="s">
        <v>35</v>
      </c>
      <c r="J1030" s="80" t="s">
        <v>359</v>
      </c>
      <c r="K1030" s="80" t="s">
        <v>339</v>
      </c>
      <c r="L1030" s="80" t="s">
        <v>352</v>
      </c>
      <c r="M1030" s="81">
        <v>9.33</v>
      </c>
      <c r="N1030" s="82">
        <v>373.2</v>
      </c>
    </row>
    <row r="1031" spans="1:14" x14ac:dyDescent="0.25">
      <c r="A1031" s="10" t="str">
        <f>_xlfn.IFNA(
    IF(J1031=
        "PCB-0001",
        "CSS",
        IF(
            ISNUMBER(MATCH(_xlfn.TEXTBEFORE(J1031,"-"), {"CSS","CSN","PCB","PCF","BEC","CSD","PCM"}, 0)),
            _xlfn.TEXTBEFORE(J1031,"-"),
            "Other"
        )
    ),
"Add")</f>
        <v>BEC</v>
      </c>
      <c r="B1031" s="10" t="str">
        <f t="shared" si="17"/>
        <v>0001</v>
      </c>
      <c r="C1031" s="10" t="str">
        <f>_xlfn.LET(
    _xlpm.val, IF(Datadetails[[#This Row],[Activity]]="D02","C20",Datadetails[[#This Row],[Activity]]),
    IF(ISNUMBER(MATCH(_xlpm.val,{"D04","C30","c40","C20"},0)), _xlpm.val, "Other")
)</f>
        <v>D04</v>
      </c>
      <c r="D1031" s="10" t="str">
        <f>IFERROR(VLOOKUP(Datadetails[[#This Row],[Taskcode]],Dashboard!A:A,1,FALSE),"00 Err Missing")</f>
        <v>0001</v>
      </c>
      <c r="E1031" s="79">
        <v>45825</v>
      </c>
      <c r="F1031" s="80" t="s">
        <v>324</v>
      </c>
      <c r="G1031" s="60" t="s">
        <v>40</v>
      </c>
      <c r="H1031" s="80" t="s">
        <v>314</v>
      </c>
      <c r="I1031" s="80" t="s">
        <v>35</v>
      </c>
      <c r="J1031" s="80" t="s">
        <v>359</v>
      </c>
      <c r="K1031" s="80" t="s">
        <v>339</v>
      </c>
      <c r="L1031" s="80" t="s">
        <v>352</v>
      </c>
      <c r="M1031" s="81">
        <v>5.75</v>
      </c>
      <c r="N1031" s="82">
        <v>431.25</v>
      </c>
    </row>
    <row r="1032" spans="1:14" x14ac:dyDescent="0.25">
      <c r="A1032" s="10" t="str">
        <f>_xlfn.IFNA(
    IF(J1032=
        "PCB-0001",
        "CSS",
        IF(
            ISNUMBER(MATCH(_xlfn.TEXTBEFORE(J1032,"-"), {"CSS","CSN","PCB","PCF","BEC","CSD","PCM"}, 0)),
            _xlfn.TEXTBEFORE(J1032,"-"),
            "Other"
        )
    ),
"Add")</f>
        <v>PCB</v>
      </c>
      <c r="B1032" s="10" t="str">
        <f t="shared" si="17"/>
        <v>0102</v>
      </c>
      <c r="C1032" s="10" t="str">
        <f>_xlfn.LET(
    _xlpm.val, IF(Datadetails[[#This Row],[Activity]]="D02","C20",Datadetails[[#This Row],[Activity]]),
    IF(ISNUMBER(MATCH(_xlpm.val,{"D04","C30","c40","C20"},0)), _xlpm.val, "Other")
)</f>
        <v>C30</v>
      </c>
      <c r="D1032" s="10" t="str">
        <f>IFERROR(VLOOKUP(Datadetails[[#This Row],[Taskcode]],Dashboard!A:A,1,FALSE),"00 Err Missing")</f>
        <v>0102</v>
      </c>
      <c r="E1032" s="79">
        <v>45826</v>
      </c>
      <c r="F1032" s="80" t="s">
        <v>329</v>
      </c>
      <c r="G1032" s="60" t="s">
        <v>40</v>
      </c>
      <c r="H1032" s="80" t="s">
        <v>269</v>
      </c>
      <c r="I1032" s="80" t="s">
        <v>34</v>
      </c>
      <c r="J1032" s="80" t="s">
        <v>361</v>
      </c>
      <c r="K1032" s="80" t="s">
        <v>347</v>
      </c>
      <c r="L1032" s="80" t="s">
        <v>343</v>
      </c>
      <c r="M1032" s="81">
        <v>0.17</v>
      </c>
      <c r="N1032" s="82">
        <v>12.750000000000002</v>
      </c>
    </row>
    <row r="1033" spans="1:14" x14ac:dyDescent="0.25">
      <c r="A1033" s="10" t="str">
        <f>_xlfn.IFNA(
    IF(J1033=
        "PCB-0001",
        "CSS",
        IF(
            ISNUMBER(MATCH(_xlfn.TEXTBEFORE(J1033,"-"), {"CSS","CSN","PCB","PCF","BEC","CSD","PCM"}, 0)),
            _xlfn.TEXTBEFORE(J1033,"-"),
            "Other"
        )
    ),
"Add")</f>
        <v>PCM</v>
      </c>
      <c r="B1033" s="10" t="str">
        <f t="shared" si="17"/>
        <v>0001</v>
      </c>
      <c r="C1033" s="10" t="str">
        <f>_xlfn.LET(
    _xlpm.val, IF(Datadetails[[#This Row],[Activity]]="D02","C20",Datadetails[[#This Row],[Activity]]),
    IF(ISNUMBER(MATCH(_xlpm.val,{"D04","C30","c40","C20"},0)), _xlpm.val, "Other")
)</f>
        <v>C20</v>
      </c>
      <c r="D1033" s="10" t="str">
        <f>IFERROR(VLOOKUP(Datadetails[[#This Row],[Taskcode]],Dashboard!A:A,1,FALSE),"00 Err Missing")</f>
        <v>0001</v>
      </c>
      <c r="E1033" s="79">
        <v>45826</v>
      </c>
      <c r="F1033" s="80" t="s">
        <v>323</v>
      </c>
      <c r="G1033" s="60" t="s">
        <v>40</v>
      </c>
      <c r="H1033" s="80" t="s">
        <v>168</v>
      </c>
      <c r="I1033" s="80" t="s">
        <v>36</v>
      </c>
      <c r="J1033" s="80" t="s">
        <v>419</v>
      </c>
      <c r="K1033" s="80" t="s">
        <v>346</v>
      </c>
      <c r="L1033" s="80" t="s">
        <v>342</v>
      </c>
      <c r="M1033" s="81">
        <v>0.5</v>
      </c>
      <c r="N1033" s="82">
        <v>30</v>
      </c>
    </row>
    <row r="1034" spans="1:14" x14ac:dyDescent="0.25">
      <c r="A1034" s="10" t="str">
        <f>_xlfn.IFNA(
    IF(J1034=
        "PCB-0001",
        "CSS",
        IF(
            ISNUMBER(MATCH(_xlfn.TEXTBEFORE(J1034,"-"), {"CSS","CSN","PCB","PCF","BEC","CSD","PCM"}, 0)),
            _xlfn.TEXTBEFORE(J1034,"-"),
            "Other"
        )
    ),
"Add")</f>
        <v>PCM</v>
      </c>
      <c r="B1034" s="10" t="str">
        <f t="shared" si="17"/>
        <v>0002</v>
      </c>
      <c r="C1034" s="10" t="str">
        <f>_xlfn.LET(
    _xlpm.val, IF(Datadetails[[#This Row],[Activity]]="D02","C20",Datadetails[[#This Row],[Activity]]),
    IF(ISNUMBER(MATCH(_xlpm.val,{"D04","C30","c40","C20"},0)), _xlpm.val, "Other")
)</f>
        <v>C20</v>
      </c>
      <c r="D1034" s="10" t="str">
        <f>IFERROR(VLOOKUP(Datadetails[[#This Row],[Taskcode]],Dashboard!A:A,1,FALSE),"00 Err Missing")</f>
        <v>0002</v>
      </c>
      <c r="E1034" s="79">
        <v>45826</v>
      </c>
      <c r="F1034" s="80" t="s">
        <v>323</v>
      </c>
      <c r="G1034" s="60" t="s">
        <v>40</v>
      </c>
      <c r="H1034" s="80" t="s">
        <v>169</v>
      </c>
      <c r="I1034" s="80" t="s">
        <v>36</v>
      </c>
      <c r="J1034" s="80" t="s">
        <v>433</v>
      </c>
      <c r="K1034" s="80" t="s">
        <v>346</v>
      </c>
      <c r="L1034" s="80" t="s">
        <v>342</v>
      </c>
      <c r="M1034" s="81">
        <v>0.25</v>
      </c>
      <c r="N1034" s="82">
        <v>15</v>
      </c>
    </row>
    <row r="1035" spans="1:14" x14ac:dyDescent="0.25">
      <c r="A1035" s="10" t="str">
        <f>_xlfn.IFNA(
    IF(J1035=
        "PCB-0001",
        "CSS",
        IF(
            ISNUMBER(MATCH(_xlfn.TEXTBEFORE(J1035,"-"), {"CSS","CSN","PCB","PCF","BEC","CSD","PCM"}, 0)),
            _xlfn.TEXTBEFORE(J1035,"-"),
            "Other"
        )
    ),
"Add")</f>
        <v>PCM</v>
      </c>
      <c r="B1035" s="10" t="str">
        <f t="shared" si="17"/>
        <v>0033</v>
      </c>
      <c r="C1035" s="10" t="str">
        <f>_xlfn.LET(
    _xlpm.val, IF(Datadetails[[#This Row],[Activity]]="D02","C20",Datadetails[[#This Row],[Activity]]),
    IF(ISNUMBER(MATCH(_xlpm.val,{"D04","C30","c40","C20"},0)), _xlpm.val, "Other")
)</f>
        <v>C20</v>
      </c>
      <c r="D1035" s="10" t="str">
        <f>IFERROR(VLOOKUP(Datadetails[[#This Row],[Taskcode]],Dashboard!A:A,1,FALSE),"00 Err Missing")</f>
        <v>0033</v>
      </c>
      <c r="E1035" s="79">
        <v>45826</v>
      </c>
      <c r="F1035" s="80" t="s">
        <v>323</v>
      </c>
      <c r="G1035" s="60" t="s">
        <v>40</v>
      </c>
      <c r="H1035" s="80" t="s">
        <v>200</v>
      </c>
      <c r="I1035" s="80" t="s">
        <v>36</v>
      </c>
      <c r="J1035" s="80" t="s">
        <v>391</v>
      </c>
      <c r="K1035" s="80" t="s">
        <v>346</v>
      </c>
      <c r="L1035" s="80" t="s">
        <v>342</v>
      </c>
      <c r="M1035" s="81">
        <v>0.25</v>
      </c>
      <c r="N1035" s="82">
        <v>15</v>
      </c>
    </row>
    <row r="1036" spans="1:14" x14ac:dyDescent="0.25">
      <c r="A1036" s="10" t="str">
        <f>_xlfn.IFNA(
    IF(J1036=
        "PCB-0001",
        "CSS",
        IF(
            ISNUMBER(MATCH(_xlfn.TEXTBEFORE(J1036,"-"), {"CSS","CSN","PCB","PCF","BEC","CSD","PCM"}, 0)),
            _xlfn.TEXTBEFORE(J1036,"-"),
            "Other"
        )
    ),
"Add")</f>
        <v>PCM</v>
      </c>
      <c r="B1036" s="10" t="str">
        <f t="shared" si="17"/>
        <v>0041</v>
      </c>
      <c r="C1036" s="10" t="str">
        <f>_xlfn.LET(
    _xlpm.val, IF(Datadetails[[#This Row],[Activity]]="D02","C20",Datadetails[[#This Row],[Activity]]),
    IF(ISNUMBER(MATCH(_xlpm.val,{"D04","C30","c40","C20"},0)), _xlpm.val, "Other")
)</f>
        <v>C20</v>
      </c>
      <c r="D1036" s="10" t="str">
        <f>IFERROR(VLOOKUP(Datadetails[[#This Row],[Taskcode]],Dashboard!A:A,1,FALSE),"00 Err Missing")</f>
        <v>0041</v>
      </c>
      <c r="E1036" s="79">
        <v>45826</v>
      </c>
      <c r="F1036" s="80" t="s">
        <v>323</v>
      </c>
      <c r="G1036" s="60" t="s">
        <v>40</v>
      </c>
      <c r="H1036" s="80" t="s">
        <v>208</v>
      </c>
      <c r="I1036" s="80" t="s">
        <v>36</v>
      </c>
      <c r="J1036" s="80" t="s">
        <v>456</v>
      </c>
      <c r="K1036" s="80" t="s">
        <v>346</v>
      </c>
      <c r="L1036" s="80" t="s">
        <v>342</v>
      </c>
      <c r="M1036" s="81">
        <v>0.25</v>
      </c>
      <c r="N1036" s="82">
        <v>15</v>
      </c>
    </row>
    <row r="1037" spans="1:14" x14ac:dyDescent="0.25">
      <c r="A1037" s="10" t="str">
        <f>_xlfn.IFNA(
    IF(J1037=
        "PCB-0001",
        "CSS",
        IF(
            ISNUMBER(MATCH(_xlfn.TEXTBEFORE(J1037,"-"), {"CSS","CSN","PCB","PCF","BEC","CSD","PCM"}, 0)),
            _xlfn.TEXTBEFORE(J1037,"-"),
            "Other"
        )
    ),
"Add")</f>
        <v>CSN</v>
      </c>
      <c r="B1037" s="10" t="str">
        <f t="shared" si="17"/>
        <v>0001</v>
      </c>
      <c r="C1037" s="10" t="str">
        <f>_xlfn.LET(
    _xlpm.val, IF(Datadetails[[#This Row],[Activity]]="D02","C20",Datadetails[[#This Row],[Activity]]),
    IF(ISNUMBER(MATCH(_xlpm.val,{"D04","C30","c40","C20"},0)), _xlpm.val, "Other")
)</f>
        <v>D04</v>
      </c>
      <c r="D1037" s="10" t="str">
        <f>IFERROR(VLOOKUP(Datadetails[[#This Row],[Taskcode]],Dashboard!A:A,1,FALSE),"00 Err Missing")</f>
        <v>0001</v>
      </c>
      <c r="E1037" s="79">
        <v>45826</v>
      </c>
      <c r="F1037" s="80" t="s">
        <v>329</v>
      </c>
      <c r="G1037" s="60" t="s">
        <v>40</v>
      </c>
      <c r="H1037" s="80" t="s">
        <v>316</v>
      </c>
      <c r="I1037" s="80" t="s">
        <v>35</v>
      </c>
      <c r="J1037" s="80" t="s">
        <v>338</v>
      </c>
      <c r="K1037" s="80" t="s">
        <v>337</v>
      </c>
      <c r="L1037" s="80" t="s">
        <v>352</v>
      </c>
      <c r="M1037" s="81">
        <v>1.33</v>
      </c>
      <c r="N1037" s="82">
        <v>99.75</v>
      </c>
    </row>
    <row r="1038" spans="1:14" x14ac:dyDescent="0.25">
      <c r="A1038" s="10" t="str">
        <f>_xlfn.IFNA(
    IF(J1038=
        "PCB-0001",
        "CSS",
        IF(
            ISNUMBER(MATCH(_xlfn.TEXTBEFORE(J1038,"-"), {"CSS","CSN","PCB","PCF","BEC","CSD","PCM"}, 0)),
            _xlfn.TEXTBEFORE(J1038,"-"),
            "Other"
        )
    ),
"Add")</f>
        <v>CSD</v>
      </c>
      <c r="B1038" s="10" t="str">
        <f t="shared" si="17"/>
        <v>0001</v>
      </c>
      <c r="C1038" s="10" t="str">
        <f>_xlfn.LET(
    _xlpm.val, IF(Datadetails[[#This Row],[Activity]]="D02","C20",Datadetails[[#This Row],[Activity]]),
    IF(ISNUMBER(MATCH(_xlpm.val,{"D04","C30","c40","C20"},0)), _xlpm.val, "Other")
)</f>
        <v>D04</v>
      </c>
      <c r="D1038" s="10" t="str">
        <f>IFERROR(VLOOKUP(Datadetails[[#This Row],[Taskcode]],Dashboard!A:A,1,FALSE),"00 Err Missing")</f>
        <v>0001</v>
      </c>
      <c r="E1038" s="79">
        <v>45826</v>
      </c>
      <c r="F1038" s="80" t="s">
        <v>333</v>
      </c>
      <c r="G1038" s="60" t="s">
        <v>40</v>
      </c>
      <c r="H1038" s="80" t="s">
        <v>320</v>
      </c>
      <c r="I1038" s="80" t="s">
        <v>35</v>
      </c>
      <c r="J1038" s="80" t="s">
        <v>322</v>
      </c>
      <c r="K1038" s="80" t="s">
        <v>319</v>
      </c>
      <c r="L1038" s="80" t="s">
        <v>352</v>
      </c>
      <c r="M1038" s="81">
        <v>7.53</v>
      </c>
      <c r="N1038" s="82">
        <v>240.96</v>
      </c>
    </row>
    <row r="1039" spans="1:14" x14ac:dyDescent="0.25">
      <c r="A1039" s="10" t="str">
        <f>_xlfn.IFNA(
    IF(J1039=
        "PCB-0001",
        "CSS",
        IF(
            ISNUMBER(MATCH(_xlfn.TEXTBEFORE(J1039,"-"), {"CSS","CSN","PCB","PCF","BEC","CSD","PCM"}, 0)),
            _xlfn.TEXTBEFORE(J1039,"-"),
            "Other"
        )
    ),
"Add")</f>
        <v>CSD</v>
      </c>
      <c r="B1039" s="10" t="str">
        <f t="shared" si="17"/>
        <v>0001</v>
      </c>
      <c r="C1039" s="10" t="str">
        <f>_xlfn.LET(
    _xlpm.val, IF(Datadetails[[#This Row],[Activity]]="D02","C20",Datadetails[[#This Row],[Activity]]),
    IF(ISNUMBER(MATCH(_xlpm.val,{"D04","C30","c40","C20"},0)), _xlpm.val, "Other")
)</f>
        <v>D04</v>
      </c>
      <c r="D1039" s="10" t="str">
        <f>IFERROR(VLOOKUP(Datadetails[[#This Row],[Taskcode]],Dashboard!A:A,1,FALSE),"00 Err Missing")</f>
        <v>0001</v>
      </c>
      <c r="E1039" s="79">
        <v>45826</v>
      </c>
      <c r="F1039" s="80" t="s">
        <v>327</v>
      </c>
      <c r="G1039" s="60" t="s">
        <v>40</v>
      </c>
      <c r="H1039" s="80" t="s">
        <v>320</v>
      </c>
      <c r="I1039" s="80" t="s">
        <v>35</v>
      </c>
      <c r="J1039" s="80" t="s">
        <v>322</v>
      </c>
      <c r="K1039" s="80" t="s">
        <v>319</v>
      </c>
      <c r="L1039" s="80" t="s">
        <v>352</v>
      </c>
      <c r="M1039" s="81">
        <v>7.33</v>
      </c>
      <c r="N1039" s="82">
        <v>234.56</v>
      </c>
    </row>
    <row r="1040" spans="1:14" x14ac:dyDescent="0.25">
      <c r="A1040" s="10" t="str">
        <f>_xlfn.IFNA(
    IF(J1040=
        "PCB-0001",
        "CSS",
        IF(
            ISNUMBER(MATCH(_xlfn.TEXTBEFORE(J1040,"-"), {"CSS","CSN","PCB","PCF","BEC","CSD","PCM"}, 0)),
            _xlfn.TEXTBEFORE(J1040,"-"),
            "Other"
        )
    ),
"Add")</f>
        <v>PCM</v>
      </c>
      <c r="B1040" s="10" t="str">
        <f t="shared" si="17"/>
        <v>0064</v>
      </c>
      <c r="C1040" s="10" t="str">
        <f>_xlfn.LET(
    _xlpm.val, IF(Datadetails[[#This Row],[Activity]]="D02","C20",Datadetails[[#This Row],[Activity]]),
    IF(ISNUMBER(MATCH(_xlpm.val,{"D04","C30","c40","C20"},0)), _xlpm.val, "Other")
)</f>
        <v>C20</v>
      </c>
      <c r="D1040" s="10" t="str">
        <f>IFERROR(VLOOKUP(Datadetails[[#This Row],[Taskcode]],Dashboard!A:A,1,FALSE),"00 Err Missing")</f>
        <v>0064</v>
      </c>
      <c r="E1040" s="79">
        <v>45826</v>
      </c>
      <c r="F1040" s="80" t="s">
        <v>323</v>
      </c>
      <c r="G1040" s="60" t="s">
        <v>40</v>
      </c>
      <c r="H1040" s="80" t="s">
        <v>231</v>
      </c>
      <c r="I1040" s="80" t="s">
        <v>36</v>
      </c>
      <c r="J1040" s="80" t="s">
        <v>420</v>
      </c>
      <c r="K1040" s="80" t="s">
        <v>346</v>
      </c>
      <c r="L1040" s="80" t="s">
        <v>342</v>
      </c>
      <c r="M1040" s="81">
        <v>0.25</v>
      </c>
      <c r="N1040" s="82">
        <v>15</v>
      </c>
    </row>
    <row r="1041" spans="1:14" x14ac:dyDescent="0.25">
      <c r="A1041" s="10" t="str">
        <f>_xlfn.IFNA(
    IF(J1041=
        "PCB-0001",
        "CSS",
        IF(
            ISNUMBER(MATCH(_xlfn.TEXTBEFORE(J1041,"-"), {"CSS","CSN","PCB","PCF","BEC","CSD","PCM"}, 0)),
            _xlfn.TEXTBEFORE(J1041,"-"),
            "Other"
        )
    ),
"Add")</f>
        <v>PCM</v>
      </c>
      <c r="B1041" s="10" t="str">
        <f t="shared" si="17"/>
        <v>0118</v>
      </c>
      <c r="C1041" s="10" t="str">
        <f>_xlfn.LET(
    _xlpm.val, IF(Datadetails[[#This Row],[Activity]]="D02","C20",Datadetails[[#This Row],[Activity]]),
    IF(ISNUMBER(MATCH(_xlpm.val,{"D04","C30","c40","C20"},0)), _xlpm.val, "Other")
)</f>
        <v>C20</v>
      </c>
      <c r="D1041" s="10" t="str">
        <f>IFERROR(VLOOKUP(Datadetails[[#This Row],[Taskcode]],Dashboard!A:A,1,FALSE),"00 Err Missing")</f>
        <v>0118</v>
      </c>
      <c r="E1041" s="79">
        <v>45826</v>
      </c>
      <c r="F1041" s="80" t="s">
        <v>323</v>
      </c>
      <c r="G1041" s="60" t="s">
        <v>40</v>
      </c>
      <c r="H1041" s="80" t="s">
        <v>285</v>
      </c>
      <c r="I1041" s="80" t="s">
        <v>36</v>
      </c>
      <c r="J1041" s="80" t="s">
        <v>448</v>
      </c>
      <c r="K1041" s="80" t="s">
        <v>346</v>
      </c>
      <c r="L1041" s="80" t="s">
        <v>342</v>
      </c>
      <c r="M1041" s="81">
        <v>0.5</v>
      </c>
      <c r="N1041" s="82">
        <v>30</v>
      </c>
    </row>
    <row r="1042" spans="1:14" x14ac:dyDescent="0.25">
      <c r="A1042" s="10" t="str">
        <f>_xlfn.IFNA(
    IF(J1042=
        "PCB-0001",
        "CSS",
        IF(
            ISNUMBER(MATCH(_xlfn.TEXTBEFORE(J1042,"-"), {"CSS","CSN","PCB","PCF","BEC","CSD","PCM"}, 0)),
            _xlfn.TEXTBEFORE(J1042,"-"),
            "Other"
        )
    ),
"Add")</f>
        <v>PCM</v>
      </c>
      <c r="B1042" s="10" t="str">
        <f t="shared" si="17"/>
        <v>0113</v>
      </c>
      <c r="C1042" s="10" t="str">
        <f>_xlfn.LET(
    _xlpm.val, IF(Datadetails[[#This Row],[Activity]]="D02","C20",Datadetails[[#This Row],[Activity]]),
    IF(ISNUMBER(MATCH(_xlpm.val,{"D04","C30","c40","C20"},0)), _xlpm.val, "Other")
)</f>
        <v>C20</v>
      </c>
      <c r="D1042" s="10" t="str">
        <f>IFERROR(VLOOKUP(Datadetails[[#This Row],[Taskcode]],Dashboard!A:A,1,FALSE),"00 Err Missing")</f>
        <v>0113</v>
      </c>
      <c r="E1042" s="79">
        <v>45826</v>
      </c>
      <c r="F1042" s="80" t="s">
        <v>323</v>
      </c>
      <c r="G1042" s="60" t="s">
        <v>40</v>
      </c>
      <c r="H1042" s="80" t="s">
        <v>280</v>
      </c>
      <c r="I1042" s="80" t="s">
        <v>36</v>
      </c>
      <c r="J1042" s="80" t="s">
        <v>445</v>
      </c>
      <c r="K1042" s="80" t="s">
        <v>346</v>
      </c>
      <c r="L1042" s="80" t="s">
        <v>342</v>
      </c>
      <c r="M1042" s="81">
        <v>0.25</v>
      </c>
      <c r="N1042" s="82">
        <v>15</v>
      </c>
    </row>
    <row r="1043" spans="1:14" x14ac:dyDescent="0.25">
      <c r="A1043" s="10" t="str">
        <f>_xlfn.IFNA(
    IF(J1043=
        "PCB-0001",
        "CSS",
        IF(
            ISNUMBER(MATCH(_xlfn.TEXTBEFORE(J1043,"-"), {"CSS","CSN","PCB","PCF","BEC","CSD","PCM"}, 0)),
            _xlfn.TEXTBEFORE(J1043,"-"),
            "Other"
        )
    ),
"Add")</f>
        <v>PCM</v>
      </c>
      <c r="B1043" s="10" t="str">
        <f t="shared" si="17"/>
        <v>0114</v>
      </c>
      <c r="C1043" s="10" t="str">
        <f>_xlfn.LET(
    _xlpm.val, IF(Datadetails[[#This Row],[Activity]]="D02","C20",Datadetails[[#This Row],[Activity]]),
    IF(ISNUMBER(MATCH(_xlpm.val,{"D04","C30","c40","C20"},0)), _xlpm.val, "Other")
)</f>
        <v>C20</v>
      </c>
      <c r="D1043" s="10" t="str">
        <f>IFERROR(VLOOKUP(Datadetails[[#This Row],[Taskcode]],Dashboard!A:A,1,FALSE),"00 Err Missing")</f>
        <v>0114</v>
      </c>
      <c r="E1043" s="79">
        <v>45826</v>
      </c>
      <c r="F1043" s="80" t="s">
        <v>323</v>
      </c>
      <c r="G1043" s="60" t="s">
        <v>40</v>
      </c>
      <c r="H1043" s="80" t="s">
        <v>281</v>
      </c>
      <c r="I1043" s="80" t="s">
        <v>36</v>
      </c>
      <c r="J1043" s="80" t="s">
        <v>430</v>
      </c>
      <c r="K1043" s="80" t="s">
        <v>346</v>
      </c>
      <c r="L1043" s="80" t="s">
        <v>342</v>
      </c>
      <c r="M1043" s="81">
        <v>0.5</v>
      </c>
      <c r="N1043" s="82">
        <v>30</v>
      </c>
    </row>
    <row r="1044" spans="1:14" x14ac:dyDescent="0.25">
      <c r="A1044" s="10" t="str">
        <f>_xlfn.IFNA(
    IF(J1044=
        "PCB-0001",
        "CSS",
        IF(
            ISNUMBER(MATCH(_xlfn.TEXTBEFORE(J1044,"-"), {"CSS","CSN","PCB","PCF","BEC","CSD","PCM"}, 0)),
            _xlfn.TEXTBEFORE(J1044,"-"),
            "Other"
        )
    ),
"Add")</f>
        <v>PCM</v>
      </c>
      <c r="B1044" s="10" t="str">
        <f t="shared" si="17"/>
        <v>0034</v>
      </c>
      <c r="C1044" s="10" t="str">
        <f>_xlfn.LET(
    _xlpm.val, IF(Datadetails[[#This Row],[Activity]]="D02","C20",Datadetails[[#This Row],[Activity]]),
    IF(ISNUMBER(MATCH(_xlpm.val,{"D04","C30","c40","C20"},0)), _xlpm.val, "Other")
)</f>
        <v>C40</v>
      </c>
      <c r="D1044" s="10" t="str">
        <f>IFERROR(VLOOKUP(Datadetails[[#This Row],[Taskcode]],Dashboard!A:A,1,FALSE),"00 Err Missing")</f>
        <v>0034</v>
      </c>
      <c r="E1044" s="79">
        <v>45826</v>
      </c>
      <c r="F1044" s="80" t="s">
        <v>323</v>
      </c>
      <c r="G1044" s="60" t="s">
        <v>40</v>
      </c>
      <c r="H1044" s="80" t="s">
        <v>201</v>
      </c>
      <c r="I1044" s="80" t="s">
        <v>341</v>
      </c>
      <c r="J1044" s="80" t="s">
        <v>395</v>
      </c>
      <c r="K1044" s="80" t="s">
        <v>346</v>
      </c>
      <c r="L1044" s="80" t="s">
        <v>344</v>
      </c>
      <c r="M1044" s="81">
        <v>0.5</v>
      </c>
      <c r="N1044" s="82">
        <v>30</v>
      </c>
    </row>
    <row r="1045" spans="1:14" x14ac:dyDescent="0.25">
      <c r="A1045" s="10" t="str">
        <f>_xlfn.IFNA(
    IF(J1045=
        "PCB-0001",
        "CSS",
        IF(
            ISNUMBER(MATCH(_xlfn.TEXTBEFORE(J1045,"-"), {"CSS","CSN","PCB","PCF","BEC","CSD","PCM"}, 0)),
            _xlfn.TEXTBEFORE(J1045,"-"),
            "Other"
        )
    ),
"Add")</f>
        <v>PCB</v>
      </c>
      <c r="B1045" s="10" t="str">
        <f t="shared" si="17"/>
        <v>0030</v>
      </c>
      <c r="C1045" s="10" t="str">
        <f>_xlfn.LET(
    _xlpm.val, IF(Datadetails[[#This Row],[Activity]]="D02","C20",Datadetails[[#This Row],[Activity]]),
    IF(ISNUMBER(MATCH(_xlpm.val,{"D04","C30","c40","C20"},0)), _xlpm.val, "Other")
)</f>
        <v>C30</v>
      </c>
      <c r="D1045" s="10" t="str">
        <f>IFERROR(VLOOKUP(Datadetails[[#This Row],[Taskcode]],Dashboard!A:A,1,FALSE),"00 Err Missing")</f>
        <v>0030</v>
      </c>
      <c r="E1045" s="79">
        <v>45826</v>
      </c>
      <c r="F1045" s="80" t="s">
        <v>329</v>
      </c>
      <c r="G1045" s="60" t="s">
        <v>40</v>
      </c>
      <c r="H1045" s="80" t="s">
        <v>197</v>
      </c>
      <c r="I1045" s="80" t="s">
        <v>34</v>
      </c>
      <c r="J1045" s="80" t="s">
        <v>366</v>
      </c>
      <c r="K1045" s="80" t="s">
        <v>347</v>
      </c>
      <c r="L1045" s="80" t="s">
        <v>343</v>
      </c>
      <c r="M1045" s="81">
        <v>0.5</v>
      </c>
      <c r="N1045" s="82">
        <v>37.5</v>
      </c>
    </row>
    <row r="1046" spans="1:14" x14ac:dyDescent="0.25">
      <c r="A1046" s="10" t="str">
        <f>_xlfn.IFNA(
    IF(J1046=
        "PCB-0001",
        "CSS",
        IF(
            ISNUMBER(MATCH(_xlfn.TEXTBEFORE(J1046,"-"), {"CSS","CSN","PCB","PCF","BEC","CSD","PCM"}, 0)),
            _xlfn.TEXTBEFORE(J1046,"-"),
            "Other"
        )
    ),
"Add")</f>
        <v>PCB</v>
      </c>
      <c r="B1046" s="10" t="str">
        <f t="shared" si="17"/>
        <v>0032</v>
      </c>
      <c r="C1046" s="10" t="str">
        <f>_xlfn.LET(
    _xlpm.val, IF(Datadetails[[#This Row],[Activity]]="D02","C20",Datadetails[[#This Row],[Activity]]),
    IF(ISNUMBER(MATCH(_xlpm.val,{"D04","C30","c40","C20"},0)), _xlpm.val, "Other")
)</f>
        <v>C30</v>
      </c>
      <c r="D1046" s="10" t="str">
        <f>IFERROR(VLOOKUP(Datadetails[[#This Row],[Taskcode]],Dashboard!A:A,1,FALSE),"00 Err Missing")</f>
        <v>0032</v>
      </c>
      <c r="E1046" s="79">
        <v>45826</v>
      </c>
      <c r="F1046" s="80" t="s">
        <v>330</v>
      </c>
      <c r="G1046" s="60" t="s">
        <v>40</v>
      </c>
      <c r="H1046" s="80" t="s">
        <v>199</v>
      </c>
      <c r="I1046" s="80" t="s">
        <v>34</v>
      </c>
      <c r="J1046" s="80" t="s">
        <v>414</v>
      </c>
      <c r="K1046" s="80" t="s">
        <v>347</v>
      </c>
      <c r="L1046" s="80" t="s">
        <v>343</v>
      </c>
      <c r="M1046" s="81">
        <v>0.5</v>
      </c>
      <c r="N1046" s="82">
        <v>30</v>
      </c>
    </row>
    <row r="1047" spans="1:14" x14ac:dyDescent="0.25">
      <c r="A1047" s="10" t="str">
        <f>_xlfn.IFNA(
    IF(J1047=
        "PCB-0001",
        "CSS",
        IF(
            ISNUMBER(MATCH(_xlfn.TEXTBEFORE(J1047,"-"), {"CSS","CSN","PCB","PCF","BEC","CSD","PCM"}, 0)),
            _xlfn.TEXTBEFORE(J1047,"-"),
            "Other"
        )
    ),
"Add")</f>
        <v>PCB</v>
      </c>
      <c r="B1047" s="10" t="str">
        <f t="shared" si="17"/>
        <v>0085</v>
      </c>
      <c r="C1047" s="10" t="str">
        <f>_xlfn.LET(
    _xlpm.val, IF(Datadetails[[#This Row],[Activity]]="D02","C20",Datadetails[[#This Row],[Activity]]),
    IF(ISNUMBER(MATCH(_xlpm.val,{"D04","C30","c40","C20"},0)), _xlpm.val, "Other")
)</f>
        <v>C20</v>
      </c>
      <c r="D1047" s="10" t="str">
        <f>IFERROR(VLOOKUP(Datadetails[[#This Row],[Taskcode]],Dashboard!A:A,1,FALSE),"00 Err Missing")</f>
        <v>0085</v>
      </c>
      <c r="E1047" s="79">
        <v>45826</v>
      </c>
      <c r="F1047" s="80" t="s">
        <v>330</v>
      </c>
      <c r="G1047" s="60" t="s">
        <v>40</v>
      </c>
      <c r="H1047" s="80" t="s">
        <v>252</v>
      </c>
      <c r="I1047" s="80" t="s">
        <v>36</v>
      </c>
      <c r="J1047" s="80" t="s">
        <v>416</v>
      </c>
      <c r="K1047" s="80" t="s">
        <v>347</v>
      </c>
      <c r="L1047" s="80" t="s">
        <v>342</v>
      </c>
      <c r="M1047" s="81">
        <v>0.5</v>
      </c>
      <c r="N1047" s="82">
        <v>30</v>
      </c>
    </row>
    <row r="1048" spans="1:14" x14ac:dyDescent="0.25">
      <c r="A1048" s="10" t="str">
        <f>_xlfn.IFNA(
    IF(J1048=
        "PCB-0001",
        "CSS",
        IF(
            ISNUMBER(MATCH(_xlfn.TEXTBEFORE(J1048,"-"), {"CSS","CSN","PCB","PCF","BEC","CSD","PCM"}, 0)),
            _xlfn.TEXTBEFORE(J1048,"-"),
            "Other"
        )
    ),
"Add")</f>
        <v>PCB</v>
      </c>
      <c r="B1048" s="10" t="str">
        <f t="shared" si="17"/>
        <v>0014</v>
      </c>
      <c r="C1048" s="10" t="str">
        <f>_xlfn.LET(
    _xlpm.val, IF(Datadetails[[#This Row],[Activity]]="D02","C20",Datadetails[[#This Row],[Activity]]),
    IF(ISNUMBER(MATCH(_xlpm.val,{"D04","C30","c40","C20"},0)), _xlpm.val, "Other")
)</f>
        <v>C30</v>
      </c>
      <c r="D1048" s="10" t="str">
        <f>IFERROR(VLOOKUP(Datadetails[[#This Row],[Taskcode]],Dashboard!A:A,1,FALSE),"00 Err Missing")</f>
        <v>0014</v>
      </c>
      <c r="E1048" s="79">
        <v>45826</v>
      </c>
      <c r="F1048" s="80" t="s">
        <v>329</v>
      </c>
      <c r="G1048" s="60" t="s">
        <v>40</v>
      </c>
      <c r="H1048" s="80" t="s">
        <v>181</v>
      </c>
      <c r="I1048" s="80" t="s">
        <v>34</v>
      </c>
      <c r="J1048" s="80" t="s">
        <v>396</v>
      </c>
      <c r="K1048" s="80" t="s">
        <v>347</v>
      </c>
      <c r="L1048" s="80" t="s">
        <v>343</v>
      </c>
      <c r="M1048" s="81">
        <v>0.17</v>
      </c>
      <c r="N1048" s="82">
        <v>12.750000000000002</v>
      </c>
    </row>
    <row r="1049" spans="1:14" x14ac:dyDescent="0.25">
      <c r="A1049" s="10" t="str">
        <f>_xlfn.IFNA(
    IF(J1049=
        "PCB-0001",
        "CSS",
        IF(
            ISNUMBER(MATCH(_xlfn.TEXTBEFORE(J1049,"-"), {"CSS","CSN","PCB","PCF","BEC","CSD","PCM"}, 0)),
            _xlfn.TEXTBEFORE(J1049,"-"),
            "Other"
        )
    ),
"Add")</f>
        <v>PCB</v>
      </c>
      <c r="B1049" s="10" t="str">
        <f t="shared" si="17"/>
        <v>0139</v>
      </c>
      <c r="C1049" s="10" t="str">
        <f>_xlfn.LET(
    _xlpm.val, IF(Datadetails[[#This Row],[Activity]]="D02","C20",Datadetails[[#This Row],[Activity]]),
    IF(ISNUMBER(MATCH(_xlpm.val,{"D04","C30","c40","C20"},0)), _xlpm.val, "Other")
)</f>
        <v>C30</v>
      </c>
      <c r="D1049" s="10" t="str">
        <f>IFERROR(VLOOKUP(Datadetails[[#This Row],[Taskcode]],Dashboard!A:A,1,FALSE),"00 Err Missing")</f>
        <v>0139</v>
      </c>
      <c r="E1049" s="79">
        <v>45826</v>
      </c>
      <c r="F1049" s="80" t="s">
        <v>325</v>
      </c>
      <c r="G1049" s="60" t="s">
        <v>40</v>
      </c>
      <c r="H1049" s="80" t="s">
        <v>306</v>
      </c>
      <c r="I1049" s="80" t="s">
        <v>34</v>
      </c>
      <c r="J1049" s="80" t="s">
        <v>468</v>
      </c>
      <c r="K1049" s="80" t="s">
        <v>347</v>
      </c>
      <c r="L1049" s="80" t="s">
        <v>343</v>
      </c>
      <c r="M1049" s="81">
        <v>0.17</v>
      </c>
      <c r="N1049" s="82">
        <v>12.750000000000002</v>
      </c>
    </row>
    <row r="1050" spans="1:14" x14ac:dyDescent="0.25">
      <c r="A1050" s="10" t="str">
        <f>_xlfn.IFNA(
    IF(J1050=
        "PCB-0001",
        "CSS",
        IF(
            ISNUMBER(MATCH(_xlfn.TEXTBEFORE(J1050,"-"), {"CSS","CSN","PCB","PCF","BEC","CSD","PCM"}, 0)),
            _xlfn.TEXTBEFORE(J1050,"-"),
            "Other"
        )
    ),
"Add")</f>
        <v>PCB</v>
      </c>
      <c r="B1050" s="10" t="str">
        <f t="shared" si="17"/>
        <v>0054</v>
      </c>
      <c r="C1050" s="10" t="str">
        <f>_xlfn.LET(
    _xlpm.val, IF(Datadetails[[#This Row],[Activity]]="D02","C20",Datadetails[[#This Row],[Activity]]),
    IF(ISNUMBER(MATCH(_xlpm.val,{"D04","C30","c40","C20"},0)), _xlpm.val, "Other")
)</f>
        <v>C30</v>
      </c>
      <c r="D1050" s="10" t="str">
        <f>IFERROR(VLOOKUP(Datadetails[[#This Row],[Taskcode]],Dashboard!A:A,1,FALSE),"00 Err Missing")</f>
        <v>0054</v>
      </c>
      <c r="E1050" s="79">
        <v>45826</v>
      </c>
      <c r="F1050" s="80" t="s">
        <v>329</v>
      </c>
      <c r="G1050" s="60" t="s">
        <v>40</v>
      </c>
      <c r="H1050" s="80" t="s">
        <v>221</v>
      </c>
      <c r="I1050" s="80" t="s">
        <v>34</v>
      </c>
      <c r="J1050" s="80" t="s">
        <v>369</v>
      </c>
      <c r="K1050" s="80" t="s">
        <v>347</v>
      </c>
      <c r="L1050" s="80" t="s">
        <v>343</v>
      </c>
      <c r="M1050" s="81">
        <v>0.5</v>
      </c>
      <c r="N1050" s="82">
        <v>37.5</v>
      </c>
    </row>
    <row r="1051" spans="1:14" x14ac:dyDescent="0.25">
      <c r="A1051" s="10" t="str">
        <f>_xlfn.IFNA(
    IF(J1051=
        "PCB-0001",
        "CSS",
        IF(
            ISNUMBER(MATCH(_xlfn.TEXTBEFORE(J1051,"-"), {"CSS","CSN","PCB","PCF","BEC","CSD","PCM"}, 0)),
            _xlfn.TEXTBEFORE(J1051,"-"),
            "Other"
        )
    ),
"Add")</f>
        <v>PCB</v>
      </c>
      <c r="B1051" s="10" t="str">
        <f t="shared" si="17"/>
        <v>0134</v>
      </c>
      <c r="C1051" s="10" t="str">
        <f>_xlfn.LET(
    _xlpm.val, IF(Datadetails[[#This Row],[Activity]]="D02","C20",Datadetails[[#This Row],[Activity]]),
    IF(ISNUMBER(MATCH(_xlpm.val,{"D04","C30","c40","C20"},0)), _xlpm.val, "Other")
)</f>
        <v>C30</v>
      </c>
      <c r="D1051" s="10" t="str">
        <f>IFERROR(VLOOKUP(Datadetails[[#This Row],[Taskcode]],Dashboard!A:A,1,FALSE),"00 Err Missing")</f>
        <v>0134</v>
      </c>
      <c r="E1051" s="79">
        <v>45826</v>
      </c>
      <c r="F1051" s="80" t="s">
        <v>329</v>
      </c>
      <c r="G1051" s="60" t="s">
        <v>40</v>
      </c>
      <c r="H1051" s="80" t="s">
        <v>301</v>
      </c>
      <c r="I1051" s="80" t="s">
        <v>34</v>
      </c>
      <c r="J1051" s="80" t="s">
        <v>371</v>
      </c>
      <c r="K1051" s="80" t="s">
        <v>347</v>
      </c>
      <c r="L1051" s="80" t="s">
        <v>343</v>
      </c>
      <c r="M1051" s="81">
        <v>0.33</v>
      </c>
      <c r="N1051" s="82">
        <v>24.75</v>
      </c>
    </row>
    <row r="1052" spans="1:14" x14ac:dyDescent="0.25">
      <c r="A1052" s="10" t="str">
        <f>_xlfn.IFNA(
    IF(J1052=
        "PCB-0001",
        "CSS",
        IF(
            ISNUMBER(MATCH(_xlfn.TEXTBEFORE(J1052,"-"), {"CSS","CSN","PCB","PCF","BEC","CSD","PCM"}, 0)),
            _xlfn.TEXTBEFORE(J1052,"-"),
            "Other"
        )
    ),
"Add")</f>
        <v>PCB</v>
      </c>
      <c r="B1052" s="10" t="str">
        <f t="shared" si="17"/>
        <v>0062</v>
      </c>
      <c r="C1052" s="10" t="str">
        <f>_xlfn.LET(
    _xlpm.val, IF(Datadetails[[#This Row],[Activity]]="D02","C20",Datadetails[[#This Row],[Activity]]),
    IF(ISNUMBER(MATCH(_xlpm.val,{"D04","C30","c40","C20"},0)), _xlpm.val, "Other")
)</f>
        <v>C30</v>
      </c>
      <c r="D1052" s="10" t="str">
        <f>IFERROR(VLOOKUP(Datadetails[[#This Row],[Taskcode]],Dashboard!A:A,1,FALSE),"00 Err Missing")</f>
        <v>0062</v>
      </c>
      <c r="E1052" s="79">
        <v>45826</v>
      </c>
      <c r="F1052" s="80" t="s">
        <v>329</v>
      </c>
      <c r="G1052" s="60" t="s">
        <v>40</v>
      </c>
      <c r="H1052" s="80" t="s">
        <v>229</v>
      </c>
      <c r="I1052" s="80" t="s">
        <v>34</v>
      </c>
      <c r="J1052" s="80" t="s">
        <v>373</v>
      </c>
      <c r="K1052" s="80" t="s">
        <v>347</v>
      </c>
      <c r="L1052" s="80" t="s">
        <v>343</v>
      </c>
      <c r="M1052" s="81">
        <v>0.08</v>
      </c>
      <c r="N1052" s="82">
        <v>6</v>
      </c>
    </row>
    <row r="1053" spans="1:14" x14ac:dyDescent="0.25">
      <c r="A1053" s="10" t="str">
        <f>_xlfn.IFNA(
    IF(J1053=
        "PCB-0001",
        "CSS",
        IF(
            ISNUMBER(MATCH(_xlfn.TEXTBEFORE(J1053,"-"), {"CSS","CSN","PCB","PCF","BEC","CSD","PCM"}, 0)),
            _xlfn.TEXTBEFORE(J1053,"-"),
            "Other"
        )
    ),
"Add")</f>
        <v>PCB</v>
      </c>
      <c r="B1053" s="10" t="str">
        <f t="shared" si="17"/>
        <v>0073</v>
      </c>
      <c r="C1053" s="10" t="str">
        <f>_xlfn.LET(
    _xlpm.val, IF(Datadetails[[#This Row],[Activity]]="D02","C20",Datadetails[[#This Row],[Activity]]),
    IF(ISNUMBER(MATCH(_xlpm.val,{"D04","C30","c40","C20"},0)), _xlpm.val, "Other")
)</f>
        <v>C30</v>
      </c>
      <c r="D1053" s="10" t="str">
        <f>IFERROR(VLOOKUP(Datadetails[[#This Row],[Taskcode]],Dashboard!A:A,1,FALSE),"00 Err Missing")</f>
        <v>0073</v>
      </c>
      <c r="E1053" s="79">
        <v>45826</v>
      </c>
      <c r="F1053" s="80" t="s">
        <v>329</v>
      </c>
      <c r="G1053" s="60" t="s">
        <v>40</v>
      </c>
      <c r="H1053" s="80" t="s">
        <v>240</v>
      </c>
      <c r="I1053" s="80" t="s">
        <v>34</v>
      </c>
      <c r="J1053" s="80" t="s">
        <v>402</v>
      </c>
      <c r="K1053" s="80" t="s">
        <v>347</v>
      </c>
      <c r="L1053" s="80" t="s">
        <v>343</v>
      </c>
      <c r="M1053" s="81">
        <v>0.17</v>
      </c>
      <c r="N1053" s="82">
        <v>12.750000000000002</v>
      </c>
    </row>
    <row r="1054" spans="1:14" x14ac:dyDescent="0.25">
      <c r="A1054" s="10" t="str">
        <f>_xlfn.IFNA(
    IF(J1054=
        "PCB-0001",
        "CSS",
        IF(
            ISNUMBER(MATCH(_xlfn.TEXTBEFORE(J1054,"-"), {"CSS","CSN","PCB","PCF","BEC","CSD","PCM"}, 0)),
            _xlfn.TEXTBEFORE(J1054,"-"),
            "Other"
        )
    ),
"Add")</f>
        <v>PCB</v>
      </c>
      <c r="B1054" s="10" t="str">
        <f t="shared" si="17"/>
        <v>0071</v>
      </c>
      <c r="C1054" s="10" t="str">
        <f>_xlfn.LET(
    _xlpm.val, IF(Datadetails[[#This Row],[Activity]]="D02","C20",Datadetails[[#This Row],[Activity]]),
    IF(ISNUMBER(MATCH(_xlpm.val,{"D04","C30","c40","C20"},0)), _xlpm.val, "Other")
)</f>
        <v>C30</v>
      </c>
      <c r="D1054" s="10" t="str">
        <f>IFERROR(VLOOKUP(Datadetails[[#This Row],[Taskcode]],Dashboard!A:A,1,FALSE),"00 Err Missing")</f>
        <v>0071</v>
      </c>
      <c r="E1054" s="79">
        <v>45826</v>
      </c>
      <c r="F1054" s="80" t="s">
        <v>329</v>
      </c>
      <c r="G1054" s="60" t="s">
        <v>40</v>
      </c>
      <c r="H1054" s="80" t="s">
        <v>238</v>
      </c>
      <c r="I1054" s="80" t="s">
        <v>34</v>
      </c>
      <c r="J1054" s="80" t="s">
        <v>374</v>
      </c>
      <c r="K1054" s="80" t="s">
        <v>347</v>
      </c>
      <c r="L1054" s="80" t="s">
        <v>343</v>
      </c>
      <c r="M1054" s="81">
        <v>0.17</v>
      </c>
      <c r="N1054" s="82">
        <v>12.750000000000002</v>
      </c>
    </row>
    <row r="1055" spans="1:14" x14ac:dyDescent="0.25">
      <c r="A1055" s="10" t="str">
        <f>_xlfn.IFNA(
    IF(J1055=
        "PCB-0001",
        "CSS",
        IF(
            ISNUMBER(MATCH(_xlfn.TEXTBEFORE(J1055,"-"), {"CSS","CSN","PCB","PCF","BEC","CSD","PCM"}, 0)),
            _xlfn.TEXTBEFORE(J1055,"-"),
            "Other"
        )
    ),
"Add")</f>
        <v>PCB</v>
      </c>
      <c r="B1055" s="10" t="str">
        <f t="shared" si="17"/>
        <v>0074</v>
      </c>
      <c r="C1055" s="10" t="str">
        <f>_xlfn.LET(
    _xlpm.val, IF(Datadetails[[#This Row],[Activity]]="D02","C20",Datadetails[[#This Row],[Activity]]),
    IF(ISNUMBER(MATCH(_xlpm.val,{"D04","C30","c40","C20"},0)), _xlpm.val, "Other")
)</f>
        <v>C30</v>
      </c>
      <c r="D1055" s="10" t="str">
        <f>IFERROR(VLOOKUP(Datadetails[[#This Row],[Taskcode]],Dashboard!A:A,1,FALSE),"00 Err Missing")</f>
        <v>0074</v>
      </c>
      <c r="E1055" s="79">
        <v>45826</v>
      </c>
      <c r="F1055" s="80" t="s">
        <v>329</v>
      </c>
      <c r="G1055" s="60" t="s">
        <v>40</v>
      </c>
      <c r="H1055" s="80" t="s">
        <v>241</v>
      </c>
      <c r="I1055" s="80" t="s">
        <v>34</v>
      </c>
      <c r="J1055" s="80" t="s">
        <v>403</v>
      </c>
      <c r="K1055" s="80" t="s">
        <v>347</v>
      </c>
      <c r="L1055" s="80" t="s">
        <v>343</v>
      </c>
      <c r="M1055" s="81">
        <v>0.33</v>
      </c>
      <c r="N1055" s="82">
        <v>24.75</v>
      </c>
    </row>
    <row r="1056" spans="1:14" x14ac:dyDescent="0.25">
      <c r="A1056" s="10" t="str">
        <f>_xlfn.IFNA(
    IF(J1056=
        "PCB-0001",
        "CSS",
        IF(
            ISNUMBER(MATCH(_xlfn.TEXTBEFORE(J1056,"-"), {"CSS","CSN","PCB","PCF","BEC","CSD","PCM"}, 0)),
            _xlfn.TEXTBEFORE(J1056,"-"),
            "Other"
        )
    ),
"Add")</f>
        <v>PCB</v>
      </c>
      <c r="B1056" s="10" t="str">
        <f t="shared" si="17"/>
        <v>0075</v>
      </c>
      <c r="C1056" s="10" t="str">
        <f>_xlfn.LET(
    _xlpm.val, IF(Datadetails[[#This Row],[Activity]]="D02","C20",Datadetails[[#This Row],[Activity]]),
    IF(ISNUMBER(MATCH(_xlpm.val,{"D04","C30","c40","C20"},0)), _xlpm.val, "Other")
)</f>
        <v>C30</v>
      </c>
      <c r="D1056" s="10" t="str">
        <f>IFERROR(VLOOKUP(Datadetails[[#This Row],[Taskcode]],Dashboard!A:A,1,FALSE),"00 Err Missing")</f>
        <v>0075</v>
      </c>
      <c r="E1056" s="79">
        <v>45826</v>
      </c>
      <c r="F1056" s="80" t="s">
        <v>329</v>
      </c>
      <c r="G1056" s="60" t="s">
        <v>40</v>
      </c>
      <c r="H1056" s="80" t="s">
        <v>242</v>
      </c>
      <c r="I1056" s="80" t="s">
        <v>34</v>
      </c>
      <c r="J1056" s="80" t="s">
        <v>404</v>
      </c>
      <c r="K1056" s="80" t="s">
        <v>347</v>
      </c>
      <c r="L1056" s="80" t="s">
        <v>343</v>
      </c>
      <c r="M1056" s="81">
        <v>0.5</v>
      </c>
      <c r="N1056" s="82">
        <v>37.5</v>
      </c>
    </row>
    <row r="1057" spans="1:14" x14ac:dyDescent="0.25">
      <c r="A1057" s="10" t="str">
        <f>_xlfn.IFNA(
    IF(J1057=
        "PCB-0001",
        "CSS",
        IF(
            ISNUMBER(MATCH(_xlfn.TEXTBEFORE(J1057,"-"), {"CSS","CSN","PCB","PCF","BEC","CSD","PCM"}, 0)),
            _xlfn.TEXTBEFORE(J1057,"-"),
            "Other"
        )
    ),
"Add")</f>
        <v>PCB</v>
      </c>
      <c r="B1057" s="10" t="str">
        <f t="shared" si="17"/>
        <v>0126</v>
      </c>
      <c r="C1057" s="10" t="str">
        <f>_xlfn.LET(
    _xlpm.val, IF(Datadetails[[#This Row],[Activity]]="D02","C20",Datadetails[[#This Row],[Activity]]),
    IF(ISNUMBER(MATCH(_xlpm.val,{"D04","C30","c40","C20"},0)), _xlpm.val, "Other")
)</f>
        <v>C30</v>
      </c>
      <c r="D1057" s="10" t="str">
        <f>IFERROR(VLOOKUP(Datadetails[[#This Row],[Taskcode]],Dashboard!A:A,1,FALSE),"00 Err Missing")</f>
        <v>0126</v>
      </c>
      <c r="E1057" s="79">
        <v>45826</v>
      </c>
      <c r="F1057" s="80" t="s">
        <v>329</v>
      </c>
      <c r="G1057" s="60" t="s">
        <v>40</v>
      </c>
      <c r="H1057" s="80" t="s">
        <v>293</v>
      </c>
      <c r="I1057" s="80" t="s">
        <v>34</v>
      </c>
      <c r="J1057" s="80" t="s">
        <v>376</v>
      </c>
      <c r="K1057" s="80" t="s">
        <v>347</v>
      </c>
      <c r="L1057" s="80" t="s">
        <v>343</v>
      </c>
      <c r="M1057" s="81">
        <v>0.75</v>
      </c>
      <c r="N1057" s="82">
        <v>56.25</v>
      </c>
    </row>
    <row r="1058" spans="1:14" x14ac:dyDescent="0.25">
      <c r="A1058" s="10" t="str">
        <f>_xlfn.IFNA(
    IF(J1058=
        "PCB-0001",
        "CSS",
        IF(
            ISNUMBER(MATCH(_xlfn.TEXTBEFORE(J1058,"-"), {"CSS","CSN","PCB","PCF","BEC","CSD","PCM"}, 0)),
            _xlfn.TEXTBEFORE(J1058,"-"),
            "Other"
        )
    ),
"Add")</f>
        <v>PCB</v>
      </c>
      <c r="B1058" s="10" t="str">
        <f t="shared" si="17"/>
        <v>0120</v>
      </c>
      <c r="C1058" s="10" t="str">
        <f>_xlfn.LET(
    _xlpm.val, IF(Datadetails[[#This Row],[Activity]]="D02","C20",Datadetails[[#This Row],[Activity]]),
    IF(ISNUMBER(MATCH(_xlpm.val,{"D04","C30","c40","C20"},0)), _xlpm.val, "Other")
)</f>
        <v>C30</v>
      </c>
      <c r="D1058" s="10" t="str">
        <f>IFERROR(VLOOKUP(Datadetails[[#This Row],[Taskcode]],Dashboard!A:A,1,FALSE),"00 Err Missing")</f>
        <v>0120</v>
      </c>
      <c r="E1058" s="79">
        <v>45826</v>
      </c>
      <c r="F1058" s="80" t="s">
        <v>325</v>
      </c>
      <c r="G1058" s="60" t="s">
        <v>40</v>
      </c>
      <c r="H1058" s="80" t="s">
        <v>287</v>
      </c>
      <c r="I1058" s="80" t="s">
        <v>34</v>
      </c>
      <c r="J1058" s="80" t="s">
        <v>378</v>
      </c>
      <c r="K1058" s="80" t="s">
        <v>347</v>
      </c>
      <c r="L1058" s="80" t="s">
        <v>343</v>
      </c>
      <c r="M1058" s="81">
        <v>0.17</v>
      </c>
      <c r="N1058" s="82">
        <v>12.750000000000002</v>
      </c>
    </row>
    <row r="1059" spans="1:14" x14ac:dyDescent="0.25">
      <c r="A1059" s="10" t="str">
        <f>_xlfn.IFNA(
    IF(J1059=
        "PCB-0001",
        "CSS",
        IF(
            ISNUMBER(MATCH(_xlfn.TEXTBEFORE(J1059,"-"), {"CSS","CSN","PCB","PCF","BEC","CSD","PCM"}, 0)),
            _xlfn.TEXTBEFORE(J1059,"-"),
            "Other"
        )
    ),
"Add")</f>
        <v>PCB</v>
      </c>
      <c r="B1059" s="10" t="str">
        <f t="shared" si="17"/>
        <v>0128</v>
      </c>
      <c r="C1059" s="10" t="str">
        <f>_xlfn.LET(
    _xlpm.val, IF(Datadetails[[#This Row],[Activity]]="D02","C20",Datadetails[[#This Row],[Activity]]),
    IF(ISNUMBER(MATCH(_xlpm.val,{"D04","C30","c40","C20"},0)), _xlpm.val, "Other")
)</f>
        <v>C30</v>
      </c>
      <c r="D1059" s="10" t="str">
        <f>IFERROR(VLOOKUP(Datadetails[[#This Row],[Taskcode]],Dashboard!A:A,1,FALSE),"00 Err Missing")</f>
        <v>0128</v>
      </c>
      <c r="E1059" s="79">
        <v>45826</v>
      </c>
      <c r="F1059" s="80" t="s">
        <v>329</v>
      </c>
      <c r="G1059" s="60" t="s">
        <v>40</v>
      </c>
      <c r="H1059" s="80" t="s">
        <v>295</v>
      </c>
      <c r="I1059" s="80" t="s">
        <v>34</v>
      </c>
      <c r="J1059" s="80" t="s">
        <v>379</v>
      </c>
      <c r="K1059" s="80" t="s">
        <v>347</v>
      </c>
      <c r="L1059" s="80" t="s">
        <v>343</v>
      </c>
      <c r="M1059" s="81">
        <v>0.17</v>
      </c>
      <c r="N1059" s="82">
        <v>12.750000000000002</v>
      </c>
    </row>
    <row r="1060" spans="1:14" x14ac:dyDescent="0.25">
      <c r="A1060" s="10" t="str">
        <f>_xlfn.IFNA(
    IF(J1060=
        "PCB-0001",
        "CSS",
        IF(
            ISNUMBER(MATCH(_xlfn.TEXTBEFORE(J1060,"-"), {"CSS","CSN","PCB","PCF","BEC","CSD","PCM"}, 0)),
            _xlfn.TEXTBEFORE(J1060,"-"),
            "Other"
        )
    ),
"Add")</f>
        <v>PCB</v>
      </c>
      <c r="B1060" s="10" t="str">
        <f t="shared" si="17"/>
        <v>0094</v>
      </c>
      <c r="C1060" s="10" t="str">
        <f>_xlfn.LET(
    _xlpm.val, IF(Datadetails[[#This Row],[Activity]]="D02","C20",Datadetails[[#This Row],[Activity]]),
    IF(ISNUMBER(MATCH(_xlpm.val,{"D04","C30","c40","C20"},0)), _xlpm.val, "Other")
)</f>
        <v>C30</v>
      </c>
      <c r="D1060" s="10" t="str">
        <f>IFERROR(VLOOKUP(Datadetails[[#This Row],[Taskcode]],Dashboard!A:A,1,FALSE),"00 Err Missing")</f>
        <v>0094</v>
      </c>
      <c r="E1060" s="79">
        <v>45826</v>
      </c>
      <c r="F1060" s="80" t="s">
        <v>330</v>
      </c>
      <c r="G1060" s="60" t="s">
        <v>40</v>
      </c>
      <c r="H1060" s="80" t="s">
        <v>261</v>
      </c>
      <c r="I1060" s="80" t="s">
        <v>34</v>
      </c>
      <c r="J1060" s="80" t="s">
        <v>444</v>
      </c>
      <c r="K1060" s="80" t="s">
        <v>347</v>
      </c>
      <c r="L1060" s="80" t="s">
        <v>343</v>
      </c>
      <c r="M1060" s="81">
        <v>0.5</v>
      </c>
      <c r="N1060" s="82">
        <v>30</v>
      </c>
    </row>
    <row r="1061" spans="1:14" x14ac:dyDescent="0.25">
      <c r="A1061" s="10" t="str">
        <f>_xlfn.IFNA(
    IF(J1061=
        "PCB-0001",
        "CSS",
        IF(
            ISNUMBER(MATCH(_xlfn.TEXTBEFORE(J1061,"-"), {"CSS","CSN","PCB","PCF","BEC","CSD","PCM"}, 0)),
            _xlfn.TEXTBEFORE(J1061,"-"),
            "Other"
        )
    ),
"Add")</f>
        <v>PCB</v>
      </c>
      <c r="B1061" s="10" t="str">
        <f t="shared" si="17"/>
        <v>0082</v>
      </c>
      <c r="C1061" s="10" t="str">
        <f>_xlfn.LET(
    _xlpm.val, IF(Datadetails[[#This Row],[Activity]]="D02","C20",Datadetails[[#This Row],[Activity]]),
    IF(ISNUMBER(MATCH(_xlpm.val,{"D04","C30","c40","C20"},0)), _xlpm.val, "Other")
)</f>
        <v>C30</v>
      </c>
      <c r="D1061" s="10" t="str">
        <f>IFERROR(VLOOKUP(Datadetails[[#This Row],[Taskcode]],Dashboard!A:A,1,FALSE),"00 Err Missing")</f>
        <v>0082</v>
      </c>
      <c r="E1061" s="79">
        <v>45826</v>
      </c>
      <c r="F1061" s="80" t="s">
        <v>325</v>
      </c>
      <c r="G1061" s="60" t="s">
        <v>40</v>
      </c>
      <c r="H1061" s="80" t="s">
        <v>249</v>
      </c>
      <c r="I1061" s="80" t="s">
        <v>34</v>
      </c>
      <c r="J1061" s="80" t="s">
        <v>409</v>
      </c>
      <c r="K1061" s="80" t="s">
        <v>347</v>
      </c>
      <c r="L1061" s="80" t="s">
        <v>343</v>
      </c>
      <c r="M1061" s="81">
        <v>0.25</v>
      </c>
      <c r="N1061" s="82">
        <v>18.75</v>
      </c>
    </row>
    <row r="1062" spans="1:14" x14ac:dyDescent="0.25">
      <c r="A1062" s="10" t="str">
        <f>_xlfn.IFNA(
    IF(J1062=
        "PCB-0001",
        "CSS",
        IF(
            ISNUMBER(MATCH(_xlfn.TEXTBEFORE(J1062,"-"), {"CSS","CSN","PCB","PCF","BEC","CSD","PCM"}, 0)),
            _xlfn.TEXTBEFORE(J1062,"-"),
            "Other"
        )
    ),
"Add")</f>
        <v>PCB</v>
      </c>
      <c r="B1062" s="10" t="str">
        <f t="shared" si="17"/>
        <v>0108</v>
      </c>
      <c r="C1062" s="10" t="str">
        <f>_xlfn.LET(
    _xlpm.val, IF(Datadetails[[#This Row],[Activity]]="D02","C20",Datadetails[[#This Row],[Activity]]),
    IF(ISNUMBER(MATCH(_xlpm.val,{"D04","C30","c40","C20"},0)), _xlpm.val, "Other")
)</f>
        <v>C30</v>
      </c>
      <c r="D1062" s="10" t="str">
        <f>IFERROR(VLOOKUP(Datadetails[[#This Row],[Taskcode]],Dashboard!A:A,1,FALSE),"00 Err Missing")</f>
        <v>0108</v>
      </c>
      <c r="E1062" s="79">
        <v>45826</v>
      </c>
      <c r="F1062" s="80" t="s">
        <v>330</v>
      </c>
      <c r="G1062" s="60" t="s">
        <v>40</v>
      </c>
      <c r="H1062" s="80" t="s">
        <v>275</v>
      </c>
      <c r="I1062" s="80" t="s">
        <v>34</v>
      </c>
      <c r="J1062" s="80" t="s">
        <v>443</v>
      </c>
      <c r="K1062" s="80" t="s">
        <v>347</v>
      </c>
      <c r="L1062" s="80" t="s">
        <v>343</v>
      </c>
      <c r="M1062" s="81">
        <v>0.5</v>
      </c>
      <c r="N1062" s="82">
        <v>30</v>
      </c>
    </row>
    <row r="1063" spans="1:14" x14ac:dyDescent="0.25">
      <c r="A1063" s="10" t="str">
        <f>_xlfn.IFNA(
    IF(J1063=
        "PCB-0001",
        "CSS",
        IF(
            ISNUMBER(MATCH(_xlfn.TEXTBEFORE(J1063,"-"), {"CSS","CSN","PCB","PCF","BEC","CSD","PCM"}, 0)),
            _xlfn.TEXTBEFORE(J1063,"-"),
            "Other"
        )
    ),
"Add")</f>
        <v>PCB</v>
      </c>
      <c r="B1063" s="10" t="str">
        <f t="shared" si="17"/>
        <v>0063</v>
      </c>
      <c r="C1063" s="10" t="str">
        <f>_xlfn.LET(
    _xlpm.val, IF(Datadetails[[#This Row],[Activity]]="D02","C20",Datadetails[[#This Row],[Activity]]),
    IF(ISNUMBER(MATCH(_xlpm.val,{"D04","C30","c40","C20"},0)), _xlpm.val, "Other")
)</f>
        <v>C30</v>
      </c>
      <c r="D1063" s="10" t="str">
        <f>IFERROR(VLOOKUP(Datadetails[[#This Row],[Taskcode]],Dashboard!A:A,1,FALSE),"00 Err Missing")</f>
        <v>0063</v>
      </c>
      <c r="E1063" s="79">
        <v>45826</v>
      </c>
      <c r="F1063" s="80" t="s">
        <v>329</v>
      </c>
      <c r="G1063" s="60" t="s">
        <v>40</v>
      </c>
      <c r="H1063" s="80" t="s">
        <v>230</v>
      </c>
      <c r="I1063" s="80" t="s">
        <v>34</v>
      </c>
      <c r="J1063" s="80" t="s">
        <v>410</v>
      </c>
      <c r="K1063" s="80" t="s">
        <v>347</v>
      </c>
      <c r="L1063" s="80" t="s">
        <v>343</v>
      </c>
      <c r="M1063" s="81">
        <v>0.17</v>
      </c>
      <c r="N1063" s="82">
        <v>12.750000000000002</v>
      </c>
    </row>
    <row r="1064" spans="1:14" x14ac:dyDescent="0.25">
      <c r="A1064" s="10" t="str">
        <f>_xlfn.IFNA(
    IF(J1064=
        "PCB-0001",
        "CSS",
        IF(
            ISNUMBER(MATCH(_xlfn.TEXTBEFORE(J1064,"-"), {"CSS","CSN","PCB","PCF","BEC","CSD","PCM"}, 0)),
            _xlfn.TEXTBEFORE(J1064,"-"),
            "Other"
        )
    ),
"Add")</f>
        <v>PCB</v>
      </c>
      <c r="B1064" s="10" t="str">
        <f t="shared" si="17"/>
        <v>0101</v>
      </c>
      <c r="C1064" s="10" t="str">
        <f>_xlfn.LET(
    _xlpm.val, IF(Datadetails[[#This Row],[Activity]]="D02","C20",Datadetails[[#This Row],[Activity]]),
    IF(ISNUMBER(MATCH(_xlpm.val,{"D04","C30","c40","C20"},0)), _xlpm.val, "Other")
)</f>
        <v>C30</v>
      </c>
      <c r="D1064" s="10" t="str">
        <f>IFERROR(VLOOKUP(Datadetails[[#This Row],[Taskcode]],Dashboard!A:A,1,FALSE),"00 Err Missing")</f>
        <v>0101</v>
      </c>
      <c r="E1064" s="79">
        <v>45826</v>
      </c>
      <c r="F1064" s="80" t="s">
        <v>329</v>
      </c>
      <c r="G1064" s="60" t="s">
        <v>40</v>
      </c>
      <c r="H1064" s="80" t="s">
        <v>268</v>
      </c>
      <c r="I1064" s="80" t="s">
        <v>34</v>
      </c>
      <c r="J1064" s="80" t="s">
        <v>386</v>
      </c>
      <c r="K1064" s="80" t="s">
        <v>347</v>
      </c>
      <c r="L1064" s="80" t="s">
        <v>343</v>
      </c>
      <c r="M1064" s="81">
        <v>0.17</v>
      </c>
      <c r="N1064" s="82">
        <v>12.750000000000002</v>
      </c>
    </row>
    <row r="1065" spans="1:14" x14ac:dyDescent="0.25">
      <c r="A1065" s="10" t="str">
        <f>_xlfn.IFNA(
    IF(J1065=
        "PCB-0001",
        "CSS",
        IF(
            ISNUMBER(MATCH(_xlfn.TEXTBEFORE(J1065,"-"), {"CSS","CSN","PCB","PCF","BEC","CSD","PCM"}, 0)),
            _xlfn.TEXTBEFORE(J1065,"-"),
            "Other"
        )
    ),
"Add")</f>
        <v>PCF</v>
      </c>
      <c r="B1065" s="10" t="str">
        <f t="shared" si="17"/>
        <v>0098</v>
      </c>
      <c r="C1065" s="10" t="str">
        <f>_xlfn.LET(
    _xlpm.val, IF(Datadetails[[#This Row],[Activity]]="D02","C20",Datadetails[[#This Row],[Activity]]),
    IF(ISNUMBER(MATCH(_xlpm.val,{"D04","C30","c40","C20"},0)), _xlpm.val, "Other")
)</f>
        <v>C20</v>
      </c>
      <c r="D1065" s="10" t="str">
        <f>IFERROR(VLOOKUP(Datadetails[[#This Row],[Taskcode]],Dashboard!A:A,1,FALSE),"00 Err Missing")</f>
        <v>0098</v>
      </c>
      <c r="E1065" s="79">
        <v>45826</v>
      </c>
      <c r="F1065" s="80" t="s">
        <v>326</v>
      </c>
      <c r="G1065" s="60" t="s">
        <v>40</v>
      </c>
      <c r="H1065" s="80" t="s">
        <v>265</v>
      </c>
      <c r="I1065" s="80" t="s">
        <v>36</v>
      </c>
      <c r="J1065" s="80" t="s">
        <v>358</v>
      </c>
      <c r="K1065" s="80" t="s">
        <v>348</v>
      </c>
      <c r="L1065" s="80" t="s">
        <v>342</v>
      </c>
      <c r="M1065" s="81">
        <v>1</v>
      </c>
      <c r="N1065" s="82">
        <v>60</v>
      </c>
    </row>
    <row r="1066" spans="1:14" x14ac:dyDescent="0.25">
      <c r="A1066" s="10" t="str">
        <f>_xlfn.IFNA(
    IF(J1066=
        "PCB-0001",
        "CSS",
        IF(
            ISNUMBER(MATCH(_xlfn.TEXTBEFORE(J1066,"-"), {"CSS","CSN","PCB","PCF","BEC","CSD","PCM"}, 0)),
            _xlfn.TEXTBEFORE(J1066,"-"),
            "Other"
        )
    ),
"Add")</f>
        <v>PCF</v>
      </c>
      <c r="B1066" s="10" t="str">
        <f t="shared" si="17"/>
        <v>0008</v>
      </c>
      <c r="C1066" s="10" t="str">
        <f>_xlfn.LET(
    _xlpm.val, IF(Datadetails[[#This Row],[Activity]]="D02","C20",Datadetails[[#This Row],[Activity]]),
    IF(ISNUMBER(MATCH(_xlpm.val,{"D04","C30","c40","C20"},0)), _xlpm.val, "Other")
)</f>
        <v>C30</v>
      </c>
      <c r="D1066" s="10" t="str">
        <f>IFERROR(VLOOKUP(Datadetails[[#This Row],[Taskcode]],Dashboard!A:A,1,FALSE),"00 Err Missing")</f>
        <v>0008</v>
      </c>
      <c r="E1066" s="79">
        <v>45826</v>
      </c>
      <c r="F1066" s="80" t="s">
        <v>326</v>
      </c>
      <c r="G1066" s="60" t="s">
        <v>40</v>
      </c>
      <c r="H1066" s="80" t="s">
        <v>175</v>
      </c>
      <c r="I1066" s="80" t="s">
        <v>34</v>
      </c>
      <c r="J1066" s="80" t="s">
        <v>388</v>
      </c>
      <c r="K1066" s="80" t="s">
        <v>348</v>
      </c>
      <c r="L1066" s="80" t="s">
        <v>343</v>
      </c>
      <c r="M1066" s="81">
        <v>1.17</v>
      </c>
      <c r="N1066" s="82">
        <v>70.199999999999989</v>
      </c>
    </row>
    <row r="1067" spans="1:14" x14ac:dyDescent="0.25">
      <c r="A1067" s="10" t="str">
        <f>_xlfn.IFNA(
    IF(J1067=
        "PCB-0001",
        "CSS",
        IF(
            ISNUMBER(MATCH(_xlfn.TEXTBEFORE(J1067,"-"), {"CSS","CSN","PCB","PCF","BEC","CSD","PCM"}, 0)),
            _xlfn.TEXTBEFORE(J1067,"-"),
            "Other"
        )
    ),
"Add")</f>
        <v>PCF</v>
      </c>
      <c r="B1067" s="10" t="str">
        <f t="shared" si="17"/>
        <v>0142</v>
      </c>
      <c r="C1067" s="10" t="str">
        <f>_xlfn.LET(
    _xlpm.val, IF(Datadetails[[#This Row],[Activity]]="D02","C20",Datadetails[[#This Row],[Activity]]),
    IF(ISNUMBER(MATCH(_xlpm.val,{"D04","C30","c40","C20"},0)), _xlpm.val, "Other")
)</f>
        <v>C40</v>
      </c>
      <c r="D1067" s="10" t="str">
        <f>IFERROR(VLOOKUP(Datadetails[[#This Row],[Taskcode]],Dashboard!A:A,1,FALSE),"00 Err Missing")</f>
        <v>0142</v>
      </c>
      <c r="E1067" s="79">
        <v>45826</v>
      </c>
      <c r="F1067" s="80" t="s">
        <v>326</v>
      </c>
      <c r="G1067" s="60" t="s">
        <v>40</v>
      </c>
      <c r="H1067" s="80" t="s">
        <v>309</v>
      </c>
      <c r="I1067" s="80" t="s">
        <v>341</v>
      </c>
      <c r="J1067" s="80" t="s">
        <v>454</v>
      </c>
      <c r="K1067" s="80" t="s">
        <v>348</v>
      </c>
      <c r="L1067" s="80" t="s">
        <v>344</v>
      </c>
      <c r="M1067" s="81">
        <v>2</v>
      </c>
      <c r="N1067" s="82">
        <v>120</v>
      </c>
    </row>
    <row r="1068" spans="1:14" x14ac:dyDescent="0.25">
      <c r="A1068" s="10" t="str">
        <f>_xlfn.IFNA(
    IF(J1068=
        "PCB-0001",
        "CSS",
        IF(
            ISNUMBER(MATCH(_xlfn.TEXTBEFORE(J1068,"-"), {"CSS","CSN","PCB","PCF","BEC","CSD","PCM"}, 0)),
            _xlfn.TEXTBEFORE(J1068,"-"),
            "Other"
        )
    ),
"Add")</f>
        <v>BEC</v>
      </c>
      <c r="B1068" s="10" t="str">
        <f t="shared" si="17"/>
        <v>0001</v>
      </c>
      <c r="C1068" s="10" t="str">
        <f>_xlfn.LET(
    _xlpm.val, IF(Datadetails[[#This Row],[Activity]]="D02","C20",Datadetails[[#This Row],[Activity]]),
    IF(ISNUMBER(MATCH(_xlpm.val,{"D04","C30","c40","C20"},0)), _xlpm.val, "Other")
)</f>
        <v>D04</v>
      </c>
      <c r="D1068" s="10" t="str">
        <f>IFERROR(VLOOKUP(Datadetails[[#This Row],[Taskcode]],Dashboard!A:A,1,FALSE),"00 Err Missing")</f>
        <v>0001</v>
      </c>
      <c r="E1068" s="79">
        <v>45826</v>
      </c>
      <c r="F1068" s="80" t="s">
        <v>332</v>
      </c>
      <c r="G1068" s="60" t="s">
        <v>40</v>
      </c>
      <c r="H1068" s="80" t="s">
        <v>314</v>
      </c>
      <c r="I1068" s="80" t="s">
        <v>35</v>
      </c>
      <c r="J1068" s="80" t="s">
        <v>359</v>
      </c>
      <c r="K1068" s="80" t="s">
        <v>339</v>
      </c>
      <c r="L1068" s="80" t="s">
        <v>352</v>
      </c>
      <c r="M1068" s="81">
        <v>8.5</v>
      </c>
      <c r="N1068" s="82">
        <v>340</v>
      </c>
    </row>
    <row r="1069" spans="1:14" x14ac:dyDescent="0.25">
      <c r="A1069" s="10" t="str">
        <f>_xlfn.IFNA(
    IF(J1069=
        "PCB-0001",
        "CSS",
        IF(
            ISNUMBER(MATCH(_xlfn.TEXTBEFORE(J1069,"-"), {"CSS","CSN","PCB","PCF","BEC","CSD","PCM"}, 0)),
            _xlfn.TEXTBEFORE(J1069,"-"),
            "Other"
        )
    ),
"Add")</f>
        <v>BEC</v>
      </c>
      <c r="B1069" s="10" t="str">
        <f t="shared" si="17"/>
        <v>0001</v>
      </c>
      <c r="C1069" s="10" t="str">
        <f>_xlfn.LET(
    _xlpm.val, IF(Datadetails[[#This Row],[Activity]]="D02","C20",Datadetails[[#This Row],[Activity]]),
    IF(ISNUMBER(MATCH(_xlpm.val,{"D04","C30","c40","C20"},0)), _xlpm.val, "Other")
)</f>
        <v>D04</v>
      </c>
      <c r="D1069" s="10" t="str">
        <f>IFERROR(VLOOKUP(Datadetails[[#This Row],[Taskcode]],Dashboard!A:A,1,FALSE),"00 Err Missing")</f>
        <v>0001</v>
      </c>
      <c r="E1069" s="79">
        <v>45826</v>
      </c>
      <c r="F1069" s="80" t="s">
        <v>324</v>
      </c>
      <c r="G1069" s="60" t="s">
        <v>40</v>
      </c>
      <c r="H1069" s="80" t="s">
        <v>314</v>
      </c>
      <c r="I1069" s="80" t="s">
        <v>35</v>
      </c>
      <c r="J1069" s="80" t="s">
        <v>359</v>
      </c>
      <c r="K1069" s="80" t="s">
        <v>339</v>
      </c>
      <c r="L1069" s="80" t="s">
        <v>352</v>
      </c>
      <c r="M1069" s="81">
        <v>6</v>
      </c>
      <c r="N1069" s="82">
        <v>450</v>
      </c>
    </row>
    <row r="1070" spans="1:14" x14ac:dyDescent="0.25">
      <c r="A1070" s="10" t="str">
        <f>_xlfn.IFNA(
    IF(J1070=
        "PCB-0001",
        "CSS",
        IF(
            ISNUMBER(MATCH(_xlfn.TEXTBEFORE(J1070,"-"), {"CSS","CSN","PCB","PCF","BEC","CSD","PCM"}, 0)),
            _xlfn.TEXTBEFORE(J1070,"-"),
            "Other"
        )
    ),
"Add")</f>
        <v>PCM</v>
      </c>
      <c r="B1070" s="10" t="str">
        <f t="shared" si="17"/>
        <v>0041</v>
      </c>
      <c r="C1070" s="10" t="str">
        <f>_xlfn.LET(
    _xlpm.val, IF(Datadetails[[#This Row],[Activity]]="D02","C20",Datadetails[[#This Row],[Activity]]),
    IF(ISNUMBER(MATCH(_xlpm.val,{"D04","C30","c40","C20"},0)), _xlpm.val, "Other")
)</f>
        <v>C20</v>
      </c>
      <c r="D1070" s="10" t="str">
        <f>IFERROR(VLOOKUP(Datadetails[[#This Row],[Taskcode]],Dashboard!A:A,1,FALSE),"00 Err Missing")</f>
        <v>0041</v>
      </c>
      <c r="E1070" s="79">
        <v>45827</v>
      </c>
      <c r="F1070" s="80" t="s">
        <v>323</v>
      </c>
      <c r="G1070" s="60" t="s">
        <v>40</v>
      </c>
      <c r="H1070" s="80" t="s">
        <v>208</v>
      </c>
      <c r="I1070" s="80" t="s">
        <v>36</v>
      </c>
      <c r="J1070" s="80" t="s">
        <v>456</v>
      </c>
      <c r="K1070" s="80" t="s">
        <v>346</v>
      </c>
      <c r="L1070" s="80" t="s">
        <v>342</v>
      </c>
      <c r="M1070" s="81">
        <v>0.25</v>
      </c>
      <c r="N1070" s="82">
        <v>15</v>
      </c>
    </row>
    <row r="1071" spans="1:14" x14ac:dyDescent="0.25">
      <c r="A1071" s="10" t="str">
        <f>_xlfn.IFNA(
    IF(J1071=
        "PCB-0001",
        "CSS",
        IF(
            ISNUMBER(MATCH(_xlfn.TEXTBEFORE(J1071,"-"), {"CSS","CSN","PCB","PCF","BEC","CSD","PCM"}, 0)),
            _xlfn.TEXTBEFORE(J1071,"-"),
            "Other"
        )
    ),
"Add")</f>
        <v>PCM</v>
      </c>
      <c r="B1071" s="10" t="str">
        <f t="shared" si="17"/>
        <v>0045</v>
      </c>
      <c r="C1071" s="10" t="str">
        <f>_xlfn.LET(
    _xlpm.val, IF(Datadetails[[#This Row],[Activity]]="D02","C20",Datadetails[[#This Row],[Activity]]),
    IF(ISNUMBER(MATCH(_xlpm.val,{"D04","C30","c40","C20"},0)), _xlpm.val, "Other")
)</f>
        <v>C20</v>
      </c>
      <c r="D1071" s="10" t="str">
        <f>IFERROR(VLOOKUP(Datadetails[[#This Row],[Taskcode]],Dashboard!A:A,1,FALSE),"00 Err Missing")</f>
        <v>0045</v>
      </c>
      <c r="E1071" s="79">
        <v>45827</v>
      </c>
      <c r="F1071" s="80" t="s">
        <v>323</v>
      </c>
      <c r="G1071" s="60" t="s">
        <v>40</v>
      </c>
      <c r="H1071" s="80" t="s">
        <v>212</v>
      </c>
      <c r="I1071" s="80" t="s">
        <v>36</v>
      </c>
      <c r="J1071" s="80" t="s">
        <v>392</v>
      </c>
      <c r="K1071" s="80" t="s">
        <v>346</v>
      </c>
      <c r="L1071" s="80" t="s">
        <v>342</v>
      </c>
      <c r="M1071" s="81">
        <v>0.5</v>
      </c>
      <c r="N1071" s="82">
        <v>30</v>
      </c>
    </row>
    <row r="1072" spans="1:14" x14ac:dyDescent="0.25">
      <c r="A1072" s="10" t="str">
        <f>_xlfn.IFNA(
    IF(J1072=
        "PCB-0001",
        "CSS",
        IF(
            ISNUMBER(MATCH(_xlfn.TEXTBEFORE(J1072,"-"), {"CSS","CSN","PCB","PCF","BEC","CSD","PCM"}, 0)),
            _xlfn.TEXTBEFORE(J1072,"-"),
            "Other"
        )
    ),
"Add")</f>
        <v>CSN</v>
      </c>
      <c r="B1072" s="10" t="str">
        <f t="shared" si="17"/>
        <v>0001</v>
      </c>
      <c r="C1072" s="10" t="str">
        <f>_xlfn.LET(
    _xlpm.val, IF(Datadetails[[#This Row],[Activity]]="D02","C20",Datadetails[[#This Row],[Activity]]),
    IF(ISNUMBER(MATCH(_xlpm.val,{"D04","C30","c40","C20"},0)), _xlpm.val, "Other")
)</f>
        <v>D04</v>
      </c>
      <c r="D1072" s="10" t="str">
        <f>IFERROR(VLOOKUP(Datadetails[[#This Row],[Taskcode]],Dashboard!A:A,1,FALSE),"00 Err Missing")</f>
        <v>0001</v>
      </c>
      <c r="E1072" s="79">
        <v>45827</v>
      </c>
      <c r="F1072" s="80" t="s">
        <v>329</v>
      </c>
      <c r="G1072" s="60" t="s">
        <v>40</v>
      </c>
      <c r="H1072" s="80" t="s">
        <v>316</v>
      </c>
      <c r="I1072" s="80" t="s">
        <v>35</v>
      </c>
      <c r="J1072" s="80" t="s">
        <v>338</v>
      </c>
      <c r="K1072" s="80" t="s">
        <v>337</v>
      </c>
      <c r="L1072" s="80" t="s">
        <v>352</v>
      </c>
      <c r="M1072" s="81">
        <v>1</v>
      </c>
      <c r="N1072" s="82">
        <v>75</v>
      </c>
    </row>
    <row r="1073" spans="1:14" x14ac:dyDescent="0.25">
      <c r="A1073" s="10" t="str">
        <f>_xlfn.IFNA(
    IF(J1073=
        "PCB-0001",
        "CSS",
        IF(
            ISNUMBER(MATCH(_xlfn.TEXTBEFORE(J1073,"-"), {"CSS","CSN","PCB","PCF","BEC","CSD","PCM"}, 0)),
            _xlfn.TEXTBEFORE(J1073,"-"),
            "Other"
        )
    ),
"Add")</f>
        <v>CSD</v>
      </c>
      <c r="B1073" s="10" t="str">
        <f t="shared" si="17"/>
        <v>0001</v>
      </c>
      <c r="C1073" s="10" t="str">
        <f>_xlfn.LET(
    _xlpm.val, IF(Datadetails[[#This Row],[Activity]]="D02","C20",Datadetails[[#This Row],[Activity]]),
    IF(ISNUMBER(MATCH(_xlpm.val,{"D04","C30","c40","C20"},0)), _xlpm.val, "Other")
)</f>
        <v>D04</v>
      </c>
      <c r="D1073" s="10" t="str">
        <f>IFERROR(VLOOKUP(Datadetails[[#This Row],[Taskcode]],Dashboard!A:A,1,FALSE),"00 Err Missing")</f>
        <v>0001</v>
      </c>
      <c r="E1073" s="79">
        <v>45827</v>
      </c>
      <c r="F1073" s="80" t="s">
        <v>333</v>
      </c>
      <c r="G1073" s="60" t="s">
        <v>40</v>
      </c>
      <c r="H1073" s="80" t="s">
        <v>320</v>
      </c>
      <c r="I1073" s="80" t="s">
        <v>35</v>
      </c>
      <c r="J1073" s="80" t="s">
        <v>322</v>
      </c>
      <c r="K1073" s="80" t="s">
        <v>319</v>
      </c>
      <c r="L1073" s="80" t="s">
        <v>352</v>
      </c>
      <c r="M1073" s="81">
        <v>7.28</v>
      </c>
      <c r="N1073" s="82">
        <v>232.96</v>
      </c>
    </row>
    <row r="1074" spans="1:14" x14ac:dyDescent="0.25">
      <c r="A1074" s="10" t="str">
        <f>_xlfn.IFNA(
    IF(J1074=
        "PCB-0001",
        "CSS",
        IF(
            ISNUMBER(MATCH(_xlfn.TEXTBEFORE(J1074,"-"), {"CSS","CSN","PCB","PCF","BEC","CSD","PCM"}, 0)),
            _xlfn.TEXTBEFORE(J1074,"-"),
            "Other"
        )
    ),
"Add")</f>
        <v>CSD</v>
      </c>
      <c r="B1074" s="10" t="str">
        <f t="shared" si="17"/>
        <v>0001</v>
      </c>
      <c r="C1074" s="10" t="str">
        <f>_xlfn.LET(
    _xlpm.val, IF(Datadetails[[#This Row],[Activity]]="D02","C20",Datadetails[[#This Row],[Activity]]),
    IF(ISNUMBER(MATCH(_xlpm.val,{"D04","C30","c40","C20"},0)), _xlpm.val, "Other")
)</f>
        <v>D04</v>
      </c>
      <c r="D1074" s="10" t="str">
        <f>IFERROR(VLOOKUP(Datadetails[[#This Row],[Taskcode]],Dashboard!A:A,1,FALSE),"00 Err Missing")</f>
        <v>0001</v>
      </c>
      <c r="E1074" s="79">
        <v>45827</v>
      </c>
      <c r="F1074" s="80" t="s">
        <v>327</v>
      </c>
      <c r="G1074" s="60" t="s">
        <v>40</v>
      </c>
      <c r="H1074" s="80" t="s">
        <v>320</v>
      </c>
      <c r="I1074" s="80" t="s">
        <v>35</v>
      </c>
      <c r="J1074" s="80" t="s">
        <v>322</v>
      </c>
      <c r="K1074" s="80" t="s">
        <v>319</v>
      </c>
      <c r="L1074" s="80" t="s">
        <v>352</v>
      </c>
      <c r="M1074" s="81">
        <v>7.42</v>
      </c>
      <c r="N1074" s="82">
        <v>237.44</v>
      </c>
    </row>
    <row r="1075" spans="1:14" x14ac:dyDescent="0.25">
      <c r="A1075" s="10" t="str">
        <f>_xlfn.IFNA(
    IF(J1075=
        "PCB-0001",
        "CSS",
        IF(
            ISNUMBER(MATCH(_xlfn.TEXTBEFORE(J1075,"-"), {"CSS","CSN","PCB","PCF","BEC","CSD","PCM"}, 0)),
            _xlfn.TEXTBEFORE(J1075,"-"),
            "Other"
        )
    ),
"Add")</f>
        <v>PCM</v>
      </c>
      <c r="B1075" s="10" t="str">
        <f t="shared" si="17"/>
        <v>0064</v>
      </c>
      <c r="C1075" s="10" t="str">
        <f>_xlfn.LET(
    _xlpm.val, IF(Datadetails[[#This Row],[Activity]]="D02","C20",Datadetails[[#This Row],[Activity]]),
    IF(ISNUMBER(MATCH(_xlpm.val,{"D04","C30","c40","C20"},0)), _xlpm.val, "Other")
)</f>
        <v>C20</v>
      </c>
      <c r="D1075" s="10" t="str">
        <f>IFERROR(VLOOKUP(Datadetails[[#This Row],[Taskcode]],Dashboard!A:A,1,FALSE),"00 Err Missing")</f>
        <v>0064</v>
      </c>
      <c r="E1075" s="79">
        <v>45827</v>
      </c>
      <c r="F1075" s="80" t="s">
        <v>323</v>
      </c>
      <c r="G1075" s="60" t="s">
        <v>40</v>
      </c>
      <c r="H1075" s="80" t="s">
        <v>231</v>
      </c>
      <c r="I1075" s="80" t="s">
        <v>36</v>
      </c>
      <c r="J1075" s="80" t="s">
        <v>420</v>
      </c>
      <c r="K1075" s="80" t="s">
        <v>346</v>
      </c>
      <c r="L1075" s="80" t="s">
        <v>342</v>
      </c>
      <c r="M1075" s="81">
        <v>0.25</v>
      </c>
      <c r="N1075" s="82">
        <v>15</v>
      </c>
    </row>
    <row r="1076" spans="1:14" x14ac:dyDescent="0.25">
      <c r="A1076" s="10" t="str">
        <f>_xlfn.IFNA(
    IF(J1076=
        "PCB-0001",
        "CSS",
        IF(
            ISNUMBER(MATCH(_xlfn.TEXTBEFORE(J1076,"-"), {"CSS","CSN","PCB","PCF","BEC","CSD","PCM"}, 0)),
            _xlfn.TEXTBEFORE(J1076,"-"),
            "Other"
        )
    ),
"Add")</f>
        <v>PCB</v>
      </c>
      <c r="B1076" s="10" t="str">
        <f t="shared" si="17"/>
        <v>0019</v>
      </c>
      <c r="C1076" s="10" t="str">
        <f>_xlfn.LET(
    _xlpm.val, IF(Datadetails[[#This Row],[Activity]]="D02","C20",Datadetails[[#This Row],[Activity]]),
    IF(ISNUMBER(MATCH(_xlpm.val,{"D04","C30","c40","C20"},0)), _xlpm.val, "Other")
)</f>
        <v>C30</v>
      </c>
      <c r="D1076" s="10" t="str">
        <f>IFERROR(VLOOKUP(Datadetails[[#This Row],[Taskcode]],Dashboard!A:A,1,FALSE),"00 Err Missing")</f>
        <v>0019</v>
      </c>
      <c r="E1076" s="79">
        <v>45827</v>
      </c>
      <c r="F1076" s="80" t="s">
        <v>329</v>
      </c>
      <c r="G1076" s="60" t="s">
        <v>40</v>
      </c>
      <c r="H1076" s="80" t="s">
        <v>186</v>
      </c>
      <c r="I1076" s="80" t="s">
        <v>34</v>
      </c>
      <c r="J1076" s="80" t="s">
        <v>397</v>
      </c>
      <c r="K1076" s="80" t="s">
        <v>347</v>
      </c>
      <c r="L1076" s="80" t="s">
        <v>343</v>
      </c>
      <c r="M1076" s="81">
        <v>0.17</v>
      </c>
      <c r="N1076" s="82">
        <v>12.750000000000002</v>
      </c>
    </row>
    <row r="1077" spans="1:14" x14ac:dyDescent="0.25">
      <c r="A1077" s="10" t="str">
        <f>_xlfn.IFNA(
    IF(J1077=
        "PCB-0001",
        "CSS",
        IF(
            ISNUMBER(MATCH(_xlfn.TEXTBEFORE(J1077,"-"), {"CSS","CSN","PCB","PCF","BEC","CSD","PCM"}, 0)),
            _xlfn.TEXTBEFORE(J1077,"-"),
            "Other"
        )
    ),
"Add")</f>
        <v>PCB</v>
      </c>
      <c r="B1077" s="10" t="str">
        <f t="shared" si="17"/>
        <v>0029</v>
      </c>
      <c r="C1077" s="10" t="str">
        <f>_xlfn.LET(
    _xlpm.val, IF(Datadetails[[#This Row],[Activity]]="D02","C20",Datadetails[[#This Row],[Activity]]),
    IF(ISNUMBER(MATCH(_xlpm.val,{"D04","C30","c40","C20"},0)), _xlpm.val, "Other")
)</f>
        <v>C30</v>
      </c>
      <c r="D1077" s="10" t="str">
        <f>IFERROR(VLOOKUP(Datadetails[[#This Row],[Taskcode]],Dashboard!A:A,1,FALSE),"00 Err Missing")</f>
        <v>0029</v>
      </c>
      <c r="E1077" s="79">
        <v>45827</v>
      </c>
      <c r="F1077" s="80" t="s">
        <v>330</v>
      </c>
      <c r="G1077" s="60" t="s">
        <v>40</v>
      </c>
      <c r="H1077" s="80" t="s">
        <v>196</v>
      </c>
      <c r="I1077" s="80" t="s">
        <v>34</v>
      </c>
      <c r="J1077" s="80" t="s">
        <v>446</v>
      </c>
      <c r="K1077" s="80" t="s">
        <v>347</v>
      </c>
      <c r="L1077" s="80" t="s">
        <v>343</v>
      </c>
      <c r="M1077" s="81">
        <v>0.5</v>
      </c>
      <c r="N1077" s="82">
        <v>30</v>
      </c>
    </row>
    <row r="1078" spans="1:14" x14ac:dyDescent="0.25">
      <c r="A1078" s="10" t="str">
        <f>_xlfn.IFNA(
    IF(J1078=
        "PCB-0001",
        "CSS",
        IF(
            ISNUMBER(MATCH(_xlfn.TEXTBEFORE(J1078,"-"), {"CSS","CSN","PCB","PCF","BEC","CSD","PCM"}, 0)),
            _xlfn.TEXTBEFORE(J1078,"-"),
            "Other"
        )
    ),
"Add")</f>
        <v>PCB</v>
      </c>
      <c r="B1078" s="10" t="str">
        <f t="shared" si="17"/>
        <v>0136</v>
      </c>
      <c r="C1078" s="10" t="str">
        <f>_xlfn.LET(
    _xlpm.val, IF(Datadetails[[#This Row],[Activity]]="D02","C20",Datadetails[[#This Row],[Activity]]),
    IF(ISNUMBER(MATCH(_xlpm.val,{"D04","C30","c40","C20"},0)), _xlpm.val, "Other")
)</f>
        <v>C30</v>
      </c>
      <c r="D1078" s="10" t="str">
        <f>IFERROR(VLOOKUP(Datadetails[[#This Row],[Taskcode]],Dashboard!A:A,1,FALSE),"00 Err Missing")</f>
        <v>0136</v>
      </c>
      <c r="E1078" s="79">
        <v>45827</v>
      </c>
      <c r="F1078" s="80" t="s">
        <v>329</v>
      </c>
      <c r="G1078" s="60" t="s">
        <v>40</v>
      </c>
      <c r="H1078" s="80" t="s">
        <v>303</v>
      </c>
      <c r="I1078" s="80" t="s">
        <v>34</v>
      </c>
      <c r="J1078" s="80" t="s">
        <v>400</v>
      </c>
      <c r="K1078" s="80" t="s">
        <v>347</v>
      </c>
      <c r="L1078" s="80" t="s">
        <v>343</v>
      </c>
      <c r="M1078" s="81">
        <v>0.5</v>
      </c>
      <c r="N1078" s="82">
        <v>37.5</v>
      </c>
    </row>
    <row r="1079" spans="1:14" x14ac:dyDescent="0.25">
      <c r="A1079" s="10" t="str">
        <f>_xlfn.IFNA(
    IF(J1079=
        "PCB-0001",
        "CSS",
        IF(
            ISNUMBER(MATCH(_xlfn.TEXTBEFORE(J1079,"-"), {"CSS","CSN","PCB","PCF","BEC","CSD","PCM"}, 0)),
            _xlfn.TEXTBEFORE(J1079,"-"),
            "Other"
        )
    ),
"Add")</f>
        <v>PCB</v>
      </c>
      <c r="B1079" s="10" t="str">
        <f t="shared" si="17"/>
        <v>0074</v>
      </c>
      <c r="C1079" s="10" t="str">
        <f>_xlfn.LET(
    _xlpm.val, IF(Datadetails[[#This Row],[Activity]]="D02","C20",Datadetails[[#This Row],[Activity]]),
    IF(ISNUMBER(MATCH(_xlpm.val,{"D04","C30","c40","C20"},0)), _xlpm.val, "Other")
)</f>
        <v>C30</v>
      </c>
      <c r="D1079" s="10" t="str">
        <f>IFERROR(VLOOKUP(Datadetails[[#This Row],[Taskcode]],Dashboard!A:A,1,FALSE),"00 Err Missing")</f>
        <v>0074</v>
      </c>
      <c r="E1079" s="79">
        <v>45827</v>
      </c>
      <c r="F1079" s="80" t="s">
        <v>329</v>
      </c>
      <c r="G1079" s="60" t="s">
        <v>40</v>
      </c>
      <c r="H1079" s="80" t="s">
        <v>241</v>
      </c>
      <c r="I1079" s="80" t="s">
        <v>34</v>
      </c>
      <c r="J1079" s="80" t="s">
        <v>403</v>
      </c>
      <c r="K1079" s="80" t="s">
        <v>347</v>
      </c>
      <c r="L1079" s="80" t="s">
        <v>343</v>
      </c>
      <c r="M1079" s="81">
        <v>0.17</v>
      </c>
      <c r="N1079" s="82">
        <v>12.750000000000002</v>
      </c>
    </row>
    <row r="1080" spans="1:14" x14ac:dyDescent="0.25">
      <c r="A1080" s="10" t="str">
        <f>_xlfn.IFNA(
    IF(J1080=
        "PCB-0001",
        "CSS",
        IF(
            ISNUMBER(MATCH(_xlfn.TEXTBEFORE(J1080,"-"), {"CSS","CSN","PCB","PCF","BEC","CSD","PCM"}, 0)),
            _xlfn.TEXTBEFORE(J1080,"-"),
            "Other"
        )
    ),
"Add")</f>
        <v>PCB</v>
      </c>
      <c r="B1080" s="10" t="str">
        <f t="shared" si="17"/>
        <v>0075</v>
      </c>
      <c r="C1080" s="10" t="str">
        <f>_xlfn.LET(
    _xlpm.val, IF(Datadetails[[#This Row],[Activity]]="D02","C20",Datadetails[[#This Row],[Activity]]),
    IF(ISNUMBER(MATCH(_xlpm.val,{"D04","C30","c40","C20"},0)), _xlpm.val, "Other")
)</f>
        <v>C30</v>
      </c>
      <c r="D1080" s="10" t="str">
        <f>IFERROR(VLOOKUP(Datadetails[[#This Row],[Taskcode]],Dashboard!A:A,1,FALSE),"00 Err Missing")</f>
        <v>0075</v>
      </c>
      <c r="E1080" s="79">
        <v>45827</v>
      </c>
      <c r="F1080" s="80" t="s">
        <v>329</v>
      </c>
      <c r="G1080" s="60" t="s">
        <v>40</v>
      </c>
      <c r="H1080" s="80" t="s">
        <v>242</v>
      </c>
      <c r="I1080" s="80" t="s">
        <v>34</v>
      </c>
      <c r="J1080" s="80" t="s">
        <v>404</v>
      </c>
      <c r="K1080" s="80" t="s">
        <v>347</v>
      </c>
      <c r="L1080" s="80" t="s">
        <v>343</v>
      </c>
      <c r="M1080" s="81">
        <v>0.17</v>
      </c>
      <c r="N1080" s="82">
        <v>12.750000000000002</v>
      </c>
    </row>
    <row r="1081" spans="1:14" x14ac:dyDescent="0.25">
      <c r="A1081" s="10" t="str">
        <f>_xlfn.IFNA(
    IF(J1081=
        "PCB-0001",
        "CSS",
        IF(
            ISNUMBER(MATCH(_xlfn.TEXTBEFORE(J1081,"-"), {"CSS","CSN","PCB","PCF","BEC","CSD","PCM"}, 0)),
            _xlfn.TEXTBEFORE(J1081,"-"),
            "Other"
        )
    ),
"Add")</f>
        <v>PCB</v>
      </c>
      <c r="B1081" s="10" t="str">
        <f t="shared" si="17"/>
        <v>0088</v>
      </c>
      <c r="C1081" s="10" t="str">
        <f>_xlfn.LET(
    _xlpm.val, IF(Datadetails[[#This Row],[Activity]]="D02","C20",Datadetails[[#This Row],[Activity]]),
    IF(ISNUMBER(MATCH(_xlpm.val,{"D04","C30","c40","C20"},0)), _xlpm.val, "Other")
)</f>
        <v>C30</v>
      </c>
      <c r="D1081" s="10" t="str">
        <f>IFERROR(VLOOKUP(Datadetails[[#This Row],[Taskcode]],Dashboard!A:A,1,FALSE),"00 Err Missing")</f>
        <v>0088</v>
      </c>
      <c r="E1081" s="79">
        <v>45827</v>
      </c>
      <c r="F1081" s="80" t="s">
        <v>330</v>
      </c>
      <c r="G1081" s="60" t="s">
        <v>40</v>
      </c>
      <c r="H1081" s="80" t="s">
        <v>255</v>
      </c>
      <c r="I1081" s="80" t="s">
        <v>34</v>
      </c>
      <c r="J1081" s="80" t="s">
        <v>462</v>
      </c>
      <c r="K1081" s="80" t="s">
        <v>347</v>
      </c>
      <c r="L1081" s="80" t="s">
        <v>343</v>
      </c>
      <c r="M1081" s="81">
        <v>0.5</v>
      </c>
      <c r="N1081" s="82">
        <v>30</v>
      </c>
    </row>
    <row r="1082" spans="1:14" x14ac:dyDescent="0.25">
      <c r="A1082" s="10" t="str">
        <f>_xlfn.IFNA(
    IF(J1082=
        "PCB-0001",
        "CSS",
        IF(
            ISNUMBER(MATCH(_xlfn.TEXTBEFORE(J1082,"-"), {"CSS","CSN","PCB","PCF","BEC","CSD","PCM"}, 0)),
            _xlfn.TEXTBEFORE(J1082,"-"),
            "Other"
        )
    ),
"Add")</f>
        <v>PCB</v>
      </c>
      <c r="B1082" s="10" t="str">
        <f t="shared" si="17"/>
        <v>0097</v>
      </c>
      <c r="C1082" s="10" t="str">
        <f>_xlfn.LET(
    _xlpm.val, IF(Datadetails[[#This Row],[Activity]]="D02","C20",Datadetails[[#This Row],[Activity]]),
    IF(ISNUMBER(MATCH(_xlpm.val,{"D04","C30","c40","C20"},0)), _xlpm.val, "Other")
)</f>
        <v>C30</v>
      </c>
      <c r="D1082" s="10" t="str">
        <f>IFERROR(VLOOKUP(Datadetails[[#This Row],[Taskcode]],Dashboard!A:A,1,FALSE),"00 Err Missing")</f>
        <v>0097</v>
      </c>
      <c r="E1082" s="79">
        <v>45827</v>
      </c>
      <c r="F1082" s="80" t="s">
        <v>325</v>
      </c>
      <c r="G1082" s="60" t="s">
        <v>40</v>
      </c>
      <c r="H1082" s="80" t="s">
        <v>264</v>
      </c>
      <c r="I1082" s="80" t="s">
        <v>34</v>
      </c>
      <c r="J1082" s="80" t="s">
        <v>384</v>
      </c>
      <c r="K1082" s="80" t="s">
        <v>347</v>
      </c>
      <c r="L1082" s="80" t="s">
        <v>343</v>
      </c>
      <c r="M1082" s="81">
        <v>0.33</v>
      </c>
      <c r="N1082" s="82">
        <v>24.75</v>
      </c>
    </row>
    <row r="1083" spans="1:14" x14ac:dyDescent="0.25">
      <c r="A1083" s="10" t="str">
        <f>_xlfn.IFNA(
    IF(J1083=
        "PCB-0001",
        "CSS",
        IF(
            ISNUMBER(MATCH(_xlfn.TEXTBEFORE(J1083,"-"), {"CSS","CSN","PCB","PCF","BEC","CSD","PCM"}, 0)),
            _xlfn.TEXTBEFORE(J1083,"-"),
            "Other"
        )
    ),
"Add")</f>
        <v>PCB</v>
      </c>
      <c r="B1083" s="10" t="str">
        <f t="shared" si="17"/>
        <v>0082</v>
      </c>
      <c r="C1083" s="10" t="str">
        <f>_xlfn.LET(
    _xlpm.val, IF(Datadetails[[#This Row],[Activity]]="D02","C20",Datadetails[[#This Row],[Activity]]),
    IF(ISNUMBER(MATCH(_xlpm.val,{"D04","C30","c40","C20"},0)), _xlpm.val, "Other")
)</f>
        <v>C30</v>
      </c>
      <c r="D1083" s="10" t="str">
        <f>IFERROR(VLOOKUP(Datadetails[[#This Row],[Taskcode]],Dashboard!A:A,1,FALSE),"00 Err Missing")</f>
        <v>0082</v>
      </c>
      <c r="E1083" s="79">
        <v>45827</v>
      </c>
      <c r="F1083" s="80" t="s">
        <v>325</v>
      </c>
      <c r="G1083" s="60" t="s">
        <v>40</v>
      </c>
      <c r="H1083" s="80" t="s">
        <v>249</v>
      </c>
      <c r="I1083" s="80" t="s">
        <v>34</v>
      </c>
      <c r="J1083" s="80" t="s">
        <v>409</v>
      </c>
      <c r="K1083" s="80" t="s">
        <v>347</v>
      </c>
      <c r="L1083" s="80" t="s">
        <v>343</v>
      </c>
      <c r="M1083" s="81">
        <v>0.17</v>
      </c>
      <c r="N1083" s="82">
        <v>12.750000000000002</v>
      </c>
    </row>
    <row r="1084" spans="1:14" x14ac:dyDescent="0.25">
      <c r="A1084" s="10" t="str">
        <f>_xlfn.IFNA(
    IF(J1084=
        "PCB-0001",
        "CSS",
        IF(
            ISNUMBER(MATCH(_xlfn.TEXTBEFORE(J1084,"-"), {"CSS","CSN","PCB","PCF","BEC","CSD","PCM"}, 0)),
            _xlfn.TEXTBEFORE(J1084,"-"),
            "Other"
        )
    ),
"Add")</f>
        <v>PCB</v>
      </c>
      <c r="B1084" s="10" t="str">
        <f t="shared" si="17"/>
        <v>0080</v>
      </c>
      <c r="C1084" s="10" t="str">
        <f>_xlfn.LET(
    _xlpm.val, IF(Datadetails[[#This Row],[Activity]]="D02","C20",Datadetails[[#This Row],[Activity]]),
    IF(ISNUMBER(MATCH(_xlpm.val,{"D04","C30","c40","C20"},0)), _xlpm.val, "Other")
)</f>
        <v>C30</v>
      </c>
      <c r="D1084" s="10" t="str">
        <f>IFERROR(VLOOKUP(Datadetails[[#This Row],[Taskcode]],Dashboard!A:A,1,FALSE),"00 Err Missing")</f>
        <v>0080</v>
      </c>
      <c r="E1084" s="79">
        <v>45827</v>
      </c>
      <c r="F1084" s="80" t="s">
        <v>329</v>
      </c>
      <c r="G1084" s="60" t="s">
        <v>40</v>
      </c>
      <c r="H1084" s="80" t="s">
        <v>247</v>
      </c>
      <c r="I1084" s="80" t="s">
        <v>34</v>
      </c>
      <c r="J1084" s="80" t="s">
        <v>375</v>
      </c>
      <c r="K1084" s="80" t="s">
        <v>347</v>
      </c>
      <c r="L1084" s="80" t="s">
        <v>343</v>
      </c>
      <c r="M1084" s="81">
        <v>0.33</v>
      </c>
      <c r="N1084" s="82">
        <v>24.75</v>
      </c>
    </row>
    <row r="1085" spans="1:14" x14ac:dyDescent="0.25">
      <c r="A1085" s="10" t="str">
        <f>_xlfn.IFNA(
    IF(J1085=
        "PCB-0001",
        "CSS",
        IF(
            ISNUMBER(MATCH(_xlfn.TEXTBEFORE(J1085,"-"), {"CSS","CSN","PCB","PCF","BEC","CSD","PCM"}, 0)),
            _xlfn.TEXTBEFORE(J1085,"-"),
            "Other"
        )
    ),
"Add")</f>
        <v>PCB</v>
      </c>
      <c r="B1085" s="10" t="str">
        <f t="shared" si="17"/>
        <v>0106</v>
      </c>
      <c r="C1085" s="10" t="str">
        <f>_xlfn.LET(
    _xlpm.val, IF(Datadetails[[#This Row],[Activity]]="D02","C20",Datadetails[[#This Row],[Activity]]),
    IF(ISNUMBER(MATCH(_xlpm.val,{"D04","C30","c40","C20"},0)), _xlpm.val, "Other")
)</f>
        <v>C30</v>
      </c>
      <c r="D1085" s="10" t="str">
        <f>IFERROR(VLOOKUP(Datadetails[[#This Row],[Taskcode]],Dashboard!A:A,1,FALSE),"00 Err Missing")</f>
        <v>0106</v>
      </c>
      <c r="E1085" s="79">
        <v>45827</v>
      </c>
      <c r="F1085" s="80" t="s">
        <v>330</v>
      </c>
      <c r="G1085" s="60" t="s">
        <v>40</v>
      </c>
      <c r="H1085" s="80" t="s">
        <v>273</v>
      </c>
      <c r="I1085" s="80" t="s">
        <v>34</v>
      </c>
      <c r="J1085" s="80" t="s">
        <v>469</v>
      </c>
      <c r="K1085" s="80" t="s">
        <v>347</v>
      </c>
      <c r="L1085" s="80" t="s">
        <v>343</v>
      </c>
      <c r="M1085" s="81">
        <v>0.5</v>
      </c>
      <c r="N1085" s="82">
        <v>30</v>
      </c>
    </row>
    <row r="1086" spans="1:14" x14ac:dyDescent="0.25">
      <c r="A1086" s="10" t="str">
        <f>_xlfn.IFNA(
    IF(J1086=
        "PCB-0001",
        "CSS",
        IF(
            ISNUMBER(MATCH(_xlfn.TEXTBEFORE(J1086,"-"), {"CSS","CSN","PCB","PCF","BEC","CSD","PCM"}, 0)),
            _xlfn.TEXTBEFORE(J1086,"-"),
            "Other"
        )
    ),
"Add")</f>
        <v>PCB</v>
      </c>
      <c r="B1086" s="10" t="str">
        <f t="shared" si="17"/>
        <v>0129</v>
      </c>
      <c r="C1086" s="10" t="str">
        <f>_xlfn.LET(
    _xlpm.val, IF(Datadetails[[#This Row],[Activity]]="D02","C20",Datadetails[[#This Row],[Activity]]),
    IF(ISNUMBER(MATCH(_xlpm.val,{"D04","C30","c40","C20"},0)), _xlpm.val, "Other")
)</f>
        <v>C40</v>
      </c>
      <c r="D1086" s="10" t="str">
        <f>IFERROR(VLOOKUP(Datadetails[[#This Row],[Taskcode]],Dashboard!A:A,1,FALSE),"00 Err Missing")</f>
        <v>0129</v>
      </c>
      <c r="E1086" s="79">
        <v>45827</v>
      </c>
      <c r="F1086" s="80" t="s">
        <v>329</v>
      </c>
      <c r="G1086" s="60" t="s">
        <v>40</v>
      </c>
      <c r="H1086" s="80" t="s">
        <v>296</v>
      </c>
      <c r="I1086" s="80" t="s">
        <v>341</v>
      </c>
      <c r="J1086" s="80" t="s">
        <v>411</v>
      </c>
      <c r="K1086" s="80" t="s">
        <v>347</v>
      </c>
      <c r="L1086" s="80" t="s">
        <v>344</v>
      </c>
      <c r="M1086" s="81">
        <v>2.25</v>
      </c>
      <c r="N1086" s="82">
        <v>168.75</v>
      </c>
    </row>
    <row r="1087" spans="1:14" x14ac:dyDescent="0.25">
      <c r="A1087" s="10" t="str">
        <f>_xlfn.IFNA(
    IF(J1087=
        "PCB-0001",
        "CSS",
        IF(
            ISNUMBER(MATCH(_xlfn.TEXTBEFORE(J1087,"-"), {"CSS","CSN","PCB","PCF","BEC","CSD","PCM"}, 0)),
            _xlfn.TEXTBEFORE(J1087,"-"),
            "Other"
        )
    ),
"Add")</f>
        <v>PCF</v>
      </c>
      <c r="B1087" s="10" t="str">
        <f t="shared" si="17"/>
        <v>0021</v>
      </c>
      <c r="C1087" s="10" t="str">
        <f>_xlfn.LET(
    _xlpm.val, IF(Datadetails[[#This Row],[Activity]]="D02","C20",Datadetails[[#This Row],[Activity]]),
    IF(ISNUMBER(MATCH(_xlpm.val,{"D04","C30","c40","C20"},0)), _xlpm.val, "Other")
)</f>
        <v>C20</v>
      </c>
      <c r="D1087" s="10" t="str">
        <f>IFERROR(VLOOKUP(Datadetails[[#This Row],[Taskcode]],Dashboard!A:A,1,FALSE),"00 Err Missing")</f>
        <v>0021</v>
      </c>
      <c r="E1087" s="79">
        <v>45827</v>
      </c>
      <c r="F1087" s="80" t="s">
        <v>326</v>
      </c>
      <c r="G1087" s="60" t="s">
        <v>40</v>
      </c>
      <c r="H1087" s="80" t="s">
        <v>188</v>
      </c>
      <c r="I1087" s="80" t="s">
        <v>36</v>
      </c>
      <c r="J1087" s="80" t="s">
        <v>356</v>
      </c>
      <c r="K1087" s="80" t="s">
        <v>348</v>
      </c>
      <c r="L1087" s="80" t="s">
        <v>342</v>
      </c>
      <c r="M1087" s="81">
        <v>1</v>
      </c>
      <c r="N1087" s="82">
        <v>60</v>
      </c>
    </row>
    <row r="1088" spans="1:14" x14ac:dyDescent="0.25">
      <c r="A1088" s="10" t="str">
        <f>_xlfn.IFNA(
    IF(J1088=
        "PCB-0001",
        "CSS",
        IF(
            ISNUMBER(MATCH(_xlfn.TEXTBEFORE(J1088,"-"), {"CSS","CSN","PCB","PCF","BEC","CSD","PCM"}, 0)),
            _xlfn.TEXTBEFORE(J1088,"-"),
            "Other"
        )
    ),
"Add")</f>
        <v>PCF</v>
      </c>
      <c r="B1088" s="10" t="str">
        <f t="shared" si="17"/>
        <v>0068</v>
      </c>
      <c r="C1088" s="10" t="str">
        <f>_xlfn.LET(
    _xlpm.val, IF(Datadetails[[#This Row],[Activity]]="D02","C20",Datadetails[[#This Row],[Activity]]),
    IF(ISNUMBER(MATCH(_xlpm.val,{"D04","C30","c40","C20"},0)), _xlpm.val, "Other")
)</f>
        <v>C20</v>
      </c>
      <c r="D1088" s="10" t="str">
        <f>IFERROR(VLOOKUP(Datadetails[[#This Row],[Taskcode]],Dashboard!A:A,1,FALSE),"00 Err Missing")</f>
        <v>0068</v>
      </c>
      <c r="E1088" s="79">
        <v>45827</v>
      </c>
      <c r="F1088" s="80" t="s">
        <v>326</v>
      </c>
      <c r="G1088" s="60" t="s">
        <v>40</v>
      </c>
      <c r="H1088" s="80" t="s">
        <v>235</v>
      </c>
      <c r="I1088" s="80" t="s">
        <v>36</v>
      </c>
      <c r="J1088" s="80" t="s">
        <v>355</v>
      </c>
      <c r="K1088" s="80" t="s">
        <v>348</v>
      </c>
      <c r="L1088" s="80" t="s">
        <v>342</v>
      </c>
      <c r="M1088" s="81">
        <v>1</v>
      </c>
      <c r="N1088" s="82">
        <v>60</v>
      </c>
    </row>
    <row r="1089" spans="1:14" x14ac:dyDescent="0.25">
      <c r="A1089" s="10" t="str">
        <f>_xlfn.IFNA(
    IF(J1089=
        "PCB-0001",
        "CSS",
        IF(
            ISNUMBER(MATCH(_xlfn.TEXTBEFORE(J1089,"-"), {"CSS","CSN","PCB","PCF","BEC","CSD","PCM"}, 0)),
            _xlfn.TEXTBEFORE(J1089,"-"),
            "Other"
        )
    ),
"Add")</f>
        <v>PCF</v>
      </c>
      <c r="B1089" s="10" t="str">
        <f t="shared" si="17"/>
        <v>0133</v>
      </c>
      <c r="C1089" s="10" t="str">
        <f>_xlfn.LET(
    _xlpm.val, IF(Datadetails[[#This Row],[Activity]]="D02","C20",Datadetails[[#This Row],[Activity]]),
    IF(ISNUMBER(MATCH(_xlpm.val,{"D04","C30","c40","C20"},0)), _xlpm.val, "Other")
)</f>
        <v>C20</v>
      </c>
      <c r="D1089" s="10" t="str">
        <f>IFERROR(VLOOKUP(Datadetails[[#This Row],[Taskcode]],Dashboard!A:A,1,FALSE),"00 Err Missing")</f>
        <v>0133</v>
      </c>
      <c r="E1089" s="79">
        <v>45827</v>
      </c>
      <c r="F1089" s="80" t="s">
        <v>326</v>
      </c>
      <c r="G1089" s="60" t="s">
        <v>40</v>
      </c>
      <c r="H1089" s="80" t="s">
        <v>300</v>
      </c>
      <c r="I1089" s="80" t="s">
        <v>36</v>
      </c>
      <c r="J1089" s="80" t="s">
        <v>464</v>
      </c>
      <c r="K1089" s="80" t="s">
        <v>348</v>
      </c>
      <c r="L1089" s="80" t="s">
        <v>342</v>
      </c>
      <c r="M1089" s="81">
        <v>0.5</v>
      </c>
      <c r="N1089" s="82">
        <v>30</v>
      </c>
    </row>
    <row r="1090" spans="1:14" x14ac:dyDescent="0.25">
      <c r="A1090" s="10" t="str">
        <f>_xlfn.IFNA(
    IF(J1090=
        "PCB-0001",
        "CSS",
        IF(
            ISNUMBER(MATCH(_xlfn.TEXTBEFORE(J1090,"-"), {"CSS","CSN","PCB","PCF","BEC","CSD","PCM"}, 0)),
            _xlfn.TEXTBEFORE(J1090,"-"),
            "Other"
        )
    ),
"Add")</f>
        <v>BEC</v>
      </c>
      <c r="B1090" s="10" t="str">
        <f t="shared" si="17"/>
        <v>0001</v>
      </c>
      <c r="C1090" s="10" t="str">
        <f>_xlfn.LET(
    _xlpm.val, IF(Datadetails[[#This Row],[Activity]]="D02","C20",Datadetails[[#This Row],[Activity]]),
    IF(ISNUMBER(MATCH(_xlpm.val,{"D04","C30","c40","C20"},0)), _xlpm.val, "Other")
)</f>
        <v>D04</v>
      </c>
      <c r="D1090" s="10" t="str">
        <f>IFERROR(VLOOKUP(Datadetails[[#This Row],[Taskcode]],Dashboard!A:A,1,FALSE),"00 Err Missing")</f>
        <v>0001</v>
      </c>
      <c r="E1090" s="79">
        <v>45827</v>
      </c>
      <c r="F1090" s="80" t="s">
        <v>332</v>
      </c>
      <c r="G1090" s="60" t="s">
        <v>40</v>
      </c>
      <c r="H1090" s="80" t="s">
        <v>314</v>
      </c>
      <c r="I1090" s="80" t="s">
        <v>35</v>
      </c>
      <c r="J1090" s="80" t="s">
        <v>359</v>
      </c>
      <c r="K1090" s="80" t="s">
        <v>339</v>
      </c>
      <c r="L1090" s="80" t="s">
        <v>352</v>
      </c>
      <c r="M1090" s="81">
        <v>7.5</v>
      </c>
      <c r="N1090" s="82">
        <v>300</v>
      </c>
    </row>
    <row r="1091" spans="1:14" x14ac:dyDescent="0.25">
      <c r="A1091" s="10" t="str">
        <f>_xlfn.IFNA(
    IF(J1091=
        "PCB-0001",
        "CSS",
        IF(
            ISNUMBER(MATCH(_xlfn.TEXTBEFORE(J1091,"-"), {"CSS","CSN","PCB","PCF","BEC","CSD","PCM"}, 0)),
            _xlfn.TEXTBEFORE(J1091,"-"),
            "Other"
        )
    ),
"Add")</f>
        <v>BEC</v>
      </c>
      <c r="B1091" s="10" t="str">
        <f t="shared" si="17"/>
        <v>0001</v>
      </c>
      <c r="C1091" s="10" t="str">
        <f>_xlfn.LET(
    _xlpm.val, IF(Datadetails[[#This Row],[Activity]]="D02","C20",Datadetails[[#This Row],[Activity]]),
    IF(ISNUMBER(MATCH(_xlpm.val,{"D04","C30","c40","C20"},0)), _xlpm.val, "Other")
)</f>
        <v>D04</v>
      </c>
      <c r="D1091" s="10" t="str">
        <f>IFERROR(VLOOKUP(Datadetails[[#This Row],[Taskcode]],Dashboard!A:A,1,FALSE),"00 Err Missing")</f>
        <v>0001</v>
      </c>
      <c r="E1091" s="79">
        <v>45827</v>
      </c>
      <c r="F1091" s="80" t="s">
        <v>324</v>
      </c>
      <c r="G1091" s="60" t="s">
        <v>40</v>
      </c>
      <c r="H1091" s="80" t="s">
        <v>314</v>
      </c>
      <c r="I1091" s="80" t="s">
        <v>35</v>
      </c>
      <c r="J1091" s="80" t="s">
        <v>359</v>
      </c>
      <c r="K1091" s="80" t="s">
        <v>339</v>
      </c>
      <c r="L1091" s="80" t="s">
        <v>352</v>
      </c>
      <c r="M1091" s="81">
        <v>4.75</v>
      </c>
      <c r="N1091" s="82">
        <v>356.25</v>
      </c>
    </row>
    <row r="1092" spans="1:14" x14ac:dyDescent="0.25">
      <c r="A1092" s="10" t="str">
        <f>_xlfn.IFNA(
    IF(J1092=
        "PCB-0001",
        "CSS",
        IF(
            ISNUMBER(MATCH(_xlfn.TEXTBEFORE(J1092,"-"), {"CSS","CSN","PCB","PCF","BEC","CSD","PCM"}, 0)),
            _xlfn.TEXTBEFORE(J1092,"-"),
            "Other"
        )
    ),
"Add")</f>
        <v>PCB</v>
      </c>
      <c r="B1092" s="10" t="str">
        <f t="shared" ref="B1092:B1155" si="18">_xlfn.IFNA(_xlfn.TEXTAFTER(J1092,"-"),"Data to C2")</f>
        <v>0029</v>
      </c>
      <c r="C1092" s="10" t="str">
        <f>_xlfn.LET(
    _xlpm.val, IF(Datadetails[[#This Row],[Activity]]="D02","C20",Datadetails[[#This Row],[Activity]]),
    IF(ISNUMBER(MATCH(_xlpm.val,{"D04","C30","c40","C20"},0)), _xlpm.val, "Other")
)</f>
        <v>C40</v>
      </c>
      <c r="D1092" s="10" t="str">
        <f>IFERROR(VLOOKUP(Datadetails[[#This Row],[Taskcode]],Dashboard!A:A,1,FALSE),"00 Err Missing")</f>
        <v>0029</v>
      </c>
      <c r="E1092" s="79">
        <v>45828</v>
      </c>
      <c r="F1092" s="80" t="s">
        <v>330</v>
      </c>
      <c r="G1092" s="60" t="s">
        <v>40</v>
      </c>
      <c r="H1092" s="80" t="s">
        <v>196</v>
      </c>
      <c r="I1092" s="80" t="s">
        <v>341</v>
      </c>
      <c r="J1092" s="80" t="s">
        <v>446</v>
      </c>
      <c r="K1092" s="80" t="s">
        <v>347</v>
      </c>
      <c r="L1092" s="80" t="s">
        <v>344</v>
      </c>
      <c r="M1092" s="81">
        <v>1</v>
      </c>
      <c r="N1092" s="82">
        <v>60</v>
      </c>
    </row>
    <row r="1093" spans="1:14" x14ac:dyDescent="0.25">
      <c r="A1093" s="10" t="str">
        <f>_xlfn.IFNA(
    IF(J1093=
        "PCB-0001",
        "CSS",
        IF(
            ISNUMBER(MATCH(_xlfn.TEXTBEFORE(J1093,"-"), {"CSS","CSN","PCB","PCF","BEC","CSD","PCM"}, 0)),
            _xlfn.TEXTBEFORE(J1093,"-"),
            "Other"
        )
    ),
"Add")</f>
        <v>PCM</v>
      </c>
      <c r="B1093" s="10" t="str">
        <f t="shared" si="18"/>
        <v>0045</v>
      </c>
      <c r="C1093" s="10" t="str">
        <f>_xlfn.LET(
    _xlpm.val, IF(Datadetails[[#This Row],[Activity]]="D02","C20",Datadetails[[#This Row],[Activity]]),
    IF(ISNUMBER(MATCH(_xlpm.val,{"D04","C30","c40","C20"},0)), _xlpm.val, "Other")
)</f>
        <v>C20</v>
      </c>
      <c r="D1093" s="10" t="str">
        <f>IFERROR(VLOOKUP(Datadetails[[#This Row],[Taskcode]],Dashboard!A:A,1,FALSE),"00 Err Missing")</f>
        <v>0045</v>
      </c>
      <c r="E1093" s="79">
        <v>45828</v>
      </c>
      <c r="F1093" s="80" t="s">
        <v>323</v>
      </c>
      <c r="G1093" s="60" t="s">
        <v>40</v>
      </c>
      <c r="H1093" s="80" t="s">
        <v>212</v>
      </c>
      <c r="I1093" s="80" t="s">
        <v>36</v>
      </c>
      <c r="J1093" s="80" t="s">
        <v>392</v>
      </c>
      <c r="K1093" s="80" t="s">
        <v>346</v>
      </c>
      <c r="L1093" s="80" t="s">
        <v>342</v>
      </c>
      <c r="M1093" s="81">
        <v>0.5</v>
      </c>
      <c r="N1093" s="82">
        <v>30</v>
      </c>
    </row>
    <row r="1094" spans="1:14" x14ac:dyDescent="0.25">
      <c r="A1094" s="10" t="str">
        <f>_xlfn.IFNA(
    IF(J1094=
        "PCB-0001",
        "CSS",
        IF(
            ISNUMBER(MATCH(_xlfn.TEXTBEFORE(J1094,"-"), {"CSS","CSN","PCB","PCF","BEC","CSD","PCM"}, 0)),
            _xlfn.TEXTBEFORE(J1094,"-"),
            "Other"
        )
    ),
"Add")</f>
        <v>PCM</v>
      </c>
      <c r="B1094" s="10" t="str">
        <f t="shared" si="18"/>
        <v>0052</v>
      </c>
      <c r="C1094" s="10" t="str">
        <f>_xlfn.LET(
    _xlpm.val, IF(Datadetails[[#This Row],[Activity]]="D02","C20",Datadetails[[#This Row],[Activity]]),
    IF(ISNUMBER(MATCH(_xlpm.val,{"D04","C30","c40","C20"},0)), _xlpm.val, "Other")
)</f>
        <v>C20</v>
      </c>
      <c r="D1094" s="10" t="str">
        <f>IFERROR(VLOOKUP(Datadetails[[#This Row],[Taskcode]],Dashboard!A:A,1,FALSE),"00 Err Missing")</f>
        <v>0052</v>
      </c>
      <c r="E1094" s="79">
        <v>45828</v>
      </c>
      <c r="F1094" s="80" t="s">
        <v>323</v>
      </c>
      <c r="G1094" s="60" t="s">
        <v>40</v>
      </c>
      <c r="H1094" s="80" t="s">
        <v>219</v>
      </c>
      <c r="I1094" s="80" t="s">
        <v>36</v>
      </c>
      <c r="J1094" s="80" t="s">
        <v>432</v>
      </c>
      <c r="K1094" s="80" t="s">
        <v>346</v>
      </c>
      <c r="L1094" s="80" t="s">
        <v>342</v>
      </c>
      <c r="M1094" s="81">
        <v>0.5</v>
      </c>
      <c r="N1094" s="82">
        <v>30</v>
      </c>
    </row>
    <row r="1095" spans="1:14" x14ac:dyDescent="0.25">
      <c r="A1095" s="10" t="str">
        <f>_xlfn.IFNA(
    IF(J1095=
        "PCB-0001",
        "CSS",
        IF(
            ISNUMBER(MATCH(_xlfn.TEXTBEFORE(J1095,"-"), {"CSS","CSN","PCB","PCF","BEC","CSD","PCM"}, 0)),
            _xlfn.TEXTBEFORE(J1095,"-"),
            "Other"
        )
    ),
"Add")</f>
        <v>CSN</v>
      </c>
      <c r="B1095" s="10" t="str">
        <f t="shared" si="18"/>
        <v>0001</v>
      </c>
      <c r="C1095" s="10" t="str">
        <f>_xlfn.LET(
    _xlpm.val, IF(Datadetails[[#This Row],[Activity]]="D02","C20",Datadetails[[#This Row],[Activity]]),
    IF(ISNUMBER(MATCH(_xlpm.val,{"D04","C30","c40","C20"},0)), _xlpm.val, "Other")
)</f>
        <v>D04</v>
      </c>
      <c r="D1095" s="10" t="str">
        <f>IFERROR(VLOOKUP(Datadetails[[#This Row],[Taskcode]],Dashboard!A:A,1,FALSE),"00 Err Missing")</f>
        <v>0001</v>
      </c>
      <c r="E1095" s="79">
        <v>45828</v>
      </c>
      <c r="F1095" s="80" t="s">
        <v>331</v>
      </c>
      <c r="G1095" s="60" t="s">
        <v>40</v>
      </c>
      <c r="H1095" s="80" t="s">
        <v>316</v>
      </c>
      <c r="I1095" s="80" t="s">
        <v>35</v>
      </c>
      <c r="J1095" s="80" t="s">
        <v>338</v>
      </c>
      <c r="K1095" s="80" t="s">
        <v>337</v>
      </c>
      <c r="L1095" s="80" t="s">
        <v>352</v>
      </c>
      <c r="M1095" s="81">
        <v>0.25</v>
      </c>
      <c r="N1095" s="82">
        <v>8</v>
      </c>
    </row>
    <row r="1096" spans="1:14" x14ac:dyDescent="0.25">
      <c r="A1096" s="10" t="str">
        <f>_xlfn.IFNA(
    IF(J1096=
        "PCB-0001",
        "CSS",
        IF(
            ISNUMBER(MATCH(_xlfn.TEXTBEFORE(J1096,"-"), {"CSS","CSN","PCB","PCF","BEC","CSD","PCM"}, 0)),
            _xlfn.TEXTBEFORE(J1096,"-"),
            "Other"
        )
    ),
"Add")</f>
        <v>CSD</v>
      </c>
      <c r="B1096" s="10" t="str">
        <f t="shared" si="18"/>
        <v>0001</v>
      </c>
      <c r="C1096" s="10" t="str">
        <f>_xlfn.LET(
    _xlpm.val, IF(Datadetails[[#This Row],[Activity]]="D02","C20",Datadetails[[#This Row],[Activity]]),
    IF(ISNUMBER(MATCH(_xlpm.val,{"D04","C30","c40","C20"},0)), _xlpm.val, "Other")
)</f>
        <v>D04</v>
      </c>
      <c r="D1096" s="10" t="str">
        <f>IFERROR(VLOOKUP(Datadetails[[#This Row],[Taskcode]],Dashboard!A:A,1,FALSE),"00 Err Missing")</f>
        <v>0001</v>
      </c>
      <c r="E1096" s="79">
        <v>45828</v>
      </c>
      <c r="F1096" s="80" t="s">
        <v>333</v>
      </c>
      <c r="G1096" s="60" t="s">
        <v>40</v>
      </c>
      <c r="H1096" s="80" t="s">
        <v>320</v>
      </c>
      <c r="I1096" s="80" t="s">
        <v>35</v>
      </c>
      <c r="J1096" s="80" t="s">
        <v>322</v>
      </c>
      <c r="K1096" s="80" t="s">
        <v>319</v>
      </c>
      <c r="L1096" s="80" t="s">
        <v>352</v>
      </c>
      <c r="M1096" s="81">
        <v>7.65</v>
      </c>
      <c r="N1096" s="82">
        <v>244.8</v>
      </c>
    </row>
    <row r="1097" spans="1:14" x14ac:dyDescent="0.25">
      <c r="A1097" s="10" t="str">
        <f>_xlfn.IFNA(
    IF(J1097=
        "PCB-0001",
        "CSS",
        IF(
            ISNUMBER(MATCH(_xlfn.TEXTBEFORE(J1097,"-"), {"CSS","CSN","PCB","PCF","BEC","CSD","PCM"}, 0)),
            _xlfn.TEXTBEFORE(J1097,"-"),
            "Other"
        )
    ),
"Add")</f>
        <v>CSD</v>
      </c>
      <c r="B1097" s="10" t="str">
        <f t="shared" si="18"/>
        <v>0001</v>
      </c>
      <c r="C1097" s="10" t="str">
        <f>_xlfn.LET(
    _xlpm.val, IF(Datadetails[[#This Row],[Activity]]="D02","C20",Datadetails[[#This Row],[Activity]]),
    IF(ISNUMBER(MATCH(_xlpm.val,{"D04","C30","c40","C20"},0)), _xlpm.val, "Other")
)</f>
        <v>D04</v>
      </c>
      <c r="D1097" s="10" t="str">
        <f>IFERROR(VLOOKUP(Datadetails[[#This Row],[Taskcode]],Dashboard!A:A,1,FALSE),"00 Err Missing")</f>
        <v>0001</v>
      </c>
      <c r="E1097" s="79">
        <v>45828</v>
      </c>
      <c r="F1097" s="80" t="s">
        <v>327</v>
      </c>
      <c r="G1097" s="60" t="s">
        <v>40</v>
      </c>
      <c r="H1097" s="80" t="s">
        <v>320</v>
      </c>
      <c r="I1097" s="80" t="s">
        <v>35</v>
      </c>
      <c r="J1097" s="80" t="s">
        <v>322</v>
      </c>
      <c r="K1097" s="80" t="s">
        <v>319</v>
      </c>
      <c r="L1097" s="80" t="s">
        <v>352</v>
      </c>
      <c r="M1097" s="81">
        <v>7.25</v>
      </c>
      <c r="N1097" s="82">
        <v>232</v>
      </c>
    </row>
    <row r="1098" spans="1:14" x14ac:dyDescent="0.25">
      <c r="A1098" s="10" t="str">
        <f>_xlfn.IFNA(
    IF(J1098=
        "PCB-0001",
        "CSS",
        IF(
            ISNUMBER(MATCH(_xlfn.TEXTBEFORE(J1098,"-"), {"CSS","CSN","PCB","PCF","BEC","CSD","PCM"}, 0)),
            _xlfn.TEXTBEFORE(J1098,"-"),
            "Other"
        )
    ),
"Add")</f>
        <v>PCM</v>
      </c>
      <c r="B1098" s="10" t="str">
        <f t="shared" si="18"/>
        <v>0116</v>
      </c>
      <c r="C1098" s="10" t="str">
        <f>_xlfn.LET(
    _xlpm.val, IF(Datadetails[[#This Row],[Activity]]="D02","C20",Datadetails[[#This Row],[Activity]]),
    IF(ISNUMBER(MATCH(_xlpm.val,{"D04","C30","c40","C20"},0)), _xlpm.val, "Other")
)</f>
        <v>C20</v>
      </c>
      <c r="D1098" s="10" t="str">
        <f>IFERROR(VLOOKUP(Datadetails[[#This Row],[Taskcode]],Dashboard!A:A,1,FALSE),"00 Err Missing")</f>
        <v>0116</v>
      </c>
      <c r="E1098" s="79">
        <v>45828</v>
      </c>
      <c r="F1098" s="80" t="s">
        <v>323</v>
      </c>
      <c r="G1098" s="60" t="s">
        <v>40</v>
      </c>
      <c r="H1098" s="80" t="s">
        <v>283</v>
      </c>
      <c r="I1098" s="80" t="s">
        <v>36</v>
      </c>
      <c r="J1098" s="80" t="s">
        <v>429</v>
      </c>
      <c r="K1098" s="80" t="s">
        <v>346</v>
      </c>
      <c r="L1098" s="80" t="s">
        <v>342</v>
      </c>
      <c r="M1098" s="81">
        <v>0.5</v>
      </c>
      <c r="N1098" s="82">
        <v>30</v>
      </c>
    </row>
    <row r="1099" spans="1:14" x14ac:dyDescent="0.25">
      <c r="A1099" s="10" t="str">
        <f>_xlfn.IFNA(
    IF(J1099=
        "PCB-0001",
        "CSS",
        IF(
            ISNUMBER(MATCH(_xlfn.TEXTBEFORE(J1099,"-"), {"CSS","CSN","PCB","PCF","BEC","CSD","PCM"}, 0)),
            _xlfn.TEXTBEFORE(J1099,"-"),
            "Other"
        )
    ),
"Add")</f>
        <v>PCM</v>
      </c>
      <c r="B1099" s="10" t="str">
        <f t="shared" si="18"/>
        <v>0035</v>
      </c>
      <c r="C1099" s="10" t="str">
        <f>_xlfn.LET(
    _xlpm.val, IF(Datadetails[[#This Row],[Activity]]="D02","C20",Datadetails[[#This Row],[Activity]]),
    IF(ISNUMBER(MATCH(_xlpm.val,{"D04","C30","c40","C20"},0)), _xlpm.val, "Other")
)</f>
        <v>C30</v>
      </c>
      <c r="D1099" s="10" t="str">
        <f>IFERROR(VLOOKUP(Datadetails[[#This Row],[Taskcode]],Dashboard!A:A,1,FALSE),"00 Err Missing")</f>
        <v>0035</v>
      </c>
      <c r="E1099" s="79">
        <v>45828</v>
      </c>
      <c r="F1099" s="80" t="s">
        <v>323</v>
      </c>
      <c r="G1099" s="60" t="s">
        <v>40</v>
      </c>
      <c r="H1099" s="80" t="s">
        <v>202</v>
      </c>
      <c r="I1099" s="80" t="s">
        <v>34</v>
      </c>
      <c r="J1099" s="80" t="s">
        <v>431</v>
      </c>
      <c r="K1099" s="80" t="s">
        <v>346</v>
      </c>
      <c r="L1099" s="80" t="s">
        <v>343</v>
      </c>
      <c r="M1099" s="81">
        <v>0.25</v>
      </c>
      <c r="N1099" s="82">
        <v>15</v>
      </c>
    </row>
    <row r="1100" spans="1:14" x14ac:dyDescent="0.25">
      <c r="A1100" s="10" t="str">
        <f>_xlfn.IFNA(
    IF(J1100=
        "PCB-0001",
        "CSS",
        IF(
            ISNUMBER(MATCH(_xlfn.TEXTBEFORE(J1100,"-"), {"CSS","CSN","PCB","PCF","BEC","CSD","PCM"}, 0)),
            _xlfn.TEXTBEFORE(J1100,"-"),
            "Other"
        )
    ),
"Add")</f>
        <v>PCM</v>
      </c>
      <c r="B1100" s="10" t="str">
        <f t="shared" si="18"/>
        <v>0099</v>
      </c>
      <c r="C1100" s="10" t="str">
        <f>_xlfn.LET(
    _xlpm.val, IF(Datadetails[[#This Row],[Activity]]="D02","C20",Datadetails[[#This Row],[Activity]]),
    IF(ISNUMBER(MATCH(_xlpm.val,{"D04","C30","c40","C20"},0)), _xlpm.val, "Other")
)</f>
        <v>C30</v>
      </c>
      <c r="D1100" s="10" t="str">
        <f>IFERROR(VLOOKUP(Datadetails[[#This Row],[Taskcode]],Dashboard!A:A,1,FALSE),"00 Err Missing")</f>
        <v>0099</v>
      </c>
      <c r="E1100" s="79">
        <v>45828</v>
      </c>
      <c r="F1100" s="80" t="s">
        <v>323</v>
      </c>
      <c r="G1100" s="60" t="s">
        <v>40</v>
      </c>
      <c r="H1100" s="80" t="s">
        <v>266</v>
      </c>
      <c r="I1100" s="80" t="s">
        <v>34</v>
      </c>
      <c r="J1100" s="80" t="s">
        <v>394</v>
      </c>
      <c r="K1100" s="80" t="s">
        <v>346</v>
      </c>
      <c r="L1100" s="80" t="s">
        <v>343</v>
      </c>
      <c r="M1100" s="81">
        <v>0.5</v>
      </c>
      <c r="N1100" s="82">
        <v>30</v>
      </c>
    </row>
    <row r="1101" spans="1:14" x14ac:dyDescent="0.25">
      <c r="A1101" s="10" t="str">
        <f>_xlfn.IFNA(
    IF(J1101=
        "PCB-0001",
        "CSS",
        IF(
            ISNUMBER(MATCH(_xlfn.TEXTBEFORE(J1101,"-"), {"CSS","CSN","PCB","PCF","BEC","CSD","PCM"}, 0)),
            _xlfn.TEXTBEFORE(J1101,"-"),
            "Other"
        )
    ),
"Add")</f>
        <v>PCB</v>
      </c>
      <c r="B1101" s="10" t="str">
        <f t="shared" si="18"/>
        <v>0012</v>
      </c>
      <c r="C1101" s="10" t="str">
        <f>_xlfn.LET(
    _xlpm.val, IF(Datadetails[[#This Row],[Activity]]="D02","C20",Datadetails[[#This Row],[Activity]]),
    IF(ISNUMBER(MATCH(_xlpm.val,{"D04","C30","c40","C20"},0)), _xlpm.val, "Other")
)</f>
        <v>C20</v>
      </c>
      <c r="D1101" s="10" t="str">
        <f>IFERROR(VLOOKUP(Datadetails[[#This Row],[Taskcode]],Dashboard!A:A,1,FALSE),"00 Err Missing")</f>
        <v>0012</v>
      </c>
      <c r="E1101" s="79">
        <v>45828</v>
      </c>
      <c r="F1101" s="80" t="s">
        <v>325</v>
      </c>
      <c r="G1101" s="60" t="s">
        <v>40</v>
      </c>
      <c r="H1101" s="80" t="s">
        <v>179</v>
      </c>
      <c r="I1101" s="80" t="s">
        <v>36</v>
      </c>
      <c r="J1101" s="80" t="s">
        <v>422</v>
      </c>
      <c r="K1101" s="80" t="s">
        <v>347</v>
      </c>
      <c r="L1101" s="80" t="s">
        <v>342</v>
      </c>
      <c r="M1101" s="81">
        <v>0.33</v>
      </c>
      <c r="N1101" s="82">
        <v>24.75</v>
      </c>
    </row>
    <row r="1102" spans="1:14" x14ac:dyDescent="0.25">
      <c r="A1102" s="10" t="str">
        <f>_xlfn.IFNA(
    IF(J1102=
        "PCB-0001",
        "CSS",
        IF(
            ISNUMBER(MATCH(_xlfn.TEXTBEFORE(J1102,"-"), {"CSS","CSN","PCB","PCF","BEC","CSD","PCM"}, 0)),
            _xlfn.TEXTBEFORE(J1102,"-"),
            "Other"
        )
    ),
"Add")</f>
        <v>PCB</v>
      </c>
      <c r="B1102" s="10" t="str">
        <f t="shared" si="18"/>
        <v>0123</v>
      </c>
      <c r="C1102" s="10" t="str">
        <f>_xlfn.LET(
    _xlpm.val, IF(Datadetails[[#This Row],[Activity]]="D02","C20",Datadetails[[#This Row],[Activity]]),
    IF(ISNUMBER(MATCH(_xlpm.val,{"D04","C30","c40","C20"},0)), _xlpm.val, "Other")
)</f>
        <v>C20</v>
      </c>
      <c r="D1102" s="10" t="str">
        <f>IFERROR(VLOOKUP(Datadetails[[#This Row],[Taskcode]],Dashboard!A:A,1,FALSE),"00 Err Missing")</f>
        <v>0123</v>
      </c>
      <c r="E1102" s="79">
        <v>45828</v>
      </c>
      <c r="F1102" s="80" t="s">
        <v>325</v>
      </c>
      <c r="G1102" s="60" t="s">
        <v>40</v>
      </c>
      <c r="H1102" s="80" t="s">
        <v>290</v>
      </c>
      <c r="I1102" s="80" t="s">
        <v>36</v>
      </c>
      <c r="J1102" s="80" t="s">
        <v>428</v>
      </c>
      <c r="K1102" s="80" t="s">
        <v>347</v>
      </c>
      <c r="L1102" s="80" t="s">
        <v>342</v>
      </c>
      <c r="M1102" s="81">
        <v>0.17</v>
      </c>
      <c r="N1102" s="82">
        <v>12.750000000000002</v>
      </c>
    </row>
    <row r="1103" spans="1:14" x14ac:dyDescent="0.25">
      <c r="A1103" s="10" t="str">
        <f>_xlfn.IFNA(
    IF(J1103=
        "PCB-0001",
        "CSS",
        IF(
            ISNUMBER(MATCH(_xlfn.TEXTBEFORE(J1103,"-"), {"CSS","CSN","PCB","PCF","BEC","CSD","PCM"}, 0)),
            _xlfn.TEXTBEFORE(J1103,"-"),
            "Other"
        )
    ),
"Add")</f>
        <v>PCB</v>
      </c>
      <c r="B1103" s="10" t="str">
        <f t="shared" si="18"/>
        <v>0015</v>
      </c>
      <c r="C1103" s="10" t="str">
        <f>_xlfn.LET(
    _xlpm.val, IF(Datadetails[[#This Row],[Activity]]="D02","C20",Datadetails[[#This Row],[Activity]]),
    IF(ISNUMBER(MATCH(_xlpm.val,{"D04","C30","c40","C20"},0)), _xlpm.val, "Other")
)</f>
        <v>C30</v>
      </c>
      <c r="D1103" s="10" t="str">
        <f>IFERROR(VLOOKUP(Datadetails[[#This Row],[Taskcode]],Dashboard!A:A,1,FALSE),"00 Err Missing")</f>
        <v>0015</v>
      </c>
      <c r="E1103" s="79">
        <v>45828</v>
      </c>
      <c r="F1103" s="80" t="s">
        <v>325</v>
      </c>
      <c r="G1103" s="60" t="s">
        <v>40</v>
      </c>
      <c r="H1103" s="80" t="s">
        <v>182</v>
      </c>
      <c r="I1103" s="80" t="s">
        <v>34</v>
      </c>
      <c r="J1103" s="80" t="s">
        <v>467</v>
      </c>
      <c r="K1103" s="80" t="s">
        <v>347</v>
      </c>
      <c r="L1103" s="80" t="s">
        <v>343</v>
      </c>
      <c r="M1103" s="81">
        <v>0.33</v>
      </c>
      <c r="N1103" s="82">
        <v>24.75</v>
      </c>
    </row>
    <row r="1104" spans="1:14" x14ac:dyDescent="0.25">
      <c r="A1104" s="10" t="str">
        <f>_xlfn.IFNA(
    IF(J1104=
        "PCB-0001",
        "CSS",
        IF(
            ISNUMBER(MATCH(_xlfn.TEXTBEFORE(J1104,"-"), {"CSS","CSN","PCB","PCF","BEC","CSD","PCM"}, 0)),
            _xlfn.TEXTBEFORE(J1104,"-"),
            "Other"
        )
    ),
"Add")</f>
        <v>PCB</v>
      </c>
      <c r="B1104" s="10" t="str">
        <f t="shared" si="18"/>
        <v>0137</v>
      </c>
      <c r="C1104" s="10" t="str">
        <f>_xlfn.LET(
    _xlpm.val, IF(Datadetails[[#This Row],[Activity]]="D02","C20",Datadetails[[#This Row],[Activity]]),
    IF(ISNUMBER(MATCH(_xlpm.val,{"D04","C30","c40","C20"},0)), _xlpm.val, "Other")
)</f>
        <v>C30</v>
      </c>
      <c r="D1104" s="10" t="str">
        <f>IFERROR(VLOOKUP(Datadetails[[#This Row],[Taskcode]],Dashboard!A:A,1,FALSE),"00 Err Missing")</f>
        <v>0137</v>
      </c>
      <c r="E1104" s="79">
        <v>45828</v>
      </c>
      <c r="F1104" s="80" t="s">
        <v>325</v>
      </c>
      <c r="G1104" s="60" t="s">
        <v>40</v>
      </c>
      <c r="H1104" s="80" t="s">
        <v>304</v>
      </c>
      <c r="I1104" s="80" t="s">
        <v>34</v>
      </c>
      <c r="J1104" s="80" t="s">
        <v>372</v>
      </c>
      <c r="K1104" s="80" t="s">
        <v>347</v>
      </c>
      <c r="L1104" s="80" t="s">
        <v>343</v>
      </c>
      <c r="M1104" s="81">
        <v>0.17</v>
      </c>
      <c r="N1104" s="82">
        <v>12.750000000000002</v>
      </c>
    </row>
    <row r="1105" spans="1:14" x14ac:dyDescent="0.25">
      <c r="A1105" s="10" t="str">
        <f>_xlfn.IFNA(
    IF(J1105=
        "PCB-0001",
        "CSS",
        IF(
            ISNUMBER(MATCH(_xlfn.TEXTBEFORE(J1105,"-"), {"CSS","CSN","PCB","PCF","BEC","CSD","PCM"}, 0)),
            _xlfn.TEXTBEFORE(J1105,"-"),
            "Other"
        )
    ),
"Add")</f>
        <v>PCB</v>
      </c>
      <c r="B1105" s="10" t="str">
        <f t="shared" si="18"/>
        <v>0104</v>
      </c>
      <c r="C1105" s="10" t="str">
        <f>_xlfn.LET(
    _xlpm.val, IF(Datadetails[[#This Row],[Activity]]="D02","C20",Datadetails[[#This Row],[Activity]]),
    IF(ISNUMBER(MATCH(_xlpm.val,{"D04","C30","c40","C20"},0)), _xlpm.val, "Other")
)</f>
        <v>C30</v>
      </c>
      <c r="D1105" s="10" t="str">
        <f>IFERROR(VLOOKUP(Datadetails[[#This Row],[Taskcode]],Dashboard!A:A,1,FALSE),"00 Err Missing")</f>
        <v>0104</v>
      </c>
      <c r="E1105" s="79">
        <v>45828</v>
      </c>
      <c r="F1105" s="80" t="s">
        <v>325</v>
      </c>
      <c r="G1105" s="60" t="s">
        <v>40</v>
      </c>
      <c r="H1105" s="80" t="s">
        <v>271</v>
      </c>
      <c r="I1105" s="80" t="s">
        <v>34</v>
      </c>
      <c r="J1105" s="80" t="s">
        <v>363</v>
      </c>
      <c r="K1105" s="80" t="s">
        <v>347</v>
      </c>
      <c r="L1105" s="80" t="s">
        <v>343</v>
      </c>
      <c r="M1105" s="81">
        <v>0.57999999999999996</v>
      </c>
      <c r="N1105" s="82">
        <v>43.5</v>
      </c>
    </row>
    <row r="1106" spans="1:14" x14ac:dyDescent="0.25">
      <c r="A1106" s="10" t="str">
        <f>_xlfn.IFNA(
    IF(J1106=
        "PCB-0001",
        "CSS",
        IF(
            ISNUMBER(MATCH(_xlfn.TEXTBEFORE(J1106,"-"), {"CSS","CSN","PCB","PCF","BEC","CSD","PCM"}, 0)),
            _xlfn.TEXTBEFORE(J1106,"-"),
            "Other"
        )
    ),
"Add")</f>
        <v>PCB</v>
      </c>
      <c r="B1106" s="10" t="str">
        <f t="shared" si="18"/>
        <v>0124</v>
      </c>
      <c r="C1106" s="10" t="str">
        <f>_xlfn.LET(
    _xlpm.val, IF(Datadetails[[#This Row],[Activity]]="D02","C20",Datadetails[[#This Row],[Activity]]),
    IF(ISNUMBER(MATCH(_xlpm.val,{"D04","C30","c40","C20"},0)), _xlpm.val, "Other")
)</f>
        <v>C30</v>
      </c>
      <c r="D1106" s="10" t="str">
        <f>IFERROR(VLOOKUP(Datadetails[[#This Row],[Taskcode]],Dashboard!A:A,1,FALSE),"00 Err Missing")</f>
        <v>0124</v>
      </c>
      <c r="E1106" s="79">
        <v>45828</v>
      </c>
      <c r="F1106" s="80" t="s">
        <v>325</v>
      </c>
      <c r="G1106" s="60" t="s">
        <v>40</v>
      </c>
      <c r="H1106" s="80" t="s">
        <v>291</v>
      </c>
      <c r="I1106" s="80" t="s">
        <v>34</v>
      </c>
      <c r="J1106" s="80" t="s">
        <v>412</v>
      </c>
      <c r="K1106" s="80" t="s">
        <v>347</v>
      </c>
      <c r="L1106" s="80" t="s">
        <v>343</v>
      </c>
      <c r="M1106" s="81">
        <v>0.33</v>
      </c>
      <c r="N1106" s="82">
        <v>24.75</v>
      </c>
    </row>
    <row r="1107" spans="1:14" x14ac:dyDescent="0.25">
      <c r="A1107" s="10" t="str">
        <f>_xlfn.IFNA(
    IF(J1107=
        "PCB-0001",
        "CSS",
        IF(
            ISNUMBER(MATCH(_xlfn.TEXTBEFORE(J1107,"-"), {"CSS","CSN","PCB","PCF","BEC","CSD","PCM"}, 0)),
            _xlfn.TEXTBEFORE(J1107,"-"),
            "Other"
        )
    ),
"Add")</f>
        <v>PCB</v>
      </c>
      <c r="B1107" s="10" t="str">
        <f t="shared" si="18"/>
        <v>0085</v>
      </c>
      <c r="C1107" s="10" t="str">
        <f>_xlfn.LET(
    _xlpm.val, IF(Datadetails[[#This Row],[Activity]]="D02","C20",Datadetails[[#This Row],[Activity]]),
    IF(ISNUMBER(MATCH(_xlpm.val,{"D04","C30","c40","C20"},0)), _xlpm.val, "Other")
)</f>
        <v>C30</v>
      </c>
      <c r="D1107" s="10" t="str">
        <f>IFERROR(VLOOKUP(Datadetails[[#This Row],[Taskcode]],Dashboard!A:A,1,FALSE),"00 Err Missing")</f>
        <v>0085</v>
      </c>
      <c r="E1107" s="79">
        <v>45828</v>
      </c>
      <c r="F1107" s="80" t="s">
        <v>330</v>
      </c>
      <c r="G1107" s="60" t="s">
        <v>40</v>
      </c>
      <c r="H1107" s="80" t="s">
        <v>252</v>
      </c>
      <c r="I1107" s="80" t="s">
        <v>34</v>
      </c>
      <c r="J1107" s="80" t="s">
        <v>416</v>
      </c>
      <c r="K1107" s="80" t="s">
        <v>347</v>
      </c>
      <c r="L1107" s="80" t="s">
        <v>343</v>
      </c>
      <c r="M1107" s="81">
        <v>0.5</v>
      </c>
      <c r="N1107" s="82">
        <v>30</v>
      </c>
    </row>
    <row r="1108" spans="1:14" x14ac:dyDescent="0.25">
      <c r="A1108" s="10" t="str">
        <f>_xlfn.IFNA(
    IF(J1108=
        "PCB-0001",
        "CSS",
        IF(
            ISNUMBER(MATCH(_xlfn.TEXTBEFORE(J1108,"-"), {"CSS","CSN","PCB","PCF","BEC","CSD","PCM"}, 0)),
            _xlfn.TEXTBEFORE(J1108,"-"),
            "Other"
        )
    ),
"Add")</f>
        <v>PCB</v>
      </c>
      <c r="B1108" s="10" t="str">
        <f t="shared" si="18"/>
        <v>0097</v>
      </c>
      <c r="C1108" s="10" t="str">
        <f>_xlfn.LET(
    _xlpm.val, IF(Datadetails[[#This Row],[Activity]]="D02","C20",Datadetails[[#This Row],[Activity]]),
    IF(ISNUMBER(MATCH(_xlpm.val,{"D04","C30","c40","C20"},0)), _xlpm.val, "Other")
)</f>
        <v>C30</v>
      </c>
      <c r="D1108" s="10" t="str">
        <f>IFERROR(VLOOKUP(Datadetails[[#This Row],[Taskcode]],Dashboard!A:A,1,FALSE),"00 Err Missing")</f>
        <v>0097</v>
      </c>
      <c r="E1108" s="79">
        <v>45828</v>
      </c>
      <c r="F1108" s="80" t="s">
        <v>325</v>
      </c>
      <c r="G1108" s="60" t="s">
        <v>40</v>
      </c>
      <c r="H1108" s="80" t="s">
        <v>264</v>
      </c>
      <c r="I1108" s="80" t="s">
        <v>34</v>
      </c>
      <c r="J1108" s="80" t="s">
        <v>384</v>
      </c>
      <c r="K1108" s="80" t="s">
        <v>347</v>
      </c>
      <c r="L1108" s="80" t="s">
        <v>343</v>
      </c>
      <c r="M1108" s="81">
        <v>0.17</v>
      </c>
      <c r="N1108" s="82">
        <v>12.750000000000002</v>
      </c>
    </row>
    <row r="1109" spans="1:14" x14ac:dyDescent="0.25">
      <c r="A1109" s="10" t="str">
        <f>_xlfn.IFNA(
    IF(J1109=
        "PCB-0001",
        "CSS",
        IF(
            ISNUMBER(MATCH(_xlfn.TEXTBEFORE(J1109,"-"), {"CSS","CSN","PCB","PCF","BEC","CSD","PCM"}, 0)),
            _xlfn.TEXTBEFORE(J1109,"-"),
            "Other"
        )
    ),
"Add")</f>
        <v>PCF</v>
      </c>
      <c r="B1109" s="10" t="str">
        <f t="shared" si="18"/>
        <v>0060</v>
      </c>
      <c r="C1109" s="10" t="str">
        <f>_xlfn.LET(
    _xlpm.val, IF(Datadetails[[#This Row],[Activity]]="D02","C20",Datadetails[[#This Row],[Activity]]),
    IF(ISNUMBER(MATCH(_xlpm.val,{"D04","C30","c40","C20"},0)), _xlpm.val, "Other")
)</f>
        <v>C20</v>
      </c>
      <c r="D1109" s="10" t="str">
        <f>IFERROR(VLOOKUP(Datadetails[[#This Row],[Taskcode]],Dashboard!A:A,1,FALSE),"00 Err Missing")</f>
        <v>0060</v>
      </c>
      <c r="E1109" s="79">
        <v>45828</v>
      </c>
      <c r="F1109" s="80" t="s">
        <v>326</v>
      </c>
      <c r="G1109" s="60" t="s">
        <v>40</v>
      </c>
      <c r="H1109" s="80" t="s">
        <v>227</v>
      </c>
      <c r="I1109" s="80" t="s">
        <v>36</v>
      </c>
      <c r="J1109" s="80" t="s">
        <v>453</v>
      </c>
      <c r="K1109" s="80" t="s">
        <v>348</v>
      </c>
      <c r="L1109" s="80" t="s">
        <v>342</v>
      </c>
      <c r="M1109" s="81">
        <v>1.17</v>
      </c>
      <c r="N1109" s="82">
        <v>70.199999999999989</v>
      </c>
    </row>
    <row r="1110" spans="1:14" x14ac:dyDescent="0.25">
      <c r="A1110" s="10" t="str">
        <f>_xlfn.IFNA(
    IF(J1110=
        "PCB-0001",
        "CSS",
        IF(
            ISNUMBER(MATCH(_xlfn.TEXTBEFORE(J1110,"-"), {"CSS","CSN","PCB","PCF","BEC","CSD","PCM"}, 0)),
            _xlfn.TEXTBEFORE(J1110,"-"),
            "Other"
        )
    ),
"Add")</f>
        <v>PCF</v>
      </c>
      <c r="B1110" s="10" t="str">
        <f t="shared" si="18"/>
        <v>0069</v>
      </c>
      <c r="C1110" s="10" t="str">
        <f>_xlfn.LET(
    _xlpm.val, IF(Datadetails[[#This Row],[Activity]]="D02","C20",Datadetails[[#This Row],[Activity]]),
    IF(ISNUMBER(MATCH(_xlpm.val,{"D04","C30","c40","C20"},0)), _xlpm.val, "Other")
)</f>
        <v>C20</v>
      </c>
      <c r="D1110" s="10" t="str">
        <f>IFERROR(VLOOKUP(Datadetails[[#This Row],[Taskcode]],Dashboard!A:A,1,FALSE),"00 Err Missing")</f>
        <v>0069</v>
      </c>
      <c r="E1110" s="79">
        <v>45828</v>
      </c>
      <c r="F1110" s="80" t="s">
        <v>326</v>
      </c>
      <c r="G1110" s="60" t="s">
        <v>40</v>
      </c>
      <c r="H1110" s="80" t="s">
        <v>236</v>
      </c>
      <c r="I1110" s="80" t="s">
        <v>36</v>
      </c>
      <c r="J1110" s="80" t="s">
        <v>357</v>
      </c>
      <c r="K1110" s="80" t="s">
        <v>348</v>
      </c>
      <c r="L1110" s="80" t="s">
        <v>342</v>
      </c>
      <c r="M1110" s="81">
        <v>0.83</v>
      </c>
      <c r="N1110" s="82">
        <v>49.8</v>
      </c>
    </row>
    <row r="1111" spans="1:14" x14ac:dyDescent="0.25">
      <c r="A1111" s="10" t="str">
        <f>_xlfn.IFNA(
    IF(J1111=
        "PCB-0001",
        "CSS",
        IF(
            ISNUMBER(MATCH(_xlfn.TEXTBEFORE(J1111,"-"), {"CSS","CSN","PCB","PCF","BEC","CSD","PCM"}, 0)),
            _xlfn.TEXTBEFORE(J1111,"-"),
            "Other"
        )
    ),
"Add")</f>
        <v>BEC</v>
      </c>
      <c r="B1111" s="10" t="str">
        <f t="shared" si="18"/>
        <v>0001</v>
      </c>
      <c r="C1111" s="10" t="str">
        <f>_xlfn.LET(
    _xlpm.val, IF(Datadetails[[#This Row],[Activity]]="D02","C20",Datadetails[[#This Row],[Activity]]),
    IF(ISNUMBER(MATCH(_xlpm.val,{"D04","C30","c40","C20"},0)), _xlpm.val, "Other")
)</f>
        <v>D04</v>
      </c>
      <c r="D1111" s="10" t="str">
        <f>IFERROR(VLOOKUP(Datadetails[[#This Row],[Taskcode]],Dashboard!A:A,1,FALSE),"00 Err Missing")</f>
        <v>0001</v>
      </c>
      <c r="E1111" s="79">
        <v>45828</v>
      </c>
      <c r="F1111" s="80" t="s">
        <v>332</v>
      </c>
      <c r="G1111" s="60" t="s">
        <v>40</v>
      </c>
      <c r="H1111" s="80" t="s">
        <v>314</v>
      </c>
      <c r="I1111" s="80" t="s">
        <v>35</v>
      </c>
      <c r="J1111" s="80" t="s">
        <v>359</v>
      </c>
      <c r="K1111" s="80" t="s">
        <v>339</v>
      </c>
      <c r="L1111" s="80" t="s">
        <v>352</v>
      </c>
      <c r="M1111" s="81">
        <v>7.5</v>
      </c>
      <c r="N1111" s="82">
        <v>300</v>
      </c>
    </row>
    <row r="1112" spans="1:14" x14ac:dyDescent="0.25">
      <c r="A1112" s="10" t="str">
        <f>_xlfn.IFNA(
    IF(J1112=
        "PCB-0001",
        "CSS",
        IF(
            ISNUMBER(MATCH(_xlfn.TEXTBEFORE(J1112,"-"), {"CSS","CSN","PCB","PCF","BEC","CSD","PCM"}, 0)),
            _xlfn.TEXTBEFORE(J1112,"-"),
            "Other"
        )
    ),
"Add")</f>
        <v>BEC</v>
      </c>
      <c r="B1112" s="10" t="str">
        <f t="shared" si="18"/>
        <v>0001</v>
      </c>
      <c r="C1112" s="10" t="str">
        <f>_xlfn.LET(
    _xlpm.val, IF(Datadetails[[#This Row],[Activity]]="D02","C20",Datadetails[[#This Row],[Activity]]),
    IF(ISNUMBER(MATCH(_xlpm.val,{"D04","C30","c40","C20"},0)), _xlpm.val, "Other")
)</f>
        <v>D04</v>
      </c>
      <c r="D1112" s="10" t="str">
        <f>IFERROR(VLOOKUP(Datadetails[[#This Row],[Taskcode]],Dashboard!A:A,1,FALSE),"00 Err Missing")</f>
        <v>0001</v>
      </c>
      <c r="E1112" s="79">
        <v>45828</v>
      </c>
      <c r="F1112" s="80" t="s">
        <v>324</v>
      </c>
      <c r="G1112" s="60" t="s">
        <v>40</v>
      </c>
      <c r="H1112" s="80" t="s">
        <v>314</v>
      </c>
      <c r="I1112" s="80" t="s">
        <v>35</v>
      </c>
      <c r="J1112" s="80" t="s">
        <v>359</v>
      </c>
      <c r="K1112" s="80" t="s">
        <v>339</v>
      </c>
      <c r="L1112" s="80" t="s">
        <v>352</v>
      </c>
      <c r="M1112" s="81">
        <v>5.5</v>
      </c>
      <c r="N1112" s="82">
        <v>412.5</v>
      </c>
    </row>
    <row r="1113" spans="1:14" x14ac:dyDescent="0.25">
      <c r="A1113" s="10" t="str">
        <f>_xlfn.IFNA(
    IF(J1113=
        "PCB-0001",
        "CSS",
        IF(
            ISNUMBER(MATCH(_xlfn.TEXTBEFORE(J1113,"-"), {"CSS","CSN","PCB","PCF","BEC","CSD","PCM"}, 0)),
            _xlfn.TEXTBEFORE(J1113,"-"),
            "Other"
        )
    ),
"Add")</f>
        <v>BEC</v>
      </c>
      <c r="B1113" s="10" t="str">
        <f t="shared" si="18"/>
        <v>0001</v>
      </c>
      <c r="C1113" s="10" t="str">
        <f>_xlfn.LET(
    _xlpm.val, IF(Datadetails[[#This Row],[Activity]]="D02","C20",Datadetails[[#This Row],[Activity]]),
    IF(ISNUMBER(MATCH(_xlpm.val,{"D04","C30","c40","C20"},0)), _xlpm.val, "Other")
)</f>
        <v>D04</v>
      </c>
      <c r="D1113" s="10" t="str">
        <f>IFERROR(VLOOKUP(Datadetails[[#This Row],[Taskcode]],Dashboard!A:A,1,FALSE),"00 Err Missing")</f>
        <v>0001</v>
      </c>
      <c r="E1113" s="79">
        <v>45829</v>
      </c>
      <c r="F1113" s="80" t="s">
        <v>332</v>
      </c>
      <c r="G1113" s="60" t="s">
        <v>40</v>
      </c>
      <c r="H1113" s="80" t="s">
        <v>314</v>
      </c>
      <c r="I1113" s="80" t="s">
        <v>35</v>
      </c>
      <c r="J1113" s="80" t="s">
        <v>359</v>
      </c>
      <c r="K1113" s="80" t="s">
        <v>339</v>
      </c>
      <c r="L1113" s="80" t="s">
        <v>352</v>
      </c>
      <c r="M1113" s="81">
        <v>4</v>
      </c>
      <c r="N1113" s="82">
        <v>160</v>
      </c>
    </row>
    <row r="1114" spans="1:14" x14ac:dyDescent="0.25">
      <c r="A1114" s="10" t="str">
        <f>_xlfn.IFNA(
    IF(J1114=
        "PCB-0001",
        "CSS",
        IF(
            ISNUMBER(MATCH(_xlfn.TEXTBEFORE(J1114,"-"), {"CSS","CSN","PCB","PCF","BEC","CSD","PCM"}, 0)),
            _xlfn.TEXTBEFORE(J1114,"-"),
            "Other"
        )
    ),
"Add")</f>
        <v>CSN</v>
      </c>
      <c r="B1114" s="10" t="str">
        <f t="shared" si="18"/>
        <v>0001</v>
      </c>
      <c r="C1114" s="10" t="str">
        <f>_xlfn.LET(
    _xlpm.val, IF(Datadetails[[#This Row],[Activity]]="D02","C20",Datadetails[[#This Row],[Activity]]),
    IF(ISNUMBER(MATCH(_xlpm.val,{"D04","C30","c40","C20"},0)), _xlpm.val, "Other")
)</f>
        <v>D04</v>
      </c>
      <c r="D1114" s="10" t="str">
        <f>IFERROR(VLOOKUP(Datadetails[[#This Row],[Taskcode]],Dashboard!A:A,1,FALSE),"00 Err Missing")</f>
        <v>0001</v>
      </c>
      <c r="E1114" s="79">
        <v>45831</v>
      </c>
      <c r="F1114" s="80" t="s">
        <v>329</v>
      </c>
      <c r="G1114" s="60" t="s">
        <v>40</v>
      </c>
      <c r="H1114" s="80" t="s">
        <v>316</v>
      </c>
      <c r="I1114" s="80" t="s">
        <v>35</v>
      </c>
      <c r="J1114" s="80" t="s">
        <v>338</v>
      </c>
      <c r="K1114" s="80" t="s">
        <v>337</v>
      </c>
      <c r="L1114" s="80" t="s">
        <v>352</v>
      </c>
      <c r="M1114" s="81">
        <v>0.83</v>
      </c>
      <c r="N1114" s="82">
        <v>62.25</v>
      </c>
    </row>
    <row r="1115" spans="1:14" x14ac:dyDescent="0.25">
      <c r="A1115" s="10" t="str">
        <f>_xlfn.IFNA(
    IF(J1115=
        "PCB-0001",
        "CSS",
        IF(
            ISNUMBER(MATCH(_xlfn.TEXTBEFORE(J1115,"-"), {"CSS","CSN","PCB","PCF","BEC","CSD","PCM"}, 0)),
            _xlfn.TEXTBEFORE(J1115,"-"),
            "Other"
        )
    ),
"Add")</f>
        <v>CSD</v>
      </c>
      <c r="B1115" s="10" t="str">
        <f t="shared" si="18"/>
        <v>0001</v>
      </c>
      <c r="C1115" s="10" t="str">
        <f>_xlfn.LET(
    _xlpm.val, IF(Datadetails[[#This Row],[Activity]]="D02","C20",Datadetails[[#This Row],[Activity]]),
    IF(ISNUMBER(MATCH(_xlpm.val,{"D04","C30","c40","C20"},0)), _xlpm.val, "Other")
)</f>
        <v>D04</v>
      </c>
      <c r="D1115" s="10" t="str">
        <f>IFERROR(VLOOKUP(Datadetails[[#This Row],[Taskcode]],Dashboard!A:A,1,FALSE),"00 Err Missing")</f>
        <v>0001</v>
      </c>
      <c r="E1115" s="79">
        <v>45831</v>
      </c>
      <c r="F1115" s="80" t="s">
        <v>333</v>
      </c>
      <c r="G1115" s="60" t="s">
        <v>40</v>
      </c>
      <c r="H1115" s="80" t="s">
        <v>320</v>
      </c>
      <c r="I1115" s="80" t="s">
        <v>35</v>
      </c>
      <c r="J1115" s="80" t="s">
        <v>322</v>
      </c>
      <c r="K1115" s="80" t="s">
        <v>319</v>
      </c>
      <c r="L1115" s="80" t="s">
        <v>352</v>
      </c>
      <c r="M1115" s="81">
        <v>7.2</v>
      </c>
      <c r="N1115" s="82">
        <v>230.4</v>
      </c>
    </row>
    <row r="1116" spans="1:14" x14ac:dyDescent="0.25">
      <c r="A1116" s="10" t="str">
        <f>_xlfn.IFNA(
    IF(J1116=
        "PCB-0001",
        "CSS",
        IF(
            ISNUMBER(MATCH(_xlfn.TEXTBEFORE(J1116,"-"), {"CSS","CSN","PCB","PCF","BEC","CSD","PCM"}, 0)),
            _xlfn.TEXTBEFORE(J1116,"-"),
            "Other"
        )
    ),
"Add")</f>
        <v>CSD</v>
      </c>
      <c r="B1116" s="10" t="str">
        <f t="shared" si="18"/>
        <v>0001</v>
      </c>
      <c r="C1116" s="10" t="str">
        <f>_xlfn.LET(
    _xlpm.val, IF(Datadetails[[#This Row],[Activity]]="D02","C20",Datadetails[[#This Row],[Activity]]),
    IF(ISNUMBER(MATCH(_xlpm.val,{"D04","C30","c40","C20"},0)), _xlpm.val, "Other")
)</f>
        <v>D04</v>
      </c>
      <c r="D1116" s="10" t="str">
        <f>IFERROR(VLOOKUP(Datadetails[[#This Row],[Taskcode]],Dashboard!A:A,1,FALSE),"00 Err Missing")</f>
        <v>0001</v>
      </c>
      <c r="E1116" s="79">
        <v>45831</v>
      </c>
      <c r="F1116" s="80" t="s">
        <v>327</v>
      </c>
      <c r="G1116" s="60" t="s">
        <v>40</v>
      </c>
      <c r="H1116" s="80" t="s">
        <v>320</v>
      </c>
      <c r="I1116" s="80" t="s">
        <v>35</v>
      </c>
      <c r="J1116" s="80" t="s">
        <v>322</v>
      </c>
      <c r="K1116" s="80" t="s">
        <v>319</v>
      </c>
      <c r="L1116" s="80" t="s">
        <v>352</v>
      </c>
      <c r="M1116" s="81">
        <v>7.5</v>
      </c>
      <c r="N1116" s="82">
        <v>240</v>
      </c>
    </row>
    <row r="1117" spans="1:14" x14ac:dyDescent="0.25">
      <c r="A1117" s="10" t="str">
        <f>_xlfn.IFNA(
    IF(J1117=
        "PCB-0001",
        "CSS",
        IF(
            ISNUMBER(MATCH(_xlfn.TEXTBEFORE(J1117,"-"), {"CSS","CSN","PCB","PCF","BEC","CSD","PCM"}, 0)),
            _xlfn.TEXTBEFORE(J1117,"-"),
            "Other"
        )
    ),
"Add")</f>
        <v>PCM</v>
      </c>
      <c r="B1117" s="10" t="str">
        <f t="shared" si="18"/>
        <v>0005</v>
      </c>
      <c r="C1117" s="10" t="str">
        <f>_xlfn.LET(
    _xlpm.val, IF(Datadetails[[#This Row],[Activity]]="D02","C20",Datadetails[[#This Row],[Activity]]),
    IF(ISNUMBER(MATCH(_xlpm.val,{"D04","C30","c40","C20"},0)), _xlpm.val, "Other")
)</f>
        <v>C40</v>
      </c>
      <c r="D1117" s="10" t="str">
        <f>IFERROR(VLOOKUP(Datadetails[[#This Row],[Taskcode]],Dashboard!A:A,1,FALSE),"00 Err Missing")</f>
        <v>0005</v>
      </c>
      <c r="E1117" s="79">
        <v>45831</v>
      </c>
      <c r="F1117" s="80" t="s">
        <v>323</v>
      </c>
      <c r="G1117" s="60" t="s">
        <v>40</v>
      </c>
      <c r="H1117" s="80" t="s">
        <v>172</v>
      </c>
      <c r="I1117" s="80" t="s">
        <v>341</v>
      </c>
      <c r="J1117" s="80" t="s">
        <v>426</v>
      </c>
      <c r="K1117" s="80" t="s">
        <v>346</v>
      </c>
      <c r="L1117" s="80" t="s">
        <v>344</v>
      </c>
      <c r="M1117" s="81">
        <v>1.33</v>
      </c>
      <c r="N1117" s="82">
        <v>79.800000000000011</v>
      </c>
    </row>
    <row r="1118" spans="1:14" x14ac:dyDescent="0.25">
      <c r="A1118" s="10" t="str">
        <f>_xlfn.IFNA(
    IF(J1118=
        "PCB-0001",
        "CSS",
        IF(
            ISNUMBER(MATCH(_xlfn.TEXTBEFORE(J1118,"-"), {"CSS","CSN","PCB","PCF","BEC","CSD","PCM"}, 0)),
            _xlfn.TEXTBEFORE(J1118,"-"),
            "Other"
        )
    ),
"Add")</f>
        <v>PCM</v>
      </c>
      <c r="B1118" s="10" t="str">
        <f t="shared" si="18"/>
        <v>0078</v>
      </c>
      <c r="C1118" s="10" t="str">
        <f>_xlfn.LET(
    _xlpm.val, IF(Datadetails[[#This Row],[Activity]]="D02","C20",Datadetails[[#This Row],[Activity]]),
    IF(ISNUMBER(MATCH(_xlpm.val,{"D04","C30","c40","C20"},0)), _xlpm.val, "Other")
)</f>
        <v>C40</v>
      </c>
      <c r="D1118" s="10" t="str">
        <f>IFERROR(VLOOKUP(Datadetails[[#This Row],[Taskcode]],Dashboard!A:A,1,FALSE),"00 Err Missing")</f>
        <v>0078</v>
      </c>
      <c r="E1118" s="79">
        <v>45831</v>
      </c>
      <c r="F1118" s="80" t="s">
        <v>323</v>
      </c>
      <c r="G1118" s="60" t="s">
        <v>40</v>
      </c>
      <c r="H1118" s="80" t="s">
        <v>245</v>
      </c>
      <c r="I1118" s="80" t="s">
        <v>341</v>
      </c>
      <c r="J1118" s="80" t="s">
        <v>435</v>
      </c>
      <c r="K1118" s="80" t="s">
        <v>346</v>
      </c>
      <c r="L1118" s="80" t="s">
        <v>344</v>
      </c>
      <c r="M1118" s="81">
        <v>1.33</v>
      </c>
      <c r="N1118" s="82">
        <v>79.800000000000011</v>
      </c>
    </row>
    <row r="1119" spans="1:14" x14ac:dyDescent="0.25">
      <c r="A1119" s="10" t="str">
        <f>_xlfn.IFNA(
    IF(J1119=
        "PCB-0001",
        "CSS",
        IF(
            ISNUMBER(MATCH(_xlfn.TEXTBEFORE(J1119,"-"), {"CSS","CSN","PCB","PCF","BEC","CSD","PCM"}, 0)),
            _xlfn.TEXTBEFORE(J1119,"-"),
            "Other"
        )
    ),
"Add")</f>
        <v>PCM</v>
      </c>
      <c r="B1119" s="10" t="str">
        <f t="shared" si="18"/>
        <v>0113</v>
      </c>
      <c r="C1119" s="10" t="str">
        <f>_xlfn.LET(
    _xlpm.val, IF(Datadetails[[#This Row],[Activity]]="D02","C20",Datadetails[[#This Row],[Activity]]),
    IF(ISNUMBER(MATCH(_xlpm.val,{"D04","C30","c40","C20"},0)), _xlpm.val, "Other")
)</f>
        <v>C40</v>
      </c>
      <c r="D1119" s="10" t="str">
        <f>IFERROR(VLOOKUP(Datadetails[[#This Row],[Taskcode]],Dashboard!A:A,1,FALSE),"00 Err Missing")</f>
        <v>0113</v>
      </c>
      <c r="E1119" s="79">
        <v>45831</v>
      </c>
      <c r="F1119" s="80" t="s">
        <v>323</v>
      </c>
      <c r="G1119" s="60" t="s">
        <v>40</v>
      </c>
      <c r="H1119" s="80" t="s">
        <v>280</v>
      </c>
      <c r="I1119" s="80" t="s">
        <v>341</v>
      </c>
      <c r="J1119" s="80" t="s">
        <v>445</v>
      </c>
      <c r="K1119" s="80" t="s">
        <v>346</v>
      </c>
      <c r="L1119" s="80" t="s">
        <v>344</v>
      </c>
      <c r="M1119" s="81">
        <v>1</v>
      </c>
      <c r="N1119" s="82">
        <v>60</v>
      </c>
    </row>
    <row r="1120" spans="1:14" x14ac:dyDescent="0.25">
      <c r="A1120" s="10" t="str">
        <f>_xlfn.IFNA(
    IF(J1120=
        "PCB-0001",
        "CSS",
        IF(
            ISNUMBER(MATCH(_xlfn.TEXTBEFORE(J1120,"-"), {"CSS","CSN","PCB","PCF","BEC","CSD","PCM"}, 0)),
            _xlfn.TEXTBEFORE(J1120,"-"),
            "Other"
        )
    ),
"Add")</f>
        <v>PCM</v>
      </c>
      <c r="B1120" s="10" t="str">
        <f t="shared" si="18"/>
        <v>0107</v>
      </c>
      <c r="C1120" s="10" t="str">
        <f>_xlfn.LET(
    _xlpm.val, IF(Datadetails[[#This Row],[Activity]]="D02","C20",Datadetails[[#This Row],[Activity]]),
    IF(ISNUMBER(MATCH(_xlpm.val,{"D04","C30","c40","C20"},0)), _xlpm.val, "Other")
)</f>
        <v>C40</v>
      </c>
      <c r="D1120" s="10" t="str">
        <f>IFERROR(VLOOKUP(Datadetails[[#This Row],[Taskcode]],Dashboard!A:A,1,FALSE),"00 Err Missing")</f>
        <v>0107</v>
      </c>
      <c r="E1120" s="79">
        <v>45831</v>
      </c>
      <c r="F1120" s="80" t="s">
        <v>323</v>
      </c>
      <c r="G1120" s="60" t="s">
        <v>40</v>
      </c>
      <c r="H1120" s="80" t="s">
        <v>274</v>
      </c>
      <c r="I1120" s="80" t="s">
        <v>341</v>
      </c>
      <c r="J1120" s="80" t="s">
        <v>421</v>
      </c>
      <c r="K1120" s="80" t="s">
        <v>346</v>
      </c>
      <c r="L1120" s="80" t="s">
        <v>344</v>
      </c>
      <c r="M1120" s="81">
        <v>1</v>
      </c>
      <c r="N1120" s="82">
        <v>60</v>
      </c>
    </row>
    <row r="1121" spans="1:14" x14ac:dyDescent="0.25">
      <c r="A1121" s="10" t="str">
        <f>_xlfn.IFNA(
    IF(J1121=
        "PCB-0001",
        "CSS",
        IF(
            ISNUMBER(MATCH(_xlfn.TEXTBEFORE(J1121,"-"), {"CSS","CSN","PCB","PCF","BEC","CSD","PCM"}, 0)),
            _xlfn.TEXTBEFORE(J1121,"-"),
            "Other"
        )
    ),
"Add")</f>
        <v>PCM</v>
      </c>
      <c r="B1121" s="10" t="str">
        <f t="shared" si="18"/>
        <v>0114</v>
      </c>
      <c r="C1121" s="10" t="str">
        <f>_xlfn.LET(
    _xlpm.val, IF(Datadetails[[#This Row],[Activity]]="D02","C20",Datadetails[[#This Row],[Activity]]),
    IF(ISNUMBER(MATCH(_xlpm.val,{"D04","C30","c40","C20"},0)), _xlpm.val, "Other")
)</f>
        <v>C40</v>
      </c>
      <c r="D1121" s="10" t="str">
        <f>IFERROR(VLOOKUP(Datadetails[[#This Row],[Taskcode]],Dashboard!A:A,1,FALSE),"00 Err Missing")</f>
        <v>0114</v>
      </c>
      <c r="E1121" s="79">
        <v>45831</v>
      </c>
      <c r="F1121" s="80" t="s">
        <v>323</v>
      </c>
      <c r="G1121" s="60" t="s">
        <v>40</v>
      </c>
      <c r="H1121" s="80" t="s">
        <v>281</v>
      </c>
      <c r="I1121" s="80" t="s">
        <v>341</v>
      </c>
      <c r="J1121" s="80" t="s">
        <v>430</v>
      </c>
      <c r="K1121" s="80" t="s">
        <v>346</v>
      </c>
      <c r="L1121" s="80" t="s">
        <v>344</v>
      </c>
      <c r="M1121" s="81">
        <v>1</v>
      </c>
      <c r="N1121" s="82">
        <v>60</v>
      </c>
    </row>
    <row r="1122" spans="1:14" x14ac:dyDescent="0.25">
      <c r="A1122" s="10" t="str">
        <f>_xlfn.IFNA(
    IF(J1122=
        "PCB-0001",
        "CSS",
        IF(
            ISNUMBER(MATCH(_xlfn.TEXTBEFORE(J1122,"-"), {"CSS","CSN","PCB","PCF","BEC","CSD","PCM"}, 0)),
            _xlfn.TEXTBEFORE(J1122,"-"),
            "Other"
        )
    ),
"Add")</f>
        <v>PCM</v>
      </c>
      <c r="B1122" s="10" t="str">
        <f t="shared" si="18"/>
        <v>0115</v>
      </c>
      <c r="C1122" s="10" t="str">
        <f>_xlfn.LET(
    _xlpm.val, IF(Datadetails[[#This Row],[Activity]]="D02","C20",Datadetails[[#This Row],[Activity]]),
    IF(ISNUMBER(MATCH(_xlpm.val,{"D04","C30","c40","C20"},0)), _xlpm.val, "Other")
)</f>
        <v>C40</v>
      </c>
      <c r="D1122" s="10" t="str">
        <f>IFERROR(VLOOKUP(Datadetails[[#This Row],[Taskcode]],Dashboard!A:A,1,FALSE),"00 Err Missing")</f>
        <v>0115</v>
      </c>
      <c r="E1122" s="79">
        <v>45831</v>
      </c>
      <c r="F1122" s="80" t="s">
        <v>323</v>
      </c>
      <c r="G1122" s="60" t="s">
        <v>40</v>
      </c>
      <c r="H1122" s="80" t="s">
        <v>282</v>
      </c>
      <c r="I1122" s="80" t="s">
        <v>341</v>
      </c>
      <c r="J1122" s="80" t="s">
        <v>451</v>
      </c>
      <c r="K1122" s="80" t="s">
        <v>346</v>
      </c>
      <c r="L1122" s="80" t="s">
        <v>344</v>
      </c>
      <c r="M1122" s="81">
        <v>0.5</v>
      </c>
      <c r="N1122" s="82">
        <v>30</v>
      </c>
    </row>
    <row r="1123" spans="1:14" x14ac:dyDescent="0.25">
      <c r="A1123" s="10" t="str">
        <f>_xlfn.IFNA(
    IF(J1123=
        "PCB-0001",
        "CSS",
        IF(
            ISNUMBER(MATCH(_xlfn.TEXTBEFORE(J1123,"-"), {"CSS","CSN","PCB","PCF","BEC","CSD","PCM"}, 0)),
            _xlfn.TEXTBEFORE(J1123,"-"),
            "Other"
        )
    ),
"Add")</f>
        <v>PCB</v>
      </c>
      <c r="B1123" s="10" t="str">
        <f t="shared" si="18"/>
        <v>0013</v>
      </c>
      <c r="C1123" s="10" t="str">
        <f>_xlfn.LET(
    _xlpm.val, IF(Datadetails[[#This Row],[Activity]]="D02","C20",Datadetails[[#This Row],[Activity]]),
    IF(ISNUMBER(MATCH(_xlpm.val,{"D04","C30","c40","C20"},0)), _xlpm.val, "Other")
)</f>
        <v>C20</v>
      </c>
      <c r="D1123" s="10" t="str">
        <f>IFERROR(VLOOKUP(Datadetails[[#This Row],[Taskcode]],Dashboard!A:A,1,FALSE),"00 Err Missing")</f>
        <v>0013</v>
      </c>
      <c r="E1123" s="79">
        <v>45831</v>
      </c>
      <c r="F1123" s="80" t="s">
        <v>325</v>
      </c>
      <c r="G1123" s="60" t="s">
        <v>40</v>
      </c>
      <c r="H1123" s="80" t="s">
        <v>180</v>
      </c>
      <c r="I1123" s="80" t="s">
        <v>36</v>
      </c>
      <c r="J1123" s="80" t="s">
        <v>465</v>
      </c>
      <c r="K1123" s="80" t="s">
        <v>347</v>
      </c>
      <c r="L1123" s="80" t="s">
        <v>342</v>
      </c>
      <c r="M1123" s="81">
        <v>0.25</v>
      </c>
      <c r="N1123" s="82">
        <v>18.75</v>
      </c>
    </row>
    <row r="1124" spans="1:14" x14ac:dyDescent="0.25">
      <c r="A1124" s="10" t="str">
        <f>_xlfn.IFNA(
    IF(J1124=
        "PCB-0001",
        "CSS",
        IF(
            ISNUMBER(MATCH(_xlfn.TEXTBEFORE(J1124,"-"), {"CSS","CSN","PCB","PCF","BEC","CSD","PCM"}, 0)),
            _xlfn.TEXTBEFORE(J1124,"-"),
            "Other"
        )
    ),
"Add")</f>
        <v>PCB</v>
      </c>
      <c r="B1124" s="10" t="str">
        <f t="shared" si="18"/>
        <v>0134</v>
      </c>
      <c r="C1124" s="10" t="str">
        <f>_xlfn.LET(
    _xlpm.val, IF(Datadetails[[#This Row],[Activity]]="D02","C20",Datadetails[[#This Row],[Activity]]),
    IF(ISNUMBER(MATCH(_xlpm.val,{"D04","C30","c40","C20"},0)), _xlpm.val, "Other")
)</f>
        <v>C30</v>
      </c>
      <c r="D1124" s="10" t="str">
        <f>IFERROR(VLOOKUP(Datadetails[[#This Row],[Taskcode]],Dashboard!A:A,1,FALSE),"00 Err Missing")</f>
        <v>0134</v>
      </c>
      <c r="E1124" s="79">
        <v>45831</v>
      </c>
      <c r="F1124" s="80" t="s">
        <v>329</v>
      </c>
      <c r="G1124" s="60" t="s">
        <v>40</v>
      </c>
      <c r="H1124" s="80" t="s">
        <v>301</v>
      </c>
      <c r="I1124" s="80" t="s">
        <v>34</v>
      </c>
      <c r="J1124" s="80" t="s">
        <v>371</v>
      </c>
      <c r="K1124" s="80" t="s">
        <v>347</v>
      </c>
      <c r="L1124" s="80" t="s">
        <v>343</v>
      </c>
      <c r="M1124" s="81">
        <v>0.25</v>
      </c>
      <c r="N1124" s="82">
        <v>18.75</v>
      </c>
    </row>
    <row r="1125" spans="1:14" x14ac:dyDescent="0.25">
      <c r="A1125" s="10" t="str">
        <f>_xlfn.IFNA(
    IF(J1125=
        "PCB-0001",
        "CSS",
        IF(
            ISNUMBER(MATCH(_xlfn.TEXTBEFORE(J1125,"-"), {"CSS","CSN","PCB","PCF","BEC","CSD","PCM"}, 0)),
            _xlfn.TEXTBEFORE(J1125,"-"),
            "Other"
        )
    ),
"Add")</f>
        <v>PCB</v>
      </c>
      <c r="B1125" s="10" t="str">
        <f t="shared" si="18"/>
        <v>0055</v>
      </c>
      <c r="C1125" s="10" t="str">
        <f>_xlfn.LET(
    _xlpm.val, IF(Datadetails[[#This Row],[Activity]]="D02","C20",Datadetails[[#This Row],[Activity]]),
    IF(ISNUMBER(MATCH(_xlpm.val,{"D04","C30","c40","C20"},0)), _xlpm.val, "Other")
)</f>
        <v>C30</v>
      </c>
      <c r="D1125" s="10" t="str">
        <f>IFERROR(VLOOKUP(Datadetails[[#This Row],[Taskcode]],Dashboard!A:A,1,FALSE),"00 Err Missing")</f>
        <v>0055</v>
      </c>
      <c r="E1125" s="79">
        <v>45831</v>
      </c>
      <c r="F1125" s="80" t="s">
        <v>330</v>
      </c>
      <c r="G1125" s="60" t="s">
        <v>40</v>
      </c>
      <c r="H1125" s="80" t="s">
        <v>222</v>
      </c>
      <c r="I1125" s="80" t="s">
        <v>34</v>
      </c>
      <c r="J1125" s="80" t="s">
        <v>447</v>
      </c>
      <c r="K1125" s="80" t="s">
        <v>347</v>
      </c>
      <c r="L1125" s="80" t="s">
        <v>343</v>
      </c>
      <c r="M1125" s="81">
        <v>0.17</v>
      </c>
      <c r="N1125" s="82">
        <v>10.200000000000001</v>
      </c>
    </row>
    <row r="1126" spans="1:14" x14ac:dyDescent="0.25">
      <c r="A1126" s="10" t="str">
        <f>_xlfn.IFNA(
    IF(J1126=
        "PCB-0001",
        "CSS",
        IF(
            ISNUMBER(MATCH(_xlfn.TEXTBEFORE(J1126,"-"), {"CSS","CSN","PCB","PCF","BEC","CSD","PCM"}, 0)),
            _xlfn.TEXTBEFORE(J1126,"-"),
            "Other"
        )
    ),
"Add")</f>
        <v>PCB</v>
      </c>
      <c r="B1126" s="10" t="str">
        <f t="shared" si="18"/>
        <v>0073</v>
      </c>
      <c r="C1126" s="10" t="str">
        <f>_xlfn.LET(
    _xlpm.val, IF(Datadetails[[#This Row],[Activity]]="D02","C20",Datadetails[[#This Row],[Activity]]),
    IF(ISNUMBER(MATCH(_xlpm.val,{"D04","C30","c40","C20"},0)), _xlpm.val, "Other")
)</f>
        <v>C30</v>
      </c>
      <c r="D1126" s="10" t="str">
        <f>IFERROR(VLOOKUP(Datadetails[[#This Row],[Taskcode]],Dashboard!A:A,1,FALSE),"00 Err Missing")</f>
        <v>0073</v>
      </c>
      <c r="E1126" s="79">
        <v>45831</v>
      </c>
      <c r="F1126" s="80" t="s">
        <v>329</v>
      </c>
      <c r="G1126" s="60" t="s">
        <v>40</v>
      </c>
      <c r="H1126" s="80" t="s">
        <v>240</v>
      </c>
      <c r="I1126" s="80" t="s">
        <v>34</v>
      </c>
      <c r="J1126" s="80" t="s">
        <v>402</v>
      </c>
      <c r="K1126" s="80" t="s">
        <v>347</v>
      </c>
      <c r="L1126" s="80" t="s">
        <v>343</v>
      </c>
      <c r="M1126" s="81">
        <v>0.17</v>
      </c>
      <c r="N1126" s="82">
        <v>12.750000000000002</v>
      </c>
    </row>
    <row r="1127" spans="1:14" x14ac:dyDescent="0.25">
      <c r="A1127" s="10" t="str">
        <f>_xlfn.IFNA(
    IF(J1127=
        "PCB-0001",
        "CSS",
        IF(
            ISNUMBER(MATCH(_xlfn.TEXTBEFORE(J1127,"-"), {"CSS","CSN","PCB","PCF","BEC","CSD","PCM"}, 0)),
            _xlfn.TEXTBEFORE(J1127,"-"),
            "Other"
        )
    ),
"Add")</f>
        <v>PCB</v>
      </c>
      <c r="B1127" s="10" t="str">
        <f t="shared" si="18"/>
        <v>0126</v>
      </c>
      <c r="C1127" s="10" t="str">
        <f>_xlfn.LET(
    _xlpm.val, IF(Datadetails[[#This Row],[Activity]]="D02","C20",Datadetails[[#This Row],[Activity]]),
    IF(ISNUMBER(MATCH(_xlpm.val,{"D04","C30","c40","C20"},0)), _xlpm.val, "Other")
)</f>
        <v>C30</v>
      </c>
      <c r="D1127" s="10" t="str">
        <f>IFERROR(VLOOKUP(Datadetails[[#This Row],[Taskcode]],Dashboard!A:A,1,FALSE),"00 Err Missing")</f>
        <v>0126</v>
      </c>
      <c r="E1127" s="79">
        <v>45831</v>
      </c>
      <c r="F1127" s="80" t="s">
        <v>329</v>
      </c>
      <c r="G1127" s="60" t="s">
        <v>40</v>
      </c>
      <c r="H1127" s="80" t="s">
        <v>293</v>
      </c>
      <c r="I1127" s="80" t="s">
        <v>34</v>
      </c>
      <c r="J1127" s="80" t="s">
        <v>376</v>
      </c>
      <c r="K1127" s="80" t="s">
        <v>347</v>
      </c>
      <c r="L1127" s="80" t="s">
        <v>343</v>
      </c>
      <c r="M1127" s="81">
        <v>0.33</v>
      </c>
      <c r="N1127" s="82">
        <v>24.75</v>
      </c>
    </row>
    <row r="1128" spans="1:14" x14ac:dyDescent="0.25">
      <c r="A1128" s="10" t="str">
        <f>_xlfn.IFNA(
    IF(J1128=
        "PCB-0001",
        "CSS",
        IF(
            ISNUMBER(MATCH(_xlfn.TEXTBEFORE(J1128,"-"), {"CSS","CSN","PCB","PCF","BEC","CSD","PCM"}, 0)),
            _xlfn.TEXTBEFORE(J1128,"-"),
            "Other"
        )
    ),
"Add")</f>
        <v>PCB</v>
      </c>
      <c r="B1128" s="10" t="str">
        <f t="shared" si="18"/>
        <v>0128</v>
      </c>
      <c r="C1128" s="10" t="str">
        <f>_xlfn.LET(
    _xlpm.val, IF(Datadetails[[#This Row],[Activity]]="D02","C20",Datadetails[[#This Row],[Activity]]),
    IF(ISNUMBER(MATCH(_xlpm.val,{"D04","C30","c40","C20"},0)), _xlpm.val, "Other")
)</f>
        <v>C30</v>
      </c>
      <c r="D1128" s="10" t="str">
        <f>IFERROR(VLOOKUP(Datadetails[[#This Row],[Taskcode]],Dashboard!A:A,1,FALSE),"00 Err Missing")</f>
        <v>0128</v>
      </c>
      <c r="E1128" s="79">
        <v>45831</v>
      </c>
      <c r="F1128" s="80" t="s">
        <v>329</v>
      </c>
      <c r="G1128" s="60" t="s">
        <v>40</v>
      </c>
      <c r="H1128" s="80" t="s">
        <v>295</v>
      </c>
      <c r="I1128" s="80" t="s">
        <v>34</v>
      </c>
      <c r="J1128" s="80" t="s">
        <v>379</v>
      </c>
      <c r="K1128" s="80" t="s">
        <v>347</v>
      </c>
      <c r="L1128" s="80" t="s">
        <v>343</v>
      </c>
      <c r="M1128" s="81">
        <v>0.17</v>
      </c>
      <c r="N1128" s="82">
        <v>12.750000000000002</v>
      </c>
    </row>
    <row r="1129" spans="1:14" x14ac:dyDescent="0.25">
      <c r="A1129" s="10" t="str">
        <f>_xlfn.IFNA(
    IF(J1129=
        "PCB-0001",
        "CSS",
        IF(
            ISNUMBER(MATCH(_xlfn.TEXTBEFORE(J1129,"-"), {"CSS","CSN","PCB","PCF","BEC","CSD","PCM"}, 0)),
            _xlfn.TEXTBEFORE(J1129,"-"),
            "Other"
        )
    ),
"Add")</f>
        <v>PCB</v>
      </c>
      <c r="B1129" s="10" t="str">
        <f t="shared" si="18"/>
        <v>0092</v>
      </c>
      <c r="C1129" s="10" t="str">
        <f>_xlfn.LET(
    _xlpm.val, IF(Datadetails[[#This Row],[Activity]]="D02","C20",Datadetails[[#This Row],[Activity]]),
    IF(ISNUMBER(MATCH(_xlpm.val,{"D04","C30","c40","C20"},0)), _xlpm.val, "Other")
)</f>
        <v>C30</v>
      </c>
      <c r="D1129" s="10" t="str">
        <f>IFERROR(VLOOKUP(Datadetails[[#This Row],[Taskcode]],Dashboard!A:A,1,FALSE),"00 Err Missing")</f>
        <v>0092</v>
      </c>
      <c r="E1129" s="79">
        <v>45831</v>
      </c>
      <c r="F1129" s="80" t="s">
        <v>329</v>
      </c>
      <c r="G1129" s="60" t="s">
        <v>40</v>
      </c>
      <c r="H1129" s="80" t="s">
        <v>259</v>
      </c>
      <c r="I1129" s="80" t="s">
        <v>34</v>
      </c>
      <c r="J1129" s="80" t="s">
        <v>407</v>
      </c>
      <c r="K1129" s="80" t="s">
        <v>347</v>
      </c>
      <c r="L1129" s="80" t="s">
        <v>343</v>
      </c>
      <c r="M1129" s="81">
        <v>0.17</v>
      </c>
      <c r="N1129" s="82">
        <v>12.750000000000002</v>
      </c>
    </row>
    <row r="1130" spans="1:14" x14ac:dyDescent="0.25">
      <c r="A1130" s="10" t="str">
        <f>_xlfn.IFNA(
    IF(J1130=
        "PCB-0001",
        "CSS",
        IF(
            ISNUMBER(MATCH(_xlfn.TEXTBEFORE(J1130,"-"), {"CSS","CSN","PCB","PCF","BEC","CSD","PCM"}, 0)),
            _xlfn.TEXTBEFORE(J1130,"-"),
            "Other"
        )
    ),
"Add")</f>
        <v>PCB</v>
      </c>
      <c r="B1130" s="10" t="str">
        <f t="shared" si="18"/>
        <v>0117</v>
      </c>
      <c r="C1130" s="10" t="str">
        <f>_xlfn.LET(
    _xlpm.val, IF(Datadetails[[#This Row],[Activity]]="D02","C20",Datadetails[[#This Row],[Activity]]),
    IF(ISNUMBER(MATCH(_xlpm.val,{"D04","C30","c40","C20"},0)), _xlpm.val, "Other")
)</f>
        <v>C30</v>
      </c>
      <c r="D1130" s="10" t="str">
        <f>IFERROR(VLOOKUP(Datadetails[[#This Row],[Taskcode]],Dashboard!A:A,1,FALSE),"00 Err Missing")</f>
        <v>0117</v>
      </c>
      <c r="E1130" s="79">
        <v>45831</v>
      </c>
      <c r="F1130" s="80" t="s">
        <v>330</v>
      </c>
      <c r="G1130" s="60" t="s">
        <v>40</v>
      </c>
      <c r="H1130" s="80" t="s">
        <v>284</v>
      </c>
      <c r="I1130" s="80" t="s">
        <v>34</v>
      </c>
      <c r="J1130" s="80" t="s">
        <v>415</v>
      </c>
      <c r="K1130" s="80" t="s">
        <v>347</v>
      </c>
      <c r="L1130" s="80" t="s">
        <v>343</v>
      </c>
      <c r="M1130" s="81">
        <v>0.17</v>
      </c>
      <c r="N1130" s="82">
        <v>10.200000000000001</v>
      </c>
    </row>
    <row r="1131" spans="1:14" x14ac:dyDescent="0.25">
      <c r="A1131" s="10" t="str">
        <f>_xlfn.IFNA(
    IF(J1131=
        "PCB-0001",
        "CSS",
        IF(
            ISNUMBER(MATCH(_xlfn.TEXTBEFORE(J1131,"-"), {"CSS","CSN","PCB","PCF","BEC","CSD","PCM"}, 0)),
            _xlfn.TEXTBEFORE(J1131,"-"),
            "Other"
        )
    ),
"Add")</f>
        <v>PCB</v>
      </c>
      <c r="B1131" s="10" t="str">
        <f t="shared" si="18"/>
        <v>0080</v>
      </c>
      <c r="C1131" s="10" t="str">
        <f>_xlfn.LET(
    _xlpm.val, IF(Datadetails[[#This Row],[Activity]]="D02","C20",Datadetails[[#This Row],[Activity]]),
    IF(ISNUMBER(MATCH(_xlpm.val,{"D04","C30","c40","C20"},0)), _xlpm.val, "Other")
)</f>
        <v>C40</v>
      </c>
      <c r="D1131" s="10" t="str">
        <f>IFERROR(VLOOKUP(Datadetails[[#This Row],[Taskcode]],Dashboard!A:A,1,FALSE),"00 Err Missing")</f>
        <v>0080</v>
      </c>
      <c r="E1131" s="79">
        <v>45831</v>
      </c>
      <c r="F1131" s="80" t="s">
        <v>329</v>
      </c>
      <c r="G1131" s="60" t="s">
        <v>40</v>
      </c>
      <c r="H1131" s="80" t="s">
        <v>247</v>
      </c>
      <c r="I1131" s="80" t="s">
        <v>341</v>
      </c>
      <c r="J1131" s="80" t="s">
        <v>375</v>
      </c>
      <c r="K1131" s="80" t="s">
        <v>347</v>
      </c>
      <c r="L1131" s="80" t="s">
        <v>344</v>
      </c>
      <c r="M1131" s="81">
        <v>2</v>
      </c>
      <c r="N1131" s="82">
        <v>150</v>
      </c>
    </row>
    <row r="1132" spans="1:14" x14ac:dyDescent="0.25">
      <c r="A1132" s="10" t="str">
        <f>_xlfn.IFNA(
    IF(J1132=
        "PCB-0001",
        "CSS",
        IF(
            ISNUMBER(MATCH(_xlfn.TEXTBEFORE(J1132,"-"), {"CSS","CSN","PCB","PCF","BEC","CSD","PCM"}, 0)),
            _xlfn.TEXTBEFORE(J1132,"-"),
            "Other"
        )
    ),
"Add")</f>
        <v>PCF</v>
      </c>
      <c r="B1132" s="10" t="str">
        <f t="shared" si="18"/>
        <v>0069</v>
      </c>
      <c r="C1132" s="10" t="str">
        <f>_xlfn.LET(
    _xlpm.val, IF(Datadetails[[#This Row],[Activity]]="D02","C20",Datadetails[[#This Row],[Activity]]),
    IF(ISNUMBER(MATCH(_xlpm.val,{"D04","C30","c40","C20"},0)), _xlpm.val, "Other")
)</f>
        <v>C20</v>
      </c>
      <c r="D1132" s="10" t="str">
        <f>IFERROR(VLOOKUP(Datadetails[[#This Row],[Taskcode]],Dashboard!A:A,1,FALSE),"00 Err Missing")</f>
        <v>0069</v>
      </c>
      <c r="E1132" s="79">
        <v>45831</v>
      </c>
      <c r="F1132" s="80" t="s">
        <v>326</v>
      </c>
      <c r="G1132" s="60" t="s">
        <v>40</v>
      </c>
      <c r="H1132" s="80" t="s">
        <v>236</v>
      </c>
      <c r="I1132" s="80" t="s">
        <v>36</v>
      </c>
      <c r="J1132" s="80" t="s">
        <v>357</v>
      </c>
      <c r="K1132" s="80" t="s">
        <v>348</v>
      </c>
      <c r="L1132" s="80" t="s">
        <v>342</v>
      </c>
      <c r="M1132" s="81">
        <v>0.83</v>
      </c>
      <c r="N1132" s="82">
        <v>49.8</v>
      </c>
    </row>
    <row r="1133" spans="1:14" x14ac:dyDescent="0.25">
      <c r="A1133" s="10" t="str">
        <f>_xlfn.IFNA(
    IF(J1133=
        "PCB-0001",
        "CSS",
        IF(
            ISNUMBER(MATCH(_xlfn.TEXTBEFORE(J1133,"-"), {"CSS","CSN","PCB","PCF","BEC","CSD","PCM"}, 0)),
            _xlfn.TEXTBEFORE(J1133,"-"),
            "Other"
        )
    ),
"Add")</f>
        <v>PCF</v>
      </c>
      <c r="B1133" s="10" t="str">
        <f t="shared" si="18"/>
        <v>0142</v>
      </c>
      <c r="C1133" s="10" t="str">
        <f>_xlfn.LET(
    _xlpm.val, IF(Datadetails[[#This Row],[Activity]]="D02","C20",Datadetails[[#This Row],[Activity]]),
    IF(ISNUMBER(MATCH(_xlpm.val,{"D04","C30","c40","C20"},0)), _xlpm.val, "Other")
)</f>
        <v>C30</v>
      </c>
      <c r="D1133" s="10" t="str">
        <f>IFERROR(VLOOKUP(Datadetails[[#This Row],[Taskcode]],Dashboard!A:A,1,FALSE),"00 Err Missing")</f>
        <v>0142</v>
      </c>
      <c r="E1133" s="79">
        <v>45831</v>
      </c>
      <c r="F1133" s="80" t="s">
        <v>326</v>
      </c>
      <c r="G1133" s="60" t="s">
        <v>40</v>
      </c>
      <c r="H1133" s="80" t="s">
        <v>309</v>
      </c>
      <c r="I1133" s="80" t="s">
        <v>34</v>
      </c>
      <c r="J1133" s="80" t="s">
        <v>454</v>
      </c>
      <c r="K1133" s="80" t="s">
        <v>348</v>
      </c>
      <c r="L1133" s="80" t="s">
        <v>343</v>
      </c>
      <c r="M1133" s="81">
        <v>0.75</v>
      </c>
      <c r="N1133" s="82">
        <v>45</v>
      </c>
    </row>
    <row r="1134" spans="1:14" x14ac:dyDescent="0.25">
      <c r="A1134" s="10" t="str">
        <f>_xlfn.IFNA(
    IF(J1134=
        "PCB-0001",
        "CSS",
        IF(
            ISNUMBER(MATCH(_xlfn.TEXTBEFORE(J1134,"-"), {"CSS","CSN","PCB","PCF","BEC","CSD","PCM"}, 0)),
            _xlfn.TEXTBEFORE(J1134,"-"),
            "Other"
        )
    ),
"Add")</f>
        <v>PCF</v>
      </c>
      <c r="B1134" s="10" t="str">
        <f t="shared" si="18"/>
        <v>0066</v>
      </c>
      <c r="C1134" s="10" t="str">
        <f>_xlfn.LET(
    _xlpm.val, IF(Datadetails[[#This Row],[Activity]]="D02","C20",Datadetails[[#This Row],[Activity]]),
    IF(ISNUMBER(MATCH(_xlpm.val,{"D04","C30","c40","C20"},0)), _xlpm.val, "Other")
)</f>
        <v>C40</v>
      </c>
      <c r="D1134" s="10" t="str">
        <f>IFERROR(VLOOKUP(Datadetails[[#This Row],[Taskcode]],Dashboard!A:A,1,FALSE),"00 Err Missing")</f>
        <v>0066</v>
      </c>
      <c r="E1134" s="79">
        <v>45831</v>
      </c>
      <c r="F1134" s="80" t="s">
        <v>326</v>
      </c>
      <c r="G1134" s="60" t="s">
        <v>40</v>
      </c>
      <c r="H1134" s="80" t="s">
        <v>233</v>
      </c>
      <c r="I1134" s="80" t="s">
        <v>341</v>
      </c>
      <c r="J1134" s="80" t="s">
        <v>387</v>
      </c>
      <c r="K1134" s="80" t="s">
        <v>348</v>
      </c>
      <c r="L1134" s="80" t="s">
        <v>344</v>
      </c>
      <c r="M1134" s="81">
        <v>2</v>
      </c>
      <c r="N1134" s="82">
        <v>120</v>
      </c>
    </row>
    <row r="1135" spans="1:14" x14ac:dyDescent="0.25">
      <c r="A1135" s="10" t="str">
        <f>_xlfn.IFNA(
    IF(J1135=
        "PCB-0001",
        "CSS",
        IF(
            ISNUMBER(MATCH(_xlfn.TEXTBEFORE(J1135,"-"), {"CSS","CSN","PCB","PCF","BEC","CSD","PCM"}, 0)),
            _xlfn.TEXTBEFORE(J1135,"-"),
            "Other"
        )
    ),
"Add")</f>
        <v>BEC</v>
      </c>
      <c r="B1135" s="10" t="str">
        <f t="shared" si="18"/>
        <v>0001</v>
      </c>
      <c r="C1135" s="10" t="str">
        <f>_xlfn.LET(
    _xlpm.val, IF(Datadetails[[#This Row],[Activity]]="D02","C20",Datadetails[[#This Row],[Activity]]),
    IF(ISNUMBER(MATCH(_xlpm.val,{"D04","C30","c40","C20"},0)), _xlpm.val, "Other")
)</f>
        <v>D04</v>
      </c>
      <c r="D1135" s="10" t="str">
        <f>IFERROR(VLOOKUP(Datadetails[[#This Row],[Taskcode]],Dashboard!A:A,1,FALSE),"00 Err Missing")</f>
        <v>0001</v>
      </c>
      <c r="E1135" s="79">
        <v>45831</v>
      </c>
      <c r="F1135" s="80" t="s">
        <v>332</v>
      </c>
      <c r="G1135" s="60" t="s">
        <v>40</v>
      </c>
      <c r="H1135" s="80" t="s">
        <v>314</v>
      </c>
      <c r="I1135" s="80" t="s">
        <v>35</v>
      </c>
      <c r="J1135" s="80" t="s">
        <v>359</v>
      </c>
      <c r="K1135" s="80" t="s">
        <v>339</v>
      </c>
      <c r="L1135" s="80" t="s">
        <v>352</v>
      </c>
      <c r="M1135" s="81">
        <v>9.17</v>
      </c>
      <c r="N1135" s="82">
        <v>366.8</v>
      </c>
    </row>
    <row r="1136" spans="1:14" x14ac:dyDescent="0.25">
      <c r="A1136" s="10" t="str">
        <f>_xlfn.IFNA(
    IF(J1136=
        "PCB-0001",
        "CSS",
        IF(
            ISNUMBER(MATCH(_xlfn.TEXTBEFORE(J1136,"-"), {"CSS","CSN","PCB","PCF","BEC","CSD","PCM"}, 0)),
            _xlfn.TEXTBEFORE(J1136,"-"),
            "Other"
        )
    ),
"Add")</f>
        <v>BEC</v>
      </c>
      <c r="B1136" s="10" t="str">
        <f t="shared" si="18"/>
        <v>0001</v>
      </c>
      <c r="C1136" s="10" t="str">
        <f>_xlfn.LET(
    _xlpm.val, IF(Datadetails[[#This Row],[Activity]]="D02","C20",Datadetails[[#This Row],[Activity]]),
    IF(ISNUMBER(MATCH(_xlpm.val,{"D04","C30","c40","C20"},0)), _xlpm.val, "Other")
)</f>
        <v>D04</v>
      </c>
      <c r="D1136" s="10" t="str">
        <f>IFERROR(VLOOKUP(Datadetails[[#This Row],[Taskcode]],Dashboard!A:A,1,FALSE),"00 Err Missing")</f>
        <v>0001</v>
      </c>
      <c r="E1136" s="79">
        <v>45831</v>
      </c>
      <c r="F1136" s="80" t="s">
        <v>324</v>
      </c>
      <c r="G1136" s="60" t="s">
        <v>40</v>
      </c>
      <c r="H1136" s="80" t="s">
        <v>314</v>
      </c>
      <c r="I1136" s="80" t="s">
        <v>35</v>
      </c>
      <c r="J1136" s="80" t="s">
        <v>359</v>
      </c>
      <c r="K1136" s="80" t="s">
        <v>339</v>
      </c>
      <c r="L1136" s="80" t="s">
        <v>352</v>
      </c>
      <c r="M1136" s="81">
        <v>6</v>
      </c>
      <c r="N1136" s="82">
        <v>450</v>
      </c>
    </row>
    <row r="1137" spans="1:14" x14ac:dyDescent="0.25">
      <c r="A1137" s="10" t="str">
        <f>_xlfn.IFNA(
    IF(J1137=
        "PCB-0001",
        "CSS",
        IF(
            ISNUMBER(MATCH(_xlfn.TEXTBEFORE(J1137,"-"), {"CSS","CSN","PCB","PCF","BEC","CSD","PCM"}, 0)),
            _xlfn.TEXTBEFORE(J1137,"-"),
            "Other"
        )
    ),
"Add")</f>
        <v>PCM</v>
      </c>
      <c r="B1137" s="10" t="str">
        <f t="shared" si="18"/>
        <v>0033</v>
      </c>
      <c r="C1137" s="10" t="str">
        <f>_xlfn.LET(
    _xlpm.val, IF(Datadetails[[#This Row],[Activity]]="D02","C20",Datadetails[[#This Row],[Activity]]),
    IF(ISNUMBER(MATCH(_xlpm.val,{"D04","C30","c40","C20"},0)), _xlpm.val, "Other")
)</f>
        <v>C20</v>
      </c>
      <c r="D1137" s="10" t="str">
        <f>IFERROR(VLOOKUP(Datadetails[[#This Row],[Taskcode]],Dashboard!A:A,1,FALSE),"00 Err Missing")</f>
        <v>0033</v>
      </c>
      <c r="E1137" s="79">
        <v>45832</v>
      </c>
      <c r="F1137" s="80" t="s">
        <v>323</v>
      </c>
      <c r="G1137" s="60" t="s">
        <v>40</v>
      </c>
      <c r="H1137" s="80" t="s">
        <v>200</v>
      </c>
      <c r="I1137" s="80" t="s">
        <v>36</v>
      </c>
      <c r="J1137" s="80" t="s">
        <v>391</v>
      </c>
      <c r="K1137" s="80" t="s">
        <v>346</v>
      </c>
      <c r="L1137" s="80" t="s">
        <v>342</v>
      </c>
      <c r="M1137" s="81">
        <v>0.25</v>
      </c>
      <c r="N1137" s="82">
        <v>15</v>
      </c>
    </row>
    <row r="1138" spans="1:14" x14ac:dyDescent="0.25">
      <c r="A1138" s="10" t="str">
        <f>_xlfn.IFNA(
    IF(J1138=
        "PCB-0001",
        "CSS",
        IF(
            ISNUMBER(MATCH(_xlfn.TEXTBEFORE(J1138,"-"), {"CSS","CSN","PCB","PCF","BEC","CSD","PCM"}, 0)),
            _xlfn.TEXTBEFORE(J1138,"-"),
            "Other"
        )
    ),
"Add")</f>
        <v>PCM</v>
      </c>
      <c r="B1138" s="10" t="str">
        <f t="shared" si="18"/>
        <v>0045</v>
      </c>
      <c r="C1138" s="10" t="str">
        <f>_xlfn.LET(
    _xlpm.val, IF(Datadetails[[#This Row],[Activity]]="D02","C20",Datadetails[[#This Row],[Activity]]),
    IF(ISNUMBER(MATCH(_xlpm.val,{"D04","C30","c40","C20"},0)), _xlpm.val, "Other")
)</f>
        <v>C20</v>
      </c>
      <c r="D1138" s="10" t="str">
        <f>IFERROR(VLOOKUP(Datadetails[[#This Row],[Taskcode]],Dashboard!A:A,1,FALSE),"00 Err Missing")</f>
        <v>0045</v>
      </c>
      <c r="E1138" s="79">
        <v>45832</v>
      </c>
      <c r="F1138" s="80" t="s">
        <v>323</v>
      </c>
      <c r="G1138" s="60" t="s">
        <v>40</v>
      </c>
      <c r="H1138" s="80" t="s">
        <v>212</v>
      </c>
      <c r="I1138" s="80" t="s">
        <v>36</v>
      </c>
      <c r="J1138" s="80" t="s">
        <v>392</v>
      </c>
      <c r="K1138" s="80" t="s">
        <v>346</v>
      </c>
      <c r="L1138" s="80" t="s">
        <v>342</v>
      </c>
      <c r="M1138" s="81">
        <v>0.25</v>
      </c>
      <c r="N1138" s="82">
        <v>15</v>
      </c>
    </row>
    <row r="1139" spans="1:14" x14ac:dyDescent="0.25">
      <c r="A1139" s="10" t="str">
        <f>_xlfn.IFNA(
    IF(J1139=
        "PCB-0001",
        "CSS",
        IF(
            ISNUMBER(MATCH(_xlfn.TEXTBEFORE(J1139,"-"), {"CSS","CSN","PCB","PCF","BEC","CSD","PCM"}, 0)),
            _xlfn.TEXTBEFORE(J1139,"-"),
            "Other"
        )
    ),
"Add")</f>
        <v>CSN</v>
      </c>
      <c r="B1139" s="10" t="str">
        <f t="shared" si="18"/>
        <v>0001</v>
      </c>
      <c r="C1139" s="10" t="str">
        <f>_xlfn.LET(
    _xlpm.val, IF(Datadetails[[#This Row],[Activity]]="D02","C20",Datadetails[[#This Row],[Activity]]),
    IF(ISNUMBER(MATCH(_xlpm.val,{"D04","C30","c40","C20"},0)), _xlpm.val, "Other")
)</f>
        <v>D04</v>
      </c>
      <c r="D1139" s="10" t="str">
        <f>IFERROR(VLOOKUP(Datadetails[[#This Row],[Taskcode]],Dashboard!A:A,1,FALSE),"00 Err Missing")</f>
        <v>0001</v>
      </c>
      <c r="E1139" s="79">
        <v>45832</v>
      </c>
      <c r="F1139" s="80" t="s">
        <v>329</v>
      </c>
      <c r="G1139" s="60" t="s">
        <v>40</v>
      </c>
      <c r="H1139" s="80" t="s">
        <v>316</v>
      </c>
      <c r="I1139" s="80" t="s">
        <v>35</v>
      </c>
      <c r="J1139" s="80" t="s">
        <v>338</v>
      </c>
      <c r="K1139" s="80" t="s">
        <v>337</v>
      </c>
      <c r="L1139" s="80" t="s">
        <v>352</v>
      </c>
      <c r="M1139" s="81">
        <v>0.5</v>
      </c>
      <c r="N1139" s="82">
        <v>37.5</v>
      </c>
    </row>
    <row r="1140" spans="1:14" x14ac:dyDescent="0.25">
      <c r="A1140" s="10" t="str">
        <f>_xlfn.IFNA(
    IF(J1140=
        "PCB-0001",
        "CSS",
        IF(
            ISNUMBER(MATCH(_xlfn.TEXTBEFORE(J1140,"-"), {"CSS","CSN","PCB","PCF","BEC","CSD","PCM"}, 0)),
            _xlfn.TEXTBEFORE(J1140,"-"),
            "Other"
        )
    ),
"Add")</f>
        <v>CSD</v>
      </c>
      <c r="B1140" s="10" t="str">
        <f t="shared" si="18"/>
        <v>0001</v>
      </c>
      <c r="C1140" s="10" t="str">
        <f>_xlfn.LET(
    _xlpm.val, IF(Datadetails[[#This Row],[Activity]]="D02","C20",Datadetails[[#This Row],[Activity]]),
    IF(ISNUMBER(MATCH(_xlpm.val,{"D04","C30","c40","C20"},0)), _xlpm.val, "Other")
)</f>
        <v>D04</v>
      </c>
      <c r="D1140" s="10" t="str">
        <f>IFERROR(VLOOKUP(Datadetails[[#This Row],[Taskcode]],Dashboard!A:A,1,FALSE),"00 Err Missing")</f>
        <v>0001</v>
      </c>
      <c r="E1140" s="79">
        <v>45832</v>
      </c>
      <c r="F1140" s="80" t="s">
        <v>333</v>
      </c>
      <c r="G1140" s="60" t="s">
        <v>40</v>
      </c>
      <c r="H1140" s="80" t="s">
        <v>320</v>
      </c>
      <c r="I1140" s="80" t="s">
        <v>35</v>
      </c>
      <c r="J1140" s="80" t="s">
        <v>322</v>
      </c>
      <c r="K1140" s="80" t="s">
        <v>319</v>
      </c>
      <c r="L1140" s="80" t="s">
        <v>352</v>
      </c>
      <c r="M1140" s="81">
        <v>8.77</v>
      </c>
      <c r="N1140" s="82">
        <v>280.64</v>
      </c>
    </row>
    <row r="1141" spans="1:14" x14ac:dyDescent="0.25">
      <c r="A1141" s="10" t="str">
        <f>_xlfn.IFNA(
    IF(J1141=
        "PCB-0001",
        "CSS",
        IF(
            ISNUMBER(MATCH(_xlfn.TEXTBEFORE(J1141,"-"), {"CSS","CSN","PCB","PCF","BEC","CSD","PCM"}, 0)),
            _xlfn.TEXTBEFORE(J1141,"-"),
            "Other"
        )
    ),
"Add")</f>
        <v>PCM</v>
      </c>
      <c r="B1141" s="10" t="str">
        <f t="shared" si="18"/>
        <v>0078</v>
      </c>
      <c r="C1141" s="10" t="str">
        <f>_xlfn.LET(
    _xlpm.val, IF(Datadetails[[#This Row],[Activity]]="D02","C20",Datadetails[[#This Row],[Activity]]),
    IF(ISNUMBER(MATCH(_xlpm.val,{"D04","C30","c40","C20"},0)), _xlpm.val, "Other")
)</f>
        <v>C20</v>
      </c>
      <c r="D1141" s="10" t="str">
        <f>IFERROR(VLOOKUP(Datadetails[[#This Row],[Taskcode]],Dashboard!A:A,1,FALSE),"00 Err Missing")</f>
        <v>0078</v>
      </c>
      <c r="E1141" s="79">
        <v>45832</v>
      </c>
      <c r="F1141" s="80" t="s">
        <v>323</v>
      </c>
      <c r="G1141" s="60" t="s">
        <v>40</v>
      </c>
      <c r="H1141" s="80" t="s">
        <v>245</v>
      </c>
      <c r="I1141" s="80" t="s">
        <v>36</v>
      </c>
      <c r="J1141" s="80" t="s">
        <v>435</v>
      </c>
      <c r="K1141" s="80" t="s">
        <v>346</v>
      </c>
      <c r="L1141" s="80" t="s">
        <v>342</v>
      </c>
      <c r="M1141" s="81">
        <v>0.25</v>
      </c>
      <c r="N1141" s="82">
        <v>15</v>
      </c>
    </row>
    <row r="1142" spans="1:14" x14ac:dyDescent="0.25">
      <c r="A1142" s="10" t="str">
        <f>_xlfn.IFNA(
    IF(J1142=
        "PCB-0001",
        "CSS",
        IF(
            ISNUMBER(MATCH(_xlfn.TEXTBEFORE(J1142,"-"), {"CSS","CSN","PCB","PCF","BEC","CSD","PCM"}, 0)),
            _xlfn.TEXTBEFORE(J1142,"-"),
            "Other"
        )
    ),
"Add")</f>
        <v>PCM</v>
      </c>
      <c r="B1142" s="10" t="str">
        <f t="shared" si="18"/>
        <v>0099</v>
      </c>
      <c r="C1142" s="10" t="str">
        <f>_xlfn.LET(
    _xlpm.val, IF(Datadetails[[#This Row],[Activity]]="D02","C20",Datadetails[[#This Row],[Activity]]),
    IF(ISNUMBER(MATCH(_xlpm.val,{"D04","C30","c40","C20"},0)), _xlpm.val, "Other")
)</f>
        <v>C30</v>
      </c>
      <c r="D1142" s="10" t="str">
        <f>IFERROR(VLOOKUP(Datadetails[[#This Row],[Taskcode]],Dashboard!A:A,1,FALSE),"00 Err Missing")</f>
        <v>0099</v>
      </c>
      <c r="E1142" s="79">
        <v>45832</v>
      </c>
      <c r="F1142" s="80" t="s">
        <v>323</v>
      </c>
      <c r="G1142" s="60" t="s">
        <v>40</v>
      </c>
      <c r="H1142" s="80" t="s">
        <v>266</v>
      </c>
      <c r="I1142" s="80" t="s">
        <v>34</v>
      </c>
      <c r="J1142" s="80" t="s">
        <v>394</v>
      </c>
      <c r="K1142" s="80" t="s">
        <v>346</v>
      </c>
      <c r="L1142" s="80" t="s">
        <v>343</v>
      </c>
      <c r="M1142" s="81">
        <v>0.5</v>
      </c>
      <c r="N1142" s="82">
        <v>30</v>
      </c>
    </row>
    <row r="1143" spans="1:14" x14ac:dyDescent="0.25">
      <c r="A1143" s="10" t="str">
        <f>_xlfn.IFNA(
    IF(J1143=
        "PCB-0001",
        "CSS",
        IF(
            ISNUMBER(MATCH(_xlfn.TEXTBEFORE(J1143,"-"), {"CSS","CSN","PCB","PCF","BEC","CSD","PCM"}, 0)),
            _xlfn.TEXTBEFORE(J1143,"-"),
            "Other"
        )
    ),
"Add")</f>
        <v>PCB</v>
      </c>
      <c r="B1143" s="10" t="str">
        <f t="shared" si="18"/>
        <v>0085</v>
      </c>
      <c r="C1143" s="10" t="str">
        <f>_xlfn.LET(
    _xlpm.val, IF(Datadetails[[#This Row],[Activity]]="D02","C20",Datadetails[[#This Row],[Activity]]),
    IF(ISNUMBER(MATCH(_xlpm.val,{"D04","C30","c40","C20"},0)), _xlpm.val, "Other")
)</f>
        <v>C20</v>
      </c>
      <c r="D1143" s="10" t="str">
        <f>IFERROR(VLOOKUP(Datadetails[[#This Row],[Taskcode]],Dashboard!A:A,1,FALSE),"00 Err Missing")</f>
        <v>0085</v>
      </c>
      <c r="E1143" s="79">
        <v>45832</v>
      </c>
      <c r="F1143" s="80" t="s">
        <v>330</v>
      </c>
      <c r="G1143" s="60" t="s">
        <v>40</v>
      </c>
      <c r="H1143" s="80" t="s">
        <v>252</v>
      </c>
      <c r="I1143" s="80" t="s">
        <v>36</v>
      </c>
      <c r="J1143" s="80" t="s">
        <v>416</v>
      </c>
      <c r="K1143" s="80" t="s">
        <v>347</v>
      </c>
      <c r="L1143" s="80" t="s">
        <v>342</v>
      </c>
      <c r="M1143" s="81">
        <v>0.5</v>
      </c>
      <c r="N1143" s="82">
        <v>30</v>
      </c>
    </row>
    <row r="1144" spans="1:14" x14ac:dyDescent="0.25">
      <c r="A1144" s="10" t="str">
        <f>_xlfn.IFNA(
    IF(J1144=
        "PCB-0001",
        "CSS",
        IF(
            ISNUMBER(MATCH(_xlfn.TEXTBEFORE(J1144,"-"), {"CSS","CSN","PCB","PCF","BEC","CSD","PCM"}, 0)),
            _xlfn.TEXTBEFORE(J1144,"-"),
            "Other"
        )
    ),
"Add")</f>
        <v>PCB</v>
      </c>
      <c r="B1144" s="10" t="str">
        <f t="shared" si="18"/>
        <v>0009</v>
      </c>
      <c r="C1144" s="10" t="str">
        <f>_xlfn.LET(
    _xlpm.val, IF(Datadetails[[#This Row],[Activity]]="D02","C20",Datadetails[[#This Row],[Activity]]),
    IF(ISNUMBER(MATCH(_xlpm.val,{"D04","C30","c40","C20"},0)), _xlpm.val, "Other")
)</f>
        <v>C30</v>
      </c>
      <c r="D1144" s="10" t="str">
        <f>IFERROR(VLOOKUP(Datadetails[[#This Row],[Taskcode]],Dashboard!A:A,1,FALSE),"00 Err Missing")</f>
        <v>0009</v>
      </c>
      <c r="E1144" s="79">
        <v>45832</v>
      </c>
      <c r="F1144" s="80" t="s">
        <v>330</v>
      </c>
      <c r="G1144" s="60" t="s">
        <v>40</v>
      </c>
      <c r="H1144" s="80" t="s">
        <v>176</v>
      </c>
      <c r="I1144" s="80" t="s">
        <v>34</v>
      </c>
      <c r="J1144" s="80" t="s">
        <v>458</v>
      </c>
      <c r="K1144" s="80" t="s">
        <v>347</v>
      </c>
      <c r="L1144" s="80" t="s">
        <v>343</v>
      </c>
      <c r="M1144" s="81">
        <v>0.5</v>
      </c>
      <c r="N1144" s="82">
        <v>30</v>
      </c>
    </row>
    <row r="1145" spans="1:14" x14ac:dyDescent="0.25">
      <c r="A1145" s="10" t="str">
        <f>_xlfn.IFNA(
    IF(J1145=
        "PCB-0001",
        "CSS",
        IF(
            ISNUMBER(MATCH(_xlfn.TEXTBEFORE(J1145,"-"), {"CSS","CSN","PCB","PCF","BEC","CSD","PCM"}, 0)),
            _xlfn.TEXTBEFORE(J1145,"-"),
            "Other"
        )
    ),
"Add")</f>
        <v>PCB</v>
      </c>
      <c r="B1145" s="10" t="str">
        <f t="shared" si="18"/>
        <v>0137</v>
      </c>
      <c r="C1145" s="10" t="str">
        <f>_xlfn.LET(
    _xlpm.val, IF(Datadetails[[#This Row],[Activity]]="D02","C20",Datadetails[[#This Row],[Activity]]),
    IF(ISNUMBER(MATCH(_xlpm.val,{"D04","C30","c40","C20"},0)), _xlpm.val, "Other")
)</f>
        <v>C30</v>
      </c>
      <c r="D1145" s="10" t="str">
        <f>IFERROR(VLOOKUP(Datadetails[[#This Row],[Taskcode]],Dashboard!A:A,1,FALSE),"00 Err Missing")</f>
        <v>0137</v>
      </c>
      <c r="E1145" s="79">
        <v>45832</v>
      </c>
      <c r="F1145" s="80" t="s">
        <v>325</v>
      </c>
      <c r="G1145" s="60" t="s">
        <v>40</v>
      </c>
      <c r="H1145" s="80" t="s">
        <v>304</v>
      </c>
      <c r="I1145" s="80" t="s">
        <v>34</v>
      </c>
      <c r="J1145" s="80" t="s">
        <v>372</v>
      </c>
      <c r="K1145" s="80" t="s">
        <v>347</v>
      </c>
      <c r="L1145" s="80" t="s">
        <v>343</v>
      </c>
      <c r="M1145" s="81">
        <v>0.17</v>
      </c>
      <c r="N1145" s="82">
        <v>12.750000000000002</v>
      </c>
    </row>
    <row r="1146" spans="1:14" x14ac:dyDescent="0.25">
      <c r="A1146" s="10" t="str">
        <f>_xlfn.IFNA(
    IF(J1146=
        "PCB-0001",
        "CSS",
        IF(
            ISNUMBER(MATCH(_xlfn.TEXTBEFORE(J1146,"-"), {"CSS","CSN","PCB","PCF","BEC","CSD","PCM"}, 0)),
            _xlfn.TEXTBEFORE(J1146,"-"),
            "Other"
        )
    ),
"Add")</f>
        <v>PCB</v>
      </c>
      <c r="B1146" s="10" t="str">
        <f t="shared" si="18"/>
        <v>0075</v>
      </c>
      <c r="C1146" s="10" t="str">
        <f>_xlfn.LET(
    _xlpm.val, IF(Datadetails[[#This Row],[Activity]]="D02","C20",Datadetails[[#This Row],[Activity]]),
    IF(ISNUMBER(MATCH(_xlpm.val,{"D04","C30","c40","C20"},0)), _xlpm.val, "Other")
)</f>
        <v>C30</v>
      </c>
      <c r="D1146" s="10" t="str">
        <f>IFERROR(VLOOKUP(Datadetails[[#This Row],[Taskcode]],Dashboard!A:A,1,FALSE),"00 Err Missing")</f>
        <v>0075</v>
      </c>
      <c r="E1146" s="79">
        <v>45832</v>
      </c>
      <c r="F1146" s="80" t="s">
        <v>329</v>
      </c>
      <c r="G1146" s="60" t="s">
        <v>40</v>
      </c>
      <c r="H1146" s="80" t="s">
        <v>242</v>
      </c>
      <c r="I1146" s="80" t="s">
        <v>34</v>
      </c>
      <c r="J1146" s="80" t="s">
        <v>404</v>
      </c>
      <c r="K1146" s="80" t="s">
        <v>347</v>
      </c>
      <c r="L1146" s="80" t="s">
        <v>343</v>
      </c>
      <c r="M1146" s="81">
        <v>0.33</v>
      </c>
      <c r="N1146" s="82">
        <v>24.75</v>
      </c>
    </row>
    <row r="1147" spans="1:14" x14ac:dyDescent="0.25">
      <c r="A1147" s="10" t="str">
        <f>_xlfn.IFNA(
    IF(J1147=
        "PCB-0001",
        "CSS",
        IF(
            ISNUMBER(MATCH(_xlfn.TEXTBEFORE(J1147,"-"), {"CSS","CSN","PCB","PCF","BEC","CSD","PCM"}, 0)),
            _xlfn.TEXTBEFORE(J1147,"-"),
            "Other"
        )
    ),
"Add")</f>
        <v>PCB</v>
      </c>
      <c r="B1147" s="10" t="str">
        <f t="shared" si="18"/>
        <v>0120</v>
      </c>
      <c r="C1147" s="10" t="str">
        <f>_xlfn.LET(
    _xlpm.val, IF(Datadetails[[#This Row],[Activity]]="D02","C20",Datadetails[[#This Row],[Activity]]),
    IF(ISNUMBER(MATCH(_xlpm.val,{"D04","C30","c40","C20"},0)), _xlpm.val, "Other")
)</f>
        <v>C30</v>
      </c>
      <c r="D1147" s="10" t="str">
        <f>IFERROR(VLOOKUP(Datadetails[[#This Row],[Taskcode]],Dashboard!A:A,1,FALSE),"00 Err Missing")</f>
        <v>0120</v>
      </c>
      <c r="E1147" s="79">
        <v>45832</v>
      </c>
      <c r="F1147" s="80" t="s">
        <v>325</v>
      </c>
      <c r="G1147" s="60" t="s">
        <v>40</v>
      </c>
      <c r="H1147" s="80" t="s">
        <v>287</v>
      </c>
      <c r="I1147" s="80" t="s">
        <v>34</v>
      </c>
      <c r="J1147" s="80" t="s">
        <v>378</v>
      </c>
      <c r="K1147" s="80" t="s">
        <v>347</v>
      </c>
      <c r="L1147" s="80" t="s">
        <v>343</v>
      </c>
      <c r="M1147" s="81">
        <v>0.25</v>
      </c>
      <c r="N1147" s="82">
        <v>18.75</v>
      </c>
    </row>
    <row r="1148" spans="1:14" x14ac:dyDescent="0.25">
      <c r="A1148" s="10" t="str">
        <f>_xlfn.IFNA(
    IF(J1148=
        "PCB-0001",
        "CSS",
        IF(
            ISNUMBER(MATCH(_xlfn.TEXTBEFORE(J1148,"-"), {"CSS","CSN","PCB","PCF","BEC","CSD","PCM"}, 0)),
            _xlfn.TEXTBEFORE(J1148,"-"),
            "Other"
        )
    ),
"Add")</f>
        <v>PCB</v>
      </c>
      <c r="B1148" s="10" t="str">
        <f t="shared" si="18"/>
        <v>0080</v>
      </c>
      <c r="C1148" s="10" t="str">
        <f>_xlfn.LET(
    _xlpm.val, IF(Datadetails[[#This Row],[Activity]]="D02","C20",Datadetails[[#This Row],[Activity]]),
    IF(ISNUMBER(MATCH(_xlpm.val,{"D04","C30","c40","C20"},0)), _xlpm.val, "Other")
)</f>
        <v>C30</v>
      </c>
      <c r="D1148" s="10" t="str">
        <f>IFERROR(VLOOKUP(Datadetails[[#This Row],[Taskcode]],Dashboard!A:A,1,FALSE),"00 Err Missing")</f>
        <v>0080</v>
      </c>
      <c r="E1148" s="79">
        <v>45832</v>
      </c>
      <c r="F1148" s="80" t="s">
        <v>329</v>
      </c>
      <c r="G1148" s="60" t="s">
        <v>40</v>
      </c>
      <c r="H1148" s="80" t="s">
        <v>247</v>
      </c>
      <c r="I1148" s="80" t="s">
        <v>34</v>
      </c>
      <c r="J1148" s="80" t="s">
        <v>375</v>
      </c>
      <c r="K1148" s="80" t="s">
        <v>347</v>
      </c>
      <c r="L1148" s="80" t="s">
        <v>343</v>
      </c>
      <c r="M1148" s="81">
        <v>0.33</v>
      </c>
      <c r="N1148" s="82">
        <v>24.75</v>
      </c>
    </row>
    <row r="1149" spans="1:14" x14ac:dyDescent="0.25">
      <c r="A1149" s="10" t="str">
        <f>_xlfn.IFNA(
    IF(J1149=
        "PCB-0001",
        "CSS",
        IF(
            ISNUMBER(MATCH(_xlfn.TEXTBEFORE(J1149,"-"), {"CSS","CSN","PCB","PCF","BEC","CSD","PCM"}, 0)),
            _xlfn.TEXTBEFORE(J1149,"-"),
            "Other"
        )
    ),
"Add")</f>
        <v>PCB</v>
      </c>
      <c r="B1149" s="10" t="str">
        <f t="shared" si="18"/>
        <v>0081</v>
      </c>
      <c r="C1149" s="10" t="str">
        <f>_xlfn.LET(
    _xlpm.val, IF(Datadetails[[#This Row],[Activity]]="D02","C20",Datadetails[[#This Row],[Activity]]),
    IF(ISNUMBER(MATCH(_xlpm.val,{"D04","C30","c40","C20"},0)), _xlpm.val, "Other")
)</f>
        <v>C30</v>
      </c>
      <c r="D1149" s="10" t="str">
        <f>IFERROR(VLOOKUP(Datadetails[[#This Row],[Taskcode]],Dashboard!A:A,1,FALSE),"00 Err Missing")</f>
        <v>0081</v>
      </c>
      <c r="E1149" s="79">
        <v>45832</v>
      </c>
      <c r="F1149" s="80" t="s">
        <v>329</v>
      </c>
      <c r="G1149" s="60" t="s">
        <v>40</v>
      </c>
      <c r="H1149" s="80" t="s">
        <v>248</v>
      </c>
      <c r="I1149" s="80" t="s">
        <v>34</v>
      </c>
      <c r="J1149" s="80" t="s">
        <v>385</v>
      </c>
      <c r="K1149" s="80" t="s">
        <v>347</v>
      </c>
      <c r="L1149" s="80" t="s">
        <v>343</v>
      </c>
      <c r="M1149" s="81">
        <v>0.17</v>
      </c>
      <c r="N1149" s="82">
        <v>12.750000000000002</v>
      </c>
    </row>
    <row r="1150" spans="1:14" x14ac:dyDescent="0.25">
      <c r="A1150" s="10" t="str">
        <f>_xlfn.IFNA(
    IF(J1150=
        "PCB-0001",
        "CSS",
        IF(
            ISNUMBER(MATCH(_xlfn.TEXTBEFORE(J1150,"-"), {"CSS","CSN","PCB","PCF","BEC","CSD","PCM"}, 0)),
            _xlfn.TEXTBEFORE(J1150,"-"),
            "Other"
        )
    ),
"Add")</f>
        <v>PCF</v>
      </c>
      <c r="B1150" s="10" t="str">
        <f t="shared" si="18"/>
        <v>0069</v>
      </c>
      <c r="C1150" s="10" t="str">
        <f>_xlfn.LET(
    _xlpm.val, IF(Datadetails[[#This Row],[Activity]]="D02","C20",Datadetails[[#This Row],[Activity]]),
    IF(ISNUMBER(MATCH(_xlpm.val,{"D04","C30","c40","C20"},0)), _xlpm.val, "Other")
)</f>
        <v>C20</v>
      </c>
      <c r="D1150" s="10" t="str">
        <f>IFERROR(VLOOKUP(Datadetails[[#This Row],[Taskcode]],Dashboard!A:A,1,FALSE),"00 Err Missing")</f>
        <v>0069</v>
      </c>
      <c r="E1150" s="79">
        <v>45832</v>
      </c>
      <c r="F1150" s="80" t="s">
        <v>326</v>
      </c>
      <c r="G1150" s="60" t="s">
        <v>40</v>
      </c>
      <c r="H1150" s="80" t="s">
        <v>236</v>
      </c>
      <c r="I1150" s="80" t="s">
        <v>36</v>
      </c>
      <c r="J1150" s="80" t="s">
        <v>357</v>
      </c>
      <c r="K1150" s="80" t="s">
        <v>348</v>
      </c>
      <c r="L1150" s="80" t="s">
        <v>342</v>
      </c>
      <c r="M1150" s="81">
        <v>0.5</v>
      </c>
      <c r="N1150" s="82">
        <v>30</v>
      </c>
    </row>
    <row r="1151" spans="1:14" x14ac:dyDescent="0.25">
      <c r="A1151" s="10" t="str">
        <f>_xlfn.IFNA(
    IF(J1151=
        "PCB-0001",
        "CSS",
        IF(
            ISNUMBER(MATCH(_xlfn.TEXTBEFORE(J1151,"-"), {"CSS","CSN","PCB","PCF","BEC","CSD","PCM"}, 0)),
            _xlfn.TEXTBEFORE(J1151,"-"),
            "Other"
        )
    ),
"Add")</f>
        <v>BEC</v>
      </c>
      <c r="B1151" s="10" t="str">
        <f t="shared" si="18"/>
        <v>0001</v>
      </c>
      <c r="C1151" s="10" t="str">
        <f>_xlfn.LET(
    _xlpm.val, IF(Datadetails[[#This Row],[Activity]]="D02","C20",Datadetails[[#This Row],[Activity]]),
    IF(ISNUMBER(MATCH(_xlpm.val,{"D04","C30","c40","C20"},0)), _xlpm.val, "Other")
)</f>
        <v>D04</v>
      </c>
      <c r="D1151" s="10" t="str">
        <f>IFERROR(VLOOKUP(Datadetails[[#This Row],[Taskcode]],Dashboard!A:A,1,FALSE),"00 Err Missing")</f>
        <v>0001</v>
      </c>
      <c r="E1151" s="79">
        <v>45832</v>
      </c>
      <c r="F1151" s="80" t="s">
        <v>332</v>
      </c>
      <c r="G1151" s="60" t="s">
        <v>40</v>
      </c>
      <c r="H1151" s="80" t="s">
        <v>314</v>
      </c>
      <c r="I1151" s="80" t="s">
        <v>35</v>
      </c>
      <c r="J1151" s="80" t="s">
        <v>359</v>
      </c>
      <c r="K1151" s="80" t="s">
        <v>339</v>
      </c>
      <c r="L1151" s="80" t="s">
        <v>352</v>
      </c>
      <c r="M1151" s="81">
        <v>8.83</v>
      </c>
      <c r="N1151" s="82">
        <v>353.2</v>
      </c>
    </row>
    <row r="1152" spans="1:14" x14ac:dyDescent="0.25">
      <c r="A1152" s="10" t="str">
        <f>_xlfn.IFNA(
    IF(J1152=
        "PCB-0001",
        "CSS",
        IF(
            ISNUMBER(MATCH(_xlfn.TEXTBEFORE(J1152,"-"), {"CSS","CSN","PCB","PCF","BEC","CSD","PCM"}, 0)),
            _xlfn.TEXTBEFORE(J1152,"-"),
            "Other"
        )
    ),
"Add")</f>
        <v>BEC</v>
      </c>
      <c r="B1152" s="10" t="str">
        <f t="shared" si="18"/>
        <v>0001</v>
      </c>
      <c r="C1152" s="10" t="str">
        <f>_xlfn.LET(
    _xlpm.val, IF(Datadetails[[#This Row],[Activity]]="D02","C20",Datadetails[[#This Row],[Activity]]),
    IF(ISNUMBER(MATCH(_xlpm.val,{"D04","C30","c40","C20"},0)), _xlpm.val, "Other")
)</f>
        <v>D04</v>
      </c>
      <c r="D1152" s="10" t="str">
        <f>IFERROR(VLOOKUP(Datadetails[[#This Row],[Taskcode]],Dashboard!A:A,1,FALSE),"00 Err Missing")</f>
        <v>0001</v>
      </c>
      <c r="E1152" s="79">
        <v>45832</v>
      </c>
      <c r="F1152" s="80" t="s">
        <v>324</v>
      </c>
      <c r="G1152" s="60" t="s">
        <v>40</v>
      </c>
      <c r="H1152" s="80" t="s">
        <v>314</v>
      </c>
      <c r="I1152" s="80" t="s">
        <v>35</v>
      </c>
      <c r="J1152" s="80" t="s">
        <v>359</v>
      </c>
      <c r="K1152" s="80" t="s">
        <v>339</v>
      </c>
      <c r="L1152" s="80" t="s">
        <v>352</v>
      </c>
      <c r="M1152" s="81">
        <v>5.75</v>
      </c>
      <c r="N1152" s="82">
        <v>431.25</v>
      </c>
    </row>
    <row r="1153" spans="1:14" x14ac:dyDescent="0.25">
      <c r="A1153" s="10" t="str">
        <f>_xlfn.IFNA(
    IF(J1153=
        "PCB-0001",
        "CSS",
        IF(
            ISNUMBER(MATCH(_xlfn.TEXTBEFORE(J1153,"-"), {"CSS","CSN","PCB","PCF","BEC","CSD","PCM"}, 0)),
            _xlfn.TEXTBEFORE(J1153,"-"),
            "Other"
        )
    ),
"Add")</f>
        <v>PCB</v>
      </c>
      <c r="B1153" s="10" t="str">
        <f t="shared" si="18"/>
        <v>0103</v>
      </c>
      <c r="C1153" s="10" t="str">
        <f>_xlfn.LET(
    _xlpm.val, IF(Datadetails[[#This Row],[Activity]]="D02","C20",Datadetails[[#This Row],[Activity]]),
    IF(ISNUMBER(MATCH(_xlpm.val,{"D04","C30","c40","C20"},0)), _xlpm.val, "Other")
)</f>
        <v>C30</v>
      </c>
      <c r="D1153" s="10" t="str">
        <f>IFERROR(VLOOKUP(Datadetails[[#This Row],[Taskcode]],Dashboard!A:A,1,FALSE),"00 Err Missing")</f>
        <v>0103</v>
      </c>
      <c r="E1153" s="79">
        <v>45833</v>
      </c>
      <c r="F1153" s="80" t="s">
        <v>329</v>
      </c>
      <c r="G1153" s="60" t="s">
        <v>40</v>
      </c>
      <c r="H1153" s="80" t="s">
        <v>270</v>
      </c>
      <c r="I1153" s="80" t="s">
        <v>34</v>
      </c>
      <c r="J1153" s="80" t="s">
        <v>360</v>
      </c>
      <c r="K1153" s="80" t="s">
        <v>347</v>
      </c>
      <c r="L1153" s="80" t="s">
        <v>343</v>
      </c>
      <c r="M1153" s="81">
        <v>0.25</v>
      </c>
      <c r="N1153" s="82">
        <v>18.75</v>
      </c>
    </row>
    <row r="1154" spans="1:14" x14ac:dyDescent="0.25">
      <c r="A1154" s="10" t="str">
        <f>_xlfn.IFNA(
    IF(J1154=
        "PCB-0001",
        "CSS",
        IF(
            ISNUMBER(MATCH(_xlfn.TEXTBEFORE(J1154,"-"), {"CSS","CSN","PCB","PCF","BEC","CSD","PCM"}, 0)),
            _xlfn.TEXTBEFORE(J1154,"-"),
            "Other"
        )
    ),
"Add")</f>
        <v>PCM</v>
      </c>
      <c r="B1154" s="10" t="str">
        <f t="shared" si="18"/>
        <v>0041</v>
      </c>
      <c r="C1154" s="10" t="str">
        <f>_xlfn.LET(
    _xlpm.val, IF(Datadetails[[#This Row],[Activity]]="D02","C20",Datadetails[[#This Row],[Activity]]),
    IF(ISNUMBER(MATCH(_xlpm.val,{"D04","C30","c40","C20"},0)), _xlpm.val, "Other")
)</f>
        <v>C20</v>
      </c>
      <c r="D1154" s="10" t="str">
        <f>IFERROR(VLOOKUP(Datadetails[[#This Row],[Taskcode]],Dashboard!A:A,1,FALSE),"00 Err Missing")</f>
        <v>0041</v>
      </c>
      <c r="E1154" s="79">
        <v>45833</v>
      </c>
      <c r="F1154" s="80" t="s">
        <v>323</v>
      </c>
      <c r="G1154" s="60" t="s">
        <v>40</v>
      </c>
      <c r="H1154" s="80" t="s">
        <v>208</v>
      </c>
      <c r="I1154" s="80" t="s">
        <v>36</v>
      </c>
      <c r="J1154" s="80" t="s">
        <v>456</v>
      </c>
      <c r="K1154" s="80" t="s">
        <v>346</v>
      </c>
      <c r="L1154" s="80" t="s">
        <v>342</v>
      </c>
      <c r="M1154" s="81">
        <v>0.33</v>
      </c>
      <c r="N1154" s="82">
        <v>19.8</v>
      </c>
    </row>
    <row r="1155" spans="1:14" x14ac:dyDescent="0.25">
      <c r="A1155" s="10" t="str">
        <f>_xlfn.IFNA(
    IF(J1155=
        "PCB-0001",
        "CSS",
        IF(
            ISNUMBER(MATCH(_xlfn.TEXTBEFORE(J1155,"-"), {"CSS","CSN","PCB","PCF","BEC","CSD","PCM"}, 0)),
            _xlfn.TEXTBEFORE(J1155,"-"),
            "Other"
        )
    ),
"Add")</f>
        <v>CSN</v>
      </c>
      <c r="B1155" s="10" t="str">
        <f t="shared" si="18"/>
        <v>0001</v>
      </c>
      <c r="C1155" s="10" t="str">
        <f>_xlfn.LET(
    _xlpm.val, IF(Datadetails[[#This Row],[Activity]]="D02","C20",Datadetails[[#This Row],[Activity]]),
    IF(ISNUMBER(MATCH(_xlpm.val,{"D04","C30","c40","C20"},0)), _xlpm.val, "Other")
)</f>
        <v>D04</v>
      </c>
      <c r="D1155" s="10" t="str">
        <f>IFERROR(VLOOKUP(Datadetails[[#This Row],[Taskcode]],Dashboard!A:A,1,FALSE),"00 Err Missing")</f>
        <v>0001</v>
      </c>
      <c r="E1155" s="79">
        <v>45833</v>
      </c>
      <c r="F1155" s="80" t="s">
        <v>329</v>
      </c>
      <c r="G1155" s="60" t="s">
        <v>40</v>
      </c>
      <c r="H1155" s="80" t="s">
        <v>316</v>
      </c>
      <c r="I1155" s="80" t="s">
        <v>35</v>
      </c>
      <c r="J1155" s="80" t="s">
        <v>338</v>
      </c>
      <c r="K1155" s="80" t="s">
        <v>337</v>
      </c>
      <c r="L1155" s="80" t="s">
        <v>352</v>
      </c>
      <c r="M1155" s="81">
        <v>0.33</v>
      </c>
      <c r="N1155" s="82">
        <v>24.75</v>
      </c>
    </row>
    <row r="1156" spans="1:14" x14ac:dyDescent="0.25">
      <c r="A1156" s="10" t="str">
        <f>_xlfn.IFNA(
    IF(J1156=
        "PCB-0001",
        "CSS",
        IF(
            ISNUMBER(MATCH(_xlfn.TEXTBEFORE(J1156,"-"), {"CSS","CSN","PCB","PCF","BEC","CSD","PCM"}, 0)),
            _xlfn.TEXTBEFORE(J1156,"-"),
            "Other"
        )
    ),
"Add")</f>
        <v>CSD</v>
      </c>
      <c r="B1156" s="10" t="str">
        <f t="shared" ref="B1156:B1219" si="19">_xlfn.IFNA(_xlfn.TEXTAFTER(J1156,"-"),"Data to C2")</f>
        <v>0001</v>
      </c>
      <c r="C1156" s="10" t="str">
        <f>_xlfn.LET(
    _xlpm.val, IF(Datadetails[[#This Row],[Activity]]="D02","C20",Datadetails[[#This Row],[Activity]]),
    IF(ISNUMBER(MATCH(_xlpm.val,{"D04","C30","c40","C20"},0)), _xlpm.val, "Other")
)</f>
        <v>D04</v>
      </c>
      <c r="D1156" s="10" t="str">
        <f>IFERROR(VLOOKUP(Datadetails[[#This Row],[Taskcode]],Dashboard!A:A,1,FALSE),"00 Err Missing")</f>
        <v>0001</v>
      </c>
      <c r="E1156" s="79">
        <v>45833</v>
      </c>
      <c r="F1156" s="80" t="s">
        <v>333</v>
      </c>
      <c r="G1156" s="60" t="s">
        <v>40</v>
      </c>
      <c r="H1156" s="80" t="s">
        <v>320</v>
      </c>
      <c r="I1156" s="80" t="s">
        <v>35</v>
      </c>
      <c r="J1156" s="80" t="s">
        <v>322</v>
      </c>
      <c r="K1156" s="80" t="s">
        <v>319</v>
      </c>
      <c r="L1156" s="80" t="s">
        <v>352</v>
      </c>
      <c r="M1156" s="81">
        <v>8.85</v>
      </c>
      <c r="N1156" s="82">
        <v>283.2</v>
      </c>
    </row>
    <row r="1157" spans="1:14" x14ac:dyDescent="0.25">
      <c r="A1157" s="10" t="str">
        <f>_xlfn.IFNA(
    IF(J1157=
        "PCB-0001",
        "CSS",
        IF(
            ISNUMBER(MATCH(_xlfn.TEXTBEFORE(J1157,"-"), {"CSS","CSN","PCB","PCF","BEC","CSD","PCM"}, 0)),
            _xlfn.TEXTBEFORE(J1157,"-"),
            "Other"
        )
    ),
"Add")</f>
        <v>PCB</v>
      </c>
      <c r="B1157" s="10" t="str">
        <f t="shared" si="19"/>
        <v>0014</v>
      </c>
      <c r="C1157" s="10" t="str">
        <f>_xlfn.LET(
    _xlpm.val, IF(Datadetails[[#This Row],[Activity]]="D02","C20",Datadetails[[#This Row],[Activity]]),
    IF(ISNUMBER(MATCH(_xlpm.val,{"D04","C30","c40","C20"},0)), _xlpm.val, "Other")
)</f>
        <v>C30</v>
      </c>
      <c r="D1157" s="10" t="str">
        <f>IFERROR(VLOOKUP(Datadetails[[#This Row],[Taskcode]],Dashboard!A:A,1,FALSE),"00 Err Missing")</f>
        <v>0014</v>
      </c>
      <c r="E1157" s="79">
        <v>45833</v>
      </c>
      <c r="F1157" s="80" t="s">
        <v>329</v>
      </c>
      <c r="G1157" s="60" t="s">
        <v>40</v>
      </c>
      <c r="H1157" s="80" t="s">
        <v>181</v>
      </c>
      <c r="I1157" s="80" t="s">
        <v>34</v>
      </c>
      <c r="J1157" s="80" t="s">
        <v>396</v>
      </c>
      <c r="K1157" s="80" t="s">
        <v>347</v>
      </c>
      <c r="L1157" s="80" t="s">
        <v>343</v>
      </c>
      <c r="M1157" s="81">
        <v>0.33</v>
      </c>
      <c r="N1157" s="82">
        <v>24.75</v>
      </c>
    </row>
    <row r="1158" spans="1:14" x14ac:dyDescent="0.25">
      <c r="A1158" s="10" t="str">
        <f>_xlfn.IFNA(
    IF(J1158=
        "PCB-0001",
        "CSS",
        IF(
            ISNUMBER(MATCH(_xlfn.TEXTBEFORE(J1158,"-"), {"CSS","CSN","PCB","PCF","BEC","CSD","PCM"}, 0)),
            _xlfn.TEXTBEFORE(J1158,"-"),
            "Other"
        )
    ),
"Add")</f>
        <v>PCB</v>
      </c>
      <c r="B1158" s="10" t="str">
        <f t="shared" si="19"/>
        <v>0017</v>
      </c>
      <c r="C1158" s="10" t="str">
        <f>_xlfn.LET(
    _xlpm.val, IF(Datadetails[[#This Row],[Activity]]="D02","C20",Datadetails[[#This Row],[Activity]]),
    IF(ISNUMBER(MATCH(_xlpm.val,{"D04","C30","c40","C20"},0)), _xlpm.val, "Other")
)</f>
        <v>C30</v>
      </c>
      <c r="D1158" s="10" t="str">
        <f>IFERROR(VLOOKUP(Datadetails[[#This Row],[Taskcode]],Dashboard!A:A,1,FALSE),"00 Err Missing")</f>
        <v>0017</v>
      </c>
      <c r="E1158" s="79">
        <v>45833</v>
      </c>
      <c r="F1158" s="80" t="s">
        <v>330</v>
      </c>
      <c r="G1158" s="60" t="s">
        <v>40</v>
      </c>
      <c r="H1158" s="80" t="s">
        <v>184</v>
      </c>
      <c r="I1158" s="80" t="s">
        <v>34</v>
      </c>
      <c r="J1158" s="80" t="s">
        <v>459</v>
      </c>
      <c r="K1158" s="80" t="s">
        <v>347</v>
      </c>
      <c r="L1158" s="80" t="s">
        <v>343</v>
      </c>
      <c r="M1158" s="81">
        <v>0.5</v>
      </c>
      <c r="N1158" s="82">
        <v>30</v>
      </c>
    </row>
    <row r="1159" spans="1:14" x14ac:dyDescent="0.25">
      <c r="A1159" s="10" t="str">
        <f>_xlfn.IFNA(
    IF(J1159=
        "PCB-0001",
        "CSS",
        IF(
            ISNUMBER(MATCH(_xlfn.TEXTBEFORE(J1159,"-"), {"CSS","CSN","PCB","PCF","BEC","CSD","PCM"}, 0)),
            _xlfn.TEXTBEFORE(J1159,"-"),
            "Other"
        )
    ),
"Add")</f>
        <v>PCB</v>
      </c>
      <c r="B1159" s="10" t="str">
        <f t="shared" si="19"/>
        <v>0054</v>
      </c>
      <c r="C1159" s="10" t="str">
        <f>_xlfn.LET(
    _xlpm.val, IF(Datadetails[[#This Row],[Activity]]="D02","C20",Datadetails[[#This Row],[Activity]]),
    IF(ISNUMBER(MATCH(_xlpm.val,{"D04","C30","c40","C20"},0)), _xlpm.val, "Other")
)</f>
        <v>C30</v>
      </c>
      <c r="D1159" s="10" t="str">
        <f>IFERROR(VLOOKUP(Datadetails[[#This Row],[Taskcode]],Dashboard!A:A,1,FALSE),"00 Err Missing")</f>
        <v>0054</v>
      </c>
      <c r="E1159" s="79">
        <v>45833</v>
      </c>
      <c r="F1159" s="80" t="s">
        <v>329</v>
      </c>
      <c r="G1159" s="60" t="s">
        <v>40</v>
      </c>
      <c r="H1159" s="80" t="s">
        <v>221</v>
      </c>
      <c r="I1159" s="80" t="s">
        <v>34</v>
      </c>
      <c r="J1159" s="80" t="s">
        <v>369</v>
      </c>
      <c r="K1159" s="80" t="s">
        <v>347</v>
      </c>
      <c r="L1159" s="80" t="s">
        <v>343</v>
      </c>
      <c r="M1159" s="81">
        <v>0.25</v>
      </c>
      <c r="N1159" s="82">
        <v>18.75</v>
      </c>
    </row>
    <row r="1160" spans="1:14" x14ac:dyDescent="0.25">
      <c r="A1160" s="10" t="str">
        <f>_xlfn.IFNA(
    IF(J1160=
        "PCB-0001",
        "CSS",
        IF(
            ISNUMBER(MATCH(_xlfn.TEXTBEFORE(J1160,"-"), {"CSS","CSN","PCB","PCF","BEC","CSD","PCM"}, 0)),
            _xlfn.TEXTBEFORE(J1160,"-"),
            "Other"
        )
    ),
"Add")</f>
        <v>PCB</v>
      </c>
      <c r="B1160" s="10" t="str">
        <f t="shared" si="19"/>
        <v>0075</v>
      </c>
      <c r="C1160" s="10" t="str">
        <f>_xlfn.LET(
    _xlpm.val, IF(Datadetails[[#This Row],[Activity]]="D02","C20",Datadetails[[#This Row],[Activity]]),
    IF(ISNUMBER(MATCH(_xlpm.val,{"D04","C30","c40","C20"},0)), _xlpm.val, "Other")
)</f>
        <v>C30</v>
      </c>
      <c r="D1160" s="10" t="str">
        <f>IFERROR(VLOOKUP(Datadetails[[#This Row],[Taskcode]],Dashboard!A:A,1,FALSE),"00 Err Missing")</f>
        <v>0075</v>
      </c>
      <c r="E1160" s="79">
        <v>45833</v>
      </c>
      <c r="F1160" s="80" t="s">
        <v>329</v>
      </c>
      <c r="G1160" s="60" t="s">
        <v>40</v>
      </c>
      <c r="H1160" s="80" t="s">
        <v>242</v>
      </c>
      <c r="I1160" s="80" t="s">
        <v>34</v>
      </c>
      <c r="J1160" s="80" t="s">
        <v>404</v>
      </c>
      <c r="K1160" s="80" t="s">
        <v>347</v>
      </c>
      <c r="L1160" s="80" t="s">
        <v>343</v>
      </c>
      <c r="M1160" s="81">
        <v>0.08</v>
      </c>
      <c r="N1160" s="82">
        <v>6</v>
      </c>
    </row>
    <row r="1161" spans="1:14" x14ac:dyDescent="0.25">
      <c r="A1161" s="10" t="str">
        <f>_xlfn.IFNA(
    IF(J1161=
        "PCB-0001",
        "CSS",
        IF(
            ISNUMBER(MATCH(_xlfn.TEXTBEFORE(J1161,"-"), {"CSS","CSN","PCB","PCF","BEC","CSD","PCM"}, 0)),
            _xlfn.TEXTBEFORE(J1161,"-"),
            "Other"
        )
    ),
"Add")</f>
        <v>PCB</v>
      </c>
      <c r="B1161" s="10" t="str">
        <f t="shared" si="19"/>
        <v>0126</v>
      </c>
      <c r="C1161" s="10" t="str">
        <f>_xlfn.LET(
    _xlpm.val, IF(Datadetails[[#This Row],[Activity]]="D02","C20",Datadetails[[#This Row],[Activity]]),
    IF(ISNUMBER(MATCH(_xlpm.val,{"D04","C30","c40","C20"},0)), _xlpm.val, "Other")
)</f>
        <v>C30</v>
      </c>
      <c r="D1161" s="10" t="str">
        <f>IFERROR(VLOOKUP(Datadetails[[#This Row],[Taskcode]],Dashboard!A:A,1,FALSE),"00 Err Missing")</f>
        <v>0126</v>
      </c>
      <c r="E1161" s="79">
        <v>45833</v>
      </c>
      <c r="F1161" s="80" t="s">
        <v>329</v>
      </c>
      <c r="G1161" s="60" t="s">
        <v>40</v>
      </c>
      <c r="H1161" s="80" t="s">
        <v>293</v>
      </c>
      <c r="I1161" s="80" t="s">
        <v>34</v>
      </c>
      <c r="J1161" s="80" t="s">
        <v>376</v>
      </c>
      <c r="K1161" s="80" t="s">
        <v>347</v>
      </c>
      <c r="L1161" s="80" t="s">
        <v>343</v>
      </c>
      <c r="M1161" s="81">
        <v>0.08</v>
      </c>
      <c r="N1161" s="82">
        <v>6</v>
      </c>
    </row>
    <row r="1162" spans="1:14" x14ac:dyDescent="0.25">
      <c r="A1162" s="10" t="str">
        <f>_xlfn.IFNA(
    IF(J1162=
        "PCB-0001",
        "CSS",
        IF(
            ISNUMBER(MATCH(_xlfn.TEXTBEFORE(J1162,"-"), {"CSS","CSN","PCB","PCF","BEC","CSD","PCM"}, 0)),
            _xlfn.TEXTBEFORE(J1162,"-"),
            "Other"
        )
    ),
"Add")</f>
        <v>PCB</v>
      </c>
      <c r="B1162" s="10" t="str">
        <f t="shared" si="19"/>
        <v>0129</v>
      </c>
      <c r="C1162" s="10" t="str">
        <f>_xlfn.LET(
    _xlpm.val, IF(Datadetails[[#This Row],[Activity]]="D02","C20",Datadetails[[#This Row],[Activity]]),
    IF(ISNUMBER(MATCH(_xlpm.val,{"D04","C30","c40","C20"},0)), _xlpm.val, "Other")
)</f>
        <v>C30</v>
      </c>
      <c r="D1162" s="10" t="str">
        <f>IFERROR(VLOOKUP(Datadetails[[#This Row],[Taskcode]],Dashboard!A:A,1,FALSE),"00 Err Missing")</f>
        <v>0129</v>
      </c>
      <c r="E1162" s="79">
        <v>45833</v>
      </c>
      <c r="F1162" s="80" t="s">
        <v>329</v>
      </c>
      <c r="G1162" s="60" t="s">
        <v>40</v>
      </c>
      <c r="H1162" s="80" t="s">
        <v>296</v>
      </c>
      <c r="I1162" s="80" t="s">
        <v>34</v>
      </c>
      <c r="J1162" s="80" t="s">
        <v>411</v>
      </c>
      <c r="K1162" s="80" t="s">
        <v>347</v>
      </c>
      <c r="L1162" s="80" t="s">
        <v>343</v>
      </c>
      <c r="M1162" s="81">
        <v>0.25</v>
      </c>
      <c r="N1162" s="82">
        <v>18.75</v>
      </c>
    </row>
    <row r="1163" spans="1:14" x14ac:dyDescent="0.25">
      <c r="A1163" s="10" t="str">
        <f>_xlfn.IFNA(
    IF(J1163=
        "PCB-0001",
        "CSS",
        IF(
            ISNUMBER(MATCH(_xlfn.TEXTBEFORE(J1163,"-"), {"CSS","CSN","PCB","PCF","BEC","CSD","PCM"}, 0)),
            _xlfn.TEXTBEFORE(J1163,"-"),
            "Other"
        )
    ),
"Add")</f>
        <v>PCB</v>
      </c>
      <c r="B1163" s="10" t="str">
        <f t="shared" si="19"/>
        <v>0087</v>
      </c>
      <c r="C1163" s="10" t="str">
        <f>_xlfn.LET(
    _xlpm.val, IF(Datadetails[[#This Row],[Activity]]="D02","C20",Datadetails[[#This Row],[Activity]]),
    IF(ISNUMBER(MATCH(_xlpm.val,{"D04","C30","c40","C20"},0)), _xlpm.val, "Other")
)</f>
        <v>C30</v>
      </c>
      <c r="D1163" s="10" t="str">
        <f>IFERROR(VLOOKUP(Datadetails[[#This Row],[Taskcode]],Dashboard!A:A,1,FALSE),"00 Err Missing")</f>
        <v>0087</v>
      </c>
      <c r="E1163" s="79">
        <v>45833</v>
      </c>
      <c r="F1163" s="80" t="s">
        <v>325</v>
      </c>
      <c r="G1163" s="60" t="s">
        <v>40</v>
      </c>
      <c r="H1163" s="80" t="s">
        <v>254</v>
      </c>
      <c r="I1163" s="80" t="s">
        <v>34</v>
      </c>
      <c r="J1163" s="80" t="s">
        <v>441</v>
      </c>
      <c r="K1163" s="80" t="s">
        <v>347</v>
      </c>
      <c r="L1163" s="80" t="s">
        <v>343</v>
      </c>
      <c r="M1163" s="81">
        <v>0.33</v>
      </c>
      <c r="N1163" s="82">
        <v>24.75</v>
      </c>
    </row>
    <row r="1164" spans="1:14" x14ac:dyDescent="0.25">
      <c r="A1164" s="10" t="str">
        <f>_xlfn.IFNA(
    IF(J1164=
        "PCB-0001",
        "CSS",
        IF(
            ISNUMBER(MATCH(_xlfn.TEXTBEFORE(J1164,"-"), {"CSS","CSN","PCB","PCF","BEC","CSD","PCM"}, 0)),
            _xlfn.TEXTBEFORE(J1164,"-"),
            "Other"
        )
    ),
"Add")</f>
        <v>PCB</v>
      </c>
      <c r="B1164" s="10" t="str">
        <f t="shared" si="19"/>
        <v>0091</v>
      </c>
      <c r="C1164" s="10" t="str">
        <f>_xlfn.LET(
    _xlpm.val, IF(Datadetails[[#This Row],[Activity]]="D02","C20",Datadetails[[#This Row],[Activity]]),
    IF(ISNUMBER(MATCH(_xlpm.val,{"D04","C30","c40","C20"},0)), _xlpm.val, "Other")
)</f>
        <v>C30</v>
      </c>
      <c r="D1164" s="10" t="str">
        <f>IFERROR(VLOOKUP(Datadetails[[#This Row],[Taskcode]],Dashboard!A:A,1,FALSE),"00 Err Missing")</f>
        <v>0091</v>
      </c>
      <c r="E1164" s="79">
        <v>45833</v>
      </c>
      <c r="F1164" s="80" t="s">
        <v>329</v>
      </c>
      <c r="G1164" s="60" t="s">
        <v>40</v>
      </c>
      <c r="H1164" s="80" t="s">
        <v>258</v>
      </c>
      <c r="I1164" s="80" t="s">
        <v>34</v>
      </c>
      <c r="J1164" s="80" t="s">
        <v>381</v>
      </c>
      <c r="K1164" s="80" t="s">
        <v>347</v>
      </c>
      <c r="L1164" s="80" t="s">
        <v>343</v>
      </c>
      <c r="M1164" s="81">
        <v>0.33</v>
      </c>
      <c r="N1164" s="82">
        <v>24.75</v>
      </c>
    </row>
    <row r="1165" spans="1:14" x14ac:dyDescent="0.25">
      <c r="A1165" s="10" t="str">
        <f>_xlfn.IFNA(
    IF(J1165=
        "PCB-0001",
        "CSS",
        IF(
            ISNUMBER(MATCH(_xlfn.TEXTBEFORE(J1165,"-"), {"CSS","CSN","PCB","PCF","BEC","CSD","PCM"}, 0)),
            _xlfn.TEXTBEFORE(J1165,"-"),
            "Other"
        )
    ),
"Add")</f>
        <v>PCB</v>
      </c>
      <c r="B1165" s="10" t="str">
        <f t="shared" si="19"/>
        <v>0080</v>
      </c>
      <c r="C1165" s="10" t="str">
        <f>_xlfn.LET(
    _xlpm.val, IF(Datadetails[[#This Row],[Activity]]="D02","C20",Datadetails[[#This Row],[Activity]]),
    IF(ISNUMBER(MATCH(_xlpm.val,{"D04","C30","c40","C20"},0)), _xlpm.val, "Other")
)</f>
        <v>C30</v>
      </c>
      <c r="D1165" s="10" t="str">
        <f>IFERROR(VLOOKUP(Datadetails[[#This Row],[Taskcode]],Dashboard!A:A,1,FALSE),"00 Err Missing")</f>
        <v>0080</v>
      </c>
      <c r="E1165" s="79">
        <v>45833</v>
      </c>
      <c r="F1165" s="80" t="s">
        <v>329</v>
      </c>
      <c r="G1165" s="60" t="s">
        <v>40</v>
      </c>
      <c r="H1165" s="80" t="s">
        <v>247</v>
      </c>
      <c r="I1165" s="80" t="s">
        <v>34</v>
      </c>
      <c r="J1165" s="80" t="s">
        <v>375</v>
      </c>
      <c r="K1165" s="80" t="s">
        <v>347</v>
      </c>
      <c r="L1165" s="80" t="s">
        <v>343</v>
      </c>
      <c r="M1165" s="81">
        <v>0.42</v>
      </c>
      <c r="N1165" s="82">
        <v>31.5</v>
      </c>
    </row>
    <row r="1166" spans="1:14" x14ac:dyDescent="0.25">
      <c r="A1166" s="10" t="str">
        <f>_xlfn.IFNA(
    IF(J1166=
        "PCB-0001",
        "CSS",
        IF(
            ISNUMBER(MATCH(_xlfn.TEXTBEFORE(J1166,"-"), {"CSS","CSN","PCB","PCF","BEC","CSD","PCM"}, 0)),
            _xlfn.TEXTBEFORE(J1166,"-"),
            "Other"
        )
    ),
"Add")</f>
        <v>PCB</v>
      </c>
      <c r="B1166" s="10" t="str">
        <f t="shared" si="19"/>
        <v>0081</v>
      </c>
      <c r="C1166" s="10" t="str">
        <f>_xlfn.LET(
    _xlpm.val, IF(Datadetails[[#This Row],[Activity]]="D02","C20",Datadetails[[#This Row],[Activity]]),
    IF(ISNUMBER(MATCH(_xlpm.val,{"D04","C30","c40","C20"},0)), _xlpm.val, "Other")
)</f>
        <v>C30</v>
      </c>
      <c r="D1166" s="10" t="str">
        <f>IFERROR(VLOOKUP(Datadetails[[#This Row],[Taskcode]],Dashboard!A:A,1,FALSE),"00 Err Missing")</f>
        <v>0081</v>
      </c>
      <c r="E1166" s="79">
        <v>45833</v>
      </c>
      <c r="F1166" s="80" t="s">
        <v>329</v>
      </c>
      <c r="G1166" s="60" t="s">
        <v>40</v>
      </c>
      <c r="H1166" s="80" t="s">
        <v>248</v>
      </c>
      <c r="I1166" s="80" t="s">
        <v>34</v>
      </c>
      <c r="J1166" s="80" t="s">
        <v>385</v>
      </c>
      <c r="K1166" s="80" t="s">
        <v>347</v>
      </c>
      <c r="L1166" s="80" t="s">
        <v>343</v>
      </c>
      <c r="M1166" s="81">
        <v>0.33</v>
      </c>
      <c r="N1166" s="82">
        <v>24.75</v>
      </c>
    </row>
    <row r="1167" spans="1:14" x14ac:dyDescent="0.25">
      <c r="A1167" s="10" t="str">
        <f>_xlfn.IFNA(
    IF(J1167=
        "PCB-0001",
        "CSS",
        IF(
            ISNUMBER(MATCH(_xlfn.TEXTBEFORE(J1167,"-"), {"CSS","CSN","PCB","PCF","BEC","CSD","PCM"}, 0)),
            _xlfn.TEXTBEFORE(J1167,"-"),
            "Other"
        )
    ),
"Add")</f>
        <v>PCB</v>
      </c>
      <c r="B1167" s="10" t="str">
        <f t="shared" si="19"/>
        <v>0063</v>
      </c>
      <c r="C1167" s="10" t="str">
        <f>_xlfn.LET(
    _xlpm.val, IF(Datadetails[[#This Row],[Activity]]="D02","C20",Datadetails[[#This Row],[Activity]]),
    IF(ISNUMBER(MATCH(_xlpm.val,{"D04","C30","c40","C20"},0)), _xlpm.val, "Other")
)</f>
        <v>C30</v>
      </c>
      <c r="D1167" s="10" t="str">
        <f>IFERROR(VLOOKUP(Datadetails[[#This Row],[Taskcode]],Dashboard!A:A,1,FALSE),"00 Err Missing")</f>
        <v>0063</v>
      </c>
      <c r="E1167" s="79">
        <v>45833</v>
      </c>
      <c r="F1167" s="80" t="s">
        <v>329</v>
      </c>
      <c r="G1167" s="60" t="s">
        <v>40</v>
      </c>
      <c r="H1167" s="80" t="s">
        <v>230</v>
      </c>
      <c r="I1167" s="80" t="s">
        <v>34</v>
      </c>
      <c r="J1167" s="80" t="s">
        <v>410</v>
      </c>
      <c r="K1167" s="80" t="s">
        <v>347</v>
      </c>
      <c r="L1167" s="80" t="s">
        <v>343</v>
      </c>
      <c r="M1167" s="81">
        <v>0.08</v>
      </c>
      <c r="N1167" s="82">
        <v>6</v>
      </c>
    </row>
    <row r="1168" spans="1:14" x14ac:dyDescent="0.25">
      <c r="A1168" s="10" t="str">
        <f>_xlfn.IFNA(
    IF(J1168=
        "PCB-0001",
        "CSS",
        IF(
            ISNUMBER(MATCH(_xlfn.TEXTBEFORE(J1168,"-"), {"CSS","CSN","PCB","PCF","BEC","CSD","PCM"}, 0)),
            _xlfn.TEXTBEFORE(J1168,"-"),
            "Other"
        )
    ),
"Add")</f>
        <v>PCF</v>
      </c>
      <c r="B1168" s="10" t="str">
        <f t="shared" si="19"/>
        <v>0142</v>
      </c>
      <c r="C1168" s="10" t="str">
        <f>_xlfn.LET(
    _xlpm.val, IF(Datadetails[[#This Row],[Activity]]="D02","C20",Datadetails[[#This Row],[Activity]]),
    IF(ISNUMBER(MATCH(_xlpm.val,{"D04","C30","c40","C20"},0)), _xlpm.val, "Other")
)</f>
        <v>C20</v>
      </c>
      <c r="D1168" s="10" t="str">
        <f>IFERROR(VLOOKUP(Datadetails[[#This Row],[Taskcode]],Dashboard!A:A,1,FALSE),"00 Err Missing")</f>
        <v>0142</v>
      </c>
      <c r="E1168" s="79">
        <v>45833</v>
      </c>
      <c r="F1168" s="80" t="s">
        <v>326</v>
      </c>
      <c r="G1168" s="60" t="s">
        <v>40</v>
      </c>
      <c r="H1168" s="80" t="s">
        <v>309</v>
      </c>
      <c r="I1168" s="80" t="s">
        <v>36</v>
      </c>
      <c r="J1168" s="80" t="s">
        <v>454</v>
      </c>
      <c r="K1168" s="80" t="s">
        <v>348</v>
      </c>
      <c r="L1168" s="80" t="s">
        <v>342</v>
      </c>
      <c r="M1168" s="81">
        <v>1.33</v>
      </c>
      <c r="N1168" s="82">
        <v>79.800000000000011</v>
      </c>
    </row>
    <row r="1169" spans="1:14" x14ac:dyDescent="0.25">
      <c r="A1169" s="10" t="str">
        <f>_xlfn.IFNA(
    IF(J1169=
        "PCB-0001",
        "CSS",
        IF(
            ISNUMBER(MATCH(_xlfn.TEXTBEFORE(J1169,"-"), {"CSS","CSN","PCB","PCF","BEC","CSD","PCM"}, 0)),
            _xlfn.TEXTBEFORE(J1169,"-"),
            "Other"
        )
    ),
"Add")</f>
        <v>PCF</v>
      </c>
      <c r="B1169" s="10" t="str">
        <f t="shared" si="19"/>
        <v>0133</v>
      </c>
      <c r="C1169" s="10" t="str">
        <f>_xlfn.LET(
    _xlpm.val, IF(Datadetails[[#This Row],[Activity]]="D02","C20",Datadetails[[#This Row],[Activity]]),
    IF(ISNUMBER(MATCH(_xlpm.val,{"D04","C30","c40","C20"},0)), _xlpm.val, "Other")
)</f>
        <v>C20</v>
      </c>
      <c r="D1169" s="10" t="str">
        <f>IFERROR(VLOOKUP(Datadetails[[#This Row],[Taskcode]],Dashboard!A:A,1,FALSE),"00 Err Missing")</f>
        <v>0133</v>
      </c>
      <c r="E1169" s="79">
        <v>45833</v>
      </c>
      <c r="F1169" s="80" t="s">
        <v>326</v>
      </c>
      <c r="G1169" s="60" t="s">
        <v>40</v>
      </c>
      <c r="H1169" s="80" t="s">
        <v>300</v>
      </c>
      <c r="I1169" s="80" t="s">
        <v>36</v>
      </c>
      <c r="J1169" s="80" t="s">
        <v>464</v>
      </c>
      <c r="K1169" s="80" t="s">
        <v>348</v>
      </c>
      <c r="L1169" s="80" t="s">
        <v>342</v>
      </c>
      <c r="M1169" s="81">
        <v>1</v>
      </c>
      <c r="N1169" s="82">
        <v>60</v>
      </c>
    </row>
    <row r="1170" spans="1:14" x14ac:dyDescent="0.25">
      <c r="A1170" s="10" t="str">
        <f>_xlfn.IFNA(
    IF(J1170=
        "PCB-0001",
        "CSS",
        IF(
            ISNUMBER(MATCH(_xlfn.TEXTBEFORE(J1170,"-"), {"CSS","CSN","PCB","PCF","BEC","CSD","PCM"}, 0)),
            _xlfn.TEXTBEFORE(J1170,"-"),
            "Other"
        )
    ),
"Add")</f>
        <v>PCF</v>
      </c>
      <c r="B1170" s="10" t="str">
        <f t="shared" si="19"/>
        <v>0040</v>
      </c>
      <c r="C1170" s="10" t="str">
        <f>_xlfn.LET(
    _xlpm.val, IF(Datadetails[[#This Row],[Activity]]="D02","C20",Datadetails[[#This Row],[Activity]]),
    IF(ISNUMBER(MATCH(_xlpm.val,{"D04","C30","c40","C20"},0)), _xlpm.val, "Other")
)</f>
        <v>C30</v>
      </c>
      <c r="D1170" s="10" t="str">
        <f>IFERROR(VLOOKUP(Datadetails[[#This Row],[Taskcode]],Dashboard!A:A,1,FALSE),"00 Err Missing")</f>
        <v>0040</v>
      </c>
      <c r="E1170" s="79">
        <v>45833</v>
      </c>
      <c r="F1170" s="80" t="s">
        <v>326</v>
      </c>
      <c r="G1170" s="60" t="s">
        <v>40</v>
      </c>
      <c r="H1170" s="80" t="s">
        <v>207</v>
      </c>
      <c r="I1170" s="80" t="s">
        <v>34</v>
      </c>
      <c r="J1170" s="80" t="s">
        <v>417</v>
      </c>
      <c r="K1170" s="80" t="s">
        <v>348</v>
      </c>
      <c r="L1170" s="80" t="s">
        <v>343</v>
      </c>
      <c r="M1170" s="81">
        <v>1.17</v>
      </c>
      <c r="N1170" s="82">
        <v>70.199999999999989</v>
      </c>
    </row>
    <row r="1171" spans="1:14" x14ac:dyDescent="0.25">
      <c r="A1171" s="10" t="str">
        <f>_xlfn.IFNA(
    IF(J1171=
        "PCB-0001",
        "CSS",
        IF(
            ISNUMBER(MATCH(_xlfn.TEXTBEFORE(J1171,"-"), {"CSS","CSN","PCB","PCF","BEC","CSD","PCM"}, 0)),
            _xlfn.TEXTBEFORE(J1171,"-"),
            "Other"
        )
    ),
"Add")</f>
        <v>PCF</v>
      </c>
      <c r="B1171" s="10" t="str">
        <f t="shared" si="19"/>
        <v>0060</v>
      </c>
      <c r="C1171" s="10" t="str">
        <f>_xlfn.LET(
    _xlpm.val, IF(Datadetails[[#This Row],[Activity]]="D02","C20",Datadetails[[#This Row],[Activity]]),
    IF(ISNUMBER(MATCH(_xlpm.val,{"D04","C30","c40","C20"},0)), _xlpm.val, "Other")
)</f>
        <v>C30</v>
      </c>
      <c r="D1171" s="10" t="str">
        <f>IFERROR(VLOOKUP(Datadetails[[#This Row],[Taskcode]],Dashboard!A:A,1,FALSE),"00 Err Missing")</f>
        <v>0060</v>
      </c>
      <c r="E1171" s="79">
        <v>45833</v>
      </c>
      <c r="F1171" s="80" t="s">
        <v>326</v>
      </c>
      <c r="G1171" s="60" t="s">
        <v>40</v>
      </c>
      <c r="H1171" s="80" t="s">
        <v>227</v>
      </c>
      <c r="I1171" s="80" t="s">
        <v>34</v>
      </c>
      <c r="J1171" s="80" t="s">
        <v>453</v>
      </c>
      <c r="K1171" s="80" t="s">
        <v>348</v>
      </c>
      <c r="L1171" s="80" t="s">
        <v>343</v>
      </c>
      <c r="M1171" s="81">
        <v>1.25</v>
      </c>
      <c r="N1171" s="82">
        <v>75</v>
      </c>
    </row>
    <row r="1172" spans="1:14" x14ac:dyDescent="0.25">
      <c r="A1172" s="10" t="str">
        <f>_xlfn.IFNA(
    IF(J1172=
        "PCB-0001",
        "CSS",
        IF(
            ISNUMBER(MATCH(_xlfn.TEXTBEFORE(J1172,"-"), {"CSS","CSN","PCB","PCF","BEC","CSD","PCM"}, 0)),
            _xlfn.TEXTBEFORE(J1172,"-"),
            "Other"
        )
    ),
"Add")</f>
        <v>BEC</v>
      </c>
      <c r="B1172" s="10" t="str">
        <f t="shared" si="19"/>
        <v>0001</v>
      </c>
      <c r="C1172" s="10" t="str">
        <f>_xlfn.LET(
    _xlpm.val, IF(Datadetails[[#This Row],[Activity]]="D02","C20",Datadetails[[#This Row],[Activity]]),
    IF(ISNUMBER(MATCH(_xlpm.val,{"D04","C30","c40","C20"},0)), _xlpm.val, "Other")
)</f>
        <v>D04</v>
      </c>
      <c r="D1172" s="10" t="str">
        <f>IFERROR(VLOOKUP(Datadetails[[#This Row],[Taskcode]],Dashboard!A:A,1,FALSE),"00 Err Missing")</f>
        <v>0001</v>
      </c>
      <c r="E1172" s="79">
        <v>45833</v>
      </c>
      <c r="F1172" s="80" t="s">
        <v>332</v>
      </c>
      <c r="G1172" s="60" t="s">
        <v>40</v>
      </c>
      <c r="H1172" s="80" t="s">
        <v>314</v>
      </c>
      <c r="I1172" s="80" t="s">
        <v>35</v>
      </c>
      <c r="J1172" s="80" t="s">
        <v>359</v>
      </c>
      <c r="K1172" s="80" t="s">
        <v>339</v>
      </c>
      <c r="L1172" s="80" t="s">
        <v>352</v>
      </c>
      <c r="M1172" s="81">
        <v>8.83</v>
      </c>
      <c r="N1172" s="82">
        <v>353.2</v>
      </c>
    </row>
    <row r="1173" spans="1:14" x14ac:dyDescent="0.25">
      <c r="A1173" s="10" t="str">
        <f>_xlfn.IFNA(
    IF(J1173=
        "PCB-0001",
        "CSS",
        IF(
            ISNUMBER(MATCH(_xlfn.TEXTBEFORE(J1173,"-"), {"CSS","CSN","PCB","PCF","BEC","CSD","PCM"}, 0)),
            _xlfn.TEXTBEFORE(J1173,"-"),
            "Other"
        )
    ),
"Add")</f>
        <v>BEC</v>
      </c>
      <c r="B1173" s="10" t="str">
        <f t="shared" si="19"/>
        <v>0001</v>
      </c>
      <c r="C1173" s="10" t="str">
        <f>_xlfn.LET(
    _xlpm.val, IF(Datadetails[[#This Row],[Activity]]="D02","C20",Datadetails[[#This Row],[Activity]]),
    IF(ISNUMBER(MATCH(_xlpm.val,{"D04","C30","c40","C20"},0)), _xlpm.val, "Other")
)</f>
        <v>D04</v>
      </c>
      <c r="D1173" s="10" t="str">
        <f>IFERROR(VLOOKUP(Datadetails[[#This Row],[Taskcode]],Dashboard!A:A,1,FALSE),"00 Err Missing")</f>
        <v>0001</v>
      </c>
      <c r="E1173" s="79">
        <v>45833</v>
      </c>
      <c r="F1173" s="80" t="s">
        <v>324</v>
      </c>
      <c r="G1173" s="60" t="s">
        <v>40</v>
      </c>
      <c r="H1173" s="80" t="s">
        <v>314</v>
      </c>
      <c r="I1173" s="80" t="s">
        <v>35</v>
      </c>
      <c r="J1173" s="80" t="s">
        <v>359</v>
      </c>
      <c r="K1173" s="80" t="s">
        <v>339</v>
      </c>
      <c r="L1173" s="80" t="s">
        <v>352</v>
      </c>
      <c r="M1173" s="81">
        <v>7</v>
      </c>
      <c r="N1173" s="82">
        <v>525</v>
      </c>
    </row>
    <row r="1174" spans="1:14" x14ac:dyDescent="0.25">
      <c r="A1174" s="10" t="str">
        <f>_xlfn.IFNA(
    IF(J1174=
        "PCB-0001",
        "CSS",
        IF(
            ISNUMBER(MATCH(_xlfn.TEXTBEFORE(J1174,"-"), {"CSS","CSN","PCB","PCF","BEC","CSD","PCM"}, 0)),
            _xlfn.TEXTBEFORE(J1174,"-"),
            "Other"
        )
    ),
"Add")</f>
        <v>PCB</v>
      </c>
      <c r="B1174" s="10" t="str">
        <f t="shared" si="19"/>
        <v>0105</v>
      </c>
      <c r="C1174" s="10" t="str">
        <f>_xlfn.LET(
    _xlpm.val, IF(Datadetails[[#This Row],[Activity]]="D02","C20",Datadetails[[#This Row],[Activity]]),
    IF(ISNUMBER(MATCH(_xlpm.val,{"D04","C30","c40","C20"},0)), _xlpm.val, "Other")
)</f>
        <v>C30</v>
      </c>
      <c r="D1174" s="10" t="str">
        <f>IFERROR(VLOOKUP(Datadetails[[#This Row],[Taskcode]],Dashboard!A:A,1,FALSE),"00 Err Missing")</f>
        <v>0105</v>
      </c>
      <c r="E1174" s="79">
        <v>45834</v>
      </c>
      <c r="F1174" s="80" t="s">
        <v>329</v>
      </c>
      <c r="G1174" s="60" t="s">
        <v>40</v>
      </c>
      <c r="H1174" s="80" t="s">
        <v>272</v>
      </c>
      <c r="I1174" s="80" t="s">
        <v>34</v>
      </c>
      <c r="J1174" s="80" t="s">
        <v>362</v>
      </c>
      <c r="K1174" s="80" t="s">
        <v>347</v>
      </c>
      <c r="L1174" s="80" t="s">
        <v>343</v>
      </c>
      <c r="M1174" s="81">
        <v>0.33</v>
      </c>
      <c r="N1174" s="82">
        <v>24.75</v>
      </c>
    </row>
    <row r="1175" spans="1:14" x14ac:dyDescent="0.25">
      <c r="A1175" s="10" t="str">
        <f>_xlfn.IFNA(
    IF(J1175=
        "PCB-0001",
        "CSS",
        IF(
            ISNUMBER(MATCH(_xlfn.TEXTBEFORE(J1175,"-"), {"CSS","CSN","PCB","PCF","BEC","CSD","PCM"}, 0)),
            _xlfn.TEXTBEFORE(J1175,"-"),
            "Other"
        )
    ),
"Add")</f>
        <v>CSN</v>
      </c>
      <c r="B1175" s="10" t="str">
        <f t="shared" si="19"/>
        <v>0001</v>
      </c>
      <c r="C1175" s="10" t="str">
        <f>_xlfn.LET(
    _xlpm.val, IF(Datadetails[[#This Row],[Activity]]="D02","C20",Datadetails[[#This Row],[Activity]]),
    IF(ISNUMBER(MATCH(_xlpm.val,{"D04","C30","c40","C20"},0)), _xlpm.val, "Other")
)</f>
        <v>D04</v>
      </c>
      <c r="D1175" s="10" t="str">
        <f>IFERROR(VLOOKUP(Datadetails[[#This Row],[Taskcode]],Dashboard!A:A,1,FALSE),"00 Err Missing")</f>
        <v>0001</v>
      </c>
      <c r="E1175" s="79">
        <v>45834</v>
      </c>
      <c r="F1175" s="80" t="s">
        <v>329</v>
      </c>
      <c r="G1175" s="60" t="s">
        <v>40</v>
      </c>
      <c r="H1175" s="80" t="s">
        <v>316</v>
      </c>
      <c r="I1175" s="80" t="s">
        <v>35</v>
      </c>
      <c r="J1175" s="80" t="s">
        <v>338</v>
      </c>
      <c r="K1175" s="80" t="s">
        <v>337</v>
      </c>
      <c r="L1175" s="80" t="s">
        <v>352</v>
      </c>
      <c r="M1175" s="81">
        <v>1.25</v>
      </c>
      <c r="N1175" s="82">
        <v>93.75</v>
      </c>
    </row>
    <row r="1176" spans="1:14" x14ac:dyDescent="0.25">
      <c r="A1176" s="10" t="str">
        <f>_xlfn.IFNA(
    IF(J1176=
        "PCB-0001",
        "CSS",
        IF(
            ISNUMBER(MATCH(_xlfn.TEXTBEFORE(J1176,"-"), {"CSS","CSN","PCB","PCF","BEC","CSD","PCM"}, 0)),
            _xlfn.TEXTBEFORE(J1176,"-"),
            "Other"
        )
    ),
"Add")</f>
        <v>CSD</v>
      </c>
      <c r="B1176" s="10" t="str">
        <f t="shared" si="19"/>
        <v>0001</v>
      </c>
      <c r="C1176" s="10" t="str">
        <f>_xlfn.LET(
    _xlpm.val, IF(Datadetails[[#This Row],[Activity]]="D02","C20",Datadetails[[#This Row],[Activity]]),
    IF(ISNUMBER(MATCH(_xlpm.val,{"D04","C30","c40","C20"},0)), _xlpm.val, "Other")
)</f>
        <v>D04</v>
      </c>
      <c r="D1176" s="10" t="str">
        <f>IFERROR(VLOOKUP(Datadetails[[#This Row],[Taskcode]],Dashboard!A:A,1,FALSE),"00 Err Missing")</f>
        <v>0001</v>
      </c>
      <c r="E1176" s="79">
        <v>45834</v>
      </c>
      <c r="F1176" s="80" t="s">
        <v>333</v>
      </c>
      <c r="G1176" s="60" t="s">
        <v>40</v>
      </c>
      <c r="H1176" s="80" t="s">
        <v>320</v>
      </c>
      <c r="I1176" s="80" t="s">
        <v>35</v>
      </c>
      <c r="J1176" s="80" t="s">
        <v>322</v>
      </c>
      <c r="K1176" s="80" t="s">
        <v>319</v>
      </c>
      <c r="L1176" s="80" t="s">
        <v>352</v>
      </c>
      <c r="M1176" s="81">
        <v>7.67</v>
      </c>
      <c r="N1176" s="82">
        <v>245.44</v>
      </c>
    </row>
    <row r="1177" spans="1:14" x14ac:dyDescent="0.25">
      <c r="A1177" s="10" t="str">
        <f>_xlfn.IFNA(
    IF(J1177=
        "PCB-0001",
        "CSS",
        IF(
            ISNUMBER(MATCH(_xlfn.TEXTBEFORE(J1177,"-"), {"CSS","CSN","PCB","PCF","BEC","CSD","PCM"}, 0)),
            _xlfn.TEXTBEFORE(J1177,"-"),
            "Other"
        )
    ),
"Add")</f>
        <v>CSD</v>
      </c>
      <c r="B1177" s="10" t="str">
        <f t="shared" si="19"/>
        <v>0001</v>
      </c>
      <c r="C1177" s="10" t="str">
        <f>_xlfn.LET(
    _xlpm.val, IF(Datadetails[[#This Row],[Activity]]="D02","C20",Datadetails[[#This Row],[Activity]]),
    IF(ISNUMBER(MATCH(_xlpm.val,{"D04","C30","c40","C20"},0)), _xlpm.val, "Other")
)</f>
        <v>D04</v>
      </c>
      <c r="D1177" s="10" t="str">
        <f>IFERROR(VLOOKUP(Datadetails[[#This Row],[Taskcode]],Dashboard!A:A,1,FALSE),"00 Err Missing")</f>
        <v>0001</v>
      </c>
      <c r="E1177" s="79">
        <v>45834</v>
      </c>
      <c r="F1177" s="80" t="s">
        <v>327</v>
      </c>
      <c r="G1177" s="60" t="s">
        <v>40</v>
      </c>
      <c r="H1177" s="80" t="s">
        <v>320</v>
      </c>
      <c r="I1177" s="80" t="s">
        <v>35</v>
      </c>
      <c r="J1177" s="80" t="s">
        <v>322</v>
      </c>
      <c r="K1177" s="80" t="s">
        <v>319</v>
      </c>
      <c r="L1177" s="80" t="s">
        <v>352</v>
      </c>
      <c r="M1177" s="81">
        <v>7.25</v>
      </c>
      <c r="N1177" s="82">
        <v>232</v>
      </c>
    </row>
    <row r="1178" spans="1:14" x14ac:dyDescent="0.25">
      <c r="A1178" s="10" t="str">
        <f>_xlfn.IFNA(
    IF(J1178=
        "PCB-0001",
        "CSS",
        IF(
            ISNUMBER(MATCH(_xlfn.TEXTBEFORE(J1178,"-"), {"CSS","CSN","PCB","PCF","BEC","CSD","PCM"}, 0)),
            _xlfn.TEXTBEFORE(J1178,"-"),
            "Other"
        )
    ),
"Add")</f>
        <v>PCM</v>
      </c>
      <c r="B1178" s="10" t="str">
        <f t="shared" si="19"/>
        <v>0002</v>
      </c>
      <c r="C1178" s="10" t="str">
        <f>_xlfn.LET(
    _xlpm.val, IF(Datadetails[[#This Row],[Activity]]="D02","C20",Datadetails[[#This Row],[Activity]]),
    IF(ISNUMBER(MATCH(_xlpm.val,{"D04","C30","c40","C20"},0)), _xlpm.val, "Other")
)</f>
        <v>C30</v>
      </c>
      <c r="D1178" s="10" t="str">
        <f>IFERROR(VLOOKUP(Datadetails[[#This Row],[Taskcode]],Dashboard!A:A,1,FALSE),"00 Err Missing")</f>
        <v>0002</v>
      </c>
      <c r="E1178" s="79">
        <v>45834</v>
      </c>
      <c r="F1178" s="80" t="s">
        <v>323</v>
      </c>
      <c r="G1178" s="60" t="s">
        <v>40</v>
      </c>
      <c r="H1178" s="80" t="s">
        <v>169</v>
      </c>
      <c r="I1178" s="80" t="s">
        <v>34</v>
      </c>
      <c r="J1178" s="80" t="s">
        <v>433</v>
      </c>
      <c r="K1178" s="80" t="s">
        <v>346</v>
      </c>
      <c r="L1178" s="80" t="s">
        <v>343</v>
      </c>
      <c r="M1178" s="81">
        <v>0.25</v>
      </c>
      <c r="N1178" s="82">
        <v>15</v>
      </c>
    </row>
    <row r="1179" spans="1:14" x14ac:dyDescent="0.25">
      <c r="A1179" s="10" t="str">
        <f>_xlfn.IFNA(
    IF(J1179=
        "PCB-0001",
        "CSS",
        IF(
            ISNUMBER(MATCH(_xlfn.TEXTBEFORE(J1179,"-"), {"CSS","CSN","PCB","PCF","BEC","CSD","PCM"}, 0)),
            _xlfn.TEXTBEFORE(J1179,"-"),
            "Other"
        )
    ),
"Add")</f>
        <v>PCB</v>
      </c>
      <c r="B1179" s="10" t="str">
        <f t="shared" si="19"/>
        <v>0019</v>
      </c>
      <c r="C1179" s="10" t="str">
        <f>_xlfn.LET(
    _xlpm.val, IF(Datadetails[[#This Row],[Activity]]="D02","C20",Datadetails[[#This Row],[Activity]]),
    IF(ISNUMBER(MATCH(_xlpm.val,{"D04","C30","c40","C20"},0)), _xlpm.val, "Other")
)</f>
        <v>C30</v>
      </c>
      <c r="D1179" s="10" t="str">
        <f>IFERROR(VLOOKUP(Datadetails[[#This Row],[Taskcode]],Dashboard!A:A,1,FALSE),"00 Err Missing")</f>
        <v>0019</v>
      </c>
      <c r="E1179" s="79">
        <v>45834</v>
      </c>
      <c r="F1179" s="80" t="s">
        <v>329</v>
      </c>
      <c r="G1179" s="60" t="s">
        <v>40</v>
      </c>
      <c r="H1179" s="80" t="s">
        <v>186</v>
      </c>
      <c r="I1179" s="80" t="s">
        <v>34</v>
      </c>
      <c r="J1179" s="80" t="s">
        <v>397</v>
      </c>
      <c r="K1179" s="80" t="s">
        <v>347</v>
      </c>
      <c r="L1179" s="80" t="s">
        <v>343</v>
      </c>
      <c r="M1179" s="81">
        <v>0.17</v>
      </c>
      <c r="N1179" s="82">
        <v>12.750000000000002</v>
      </c>
    </row>
    <row r="1180" spans="1:14" x14ac:dyDescent="0.25">
      <c r="A1180" s="10" t="str">
        <f>_xlfn.IFNA(
    IF(J1180=
        "PCB-0001",
        "CSS",
        IF(
            ISNUMBER(MATCH(_xlfn.TEXTBEFORE(J1180,"-"), {"CSS","CSN","PCB","PCF","BEC","CSD","PCM"}, 0)),
            _xlfn.TEXTBEFORE(J1180,"-"),
            "Other"
        )
    ),
"Add")</f>
        <v>PCB</v>
      </c>
      <c r="B1180" s="10" t="str">
        <f t="shared" si="19"/>
        <v>0030</v>
      </c>
      <c r="C1180" s="10" t="str">
        <f>_xlfn.LET(
    _xlpm.val, IF(Datadetails[[#This Row],[Activity]]="D02","C20",Datadetails[[#This Row],[Activity]]),
    IF(ISNUMBER(MATCH(_xlpm.val,{"D04","C30","c40","C20"},0)), _xlpm.val, "Other")
)</f>
        <v>C30</v>
      </c>
      <c r="D1180" s="10" t="str">
        <f>IFERROR(VLOOKUP(Datadetails[[#This Row],[Taskcode]],Dashboard!A:A,1,FALSE),"00 Err Missing")</f>
        <v>0030</v>
      </c>
      <c r="E1180" s="79">
        <v>45834</v>
      </c>
      <c r="F1180" s="80" t="s">
        <v>329</v>
      </c>
      <c r="G1180" s="60" t="s">
        <v>40</v>
      </c>
      <c r="H1180" s="80" t="s">
        <v>197</v>
      </c>
      <c r="I1180" s="80" t="s">
        <v>34</v>
      </c>
      <c r="J1180" s="80" t="s">
        <v>366</v>
      </c>
      <c r="K1180" s="80" t="s">
        <v>347</v>
      </c>
      <c r="L1180" s="80" t="s">
        <v>343</v>
      </c>
      <c r="M1180" s="81">
        <v>0.33</v>
      </c>
      <c r="N1180" s="82">
        <v>24.75</v>
      </c>
    </row>
    <row r="1181" spans="1:14" x14ac:dyDescent="0.25">
      <c r="A1181" s="10" t="str">
        <f>_xlfn.IFNA(
    IF(J1181=
        "PCB-0001",
        "CSS",
        IF(
            ISNUMBER(MATCH(_xlfn.TEXTBEFORE(J1181,"-"), {"CSS","CSN","PCB","PCF","BEC","CSD","PCM"}, 0)),
            _xlfn.TEXTBEFORE(J1181,"-"),
            "Other"
        )
    ),
"Add")</f>
        <v>PCB</v>
      </c>
      <c r="B1181" s="10" t="str">
        <f t="shared" si="19"/>
        <v>0135</v>
      </c>
      <c r="C1181" s="10" t="str">
        <f>_xlfn.LET(
    _xlpm.val, IF(Datadetails[[#This Row],[Activity]]="D02","C20",Datadetails[[#This Row],[Activity]]),
    IF(ISNUMBER(MATCH(_xlpm.val,{"D04","C30","c40","C20"},0)), _xlpm.val, "Other")
)</f>
        <v>C30</v>
      </c>
      <c r="D1181" s="10" t="str">
        <f>IFERROR(VLOOKUP(Datadetails[[#This Row],[Taskcode]],Dashboard!A:A,1,FALSE),"00 Err Missing")</f>
        <v>0135</v>
      </c>
      <c r="E1181" s="79">
        <v>45834</v>
      </c>
      <c r="F1181" s="80" t="s">
        <v>329</v>
      </c>
      <c r="G1181" s="60" t="s">
        <v>40</v>
      </c>
      <c r="H1181" s="80" t="s">
        <v>302</v>
      </c>
      <c r="I1181" s="80" t="s">
        <v>34</v>
      </c>
      <c r="J1181" s="80" t="s">
        <v>398</v>
      </c>
      <c r="K1181" s="80" t="s">
        <v>347</v>
      </c>
      <c r="L1181" s="80" t="s">
        <v>343</v>
      </c>
      <c r="M1181" s="81">
        <v>0.08</v>
      </c>
      <c r="N1181" s="82">
        <v>6</v>
      </c>
    </row>
    <row r="1182" spans="1:14" x14ac:dyDescent="0.25">
      <c r="A1182" s="10" t="str">
        <f>_xlfn.IFNA(
    IF(J1182=
        "PCB-0001",
        "CSS",
        IF(
            ISNUMBER(MATCH(_xlfn.TEXTBEFORE(J1182,"-"), {"CSS","CSN","PCB","PCF","BEC","CSD","PCM"}, 0)),
            _xlfn.TEXTBEFORE(J1182,"-"),
            "Other"
        )
    ),
"Add")</f>
        <v>PCB</v>
      </c>
      <c r="B1182" s="10" t="str">
        <f t="shared" si="19"/>
        <v>0054</v>
      </c>
      <c r="C1182" s="10" t="str">
        <f>_xlfn.LET(
    _xlpm.val, IF(Datadetails[[#This Row],[Activity]]="D02","C20",Datadetails[[#This Row],[Activity]]),
    IF(ISNUMBER(MATCH(_xlpm.val,{"D04","C30","c40","C20"},0)), _xlpm.val, "Other")
)</f>
        <v>C30</v>
      </c>
      <c r="D1182" s="10" t="str">
        <f>IFERROR(VLOOKUP(Datadetails[[#This Row],[Taskcode]],Dashboard!A:A,1,FALSE),"00 Err Missing")</f>
        <v>0054</v>
      </c>
      <c r="E1182" s="79">
        <v>45834</v>
      </c>
      <c r="F1182" s="80" t="s">
        <v>329</v>
      </c>
      <c r="G1182" s="60" t="s">
        <v>40</v>
      </c>
      <c r="H1182" s="80" t="s">
        <v>221</v>
      </c>
      <c r="I1182" s="80" t="s">
        <v>34</v>
      </c>
      <c r="J1182" s="80" t="s">
        <v>369</v>
      </c>
      <c r="K1182" s="80" t="s">
        <v>347</v>
      </c>
      <c r="L1182" s="80" t="s">
        <v>343</v>
      </c>
      <c r="M1182" s="81">
        <v>0.08</v>
      </c>
      <c r="N1182" s="82">
        <v>6</v>
      </c>
    </row>
    <row r="1183" spans="1:14" x14ac:dyDescent="0.25">
      <c r="A1183" s="10" t="str">
        <f>_xlfn.IFNA(
    IF(J1183=
        "PCB-0001",
        "CSS",
        IF(
            ISNUMBER(MATCH(_xlfn.TEXTBEFORE(J1183,"-"), {"CSS","CSN","PCB","PCF","BEC","CSD","PCM"}, 0)),
            _xlfn.TEXTBEFORE(J1183,"-"),
            "Other"
        )
    ),
"Add")</f>
        <v>PCB</v>
      </c>
      <c r="B1183" s="10" t="str">
        <f t="shared" si="19"/>
        <v>0134</v>
      </c>
      <c r="C1183" s="10" t="str">
        <f>_xlfn.LET(
    _xlpm.val, IF(Datadetails[[#This Row],[Activity]]="D02","C20",Datadetails[[#This Row],[Activity]]),
    IF(ISNUMBER(MATCH(_xlpm.val,{"D04","C30","c40","C20"},0)), _xlpm.val, "Other")
)</f>
        <v>C30</v>
      </c>
      <c r="D1183" s="10" t="str">
        <f>IFERROR(VLOOKUP(Datadetails[[#This Row],[Taskcode]],Dashboard!A:A,1,FALSE),"00 Err Missing")</f>
        <v>0134</v>
      </c>
      <c r="E1183" s="79">
        <v>45834</v>
      </c>
      <c r="F1183" s="80" t="s">
        <v>329</v>
      </c>
      <c r="G1183" s="60" t="s">
        <v>40</v>
      </c>
      <c r="H1183" s="80" t="s">
        <v>301</v>
      </c>
      <c r="I1183" s="80" t="s">
        <v>34</v>
      </c>
      <c r="J1183" s="80" t="s">
        <v>371</v>
      </c>
      <c r="K1183" s="80" t="s">
        <v>347</v>
      </c>
      <c r="L1183" s="80" t="s">
        <v>343</v>
      </c>
      <c r="M1183" s="81">
        <v>0.17</v>
      </c>
      <c r="N1183" s="82">
        <v>12.750000000000002</v>
      </c>
    </row>
    <row r="1184" spans="1:14" x14ac:dyDescent="0.25">
      <c r="A1184" s="10" t="str">
        <f>_xlfn.IFNA(
    IF(J1184=
        "PCB-0001",
        "CSS",
        IF(
            ISNUMBER(MATCH(_xlfn.TEXTBEFORE(J1184,"-"), {"CSS","CSN","PCB","PCF","BEC","CSD","PCM"}, 0)),
            _xlfn.TEXTBEFORE(J1184,"-"),
            "Other"
        )
    ),
"Add")</f>
        <v>PCB</v>
      </c>
      <c r="B1184" s="10" t="str">
        <f t="shared" si="19"/>
        <v>0062</v>
      </c>
      <c r="C1184" s="10" t="str">
        <f>_xlfn.LET(
    _xlpm.val, IF(Datadetails[[#This Row],[Activity]]="D02","C20",Datadetails[[#This Row],[Activity]]),
    IF(ISNUMBER(MATCH(_xlpm.val,{"D04","C30","c40","C20"},0)), _xlpm.val, "Other")
)</f>
        <v>C30</v>
      </c>
      <c r="D1184" s="10" t="str">
        <f>IFERROR(VLOOKUP(Datadetails[[#This Row],[Taskcode]],Dashboard!A:A,1,FALSE),"00 Err Missing")</f>
        <v>0062</v>
      </c>
      <c r="E1184" s="79">
        <v>45834</v>
      </c>
      <c r="F1184" s="80" t="s">
        <v>329</v>
      </c>
      <c r="G1184" s="60" t="s">
        <v>40</v>
      </c>
      <c r="H1184" s="80" t="s">
        <v>229</v>
      </c>
      <c r="I1184" s="80" t="s">
        <v>34</v>
      </c>
      <c r="J1184" s="80" t="s">
        <v>373</v>
      </c>
      <c r="K1184" s="80" t="s">
        <v>347</v>
      </c>
      <c r="L1184" s="80" t="s">
        <v>343</v>
      </c>
      <c r="M1184" s="81">
        <v>0.5</v>
      </c>
      <c r="N1184" s="82">
        <v>37.5</v>
      </c>
    </row>
    <row r="1185" spans="1:14" x14ac:dyDescent="0.25">
      <c r="A1185" s="10" t="str">
        <f>_xlfn.IFNA(
    IF(J1185=
        "PCB-0001",
        "CSS",
        IF(
            ISNUMBER(MATCH(_xlfn.TEXTBEFORE(J1185,"-"), {"CSS","CSN","PCB","PCF","BEC","CSD","PCM"}, 0)),
            _xlfn.TEXTBEFORE(J1185,"-"),
            "Other"
        )
    ),
"Add")</f>
        <v>PCB</v>
      </c>
      <c r="B1185" s="10" t="str">
        <f t="shared" si="19"/>
        <v>0071</v>
      </c>
      <c r="C1185" s="10" t="str">
        <f>_xlfn.LET(
    _xlpm.val, IF(Datadetails[[#This Row],[Activity]]="D02","C20",Datadetails[[#This Row],[Activity]]),
    IF(ISNUMBER(MATCH(_xlpm.val,{"D04","C30","c40","C20"},0)), _xlpm.val, "Other")
)</f>
        <v>C30</v>
      </c>
      <c r="D1185" s="10" t="str">
        <f>IFERROR(VLOOKUP(Datadetails[[#This Row],[Taskcode]],Dashboard!A:A,1,FALSE),"00 Err Missing")</f>
        <v>0071</v>
      </c>
      <c r="E1185" s="79">
        <v>45834</v>
      </c>
      <c r="F1185" s="80" t="s">
        <v>329</v>
      </c>
      <c r="G1185" s="60" t="s">
        <v>40</v>
      </c>
      <c r="H1185" s="80" t="s">
        <v>238</v>
      </c>
      <c r="I1185" s="80" t="s">
        <v>34</v>
      </c>
      <c r="J1185" s="80" t="s">
        <v>374</v>
      </c>
      <c r="K1185" s="80" t="s">
        <v>347</v>
      </c>
      <c r="L1185" s="80" t="s">
        <v>343</v>
      </c>
      <c r="M1185" s="81">
        <v>0.17</v>
      </c>
      <c r="N1185" s="82">
        <v>12.750000000000002</v>
      </c>
    </row>
    <row r="1186" spans="1:14" x14ac:dyDescent="0.25">
      <c r="A1186" s="10" t="str">
        <f>_xlfn.IFNA(
    IF(J1186=
        "PCB-0001",
        "CSS",
        IF(
            ISNUMBER(MATCH(_xlfn.TEXTBEFORE(J1186,"-"), {"CSS","CSN","PCB","PCF","BEC","CSD","PCM"}, 0)),
            _xlfn.TEXTBEFORE(J1186,"-"),
            "Other"
        )
    ),
"Add")</f>
        <v>PCB</v>
      </c>
      <c r="B1186" s="10" t="str">
        <f t="shared" si="19"/>
        <v>0075</v>
      </c>
      <c r="C1186" s="10" t="str">
        <f>_xlfn.LET(
    _xlpm.val, IF(Datadetails[[#This Row],[Activity]]="D02","C20",Datadetails[[#This Row],[Activity]]),
    IF(ISNUMBER(MATCH(_xlpm.val,{"D04","C30","c40","C20"},0)), _xlpm.val, "Other")
)</f>
        <v>C30</v>
      </c>
      <c r="D1186" s="10" t="str">
        <f>IFERROR(VLOOKUP(Datadetails[[#This Row],[Taskcode]],Dashboard!A:A,1,FALSE),"00 Err Missing")</f>
        <v>0075</v>
      </c>
      <c r="E1186" s="79">
        <v>45834</v>
      </c>
      <c r="F1186" s="80" t="s">
        <v>329</v>
      </c>
      <c r="G1186" s="60" t="s">
        <v>40</v>
      </c>
      <c r="H1186" s="80" t="s">
        <v>242</v>
      </c>
      <c r="I1186" s="80" t="s">
        <v>34</v>
      </c>
      <c r="J1186" s="80" t="s">
        <v>404</v>
      </c>
      <c r="K1186" s="80" t="s">
        <v>347</v>
      </c>
      <c r="L1186" s="80" t="s">
        <v>343</v>
      </c>
      <c r="M1186" s="81">
        <v>1</v>
      </c>
      <c r="N1186" s="82">
        <v>75</v>
      </c>
    </row>
    <row r="1187" spans="1:14" x14ac:dyDescent="0.25">
      <c r="A1187" s="10" t="str">
        <f>_xlfn.IFNA(
    IF(J1187=
        "PCB-0001",
        "CSS",
        IF(
            ISNUMBER(MATCH(_xlfn.TEXTBEFORE(J1187,"-"), {"CSS","CSN","PCB","PCF","BEC","CSD","PCM"}, 0)),
            _xlfn.TEXTBEFORE(J1187,"-"),
            "Other"
        )
    ),
"Add")</f>
        <v>PCB</v>
      </c>
      <c r="B1187" s="10" t="str">
        <f t="shared" si="19"/>
        <v>0127</v>
      </c>
      <c r="C1187" s="10" t="str">
        <f>_xlfn.LET(
    _xlpm.val, IF(Datadetails[[#This Row],[Activity]]="D02","C20",Datadetails[[#This Row],[Activity]]),
    IF(ISNUMBER(MATCH(_xlpm.val,{"D04","C30","c40","C20"},0)), _xlpm.val, "Other")
)</f>
        <v>C30</v>
      </c>
      <c r="D1187" s="10" t="str">
        <f>IFERROR(VLOOKUP(Datadetails[[#This Row],[Taskcode]],Dashboard!A:A,1,FALSE),"00 Err Missing")</f>
        <v>0127</v>
      </c>
      <c r="E1187" s="79">
        <v>45834</v>
      </c>
      <c r="F1187" s="80" t="s">
        <v>329</v>
      </c>
      <c r="G1187" s="60" t="s">
        <v>40</v>
      </c>
      <c r="H1187" s="80" t="s">
        <v>294</v>
      </c>
      <c r="I1187" s="80" t="s">
        <v>34</v>
      </c>
      <c r="J1187" s="80" t="s">
        <v>377</v>
      </c>
      <c r="K1187" s="80" t="s">
        <v>347</v>
      </c>
      <c r="L1187" s="80" t="s">
        <v>343</v>
      </c>
      <c r="M1187" s="81">
        <v>0.17</v>
      </c>
      <c r="N1187" s="82">
        <v>12.750000000000002</v>
      </c>
    </row>
    <row r="1188" spans="1:14" x14ac:dyDescent="0.25">
      <c r="A1188" s="10" t="str">
        <f>_xlfn.IFNA(
    IF(J1188=
        "PCB-0001",
        "CSS",
        IF(
            ISNUMBER(MATCH(_xlfn.TEXTBEFORE(J1188,"-"), {"CSS","CSN","PCB","PCF","BEC","CSD","PCM"}, 0)),
            _xlfn.TEXTBEFORE(J1188,"-"),
            "Other"
        )
    ),
"Add")</f>
        <v>PCB</v>
      </c>
      <c r="B1188" s="10" t="str">
        <f t="shared" si="19"/>
        <v>0128</v>
      </c>
      <c r="C1188" s="10" t="str">
        <f>_xlfn.LET(
    _xlpm.val, IF(Datadetails[[#This Row],[Activity]]="D02","C20",Datadetails[[#This Row],[Activity]]),
    IF(ISNUMBER(MATCH(_xlpm.val,{"D04","C30","c40","C20"},0)), _xlpm.val, "Other")
)</f>
        <v>C30</v>
      </c>
      <c r="D1188" s="10" t="str">
        <f>IFERROR(VLOOKUP(Datadetails[[#This Row],[Taskcode]],Dashboard!A:A,1,FALSE),"00 Err Missing")</f>
        <v>0128</v>
      </c>
      <c r="E1188" s="79">
        <v>45834</v>
      </c>
      <c r="F1188" s="80" t="s">
        <v>329</v>
      </c>
      <c r="G1188" s="60" t="s">
        <v>40</v>
      </c>
      <c r="H1188" s="80" t="s">
        <v>295</v>
      </c>
      <c r="I1188" s="80" t="s">
        <v>34</v>
      </c>
      <c r="J1188" s="80" t="s">
        <v>379</v>
      </c>
      <c r="K1188" s="80" t="s">
        <v>347</v>
      </c>
      <c r="L1188" s="80" t="s">
        <v>343</v>
      </c>
      <c r="M1188" s="81">
        <v>0.33</v>
      </c>
      <c r="N1188" s="82">
        <v>24.75</v>
      </c>
    </row>
    <row r="1189" spans="1:14" x14ac:dyDescent="0.25">
      <c r="A1189" s="10" t="str">
        <f>_xlfn.IFNA(
    IF(J1189=
        "PCB-0001",
        "CSS",
        IF(
            ISNUMBER(MATCH(_xlfn.TEXTBEFORE(J1189,"-"), {"CSS","CSN","PCB","PCF","BEC","CSD","PCM"}, 0)),
            _xlfn.TEXTBEFORE(J1189,"-"),
            "Other"
        )
    ),
"Add")</f>
        <v>PCB</v>
      </c>
      <c r="B1189" s="10" t="str">
        <f t="shared" si="19"/>
        <v>0124</v>
      </c>
      <c r="C1189" s="10" t="str">
        <f>_xlfn.LET(
    _xlpm.val, IF(Datadetails[[#This Row],[Activity]]="D02","C20",Datadetails[[#This Row],[Activity]]),
    IF(ISNUMBER(MATCH(_xlpm.val,{"D04","C30","c40","C20"},0)), _xlpm.val, "Other")
)</f>
        <v>C30</v>
      </c>
      <c r="D1189" s="10" t="str">
        <f>IFERROR(VLOOKUP(Datadetails[[#This Row],[Taskcode]],Dashboard!A:A,1,FALSE),"00 Err Missing")</f>
        <v>0124</v>
      </c>
      <c r="E1189" s="79">
        <v>45834</v>
      </c>
      <c r="F1189" s="80" t="s">
        <v>325</v>
      </c>
      <c r="G1189" s="60" t="s">
        <v>40</v>
      </c>
      <c r="H1189" s="80" t="s">
        <v>291</v>
      </c>
      <c r="I1189" s="80" t="s">
        <v>34</v>
      </c>
      <c r="J1189" s="80" t="s">
        <v>412</v>
      </c>
      <c r="K1189" s="80" t="s">
        <v>347</v>
      </c>
      <c r="L1189" s="80" t="s">
        <v>343</v>
      </c>
      <c r="M1189" s="81">
        <v>0.17</v>
      </c>
      <c r="N1189" s="82">
        <v>12.750000000000002</v>
      </c>
    </row>
    <row r="1190" spans="1:14" x14ac:dyDescent="0.25">
      <c r="A1190" s="10" t="str">
        <f>_xlfn.IFNA(
    IF(J1190=
        "PCB-0001",
        "CSS",
        IF(
            ISNUMBER(MATCH(_xlfn.TEXTBEFORE(J1190,"-"), {"CSS","CSN","PCB","PCF","BEC","CSD","PCM"}, 0)),
            _xlfn.TEXTBEFORE(J1190,"-"),
            "Other"
        )
    ),
"Add")</f>
        <v>PCB</v>
      </c>
      <c r="B1190" s="10" t="str">
        <f t="shared" si="19"/>
        <v>0091</v>
      </c>
      <c r="C1190" s="10" t="str">
        <f>_xlfn.LET(
    _xlpm.val, IF(Datadetails[[#This Row],[Activity]]="D02","C20",Datadetails[[#This Row],[Activity]]),
    IF(ISNUMBER(MATCH(_xlpm.val,{"D04","C30","c40","C20"},0)), _xlpm.val, "Other")
)</f>
        <v>C30</v>
      </c>
      <c r="D1190" s="10" t="str">
        <f>IFERROR(VLOOKUP(Datadetails[[#This Row],[Taskcode]],Dashboard!A:A,1,FALSE),"00 Err Missing")</f>
        <v>0091</v>
      </c>
      <c r="E1190" s="79">
        <v>45834</v>
      </c>
      <c r="F1190" s="80" t="s">
        <v>329</v>
      </c>
      <c r="G1190" s="60" t="s">
        <v>40</v>
      </c>
      <c r="H1190" s="80" t="s">
        <v>258</v>
      </c>
      <c r="I1190" s="80" t="s">
        <v>34</v>
      </c>
      <c r="J1190" s="80" t="s">
        <v>381</v>
      </c>
      <c r="K1190" s="80" t="s">
        <v>347</v>
      </c>
      <c r="L1190" s="80" t="s">
        <v>343</v>
      </c>
      <c r="M1190" s="81">
        <v>0.17</v>
      </c>
      <c r="N1190" s="82">
        <v>12.750000000000002</v>
      </c>
    </row>
    <row r="1191" spans="1:14" x14ac:dyDescent="0.25">
      <c r="A1191" s="10" t="str">
        <f>_xlfn.IFNA(
    IF(J1191=
        "PCB-0001",
        "CSS",
        IF(
            ISNUMBER(MATCH(_xlfn.TEXTBEFORE(J1191,"-"), {"CSS","CSN","PCB","PCF","BEC","CSD","PCM"}, 0)),
            _xlfn.TEXTBEFORE(J1191,"-"),
            "Other"
        )
    ),
"Add")</f>
        <v>PCB</v>
      </c>
      <c r="B1191" s="10" t="str">
        <f t="shared" si="19"/>
        <v>0080</v>
      </c>
      <c r="C1191" s="10" t="str">
        <f>_xlfn.LET(
    _xlpm.val, IF(Datadetails[[#This Row],[Activity]]="D02","C20",Datadetails[[#This Row],[Activity]]),
    IF(ISNUMBER(MATCH(_xlpm.val,{"D04","C30","c40","C20"},0)), _xlpm.val, "Other")
)</f>
        <v>C30</v>
      </c>
      <c r="D1191" s="10" t="str">
        <f>IFERROR(VLOOKUP(Datadetails[[#This Row],[Taskcode]],Dashboard!A:A,1,FALSE),"00 Err Missing")</f>
        <v>0080</v>
      </c>
      <c r="E1191" s="79">
        <v>45834</v>
      </c>
      <c r="F1191" s="80" t="s">
        <v>329</v>
      </c>
      <c r="G1191" s="60" t="s">
        <v>40</v>
      </c>
      <c r="H1191" s="80" t="s">
        <v>247</v>
      </c>
      <c r="I1191" s="80" t="s">
        <v>34</v>
      </c>
      <c r="J1191" s="80" t="s">
        <v>375</v>
      </c>
      <c r="K1191" s="80" t="s">
        <v>347</v>
      </c>
      <c r="L1191" s="80" t="s">
        <v>343</v>
      </c>
      <c r="M1191" s="81">
        <v>0.17</v>
      </c>
      <c r="N1191" s="82">
        <v>12.750000000000002</v>
      </c>
    </row>
    <row r="1192" spans="1:14" x14ac:dyDescent="0.25">
      <c r="A1192" s="10" t="str">
        <f>_xlfn.IFNA(
    IF(J1192=
        "PCB-0001",
        "CSS",
        IF(
            ISNUMBER(MATCH(_xlfn.TEXTBEFORE(J1192,"-"), {"CSS","CSN","PCB","PCF","BEC","CSD","PCM"}, 0)),
            _xlfn.TEXTBEFORE(J1192,"-"),
            "Other"
        )
    ),
"Add")</f>
        <v>PCB</v>
      </c>
      <c r="B1192" s="10" t="str">
        <f t="shared" si="19"/>
        <v>0111</v>
      </c>
      <c r="C1192" s="10" t="str">
        <f>_xlfn.LET(
    _xlpm.val, IF(Datadetails[[#This Row],[Activity]]="D02","C20",Datadetails[[#This Row],[Activity]]),
    IF(ISNUMBER(MATCH(_xlpm.val,{"D04","C30","c40","C20"},0)), _xlpm.val, "Other")
)</f>
        <v>C30</v>
      </c>
      <c r="D1192" s="10" t="str">
        <f>IFERROR(VLOOKUP(Datadetails[[#This Row],[Taskcode]],Dashboard!A:A,1,FALSE),"00 Err Missing")</f>
        <v>0111</v>
      </c>
      <c r="E1192" s="79">
        <v>45834</v>
      </c>
      <c r="F1192" s="80" t="s">
        <v>325</v>
      </c>
      <c r="G1192" s="60" t="s">
        <v>40</v>
      </c>
      <c r="H1192" s="80" t="s">
        <v>278</v>
      </c>
      <c r="I1192" s="80" t="s">
        <v>34</v>
      </c>
      <c r="J1192" s="80" t="s">
        <v>452</v>
      </c>
      <c r="K1192" s="80" t="s">
        <v>347</v>
      </c>
      <c r="L1192" s="80" t="s">
        <v>343</v>
      </c>
      <c r="M1192" s="81">
        <v>0.33</v>
      </c>
      <c r="N1192" s="82">
        <v>24.75</v>
      </c>
    </row>
    <row r="1193" spans="1:14" x14ac:dyDescent="0.25">
      <c r="A1193" s="10" t="str">
        <f>_xlfn.IFNA(
    IF(J1193=
        "PCB-0001",
        "CSS",
        IF(
            ISNUMBER(MATCH(_xlfn.TEXTBEFORE(J1193,"-"), {"CSS","CSN","PCB","PCF","BEC","CSD","PCM"}, 0)),
            _xlfn.TEXTBEFORE(J1193,"-"),
            "Other"
        )
    ),
"Add")</f>
        <v>PCB</v>
      </c>
      <c r="B1193" s="10" t="str">
        <f t="shared" si="19"/>
        <v>0117</v>
      </c>
      <c r="C1193" s="10" t="str">
        <f>_xlfn.LET(
    _xlpm.val, IF(Datadetails[[#This Row],[Activity]]="D02","C20",Datadetails[[#This Row],[Activity]]),
    IF(ISNUMBER(MATCH(_xlpm.val,{"D04","C30","c40","C20"},0)), _xlpm.val, "Other")
)</f>
        <v>C30</v>
      </c>
      <c r="D1193" s="10" t="str">
        <f>IFERROR(VLOOKUP(Datadetails[[#This Row],[Taskcode]],Dashboard!A:A,1,FALSE),"00 Err Missing")</f>
        <v>0117</v>
      </c>
      <c r="E1193" s="79">
        <v>45834</v>
      </c>
      <c r="F1193" s="80" t="s">
        <v>330</v>
      </c>
      <c r="G1193" s="60" t="s">
        <v>40</v>
      </c>
      <c r="H1193" s="80" t="s">
        <v>284</v>
      </c>
      <c r="I1193" s="80" t="s">
        <v>34</v>
      </c>
      <c r="J1193" s="80" t="s">
        <v>415</v>
      </c>
      <c r="K1193" s="80" t="s">
        <v>347</v>
      </c>
      <c r="L1193" s="80" t="s">
        <v>343</v>
      </c>
      <c r="M1193" s="81">
        <v>0.17</v>
      </c>
      <c r="N1193" s="82">
        <v>10.200000000000001</v>
      </c>
    </row>
    <row r="1194" spans="1:14" x14ac:dyDescent="0.25">
      <c r="A1194" s="10" t="str">
        <f>_xlfn.IFNA(
    IF(J1194=
        "PCB-0001",
        "CSS",
        IF(
            ISNUMBER(MATCH(_xlfn.TEXTBEFORE(J1194,"-"), {"CSS","CSN","PCB","PCF","BEC","CSD","PCM"}, 0)),
            _xlfn.TEXTBEFORE(J1194,"-"),
            "Other"
        )
    ),
"Add")</f>
        <v>PCB</v>
      </c>
      <c r="B1194" s="10" t="str">
        <f t="shared" si="19"/>
        <v>0101</v>
      </c>
      <c r="C1194" s="10" t="str">
        <f>_xlfn.LET(
    _xlpm.val, IF(Datadetails[[#This Row],[Activity]]="D02","C20",Datadetails[[#This Row],[Activity]]),
    IF(ISNUMBER(MATCH(_xlpm.val,{"D04","C30","c40","C20"},0)), _xlpm.val, "Other")
)</f>
        <v>C30</v>
      </c>
      <c r="D1194" s="10" t="str">
        <f>IFERROR(VLOOKUP(Datadetails[[#This Row],[Taskcode]],Dashboard!A:A,1,FALSE),"00 Err Missing")</f>
        <v>0101</v>
      </c>
      <c r="E1194" s="79">
        <v>45834</v>
      </c>
      <c r="F1194" s="80" t="s">
        <v>329</v>
      </c>
      <c r="G1194" s="60" t="s">
        <v>40</v>
      </c>
      <c r="H1194" s="80" t="s">
        <v>268</v>
      </c>
      <c r="I1194" s="80" t="s">
        <v>34</v>
      </c>
      <c r="J1194" s="80" t="s">
        <v>386</v>
      </c>
      <c r="K1194" s="80" t="s">
        <v>347</v>
      </c>
      <c r="L1194" s="80" t="s">
        <v>343</v>
      </c>
      <c r="M1194" s="81">
        <v>0.5</v>
      </c>
      <c r="N1194" s="82">
        <v>37.5</v>
      </c>
    </row>
    <row r="1195" spans="1:14" x14ac:dyDescent="0.25">
      <c r="A1195" s="10" t="str">
        <f>_xlfn.IFNA(
    IF(J1195=
        "PCB-0001",
        "CSS",
        IF(
            ISNUMBER(MATCH(_xlfn.TEXTBEFORE(J1195,"-"), {"CSS","CSN","PCB","PCF","BEC","CSD","PCM"}, 0)),
            _xlfn.TEXTBEFORE(J1195,"-"),
            "Other"
        )
    ),
"Add")</f>
        <v>PCF</v>
      </c>
      <c r="B1195" s="10" t="str">
        <f t="shared" si="19"/>
        <v>0060</v>
      </c>
      <c r="C1195" s="10" t="str">
        <f>_xlfn.LET(
    _xlpm.val, IF(Datadetails[[#This Row],[Activity]]="D02","C20",Datadetails[[#This Row],[Activity]]),
    IF(ISNUMBER(MATCH(_xlpm.val,{"D04","C30","c40","C20"},0)), _xlpm.val, "Other")
)</f>
        <v>C30</v>
      </c>
      <c r="D1195" s="10" t="str">
        <f>IFERROR(VLOOKUP(Datadetails[[#This Row],[Taskcode]],Dashboard!A:A,1,FALSE),"00 Err Missing")</f>
        <v>0060</v>
      </c>
      <c r="E1195" s="79">
        <v>45834</v>
      </c>
      <c r="F1195" s="80" t="s">
        <v>326</v>
      </c>
      <c r="G1195" s="60" t="s">
        <v>40</v>
      </c>
      <c r="H1195" s="80" t="s">
        <v>227</v>
      </c>
      <c r="I1195" s="80" t="s">
        <v>34</v>
      </c>
      <c r="J1195" s="80" t="s">
        <v>453</v>
      </c>
      <c r="K1195" s="80" t="s">
        <v>348</v>
      </c>
      <c r="L1195" s="80" t="s">
        <v>343</v>
      </c>
      <c r="M1195" s="81">
        <v>1.42</v>
      </c>
      <c r="N1195" s="82">
        <v>85.199999999999989</v>
      </c>
    </row>
    <row r="1196" spans="1:14" x14ac:dyDescent="0.25">
      <c r="A1196" s="10" t="str">
        <f>_xlfn.IFNA(
    IF(J1196=
        "PCB-0001",
        "CSS",
        IF(
            ISNUMBER(MATCH(_xlfn.TEXTBEFORE(J1196,"-"), {"CSS","CSN","PCB","PCF","BEC","CSD","PCM"}, 0)),
            _xlfn.TEXTBEFORE(J1196,"-"),
            "Other"
        )
    ),
"Add")</f>
        <v>PCF</v>
      </c>
      <c r="B1196" s="10" t="str">
        <f t="shared" si="19"/>
        <v>0142</v>
      </c>
      <c r="C1196" s="10" t="str">
        <f>_xlfn.LET(
    _xlpm.val, IF(Datadetails[[#This Row],[Activity]]="D02","C20",Datadetails[[#This Row],[Activity]]),
    IF(ISNUMBER(MATCH(_xlpm.val,{"D04","C30","c40","C20"},0)), _xlpm.val, "Other")
)</f>
        <v>C30</v>
      </c>
      <c r="D1196" s="10" t="str">
        <f>IFERROR(VLOOKUP(Datadetails[[#This Row],[Taskcode]],Dashboard!A:A,1,FALSE),"00 Err Missing")</f>
        <v>0142</v>
      </c>
      <c r="E1196" s="79">
        <v>45834</v>
      </c>
      <c r="F1196" s="80" t="s">
        <v>326</v>
      </c>
      <c r="G1196" s="60" t="s">
        <v>40</v>
      </c>
      <c r="H1196" s="80" t="s">
        <v>309</v>
      </c>
      <c r="I1196" s="80" t="s">
        <v>34</v>
      </c>
      <c r="J1196" s="80" t="s">
        <v>454</v>
      </c>
      <c r="K1196" s="80" t="s">
        <v>348</v>
      </c>
      <c r="L1196" s="80" t="s">
        <v>343</v>
      </c>
      <c r="M1196" s="81">
        <v>1</v>
      </c>
      <c r="N1196" s="82">
        <v>60</v>
      </c>
    </row>
    <row r="1197" spans="1:14" x14ac:dyDescent="0.25">
      <c r="A1197" s="10" t="str">
        <f>_xlfn.IFNA(
    IF(J1197=
        "PCB-0001",
        "CSS",
        IF(
            ISNUMBER(MATCH(_xlfn.TEXTBEFORE(J1197,"-"), {"CSS","CSN","PCB","PCF","BEC","CSD","PCM"}, 0)),
            _xlfn.TEXTBEFORE(J1197,"-"),
            "Other"
        )
    ),
"Add")</f>
        <v>BEC</v>
      </c>
      <c r="B1197" s="10" t="str">
        <f t="shared" si="19"/>
        <v>0001</v>
      </c>
      <c r="C1197" s="10" t="str">
        <f>_xlfn.LET(
    _xlpm.val, IF(Datadetails[[#This Row],[Activity]]="D02","C20",Datadetails[[#This Row],[Activity]]),
    IF(ISNUMBER(MATCH(_xlpm.val,{"D04","C30","c40","C20"},0)), _xlpm.val, "Other")
)</f>
        <v>D04</v>
      </c>
      <c r="D1197" s="10" t="str">
        <f>IFERROR(VLOOKUP(Datadetails[[#This Row],[Taskcode]],Dashboard!A:A,1,FALSE),"00 Err Missing")</f>
        <v>0001</v>
      </c>
      <c r="E1197" s="79">
        <v>45834</v>
      </c>
      <c r="F1197" s="80" t="s">
        <v>332</v>
      </c>
      <c r="G1197" s="60" t="s">
        <v>40</v>
      </c>
      <c r="H1197" s="80" t="s">
        <v>314</v>
      </c>
      <c r="I1197" s="80" t="s">
        <v>35</v>
      </c>
      <c r="J1197" s="80" t="s">
        <v>359</v>
      </c>
      <c r="K1197" s="80" t="s">
        <v>339</v>
      </c>
      <c r="L1197" s="80" t="s">
        <v>352</v>
      </c>
      <c r="M1197" s="81">
        <v>7.33</v>
      </c>
      <c r="N1197" s="82">
        <v>293.2</v>
      </c>
    </row>
    <row r="1198" spans="1:14" x14ac:dyDescent="0.25">
      <c r="A1198" s="10" t="str">
        <f>_xlfn.IFNA(
    IF(J1198=
        "PCB-0001",
        "CSS",
        IF(
            ISNUMBER(MATCH(_xlfn.TEXTBEFORE(J1198,"-"), {"CSS","CSN","PCB","PCF","BEC","CSD","PCM"}, 0)),
            _xlfn.TEXTBEFORE(J1198,"-"),
            "Other"
        )
    ),
"Add")</f>
        <v>BEC</v>
      </c>
      <c r="B1198" s="10" t="str">
        <f t="shared" si="19"/>
        <v>0001</v>
      </c>
      <c r="C1198" s="10" t="str">
        <f>_xlfn.LET(
    _xlpm.val, IF(Datadetails[[#This Row],[Activity]]="D02","C20",Datadetails[[#This Row],[Activity]]),
    IF(ISNUMBER(MATCH(_xlpm.val,{"D04","C30","c40","C20"},0)), _xlpm.val, "Other")
)</f>
        <v>D04</v>
      </c>
      <c r="D1198" s="10" t="str">
        <f>IFERROR(VLOOKUP(Datadetails[[#This Row],[Taskcode]],Dashboard!A:A,1,FALSE),"00 Err Missing")</f>
        <v>0001</v>
      </c>
      <c r="E1198" s="79">
        <v>45834</v>
      </c>
      <c r="F1198" s="80" t="s">
        <v>324</v>
      </c>
      <c r="G1198" s="60" t="s">
        <v>40</v>
      </c>
      <c r="H1198" s="80" t="s">
        <v>314</v>
      </c>
      <c r="I1198" s="80" t="s">
        <v>35</v>
      </c>
      <c r="J1198" s="80" t="s">
        <v>359</v>
      </c>
      <c r="K1198" s="80" t="s">
        <v>339</v>
      </c>
      <c r="L1198" s="80" t="s">
        <v>352</v>
      </c>
      <c r="M1198" s="81">
        <v>6.75</v>
      </c>
      <c r="N1198" s="82">
        <v>506.25</v>
      </c>
    </row>
    <row r="1199" spans="1:14" x14ac:dyDescent="0.25">
      <c r="A1199" s="10" t="str">
        <f>_xlfn.IFNA(
    IF(J1199=
        "PCB-0001",
        "CSS",
        IF(
            ISNUMBER(MATCH(_xlfn.TEXTBEFORE(J1199,"-"), {"CSS","CSN","PCB","PCF","BEC","CSD","PCM"}, 0)),
            _xlfn.TEXTBEFORE(J1199,"-"),
            "Other"
        )
    ),
"Add")</f>
        <v>PCB</v>
      </c>
      <c r="B1199" s="10" t="str">
        <f t="shared" si="19"/>
        <v>0103</v>
      </c>
      <c r="C1199" s="10" t="str">
        <f>_xlfn.LET(
    _xlpm.val, IF(Datadetails[[#This Row],[Activity]]="D02","C20",Datadetails[[#This Row],[Activity]]),
    IF(ISNUMBER(MATCH(_xlpm.val,{"D04","C30","c40","C20"},0)), _xlpm.val, "Other")
)</f>
        <v>C30</v>
      </c>
      <c r="D1199" s="10" t="str">
        <f>IFERROR(VLOOKUP(Datadetails[[#This Row],[Taskcode]],Dashboard!A:A,1,FALSE),"00 Err Missing")</f>
        <v>0103</v>
      </c>
      <c r="E1199" s="79">
        <v>45835</v>
      </c>
      <c r="F1199" s="80" t="s">
        <v>329</v>
      </c>
      <c r="G1199" s="60" t="s">
        <v>40</v>
      </c>
      <c r="H1199" s="80" t="s">
        <v>270</v>
      </c>
      <c r="I1199" s="80" t="s">
        <v>34</v>
      </c>
      <c r="J1199" s="80" t="s">
        <v>360</v>
      </c>
      <c r="K1199" s="80" t="s">
        <v>347</v>
      </c>
      <c r="L1199" s="80" t="s">
        <v>343</v>
      </c>
      <c r="M1199" s="81">
        <v>0.17</v>
      </c>
      <c r="N1199" s="82">
        <v>12.750000000000002</v>
      </c>
    </row>
    <row r="1200" spans="1:14" x14ac:dyDescent="0.25">
      <c r="A1200" s="10" t="str">
        <f>_xlfn.IFNA(
    IF(J1200=
        "PCB-0001",
        "CSS",
        IF(
            ISNUMBER(MATCH(_xlfn.TEXTBEFORE(J1200,"-"), {"CSS","CSN","PCB","PCF","BEC","CSD","PCM"}, 0)),
            _xlfn.TEXTBEFORE(J1200,"-"),
            "Other"
        )
    ),
"Add")</f>
        <v>PCB</v>
      </c>
      <c r="B1200" s="10" t="str">
        <f t="shared" si="19"/>
        <v>0055</v>
      </c>
      <c r="C1200" s="10" t="str">
        <f>_xlfn.LET(
    _xlpm.val, IF(Datadetails[[#This Row],[Activity]]="D02","C20",Datadetails[[#This Row],[Activity]]),
    IF(ISNUMBER(MATCH(_xlpm.val,{"D04","C30","c40","C20"},0)), _xlpm.val, "Other")
)</f>
        <v>C40</v>
      </c>
      <c r="D1200" s="10" t="str">
        <f>IFERROR(VLOOKUP(Datadetails[[#This Row],[Taskcode]],Dashboard!A:A,1,FALSE),"00 Err Missing")</f>
        <v>0055</v>
      </c>
      <c r="E1200" s="79">
        <v>45835</v>
      </c>
      <c r="F1200" s="80" t="s">
        <v>330</v>
      </c>
      <c r="G1200" s="60" t="s">
        <v>40</v>
      </c>
      <c r="H1200" s="80" t="s">
        <v>222</v>
      </c>
      <c r="I1200" s="80" t="s">
        <v>341</v>
      </c>
      <c r="J1200" s="80" t="s">
        <v>447</v>
      </c>
      <c r="K1200" s="80" t="s">
        <v>347</v>
      </c>
      <c r="L1200" s="80" t="s">
        <v>344</v>
      </c>
      <c r="M1200" s="81">
        <v>2</v>
      </c>
      <c r="N1200" s="82">
        <v>120</v>
      </c>
    </row>
    <row r="1201" spans="1:14" x14ac:dyDescent="0.25">
      <c r="A1201" s="10" t="str">
        <f>_xlfn.IFNA(
    IF(J1201=
        "PCB-0001",
        "CSS",
        IF(
            ISNUMBER(MATCH(_xlfn.TEXTBEFORE(J1201,"-"), {"CSS","CSN","PCB","PCF","BEC","CSD","PCM"}, 0)),
            _xlfn.TEXTBEFORE(J1201,"-"),
            "Other"
        )
    ),
"Add")</f>
        <v>CSN</v>
      </c>
      <c r="B1201" s="10" t="str">
        <f t="shared" si="19"/>
        <v>0001</v>
      </c>
      <c r="C1201" s="10" t="str">
        <f>_xlfn.LET(
    _xlpm.val, IF(Datadetails[[#This Row],[Activity]]="D02","C20",Datadetails[[#This Row],[Activity]]),
    IF(ISNUMBER(MATCH(_xlpm.val,{"D04","C30","c40","C20"},0)), _xlpm.val, "Other")
)</f>
        <v>D04</v>
      </c>
      <c r="D1201" s="10" t="str">
        <f>IFERROR(VLOOKUP(Datadetails[[#This Row],[Taskcode]],Dashboard!A:A,1,FALSE),"00 Err Missing")</f>
        <v>0001</v>
      </c>
      <c r="E1201" s="79">
        <v>45835</v>
      </c>
      <c r="F1201" s="80" t="s">
        <v>329</v>
      </c>
      <c r="G1201" s="60" t="s">
        <v>40</v>
      </c>
      <c r="H1201" s="80" t="s">
        <v>316</v>
      </c>
      <c r="I1201" s="80" t="s">
        <v>35</v>
      </c>
      <c r="J1201" s="80" t="s">
        <v>338</v>
      </c>
      <c r="K1201" s="80" t="s">
        <v>337</v>
      </c>
      <c r="L1201" s="80" t="s">
        <v>352</v>
      </c>
      <c r="M1201" s="81">
        <v>1</v>
      </c>
      <c r="N1201" s="82">
        <v>75</v>
      </c>
    </row>
    <row r="1202" spans="1:14" x14ac:dyDescent="0.25">
      <c r="A1202" s="10" t="str">
        <f>_xlfn.IFNA(
    IF(J1202=
        "PCB-0001",
        "CSS",
        IF(
            ISNUMBER(MATCH(_xlfn.TEXTBEFORE(J1202,"-"), {"CSS","CSN","PCB","PCF","BEC","CSD","PCM"}, 0)),
            _xlfn.TEXTBEFORE(J1202,"-"),
            "Other"
        )
    ),
"Add")</f>
        <v>CSD</v>
      </c>
      <c r="B1202" s="10" t="str">
        <f t="shared" si="19"/>
        <v>0001</v>
      </c>
      <c r="C1202" s="10" t="str">
        <f>_xlfn.LET(
    _xlpm.val, IF(Datadetails[[#This Row],[Activity]]="D02","C20",Datadetails[[#This Row],[Activity]]),
    IF(ISNUMBER(MATCH(_xlpm.val,{"D04","C30","c40","C20"},0)), _xlpm.val, "Other")
)</f>
        <v>D04</v>
      </c>
      <c r="D1202" s="10" t="str">
        <f>IFERROR(VLOOKUP(Datadetails[[#This Row],[Taskcode]],Dashboard!A:A,1,FALSE),"00 Err Missing")</f>
        <v>0001</v>
      </c>
      <c r="E1202" s="79">
        <v>45835</v>
      </c>
      <c r="F1202" s="80" t="s">
        <v>333</v>
      </c>
      <c r="G1202" s="60" t="s">
        <v>40</v>
      </c>
      <c r="H1202" s="80" t="s">
        <v>320</v>
      </c>
      <c r="I1202" s="80" t="s">
        <v>35</v>
      </c>
      <c r="J1202" s="80" t="s">
        <v>322</v>
      </c>
      <c r="K1202" s="80" t="s">
        <v>319</v>
      </c>
      <c r="L1202" s="80" t="s">
        <v>352</v>
      </c>
      <c r="M1202" s="81">
        <v>7.25</v>
      </c>
      <c r="N1202" s="82">
        <v>232</v>
      </c>
    </row>
    <row r="1203" spans="1:14" x14ac:dyDescent="0.25">
      <c r="A1203" s="10" t="str">
        <f>_xlfn.IFNA(
    IF(J1203=
        "PCB-0001",
        "CSS",
        IF(
            ISNUMBER(MATCH(_xlfn.TEXTBEFORE(J1203,"-"), {"CSS","CSN","PCB","PCF","BEC","CSD","PCM"}, 0)),
            _xlfn.TEXTBEFORE(J1203,"-"),
            "Other"
        )
    ),
"Add")</f>
        <v>CSD</v>
      </c>
      <c r="B1203" s="10" t="str">
        <f t="shared" si="19"/>
        <v>0001</v>
      </c>
      <c r="C1203" s="10" t="str">
        <f>_xlfn.LET(
    _xlpm.val, IF(Datadetails[[#This Row],[Activity]]="D02","C20",Datadetails[[#This Row],[Activity]]),
    IF(ISNUMBER(MATCH(_xlpm.val,{"D04","C30","c40","C20"},0)), _xlpm.val, "Other")
)</f>
        <v>D04</v>
      </c>
      <c r="D1203" s="10" t="str">
        <f>IFERROR(VLOOKUP(Datadetails[[#This Row],[Taskcode]],Dashboard!A:A,1,FALSE),"00 Err Missing")</f>
        <v>0001</v>
      </c>
      <c r="E1203" s="79">
        <v>45835</v>
      </c>
      <c r="F1203" s="80" t="s">
        <v>327</v>
      </c>
      <c r="G1203" s="60" t="s">
        <v>40</v>
      </c>
      <c r="H1203" s="80" t="s">
        <v>320</v>
      </c>
      <c r="I1203" s="80" t="s">
        <v>35</v>
      </c>
      <c r="J1203" s="80" t="s">
        <v>322</v>
      </c>
      <c r="K1203" s="80" t="s">
        <v>319</v>
      </c>
      <c r="L1203" s="80" t="s">
        <v>352</v>
      </c>
      <c r="M1203" s="81">
        <v>7.42</v>
      </c>
      <c r="N1203" s="82">
        <v>237.44</v>
      </c>
    </row>
    <row r="1204" spans="1:14" x14ac:dyDescent="0.25">
      <c r="A1204" s="10" t="str">
        <f>_xlfn.IFNA(
    IF(J1204=
        "PCB-0001",
        "CSS",
        IF(
            ISNUMBER(MATCH(_xlfn.TEXTBEFORE(J1204,"-"), {"CSS","CSN","PCB","PCF","BEC","CSD","PCM"}, 0)),
            _xlfn.TEXTBEFORE(J1204,"-"),
            "Other"
        )
    ),
"Add")</f>
        <v>PCM</v>
      </c>
      <c r="B1204" s="10" t="str">
        <f t="shared" si="19"/>
        <v>0116</v>
      </c>
      <c r="C1204" s="10" t="str">
        <f>_xlfn.LET(
    _xlpm.val, IF(Datadetails[[#This Row],[Activity]]="D02","C20",Datadetails[[#This Row],[Activity]]),
    IF(ISNUMBER(MATCH(_xlpm.val,{"D04","C30","c40","C20"},0)), _xlpm.val, "Other")
)</f>
        <v>C20</v>
      </c>
      <c r="D1204" s="10" t="str">
        <f>IFERROR(VLOOKUP(Datadetails[[#This Row],[Taskcode]],Dashboard!A:A,1,FALSE),"00 Err Missing")</f>
        <v>0116</v>
      </c>
      <c r="E1204" s="79">
        <v>45835</v>
      </c>
      <c r="F1204" s="80" t="s">
        <v>323</v>
      </c>
      <c r="G1204" s="60" t="s">
        <v>40</v>
      </c>
      <c r="H1204" s="80" t="s">
        <v>283</v>
      </c>
      <c r="I1204" s="80" t="s">
        <v>36</v>
      </c>
      <c r="J1204" s="80" t="s">
        <v>429</v>
      </c>
      <c r="K1204" s="80" t="s">
        <v>346</v>
      </c>
      <c r="L1204" s="80" t="s">
        <v>342</v>
      </c>
      <c r="M1204" s="81">
        <v>0.25</v>
      </c>
      <c r="N1204" s="82">
        <v>15</v>
      </c>
    </row>
    <row r="1205" spans="1:14" x14ac:dyDescent="0.25">
      <c r="A1205" s="10" t="str">
        <f>_xlfn.IFNA(
    IF(J1205=
        "PCB-0001",
        "CSS",
        IF(
            ISNUMBER(MATCH(_xlfn.TEXTBEFORE(J1205,"-"), {"CSS","CSN","PCB","PCF","BEC","CSD","PCM"}, 0)),
            _xlfn.TEXTBEFORE(J1205,"-"),
            "Other"
        )
    ),
"Add")</f>
        <v>PCM</v>
      </c>
      <c r="B1205" s="10" t="str">
        <f t="shared" si="19"/>
        <v>0114</v>
      </c>
      <c r="C1205" s="10" t="str">
        <f>_xlfn.LET(
    _xlpm.val, IF(Datadetails[[#This Row],[Activity]]="D02","C20",Datadetails[[#This Row],[Activity]]),
    IF(ISNUMBER(MATCH(_xlpm.val,{"D04","C30","c40","C20"},0)), _xlpm.val, "Other")
)</f>
        <v>C20</v>
      </c>
      <c r="D1205" s="10" t="str">
        <f>IFERROR(VLOOKUP(Datadetails[[#This Row],[Taskcode]],Dashboard!A:A,1,FALSE),"00 Err Missing")</f>
        <v>0114</v>
      </c>
      <c r="E1205" s="79">
        <v>45835</v>
      </c>
      <c r="F1205" s="80" t="s">
        <v>323</v>
      </c>
      <c r="G1205" s="60" t="s">
        <v>40</v>
      </c>
      <c r="H1205" s="80" t="s">
        <v>281</v>
      </c>
      <c r="I1205" s="80" t="s">
        <v>36</v>
      </c>
      <c r="J1205" s="80" t="s">
        <v>430</v>
      </c>
      <c r="K1205" s="80" t="s">
        <v>346</v>
      </c>
      <c r="L1205" s="80" t="s">
        <v>342</v>
      </c>
      <c r="M1205" s="81">
        <v>0.33</v>
      </c>
      <c r="N1205" s="82">
        <v>19.8</v>
      </c>
    </row>
    <row r="1206" spans="1:14" x14ac:dyDescent="0.25">
      <c r="A1206" s="10" t="str">
        <f>_xlfn.IFNA(
    IF(J1206=
        "PCB-0001",
        "CSS",
        IF(
            ISNUMBER(MATCH(_xlfn.TEXTBEFORE(J1206,"-"), {"CSS","CSN","PCB","PCF","BEC","CSD","PCM"}, 0)),
            _xlfn.TEXTBEFORE(J1206,"-"),
            "Other"
        )
    ),
"Add")</f>
        <v>PCB</v>
      </c>
      <c r="B1206" s="10" t="str">
        <f t="shared" si="19"/>
        <v>0019</v>
      </c>
      <c r="C1206" s="10" t="str">
        <f>_xlfn.LET(
    _xlpm.val, IF(Datadetails[[#This Row],[Activity]]="D02","C20",Datadetails[[#This Row],[Activity]]),
    IF(ISNUMBER(MATCH(_xlpm.val,{"D04","C30","c40","C20"},0)), _xlpm.val, "Other")
)</f>
        <v>C30</v>
      </c>
      <c r="D1206" s="10" t="str">
        <f>IFERROR(VLOOKUP(Datadetails[[#This Row],[Taskcode]],Dashboard!A:A,1,FALSE),"00 Err Missing")</f>
        <v>0019</v>
      </c>
      <c r="E1206" s="79">
        <v>45835</v>
      </c>
      <c r="F1206" s="80" t="s">
        <v>329</v>
      </c>
      <c r="G1206" s="60" t="s">
        <v>40</v>
      </c>
      <c r="H1206" s="80" t="s">
        <v>186</v>
      </c>
      <c r="I1206" s="80" t="s">
        <v>34</v>
      </c>
      <c r="J1206" s="80" t="s">
        <v>397</v>
      </c>
      <c r="K1206" s="80" t="s">
        <v>347</v>
      </c>
      <c r="L1206" s="80" t="s">
        <v>343</v>
      </c>
      <c r="M1206" s="81">
        <v>0.33</v>
      </c>
      <c r="N1206" s="82">
        <v>24.75</v>
      </c>
    </row>
    <row r="1207" spans="1:14" x14ac:dyDescent="0.25">
      <c r="A1207" s="10" t="str">
        <f>_xlfn.IFNA(
    IF(J1207=
        "PCB-0001",
        "CSS",
        IF(
            ISNUMBER(MATCH(_xlfn.TEXTBEFORE(J1207,"-"), {"CSS","CSN","PCB","PCF","BEC","CSD","PCM"}, 0)),
            _xlfn.TEXTBEFORE(J1207,"-"),
            "Other"
        )
    ),
"Add")</f>
        <v>PCB</v>
      </c>
      <c r="B1207" s="10" t="str">
        <f t="shared" si="19"/>
        <v>0030</v>
      </c>
      <c r="C1207" s="10" t="str">
        <f>_xlfn.LET(
    _xlpm.val, IF(Datadetails[[#This Row],[Activity]]="D02","C20",Datadetails[[#This Row],[Activity]]),
    IF(ISNUMBER(MATCH(_xlpm.val,{"D04","C30","c40","C20"},0)), _xlpm.val, "Other")
)</f>
        <v>C30</v>
      </c>
      <c r="D1207" s="10" t="str">
        <f>IFERROR(VLOOKUP(Datadetails[[#This Row],[Taskcode]],Dashboard!A:A,1,FALSE),"00 Err Missing")</f>
        <v>0030</v>
      </c>
      <c r="E1207" s="79">
        <v>45835</v>
      </c>
      <c r="F1207" s="80" t="s">
        <v>329</v>
      </c>
      <c r="G1207" s="60" t="s">
        <v>40</v>
      </c>
      <c r="H1207" s="80" t="s">
        <v>197</v>
      </c>
      <c r="I1207" s="80" t="s">
        <v>34</v>
      </c>
      <c r="J1207" s="80" t="s">
        <v>366</v>
      </c>
      <c r="K1207" s="80" t="s">
        <v>347</v>
      </c>
      <c r="L1207" s="80" t="s">
        <v>343</v>
      </c>
      <c r="M1207" s="81">
        <v>0.08</v>
      </c>
      <c r="N1207" s="82">
        <v>6</v>
      </c>
    </row>
    <row r="1208" spans="1:14" x14ac:dyDescent="0.25">
      <c r="A1208" s="10" t="str">
        <f>_xlfn.IFNA(
    IF(J1208=
        "PCB-0001",
        "CSS",
        IF(
            ISNUMBER(MATCH(_xlfn.TEXTBEFORE(J1208,"-"), {"CSS","CSN","PCB","PCF","BEC","CSD","PCM"}, 0)),
            _xlfn.TEXTBEFORE(J1208,"-"),
            "Other"
        )
    ),
"Add")</f>
        <v>PCB</v>
      </c>
      <c r="B1208" s="10" t="str">
        <f t="shared" si="19"/>
        <v>0054</v>
      </c>
      <c r="C1208" s="10" t="str">
        <f>_xlfn.LET(
    _xlpm.val, IF(Datadetails[[#This Row],[Activity]]="D02","C20",Datadetails[[#This Row],[Activity]]),
    IF(ISNUMBER(MATCH(_xlpm.val,{"D04","C30","c40","C20"},0)), _xlpm.val, "Other")
)</f>
        <v>C30</v>
      </c>
      <c r="D1208" s="10" t="str">
        <f>IFERROR(VLOOKUP(Datadetails[[#This Row],[Taskcode]],Dashboard!A:A,1,FALSE),"00 Err Missing")</f>
        <v>0054</v>
      </c>
      <c r="E1208" s="79">
        <v>45835</v>
      </c>
      <c r="F1208" s="80" t="s">
        <v>329</v>
      </c>
      <c r="G1208" s="60" t="s">
        <v>40</v>
      </c>
      <c r="H1208" s="80" t="s">
        <v>221</v>
      </c>
      <c r="I1208" s="80" t="s">
        <v>34</v>
      </c>
      <c r="J1208" s="80" t="s">
        <v>369</v>
      </c>
      <c r="K1208" s="80" t="s">
        <v>347</v>
      </c>
      <c r="L1208" s="80" t="s">
        <v>343</v>
      </c>
      <c r="M1208" s="81">
        <v>0.25</v>
      </c>
      <c r="N1208" s="82">
        <v>18.75</v>
      </c>
    </row>
    <row r="1209" spans="1:14" x14ac:dyDescent="0.25">
      <c r="A1209" s="10" t="str">
        <f>_xlfn.IFNA(
    IF(J1209=
        "PCB-0001",
        "CSS",
        IF(
            ISNUMBER(MATCH(_xlfn.TEXTBEFORE(J1209,"-"), {"CSS","CSN","PCB","PCF","BEC","CSD","PCM"}, 0)),
            _xlfn.TEXTBEFORE(J1209,"-"),
            "Other"
        )
    ),
"Add")</f>
        <v>PCB</v>
      </c>
      <c r="B1209" s="10" t="str">
        <f t="shared" si="19"/>
        <v>0042</v>
      </c>
      <c r="C1209" s="10" t="str">
        <f>_xlfn.LET(
    _xlpm.val, IF(Datadetails[[#This Row],[Activity]]="D02","C20",Datadetails[[#This Row],[Activity]]),
    IF(ISNUMBER(MATCH(_xlpm.val,{"D04","C30","c40","C20"},0)), _xlpm.val, "Other")
)</f>
        <v>C30</v>
      </c>
      <c r="D1209" s="10" t="str">
        <f>IFERROR(VLOOKUP(Datadetails[[#This Row],[Taskcode]],Dashboard!A:A,1,FALSE),"00 Err Missing")</f>
        <v>0042</v>
      </c>
      <c r="E1209" s="79">
        <v>45835</v>
      </c>
      <c r="F1209" s="80" t="s">
        <v>330</v>
      </c>
      <c r="G1209" s="60" t="s">
        <v>40</v>
      </c>
      <c r="H1209" s="80" t="s">
        <v>209</v>
      </c>
      <c r="I1209" s="80" t="s">
        <v>34</v>
      </c>
      <c r="J1209" s="80" t="s">
        <v>370</v>
      </c>
      <c r="K1209" s="80" t="s">
        <v>347</v>
      </c>
      <c r="L1209" s="80" t="s">
        <v>343</v>
      </c>
      <c r="M1209" s="81">
        <v>0.5</v>
      </c>
      <c r="N1209" s="82">
        <v>30</v>
      </c>
    </row>
    <row r="1210" spans="1:14" x14ac:dyDescent="0.25">
      <c r="A1210" s="10" t="str">
        <f>_xlfn.IFNA(
    IF(J1210=
        "PCB-0001",
        "CSS",
        IF(
            ISNUMBER(MATCH(_xlfn.TEXTBEFORE(J1210,"-"), {"CSS","CSN","PCB","PCF","BEC","CSD","PCM"}, 0)),
            _xlfn.TEXTBEFORE(J1210,"-"),
            "Other"
        )
    ),
"Add")</f>
        <v>PCB</v>
      </c>
      <c r="B1210" s="10" t="str">
        <f t="shared" si="19"/>
        <v>0134</v>
      </c>
      <c r="C1210" s="10" t="str">
        <f>_xlfn.LET(
    _xlpm.val, IF(Datadetails[[#This Row],[Activity]]="D02","C20",Datadetails[[#This Row],[Activity]]),
    IF(ISNUMBER(MATCH(_xlpm.val,{"D04","C30","c40","C20"},0)), _xlpm.val, "Other")
)</f>
        <v>C30</v>
      </c>
      <c r="D1210" s="10" t="str">
        <f>IFERROR(VLOOKUP(Datadetails[[#This Row],[Taskcode]],Dashboard!A:A,1,FALSE),"00 Err Missing")</f>
        <v>0134</v>
      </c>
      <c r="E1210" s="79">
        <v>45835</v>
      </c>
      <c r="F1210" s="80" t="s">
        <v>329</v>
      </c>
      <c r="G1210" s="60" t="s">
        <v>40</v>
      </c>
      <c r="H1210" s="80" t="s">
        <v>301</v>
      </c>
      <c r="I1210" s="80" t="s">
        <v>34</v>
      </c>
      <c r="J1210" s="80" t="s">
        <v>371</v>
      </c>
      <c r="K1210" s="80" t="s">
        <v>347</v>
      </c>
      <c r="L1210" s="80" t="s">
        <v>343</v>
      </c>
      <c r="M1210" s="81">
        <v>0.17</v>
      </c>
      <c r="N1210" s="82">
        <v>12.750000000000002</v>
      </c>
    </row>
    <row r="1211" spans="1:14" x14ac:dyDescent="0.25">
      <c r="A1211" s="10" t="str">
        <f>_xlfn.IFNA(
    IF(J1211=
        "PCB-0001",
        "CSS",
        IF(
            ISNUMBER(MATCH(_xlfn.TEXTBEFORE(J1211,"-"), {"CSS","CSN","PCB","PCF","BEC","CSD","PCM"}, 0)),
            _xlfn.TEXTBEFORE(J1211,"-"),
            "Other"
        )
    ),
"Add")</f>
        <v>PCB</v>
      </c>
      <c r="B1211" s="10" t="str">
        <f t="shared" si="19"/>
        <v>0062</v>
      </c>
      <c r="C1211" s="10" t="str">
        <f>_xlfn.LET(
    _xlpm.val, IF(Datadetails[[#This Row],[Activity]]="D02","C20",Datadetails[[#This Row],[Activity]]),
    IF(ISNUMBER(MATCH(_xlpm.val,{"D04","C30","c40","C20"},0)), _xlpm.val, "Other")
)</f>
        <v>C30</v>
      </c>
      <c r="D1211" s="10" t="str">
        <f>IFERROR(VLOOKUP(Datadetails[[#This Row],[Taskcode]],Dashboard!A:A,1,FALSE),"00 Err Missing")</f>
        <v>0062</v>
      </c>
      <c r="E1211" s="79">
        <v>45835</v>
      </c>
      <c r="F1211" s="80" t="s">
        <v>329</v>
      </c>
      <c r="G1211" s="60" t="s">
        <v>40</v>
      </c>
      <c r="H1211" s="80" t="s">
        <v>229</v>
      </c>
      <c r="I1211" s="80" t="s">
        <v>34</v>
      </c>
      <c r="J1211" s="80" t="s">
        <v>373</v>
      </c>
      <c r="K1211" s="80" t="s">
        <v>347</v>
      </c>
      <c r="L1211" s="80" t="s">
        <v>343</v>
      </c>
      <c r="M1211" s="81">
        <v>0.17</v>
      </c>
      <c r="N1211" s="82">
        <v>12.750000000000002</v>
      </c>
    </row>
    <row r="1212" spans="1:14" x14ac:dyDescent="0.25">
      <c r="A1212" s="10" t="str">
        <f>_xlfn.IFNA(
    IF(J1212=
        "PCB-0001",
        "CSS",
        IF(
            ISNUMBER(MATCH(_xlfn.TEXTBEFORE(J1212,"-"), {"CSS","CSN","PCB","PCF","BEC","CSD","PCM"}, 0)),
            _xlfn.TEXTBEFORE(J1212,"-"),
            "Other"
        )
    ),
"Add")</f>
        <v>PCB</v>
      </c>
      <c r="B1212" s="10" t="str">
        <f t="shared" si="19"/>
        <v>0071</v>
      </c>
      <c r="C1212" s="10" t="str">
        <f>_xlfn.LET(
    _xlpm.val, IF(Datadetails[[#This Row],[Activity]]="D02","C20",Datadetails[[#This Row],[Activity]]),
    IF(ISNUMBER(MATCH(_xlpm.val,{"D04","C30","c40","C20"},0)), _xlpm.val, "Other")
)</f>
        <v>C30</v>
      </c>
      <c r="D1212" s="10" t="str">
        <f>IFERROR(VLOOKUP(Datadetails[[#This Row],[Taskcode]],Dashboard!A:A,1,FALSE),"00 Err Missing")</f>
        <v>0071</v>
      </c>
      <c r="E1212" s="79">
        <v>45835</v>
      </c>
      <c r="F1212" s="80" t="s">
        <v>329</v>
      </c>
      <c r="G1212" s="60" t="s">
        <v>40</v>
      </c>
      <c r="H1212" s="80" t="s">
        <v>238</v>
      </c>
      <c r="I1212" s="80" t="s">
        <v>34</v>
      </c>
      <c r="J1212" s="80" t="s">
        <v>374</v>
      </c>
      <c r="K1212" s="80" t="s">
        <v>347</v>
      </c>
      <c r="L1212" s="80" t="s">
        <v>343</v>
      </c>
      <c r="M1212" s="81">
        <v>0.17</v>
      </c>
      <c r="N1212" s="82">
        <v>12.750000000000002</v>
      </c>
    </row>
    <row r="1213" spans="1:14" x14ac:dyDescent="0.25">
      <c r="A1213" s="10" t="str">
        <f>_xlfn.IFNA(
    IF(J1213=
        "PCB-0001",
        "CSS",
        IF(
            ISNUMBER(MATCH(_xlfn.TEXTBEFORE(J1213,"-"), {"CSS","CSN","PCB","PCF","BEC","CSD","PCM"}, 0)),
            _xlfn.TEXTBEFORE(J1213,"-"),
            "Other"
        )
    ),
"Add")</f>
        <v>PCB</v>
      </c>
      <c r="B1213" s="10" t="str">
        <f t="shared" si="19"/>
        <v>0126</v>
      </c>
      <c r="C1213" s="10" t="str">
        <f>_xlfn.LET(
    _xlpm.val, IF(Datadetails[[#This Row],[Activity]]="D02","C20",Datadetails[[#This Row],[Activity]]),
    IF(ISNUMBER(MATCH(_xlpm.val,{"D04","C30","c40","C20"},0)), _xlpm.val, "Other")
)</f>
        <v>C30</v>
      </c>
      <c r="D1213" s="10" t="str">
        <f>IFERROR(VLOOKUP(Datadetails[[#This Row],[Taskcode]],Dashboard!A:A,1,FALSE),"00 Err Missing")</f>
        <v>0126</v>
      </c>
      <c r="E1213" s="79">
        <v>45835</v>
      </c>
      <c r="F1213" s="80" t="s">
        <v>329</v>
      </c>
      <c r="G1213" s="60" t="s">
        <v>40</v>
      </c>
      <c r="H1213" s="80" t="s">
        <v>293</v>
      </c>
      <c r="I1213" s="80" t="s">
        <v>34</v>
      </c>
      <c r="J1213" s="80" t="s">
        <v>376</v>
      </c>
      <c r="K1213" s="80" t="s">
        <v>347</v>
      </c>
      <c r="L1213" s="80" t="s">
        <v>343</v>
      </c>
      <c r="M1213" s="81">
        <v>0.5</v>
      </c>
      <c r="N1213" s="82">
        <v>37.5</v>
      </c>
    </row>
    <row r="1214" spans="1:14" x14ac:dyDescent="0.25">
      <c r="A1214" s="10" t="str">
        <f>_xlfn.IFNA(
    IF(J1214=
        "PCB-0001",
        "CSS",
        IF(
            ISNUMBER(MATCH(_xlfn.TEXTBEFORE(J1214,"-"), {"CSS","CSN","PCB","PCF","BEC","CSD","PCM"}, 0)),
            _xlfn.TEXTBEFORE(J1214,"-"),
            "Other"
        )
    ),
"Add")</f>
        <v>PCB</v>
      </c>
      <c r="B1214" s="10" t="str">
        <f t="shared" si="19"/>
        <v>0091</v>
      </c>
      <c r="C1214" s="10" t="str">
        <f>_xlfn.LET(
    _xlpm.val, IF(Datadetails[[#This Row],[Activity]]="D02","C20",Datadetails[[#This Row],[Activity]]),
    IF(ISNUMBER(MATCH(_xlpm.val,{"D04","C30","c40","C20"},0)), _xlpm.val, "Other")
)</f>
        <v>C30</v>
      </c>
      <c r="D1214" s="10" t="str">
        <f>IFERROR(VLOOKUP(Datadetails[[#This Row],[Taskcode]],Dashboard!A:A,1,FALSE),"00 Err Missing")</f>
        <v>0091</v>
      </c>
      <c r="E1214" s="79">
        <v>45835</v>
      </c>
      <c r="F1214" s="80" t="s">
        <v>329</v>
      </c>
      <c r="G1214" s="60" t="s">
        <v>40</v>
      </c>
      <c r="H1214" s="80" t="s">
        <v>258</v>
      </c>
      <c r="I1214" s="80" t="s">
        <v>34</v>
      </c>
      <c r="J1214" s="80" t="s">
        <v>381</v>
      </c>
      <c r="K1214" s="80" t="s">
        <v>347</v>
      </c>
      <c r="L1214" s="80" t="s">
        <v>343</v>
      </c>
      <c r="M1214" s="81">
        <v>0.08</v>
      </c>
      <c r="N1214" s="82">
        <v>6</v>
      </c>
    </row>
    <row r="1215" spans="1:14" x14ac:dyDescent="0.25">
      <c r="A1215" s="10" t="str">
        <f>_xlfn.IFNA(
    IF(J1215=
        "PCB-0001",
        "CSS",
        IF(
            ISNUMBER(MATCH(_xlfn.TEXTBEFORE(J1215,"-"), {"CSS","CSN","PCB","PCF","BEC","CSD","PCM"}, 0)),
            _xlfn.TEXTBEFORE(J1215,"-"),
            "Other"
        )
    ),
"Add")</f>
        <v>PCB</v>
      </c>
      <c r="B1215" s="10" t="str">
        <f t="shared" si="19"/>
        <v>0138</v>
      </c>
      <c r="C1215" s="10" t="str">
        <f>_xlfn.LET(
    _xlpm.val, IF(Datadetails[[#This Row],[Activity]]="D02","C20",Datadetails[[#This Row],[Activity]]),
    IF(ISNUMBER(MATCH(_xlpm.val,{"D04","C30","c40","C20"},0)), _xlpm.val, "Other")
)</f>
        <v>C30</v>
      </c>
      <c r="D1215" s="10" t="str">
        <f>IFERROR(VLOOKUP(Datadetails[[#This Row],[Taskcode]],Dashboard!A:A,1,FALSE),"00 Err Missing")</f>
        <v>0138</v>
      </c>
      <c r="E1215" s="79">
        <v>45835</v>
      </c>
      <c r="F1215" s="80" t="s">
        <v>325</v>
      </c>
      <c r="G1215" s="60" t="s">
        <v>40</v>
      </c>
      <c r="H1215" s="80" t="s">
        <v>305</v>
      </c>
      <c r="I1215" s="80" t="s">
        <v>34</v>
      </c>
      <c r="J1215" s="80" t="s">
        <v>382</v>
      </c>
      <c r="K1215" s="80" t="s">
        <v>347</v>
      </c>
      <c r="L1215" s="80" t="s">
        <v>343</v>
      </c>
      <c r="M1215" s="81">
        <v>0.17</v>
      </c>
      <c r="N1215" s="82">
        <v>12.750000000000002</v>
      </c>
    </row>
    <row r="1216" spans="1:14" x14ac:dyDescent="0.25">
      <c r="A1216" s="10" t="str">
        <f>_xlfn.IFNA(
    IF(J1216=
        "PCB-0001",
        "CSS",
        IF(
            ISNUMBER(MATCH(_xlfn.TEXTBEFORE(J1216,"-"), {"CSS","CSN","PCB","PCF","BEC","CSD","PCM"}, 0)),
            _xlfn.TEXTBEFORE(J1216,"-"),
            "Other"
        )
    ),
"Add")</f>
        <v>PCB</v>
      </c>
      <c r="B1216" s="10" t="str">
        <f t="shared" si="19"/>
        <v>0097</v>
      </c>
      <c r="C1216" s="10" t="str">
        <f>_xlfn.LET(
    _xlpm.val, IF(Datadetails[[#This Row],[Activity]]="D02","C20",Datadetails[[#This Row],[Activity]]),
    IF(ISNUMBER(MATCH(_xlpm.val,{"D04","C30","c40","C20"},0)), _xlpm.val, "Other")
)</f>
        <v>C30</v>
      </c>
      <c r="D1216" s="10" t="str">
        <f>IFERROR(VLOOKUP(Datadetails[[#This Row],[Taskcode]],Dashboard!A:A,1,FALSE),"00 Err Missing")</f>
        <v>0097</v>
      </c>
      <c r="E1216" s="79">
        <v>45835</v>
      </c>
      <c r="F1216" s="80" t="s">
        <v>325</v>
      </c>
      <c r="G1216" s="60" t="s">
        <v>40</v>
      </c>
      <c r="H1216" s="80" t="s">
        <v>264</v>
      </c>
      <c r="I1216" s="80" t="s">
        <v>34</v>
      </c>
      <c r="J1216" s="80" t="s">
        <v>384</v>
      </c>
      <c r="K1216" s="80" t="s">
        <v>347</v>
      </c>
      <c r="L1216" s="80" t="s">
        <v>343</v>
      </c>
      <c r="M1216" s="81">
        <v>0.25</v>
      </c>
      <c r="N1216" s="82">
        <v>18.75</v>
      </c>
    </row>
    <row r="1217" spans="1:14" x14ac:dyDescent="0.25">
      <c r="A1217" s="10" t="str">
        <f>_xlfn.IFNA(
    IF(J1217=
        "PCB-0001",
        "CSS",
        IF(
            ISNUMBER(MATCH(_xlfn.TEXTBEFORE(J1217,"-"), {"CSS","CSN","PCB","PCF","BEC","CSD","PCM"}, 0)),
            _xlfn.TEXTBEFORE(J1217,"-"),
            "Other"
        )
    ),
"Add")</f>
        <v>PCB</v>
      </c>
      <c r="B1217" s="10" t="str">
        <f t="shared" si="19"/>
        <v>0086</v>
      </c>
      <c r="C1217" s="10" t="str">
        <f>_xlfn.LET(
    _xlpm.val, IF(Datadetails[[#This Row],[Activity]]="D02","C20",Datadetails[[#This Row],[Activity]]),
    IF(ISNUMBER(MATCH(_xlpm.val,{"D04","C30","c40","C20"},0)), _xlpm.val, "Other")
)</f>
        <v>C30</v>
      </c>
      <c r="D1217" s="10" t="str">
        <f>IFERROR(VLOOKUP(Datadetails[[#This Row],[Taskcode]],Dashboard!A:A,1,FALSE),"00 Err Missing")</f>
        <v>0086</v>
      </c>
      <c r="E1217" s="79">
        <v>45835</v>
      </c>
      <c r="F1217" s="80" t="s">
        <v>325</v>
      </c>
      <c r="G1217" s="60" t="s">
        <v>40</v>
      </c>
      <c r="H1217" s="80" t="s">
        <v>253</v>
      </c>
      <c r="I1217" s="80" t="s">
        <v>34</v>
      </c>
      <c r="J1217" s="80" t="s">
        <v>408</v>
      </c>
      <c r="K1217" s="80" t="s">
        <v>347</v>
      </c>
      <c r="L1217" s="80" t="s">
        <v>343</v>
      </c>
      <c r="M1217" s="81">
        <v>0.25</v>
      </c>
      <c r="N1217" s="82">
        <v>18.75</v>
      </c>
    </row>
    <row r="1218" spans="1:14" x14ac:dyDescent="0.25">
      <c r="A1218" s="10" t="str">
        <f>_xlfn.IFNA(
    IF(J1218=
        "PCB-0001",
        "CSS",
        IF(
            ISNUMBER(MATCH(_xlfn.TEXTBEFORE(J1218,"-"), {"CSS","CSN","PCB","PCF","BEC","CSD","PCM"}, 0)),
            _xlfn.TEXTBEFORE(J1218,"-"),
            "Other"
        )
    ),
"Add")</f>
        <v>PCB</v>
      </c>
      <c r="B1218" s="10" t="str">
        <f t="shared" si="19"/>
        <v>0080</v>
      </c>
      <c r="C1218" s="10" t="str">
        <f>_xlfn.LET(
    _xlpm.val, IF(Datadetails[[#This Row],[Activity]]="D02","C20",Datadetails[[#This Row],[Activity]]),
    IF(ISNUMBER(MATCH(_xlpm.val,{"D04","C30","c40","C20"},0)), _xlpm.val, "Other")
)</f>
        <v>C30</v>
      </c>
      <c r="D1218" s="10" t="str">
        <f>IFERROR(VLOOKUP(Datadetails[[#This Row],[Taskcode]],Dashboard!A:A,1,FALSE),"00 Err Missing")</f>
        <v>0080</v>
      </c>
      <c r="E1218" s="79">
        <v>45835</v>
      </c>
      <c r="F1218" s="80" t="s">
        <v>329</v>
      </c>
      <c r="G1218" s="60" t="s">
        <v>40</v>
      </c>
      <c r="H1218" s="80" t="s">
        <v>247</v>
      </c>
      <c r="I1218" s="80" t="s">
        <v>34</v>
      </c>
      <c r="J1218" s="80" t="s">
        <v>375</v>
      </c>
      <c r="K1218" s="80" t="s">
        <v>347</v>
      </c>
      <c r="L1218" s="80" t="s">
        <v>343</v>
      </c>
      <c r="M1218" s="81">
        <v>1</v>
      </c>
      <c r="N1218" s="82">
        <v>75</v>
      </c>
    </row>
    <row r="1219" spans="1:14" x14ac:dyDescent="0.25">
      <c r="A1219" s="10" t="str">
        <f>_xlfn.IFNA(
    IF(J1219=
        "PCB-0001",
        "CSS",
        IF(
            ISNUMBER(MATCH(_xlfn.TEXTBEFORE(J1219,"-"), {"CSS","CSN","PCB","PCF","BEC","CSD","PCM"}, 0)),
            _xlfn.TEXTBEFORE(J1219,"-"),
            "Other"
        )
    ),
"Add")</f>
        <v>PCB</v>
      </c>
      <c r="B1219" s="10" t="str">
        <f t="shared" si="19"/>
        <v>0117</v>
      </c>
      <c r="C1219" s="10" t="str">
        <f>_xlfn.LET(
    _xlpm.val, IF(Datadetails[[#This Row],[Activity]]="D02","C20",Datadetails[[#This Row],[Activity]]),
    IF(ISNUMBER(MATCH(_xlpm.val,{"D04","C30","c40","C20"},0)), _xlpm.val, "Other")
)</f>
        <v>C30</v>
      </c>
      <c r="D1219" s="10" t="str">
        <f>IFERROR(VLOOKUP(Datadetails[[#This Row],[Taskcode]],Dashboard!A:A,1,FALSE),"00 Err Missing")</f>
        <v>0117</v>
      </c>
      <c r="E1219" s="79">
        <v>45835</v>
      </c>
      <c r="F1219" s="80" t="s">
        <v>330</v>
      </c>
      <c r="G1219" s="60" t="s">
        <v>40</v>
      </c>
      <c r="H1219" s="80" t="s">
        <v>284</v>
      </c>
      <c r="I1219" s="80" t="s">
        <v>34</v>
      </c>
      <c r="J1219" s="80" t="s">
        <v>415</v>
      </c>
      <c r="K1219" s="80" t="s">
        <v>347</v>
      </c>
      <c r="L1219" s="80" t="s">
        <v>343</v>
      </c>
      <c r="M1219" s="81">
        <v>0.5</v>
      </c>
      <c r="N1219" s="82">
        <v>30</v>
      </c>
    </row>
    <row r="1220" spans="1:14" x14ac:dyDescent="0.25">
      <c r="A1220" s="10" t="str">
        <f>_xlfn.IFNA(
    IF(J1220=
        "PCB-0001",
        "CSS",
        IF(
            ISNUMBER(MATCH(_xlfn.TEXTBEFORE(J1220,"-"), {"CSS","CSN","PCB","PCF","BEC","CSD","PCM"}, 0)),
            _xlfn.TEXTBEFORE(J1220,"-"),
            "Other"
        )
    ),
"Add")</f>
        <v>PCB</v>
      </c>
      <c r="B1220" s="10" t="str">
        <f t="shared" ref="B1220:B1283" si="20">_xlfn.IFNA(_xlfn.TEXTAFTER(J1220,"-"),"Data to C2")</f>
        <v>0063</v>
      </c>
      <c r="C1220" s="10" t="str">
        <f>_xlfn.LET(
    _xlpm.val, IF(Datadetails[[#This Row],[Activity]]="D02","C20",Datadetails[[#This Row],[Activity]]),
    IF(ISNUMBER(MATCH(_xlpm.val,{"D04","C30","c40","C20"},0)), _xlpm.val, "Other")
)</f>
        <v>C30</v>
      </c>
      <c r="D1220" s="10" t="str">
        <f>IFERROR(VLOOKUP(Datadetails[[#This Row],[Taskcode]],Dashboard!A:A,1,FALSE),"00 Err Missing")</f>
        <v>0063</v>
      </c>
      <c r="E1220" s="79">
        <v>45835</v>
      </c>
      <c r="F1220" s="80" t="s">
        <v>329</v>
      </c>
      <c r="G1220" s="60" t="s">
        <v>40</v>
      </c>
      <c r="H1220" s="80" t="s">
        <v>230</v>
      </c>
      <c r="I1220" s="80" t="s">
        <v>34</v>
      </c>
      <c r="J1220" s="80" t="s">
        <v>410</v>
      </c>
      <c r="K1220" s="80" t="s">
        <v>347</v>
      </c>
      <c r="L1220" s="80" t="s">
        <v>343</v>
      </c>
      <c r="M1220" s="81">
        <v>0.33</v>
      </c>
      <c r="N1220" s="82">
        <v>24.75</v>
      </c>
    </row>
    <row r="1221" spans="1:14" x14ac:dyDescent="0.25">
      <c r="A1221" s="10" t="str">
        <f>_xlfn.IFNA(
    IF(J1221=
        "PCB-0001",
        "CSS",
        IF(
            ISNUMBER(MATCH(_xlfn.TEXTBEFORE(J1221,"-"), {"CSS","CSN","PCB","PCF","BEC","CSD","PCM"}, 0)),
            _xlfn.TEXTBEFORE(J1221,"-"),
            "Other"
        )
    ),
"Add")</f>
        <v>PCB</v>
      </c>
      <c r="B1221" s="10" t="str">
        <f t="shared" si="20"/>
        <v>0132</v>
      </c>
      <c r="C1221" s="10" t="str">
        <f>_xlfn.LET(
    _xlpm.val, IF(Datadetails[[#This Row],[Activity]]="D02","C20",Datadetails[[#This Row],[Activity]]),
    IF(ISNUMBER(MATCH(_xlpm.val,{"D04","C30","c40","C20"},0)), _xlpm.val, "Other")
)</f>
        <v>C20</v>
      </c>
      <c r="D1221" s="10" t="str">
        <f>IFERROR(VLOOKUP(Datadetails[[#This Row],[Taskcode]],Dashboard!A:A,1,FALSE),"00 Err Missing")</f>
        <v>0132</v>
      </c>
      <c r="E1221" s="79">
        <v>45835</v>
      </c>
      <c r="F1221" s="80" t="s">
        <v>329</v>
      </c>
      <c r="G1221" s="60" t="s">
        <v>40</v>
      </c>
      <c r="H1221" s="80" t="s">
        <v>299</v>
      </c>
      <c r="I1221" s="80" t="s">
        <v>312</v>
      </c>
      <c r="J1221" s="80" t="s">
        <v>455</v>
      </c>
      <c r="K1221" s="80" t="s">
        <v>347</v>
      </c>
      <c r="L1221" s="80" t="s">
        <v>350</v>
      </c>
      <c r="M1221" s="81">
        <v>0.5</v>
      </c>
      <c r="N1221" s="82">
        <v>37.5</v>
      </c>
    </row>
    <row r="1222" spans="1:14" x14ac:dyDescent="0.25">
      <c r="A1222" s="10" t="str">
        <f>_xlfn.IFNA(
    IF(J1222=
        "PCB-0001",
        "CSS",
        IF(
            ISNUMBER(MATCH(_xlfn.TEXTBEFORE(J1222,"-"), {"CSS","CSN","PCB","PCF","BEC","CSD","PCM"}, 0)),
            _xlfn.TEXTBEFORE(J1222,"-"),
            "Other"
        )
    ),
"Add")</f>
        <v>PCF</v>
      </c>
      <c r="B1222" s="10" t="str">
        <f t="shared" si="20"/>
        <v>0040</v>
      </c>
      <c r="C1222" s="10" t="str">
        <f>_xlfn.LET(
    _xlpm.val, IF(Datadetails[[#This Row],[Activity]]="D02","C20",Datadetails[[#This Row],[Activity]]),
    IF(ISNUMBER(MATCH(_xlpm.val,{"D04","C30","c40","C20"},0)), _xlpm.val, "Other")
)</f>
        <v>C20</v>
      </c>
      <c r="D1222" s="10" t="str">
        <f>IFERROR(VLOOKUP(Datadetails[[#This Row],[Taskcode]],Dashboard!A:A,1,FALSE),"00 Err Missing")</f>
        <v>0040</v>
      </c>
      <c r="E1222" s="79">
        <v>45835</v>
      </c>
      <c r="F1222" s="80" t="s">
        <v>326</v>
      </c>
      <c r="G1222" s="60" t="s">
        <v>40</v>
      </c>
      <c r="H1222" s="80" t="s">
        <v>207</v>
      </c>
      <c r="I1222" s="80" t="s">
        <v>36</v>
      </c>
      <c r="J1222" s="80" t="s">
        <v>417</v>
      </c>
      <c r="K1222" s="80" t="s">
        <v>348</v>
      </c>
      <c r="L1222" s="80" t="s">
        <v>342</v>
      </c>
      <c r="M1222" s="81">
        <v>0.83</v>
      </c>
      <c r="N1222" s="82">
        <v>49.8</v>
      </c>
    </row>
    <row r="1223" spans="1:14" x14ac:dyDescent="0.25">
      <c r="A1223" s="10" t="str">
        <f>_xlfn.IFNA(
    IF(J1223=
        "PCB-0001",
        "CSS",
        IF(
            ISNUMBER(MATCH(_xlfn.TEXTBEFORE(J1223,"-"), {"CSS","CSN","PCB","PCF","BEC","CSD","PCM"}, 0)),
            _xlfn.TEXTBEFORE(J1223,"-"),
            "Other"
        )
    ),
"Add")</f>
        <v>PCF</v>
      </c>
      <c r="B1223" s="10" t="str">
        <f t="shared" si="20"/>
        <v>0060</v>
      </c>
      <c r="C1223" s="10" t="str">
        <f>_xlfn.LET(
    _xlpm.val, IF(Datadetails[[#This Row],[Activity]]="D02","C20",Datadetails[[#This Row],[Activity]]),
    IF(ISNUMBER(MATCH(_xlpm.val,{"D04","C30","c40","C20"},0)), _xlpm.val, "Other")
)</f>
        <v>C30</v>
      </c>
      <c r="D1223" s="10" t="str">
        <f>IFERROR(VLOOKUP(Datadetails[[#This Row],[Taskcode]],Dashboard!A:A,1,FALSE),"00 Err Missing")</f>
        <v>0060</v>
      </c>
      <c r="E1223" s="79">
        <v>45835</v>
      </c>
      <c r="F1223" s="80" t="s">
        <v>326</v>
      </c>
      <c r="G1223" s="60" t="s">
        <v>40</v>
      </c>
      <c r="H1223" s="80" t="s">
        <v>227</v>
      </c>
      <c r="I1223" s="80" t="s">
        <v>34</v>
      </c>
      <c r="J1223" s="80" t="s">
        <v>453</v>
      </c>
      <c r="K1223" s="80" t="s">
        <v>348</v>
      </c>
      <c r="L1223" s="80" t="s">
        <v>343</v>
      </c>
      <c r="M1223" s="81">
        <v>1.17</v>
      </c>
      <c r="N1223" s="82">
        <v>70.199999999999989</v>
      </c>
    </row>
    <row r="1224" spans="1:14" x14ac:dyDescent="0.25">
      <c r="A1224" s="10" t="str">
        <f>_xlfn.IFNA(
    IF(J1224=
        "PCB-0001",
        "CSS",
        IF(
            ISNUMBER(MATCH(_xlfn.TEXTBEFORE(J1224,"-"), {"CSS","CSN","PCB","PCF","BEC","CSD","PCM"}, 0)),
            _xlfn.TEXTBEFORE(J1224,"-"),
            "Other"
        )
    ),
"Add")</f>
        <v>PCF</v>
      </c>
      <c r="B1224" s="10" t="str">
        <f t="shared" si="20"/>
        <v>0098</v>
      </c>
      <c r="C1224" s="10" t="str">
        <f>_xlfn.LET(
    _xlpm.val, IF(Datadetails[[#This Row],[Activity]]="D02","C20",Datadetails[[#This Row],[Activity]]),
    IF(ISNUMBER(MATCH(_xlpm.val,{"D04","C30","c40","C20"},0)), _xlpm.val, "Other")
)</f>
        <v>C30</v>
      </c>
      <c r="D1224" s="10" t="str">
        <f>IFERROR(VLOOKUP(Datadetails[[#This Row],[Taskcode]],Dashboard!A:A,1,FALSE),"00 Err Missing")</f>
        <v>0098</v>
      </c>
      <c r="E1224" s="79">
        <v>45835</v>
      </c>
      <c r="F1224" s="80" t="s">
        <v>326</v>
      </c>
      <c r="G1224" s="60" t="s">
        <v>40</v>
      </c>
      <c r="H1224" s="80" t="s">
        <v>265</v>
      </c>
      <c r="I1224" s="80" t="s">
        <v>34</v>
      </c>
      <c r="J1224" s="80" t="s">
        <v>358</v>
      </c>
      <c r="K1224" s="80" t="s">
        <v>348</v>
      </c>
      <c r="L1224" s="80" t="s">
        <v>343</v>
      </c>
      <c r="M1224" s="81">
        <v>1</v>
      </c>
      <c r="N1224" s="82">
        <v>60</v>
      </c>
    </row>
    <row r="1225" spans="1:14" x14ac:dyDescent="0.25">
      <c r="A1225" s="10" t="str">
        <f>_xlfn.IFNA(
    IF(J1225=
        "PCB-0001",
        "CSS",
        IF(
            ISNUMBER(MATCH(_xlfn.TEXTBEFORE(J1225,"-"), {"CSS","CSN","PCB","PCF","BEC","CSD","PCM"}, 0)),
            _xlfn.TEXTBEFORE(J1225,"-"),
            "Other"
        )
    ),
"Add")</f>
        <v>PCF</v>
      </c>
      <c r="B1225" s="10" t="str">
        <f t="shared" si="20"/>
        <v>0008</v>
      </c>
      <c r="C1225" s="10" t="str">
        <f>_xlfn.LET(
    _xlpm.val, IF(Datadetails[[#This Row],[Activity]]="D02","C20",Datadetails[[#This Row],[Activity]]),
    IF(ISNUMBER(MATCH(_xlpm.val,{"D04","C30","c40","C20"},0)), _xlpm.val, "Other")
)</f>
        <v>C40</v>
      </c>
      <c r="D1225" s="10" t="str">
        <f>IFERROR(VLOOKUP(Datadetails[[#This Row],[Taskcode]],Dashboard!A:A,1,FALSE),"00 Err Missing")</f>
        <v>0008</v>
      </c>
      <c r="E1225" s="79">
        <v>45835</v>
      </c>
      <c r="F1225" s="80" t="s">
        <v>326</v>
      </c>
      <c r="G1225" s="60" t="s">
        <v>40</v>
      </c>
      <c r="H1225" s="80" t="s">
        <v>175</v>
      </c>
      <c r="I1225" s="80" t="s">
        <v>341</v>
      </c>
      <c r="J1225" s="80" t="s">
        <v>388</v>
      </c>
      <c r="K1225" s="80" t="s">
        <v>348</v>
      </c>
      <c r="L1225" s="80" t="s">
        <v>344</v>
      </c>
      <c r="M1225" s="81">
        <v>1.25</v>
      </c>
      <c r="N1225" s="82">
        <v>75</v>
      </c>
    </row>
    <row r="1226" spans="1:14" x14ac:dyDescent="0.25">
      <c r="A1226" s="10" t="str">
        <f>_xlfn.IFNA(
    IF(J1226=
        "PCB-0001",
        "CSS",
        IF(
            ISNUMBER(MATCH(_xlfn.TEXTBEFORE(J1226,"-"), {"CSS","CSN","PCB","PCF","BEC","CSD","PCM"}, 0)),
            _xlfn.TEXTBEFORE(J1226,"-"),
            "Other"
        )
    ),
"Add")</f>
        <v>BEC</v>
      </c>
      <c r="B1226" s="10" t="str">
        <f t="shared" si="20"/>
        <v>0001</v>
      </c>
      <c r="C1226" s="10" t="str">
        <f>_xlfn.LET(
    _xlpm.val, IF(Datadetails[[#This Row],[Activity]]="D02","C20",Datadetails[[#This Row],[Activity]]),
    IF(ISNUMBER(MATCH(_xlpm.val,{"D04","C30","c40","C20"},0)), _xlpm.val, "Other")
)</f>
        <v>D04</v>
      </c>
      <c r="D1226" s="10" t="str">
        <f>IFERROR(VLOOKUP(Datadetails[[#This Row],[Taskcode]],Dashboard!A:A,1,FALSE),"00 Err Missing")</f>
        <v>0001</v>
      </c>
      <c r="E1226" s="79">
        <v>45835</v>
      </c>
      <c r="F1226" s="80" t="s">
        <v>332</v>
      </c>
      <c r="G1226" s="60" t="s">
        <v>40</v>
      </c>
      <c r="H1226" s="80" t="s">
        <v>314</v>
      </c>
      <c r="I1226" s="80" t="s">
        <v>35</v>
      </c>
      <c r="J1226" s="80" t="s">
        <v>359</v>
      </c>
      <c r="K1226" s="80" t="s">
        <v>339</v>
      </c>
      <c r="L1226" s="80" t="s">
        <v>352</v>
      </c>
      <c r="M1226" s="81">
        <v>7.67</v>
      </c>
      <c r="N1226" s="82">
        <v>306.8</v>
      </c>
    </row>
    <row r="1227" spans="1:14" x14ac:dyDescent="0.25">
      <c r="A1227" s="10" t="str">
        <f>_xlfn.IFNA(
    IF(J1227=
        "PCB-0001",
        "CSS",
        IF(
            ISNUMBER(MATCH(_xlfn.TEXTBEFORE(J1227,"-"), {"CSS","CSN","PCB","PCF","BEC","CSD","PCM"}, 0)),
            _xlfn.TEXTBEFORE(J1227,"-"),
            "Other"
        )
    ),
"Add")</f>
        <v>BEC</v>
      </c>
      <c r="B1227" s="10" t="str">
        <f t="shared" si="20"/>
        <v>0001</v>
      </c>
      <c r="C1227" s="10" t="str">
        <f>_xlfn.LET(
    _xlpm.val, IF(Datadetails[[#This Row],[Activity]]="D02","C20",Datadetails[[#This Row],[Activity]]),
    IF(ISNUMBER(MATCH(_xlpm.val,{"D04","C30","c40","C20"},0)), _xlpm.val, "Other")
)</f>
        <v>D04</v>
      </c>
      <c r="D1227" s="10" t="str">
        <f>IFERROR(VLOOKUP(Datadetails[[#This Row],[Taskcode]],Dashboard!A:A,1,FALSE),"00 Err Missing")</f>
        <v>0001</v>
      </c>
      <c r="E1227" s="79">
        <v>45835</v>
      </c>
      <c r="F1227" s="80" t="s">
        <v>324</v>
      </c>
      <c r="G1227" s="60" t="s">
        <v>40</v>
      </c>
      <c r="H1227" s="80" t="s">
        <v>314</v>
      </c>
      <c r="I1227" s="80" t="s">
        <v>35</v>
      </c>
      <c r="J1227" s="80" t="s">
        <v>359</v>
      </c>
      <c r="K1227" s="80" t="s">
        <v>339</v>
      </c>
      <c r="L1227" s="80" t="s">
        <v>352</v>
      </c>
      <c r="M1227" s="81">
        <v>6.25</v>
      </c>
      <c r="N1227" s="82">
        <v>468.75</v>
      </c>
    </row>
    <row r="1228" spans="1:14" x14ac:dyDescent="0.25">
      <c r="A1228" s="10" t="str">
        <f>_xlfn.IFNA(
    IF(J1228=
        "PCB-0001",
        "CSS",
        IF(
            ISNUMBER(MATCH(_xlfn.TEXTBEFORE(J1228,"-"), {"CSS","CSN","PCB","PCF","BEC","CSD","PCM"}, 0)),
            _xlfn.TEXTBEFORE(J1228,"-"),
            "Other"
        )
    ),
"Add")</f>
        <v>BEC</v>
      </c>
      <c r="B1228" s="10" t="str">
        <f t="shared" si="20"/>
        <v>0001</v>
      </c>
      <c r="C1228" s="10" t="str">
        <f>_xlfn.LET(
    _xlpm.val, IF(Datadetails[[#This Row],[Activity]]="D02","C20",Datadetails[[#This Row],[Activity]]),
    IF(ISNUMBER(MATCH(_xlpm.val,{"D04","C30","c40","C20"},0)), _xlpm.val, "Other")
)</f>
        <v>D04</v>
      </c>
      <c r="D1228" s="10" t="str">
        <f>IFERROR(VLOOKUP(Datadetails[[#This Row],[Taskcode]],Dashboard!A:A,1,FALSE),"00 Err Missing")</f>
        <v>0001</v>
      </c>
      <c r="E1228" s="79">
        <v>45836</v>
      </c>
      <c r="F1228" s="80" t="s">
        <v>332</v>
      </c>
      <c r="G1228" s="60" t="s">
        <v>40</v>
      </c>
      <c r="H1228" s="80" t="s">
        <v>314</v>
      </c>
      <c r="I1228" s="80" t="s">
        <v>35</v>
      </c>
      <c r="J1228" s="80" t="s">
        <v>359</v>
      </c>
      <c r="K1228" s="80" t="s">
        <v>339</v>
      </c>
      <c r="L1228" s="80" t="s">
        <v>352</v>
      </c>
      <c r="M1228" s="81">
        <v>4</v>
      </c>
      <c r="N1228" s="82">
        <v>160</v>
      </c>
    </row>
    <row r="1229" spans="1:14" x14ac:dyDescent="0.25">
      <c r="A1229" s="10" t="str">
        <f>_xlfn.IFNA(
    IF(J1229=
        "PCB-0001",
        "CSS",
        IF(
            ISNUMBER(MATCH(_xlfn.TEXTBEFORE(J1229,"-"), {"CSS","CSN","PCB","PCF","BEC","CSD","PCM"}, 0)),
            _xlfn.TEXTBEFORE(J1229,"-"),
            "Other"
        )
    ),
"Add")</f>
        <v>PCB</v>
      </c>
      <c r="B1229" s="10" t="str">
        <f t="shared" si="20"/>
        <v>0102</v>
      </c>
      <c r="C1229" s="10" t="str">
        <f>_xlfn.LET(
    _xlpm.val, IF(Datadetails[[#This Row],[Activity]]="D02","C20",Datadetails[[#This Row],[Activity]]),
    IF(ISNUMBER(MATCH(_xlpm.val,{"D04","C30","c40","C20"},0)), _xlpm.val, "Other")
)</f>
        <v>C30</v>
      </c>
      <c r="D1229" s="10" t="str">
        <f>IFERROR(VLOOKUP(Datadetails[[#This Row],[Taskcode]],Dashboard!A:A,1,FALSE),"00 Err Missing")</f>
        <v>0102</v>
      </c>
      <c r="E1229" s="79">
        <v>45838</v>
      </c>
      <c r="F1229" s="80" t="s">
        <v>329</v>
      </c>
      <c r="G1229" s="60" t="s">
        <v>40</v>
      </c>
      <c r="H1229" s="80" t="s">
        <v>269</v>
      </c>
      <c r="I1229" s="80" t="s">
        <v>34</v>
      </c>
      <c r="J1229" s="80" t="s">
        <v>361</v>
      </c>
      <c r="K1229" s="80" t="s">
        <v>347</v>
      </c>
      <c r="L1229" s="80" t="s">
        <v>343</v>
      </c>
      <c r="M1229" s="81">
        <v>0.17</v>
      </c>
      <c r="N1229" s="82">
        <v>12.750000000000002</v>
      </c>
    </row>
    <row r="1230" spans="1:14" x14ac:dyDescent="0.25">
      <c r="A1230" s="10" t="str">
        <f>_xlfn.IFNA(
    IF(J1230=
        "PCB-0001",
        "CSS",
        IF(
            ISNUMBER(MATCH(_xlfn.TEXTBEFORE(J1230,"-"), {"CSS","CSN","PCB","PCF","BEC","CSD","PCM"}, 0)),
            _xlfn.TEXTBEFORE(J1230,"-"),
            "Other"
        )
    ),
"Add")</f>
        <v>CSN</v>
      </c>
      <c r="B1230" s="10" t="str">
        <f t="shared" si="20"/>
        <v>0001</v>
      </c>
      <c r="C1230" s="10" t="str">
        <f>_xlfn.LET(
    _xlpm.val, IF(Datadetails[[#This Row],[Activity]]="D02","C20",Datadetails[[#This Row],[Activity]]),
    IF(ISNUMBER(MATCH(_xlpm.val,{"D04","C30","c40","C20"},0)), _xlpm.val, "Other")
)</f>
        <v>D04</v>
      </c>
      <c r="D1230" s="10" t="str">
        <f>IFERROR(VLOOKUP(Datadetails[[#This Row],[Taskcode]],Dashboard!A:A,1,FALSE),"00 Err Missing")</f>
        <v>0001</v>
      </c>
      <c r="E1230" s="79">
        <v>45838</v>
      </c>
      <c r="F1230" s="80" t="s">
        <v>329</v>
      </c>
      <c r="G1230" s="60" t="s">
        <v>40</v>
      </c>
      <c r="H1230" s="80" t="s">
        <v>316</v>
      </c>
      <c r="I1230" s="80" t="s">
        <v>35</v>
      </c>
      <c r="J1230" s="80" t="s">
        <v>338</v>
      </c>
      <c r="K1230" s="80" t="s">
        <v>337</v>
      </c>
      <c r="L1230" s="80" t="s">
        <v>352</v>
      </c>
      <c r="M1230" s="81">
        <v>1.17</v>
      </c>
      <c r="N1230" s="82">
        <v>87.75</v>
      </c>
    </row>
    <row r="1231" spans="1:14" x14ac:dyDescent="0.25">
      <c r="A1231" s="10" t="str">
        <f>_xlfn.IFNA(
    IF(J1231=
        "PCB-0001",
        "CSS",
        IF(
            ISNUMBER(MATCH(_xlfn.TEXTBEFORE(J1231,"-"), {"CSS","CSN","PCB","PCF","BEC","CSD","PCM"}, 0)),
            _xlfn.TEXTBEFORE(J1231,"-"),
            "Other"
        )
    ),
"Add")</f>
        <v>CSD</v>
      </c>
      <c r="B1231" s="10" t="str">
        <f t="shared" si="20"/>
        <v>0001</v>
      </c>
      <c r="C1231" s="10" t="str">
        <f>_xlfn.LET(
    _xlpm.val, IF(Datadetails[[#This Row],[Activity]]="D02","C20",Datadetails[[#This Row],[Activity]]),
    IF(ISNUMBER(MATCH(_xlpm.val,{"D04","C30","c40","C20"},0)), _xlpm.val, "Other")
)</f>
        <v>D04</v>
      </c>
      <c r="D1231" s="10" t="str">
        <f>IFERROR(VLOOKUP(Datadetails[[#This Row],[Taskcode]],Dashboard!A:A,1,FALSE),"00 Err Missing")</f>
        <v>0001</v>
      </c>
      <c r="E1231" s="79">
        <v>45838</v>
      </c>
      <c r="F1231" s="80" t="s">
        <v>327</v>
      </c>
      <c r="G1231" s="60" t="s">
        <v>40</v>
      </c>
      <c r="H1231" s="80" t="s">
        <v>320</v>
      </c>
      <c r="I1231" s="80" t="s">
        <v>35</v>
      </c>
      <c r="J1231" s="80" t="s">
        <v>322</v>
      </c>
      <c r="K1231" s="80" t="s">
        <v>319</v>
      </c>
      <c r="L1231" s="80" t="s">
        <v>352</v>
      </c>
      <c r="M1231" s="81">
        <v>7.5</v>
      </c>
      <c r="N1231" s="82">
        <v>240</v>
      </c>
    </row>
    <row r="1232" spans="1:14" x14ac:dyDescent="0.25">
      <c r="A1232" s="10" t="str">
        <f>_xlfn.IFNA(
    IF(J1232=
        "PCB-0001",
        "CSS",
        IF(
            ISNUMBER(MATCH(_xlfn.TEXTBEFORE(J1232,"-"), {"CSS","CSN","PCB","PCF","BEC","CSD","PCM"}, 0)),
            _xlfn.TEXTBEFORE(J1232,"-"),
            "Other"
        )
    ),
"Add")</f>
        <v>CSD</v>
      </c>
      <c r="B1232" s="10" t="str">
        <f t="shared" si="20"/>
        <v>0001</v>
      </c>
      <c r="C1232" s="10" t="str">
        <f>_xlfn.LET(
    _xlpm.val, IF(Datadetails[[#This Row],[Activity]]="D02","C20",Datadetails[[#This Row],[Activity]]),
    IF(ISNUMBER(MATCH(_xlpm.val,{"D04","C30","c40","C20"},0)), _xlpm.val, "Other")
)</f>
        <v>D04</v>
      </c>
      <c r="D1232" s="10" t="str">
        <f>IFERROR(VLOOKUP(Datadetails[[#This Row],[Taskcode]],Dashboard!A:A,1,FALSE),"00 Err Missing")</f>
        <v>0001</v>
      </c>
      <c r="E1232" s="79">
        <v>45838</v>
      </c>
      <c r="F1232" s="80" t="s">
        <v>333</v>
      </c>
      <c r="G1232" s="60" t="s">
        <v>40</v>
      </c>
      <c r="H1232" s="80" t="s">
        <v>320</v>
      </c>
      <c r="I1232" s="80" t="s">
        <v>35</v>
      </c>
      <c r="J1232" s="80" t="s">
        <v>322</v>
      </c>
      <c r="K1232" s="80" t="s">
        <v>319</v>
      </c>
      <c r="L1232" s="80" t="s">
        <v>352</v>
      </c>
      <c r="M1232" s="81">
        <v>7.53</v>
      </c>
      <c r="N1232" s="82">
        <v>240.96</v>
      </c>
    </row>
    <row r="1233" spans="1:14" x14ac:dyDescent="0.25">
      <c r="A1233" s="10" t="str">
        <f>_xlfn.IFNA(
    IF(J1233=
        "PCB-0001",
        "CSS",
        IF(
            ISNUMBER(MATCH(_xlfn.TEXTBEFORE(J1233,"-"), {"CSS","CSN","PCB","PCF","BEC","CSD","PCM"}, 0)),
            _xlfn.TEXTBEFORE(J1233,"-"),
            "Other"
        )
    ),
"Add")</f>
        <v>PCM</v>
      </c>
      <c r="B1233" s="10" t="str">
        <f t="shared" si="20"/>
        <v>0033</v>
      </c>
      <c r="C1233" s="10" t="str">
        <f>_xlfn.LET(
    _xlpm.val, IF(Datadetails[[#This Row],[Activity]]="D02","C20",Datadetails[[#This Row],[Activity]]),
    IF(ISNUMBER(MATCH(_xlpm.val,{"D04","C30","c40","C20"},0)), _xlpm.val, "Other")
)</f>
        <v>C40</v>
      </c>
      <c r="D1233" s="10" t="str">
        <f>IFERROR(VLOOKUP(Datadetails[[#This Row],[Taskcode]],Dashboard!A:A,1,FALSE),"00 Err Missing")</f>
        <v>0033</v>
      </c>
      <c r="E1233" s="79">
        <v>45838</v>
      </c>
      <c r="F1233" s="80" t="s">
        <v>323</v>
      </c>
      <c r="G1233" s="60" t="s">
        <v>40</v>
      </c>
      <c r="H1233" s="80" t="s">
        <v>200</v>
      </c>
      <c r="I1233" s="80" t="s">
        <v>341</v>
      </c>
      <c r="J1233" s="80" t="s">
        <v>391</v>
      </c>
      <c r="K1233" s="80" t="s">
        <v>346</v>
      </c>
      <c r="L1233" s="80" t="s">
        <v>344</v>
      </c>
      <c r="M1233" s="81">
        <v>1.5</v>
      </c>
      <c r="N1233" s="82">
        <v>90</v>
      </c>
    </row>
    <row r="1234" spans="1:14" x14ac:dyDescent="0.25">
      <c r="A1234" s="10" t="str">
        <f>_xlfn.IFNA(
    IF(J1234=
        "PCB-0001",
        "CSS",
        IF(
            ISNUMBER(MATCH(_xlfn.TEXTBEFORE(J1234,"-"), {"CSS","CSN","PCB","PCF","BEC","CSD","PCM"}, 0)),
            _xlfn.TEXTBEFORE(J1234,"-"),
            "Other"
        )
    ),
"Add")</f>
        <v>PCM</v>
      </c>
      <c r="B1234" s="10" t="str">
        <f t="shared" si="20"/>
        <v>0052</v>
      </c>
      <c r="C1234" s="10" t="str">
        <f>_xlfn.LET(
    _xlpm.val, IF(Datadetails[[#This Row],[Activity]]="D02","C20",Datadetails[[#This Row],[Activity]]),
    IF(ISNUMBER(MATCH(_xlpm.val,{"D04","C30","c40","C20"},0)), _xlpm.val, "Other")
)</f>
        <v>C40</v>
      </c>
      <c r="D1234" s="10" t="str">
        <f>IFERROR(VLOOKUP(Datadetails[[#This Row],[Taskcode]],Dashboard!A:A,1,FALSE),"00 Err Missing")</f>
        <v>0052</v>
      </c>
      <c r="E1234" s="79">
        <v>45838</v>
      </c>
      <c r="F1234" s="80" t="s">
        <v>323</v>
      </c>
      <c r="G1234" s="60" t="s">
        <v>40</v>
      </c>
      <c r="H1234" s="80" t="s">
        <v>219</v>
      </c>
      <c r="I1234" s="80" t="s">
        <v>341</v>
      </c>
      <c r="J1234" s="80" t="s">
        <v>432</v>
      </c>
      <c r="K1234" s="80" t="s">
        <v>346</v>
      </c>
      <c r="L1234" s="80" t="s">
        <v>344</v>
      </c>
      <c r="M1234" s="81">
        <v>1.5</v>
      </c>
      <c r="N1234" s="82">
        <v>90</v>
      </c>
    </row>
    <row r="1235" spans="1:14" x14ac:dyDescent="0.25">
      <c r="A1235" s="10" t="str">
        <f>_xlfn.IFNA(
    IF(J1235=
        "PCB-0001",
        "CSS",
        IF(
            ISNUMBER(MATCH(_xlfn.TEXTBEFORE(J1235,"-"), {"CSS","CSN","PCB","PCF","BEC","CSD","PCM"}, 0)),
            _xlfn.TEXTBEFORE(J1235,"-"),
            "Other"
        )
    ),
"Add")</f>
        <v>PCM</v>
      </c>
      <c r="B1235" s="10" t="str">
        <f t="shared" si="20"/>
        <v>0119</v>
      </c>
      <c r="C1235" s="10" t="str">
        <f>_xlfn.LET(
    _xlpm.val, IF(Datadetails[[#This Row],[Activity]]="D02","C20",Datadetails[[#This Row],[Activity]]),
    IF(ISNUMBER(MATCH(_xlpm.val,{"D04","C30","c40","C20"},0)), _xlpm.val, "Other")
)</f>
        <v>C40</v>
      </c>
      <c r="D1235" s="10" t="str">
        <f>IFERROR(VLOOKUP(Datadetails[[#This Row],[Taskcode]],Dashboard!A:A,1,FALSE),"00 Err Missing")</f>
        <v>0119</v>
      </c>
      <c r="E1235" s="79">
        <v>45838</v>
      </c>
      <c r="F1235" s="80" t="s">
        <v>323</v>
      </c>
      <c r="G1235" s="60" t="s">
        <v>40</v>
      </c>
      <c r="H1235" s="80" t="s">
        <v>286</v>
      </c>
      <c r="I1235" s="80" t="s">
        <v>341</v>
      </c>
      <c r="J1235" s="80" t="s">
        <v>434</v>
      </c>
      <c r="K1235" s="80" t="s">
        <v>346</v>
      </c>
      <c r="L1235" s="80" t="s">
        <v>344</v>
      </c>
      <c r="M1235" s="81">
        <v>1.5</v>
      </c>
      <c r="N1235" s="82">
        <v>90</v>
      </c>
    </row>
    <row r="1236" spans="1:14" x14ac:dyDescent="0.25">
      <c r="A1236" s="10" t="str">
        <f>_xlfn.IFNA(
    IF(J1236=
        "PCB-0001",
        "CSS",
        IF(
            ISNUMBER(MATCH(_xlfn.TEXTBEFORE(J1236,"-"), {"CSS","CSN","PCB","PCF","BEC","CSD","PCM"}, 0)),
            _xlfn.TEXTBEFORE(J1236,"-"),
            "Other"
        )
    ),
"Add")</f>
        <v>PCB</v>
      </c>
      <c r="B1236" s="10" t="str">
        <f t="shared" si="20"/>
        <v>0030</v>
      </c>
      <c r="C1236" s="10" t="str">
        <f>_xlfn.LET(
    _xlpm.val, IF(Datadetails[[#This Row],[Activity]]="D02","C20",Datadetails[[#This Row],[Activity]]),
    IF(ISNUMBER(MATCH(_xlpm.val,{"D04","C30","c40","C20"},0)), _xlpm.val, "Other")
)</f>
        <v>C30</v>
      </c>
      <c r="D1236" s="10" t="str">
        <f>IFERROR(VLOOKUP(Datadetails[[#This Row],[Taskcode]],Dashboard!A:A,1,FALSE),"00 Err Missing")</f>
        <v>0030</v>
      </c>
      <c r="E1236" s="79">
        <v>45838</v>
      </c>
      <c r="F1236" s="80" t="s">
        <v>329</v>
      </c>
      <c r="G1236" s="60" t="s">
        <v>40</v>
      </c>
      <c r="H1236" s="80" t="s">
        <v>197</v>
      </c>
      <c r="I1236" s="80" t="s">
        <v>34</v>
      </c>
      <c r="J1236" s="80" t="s">
        <v>366</v>
      </c>
      <c r="K1236" s="80" t="s">
        <v>347</v>
      </c>
      <c r="L1236" s="80" t="s">
        <v>343</v>
      </c>
      <c r="M1236" s="81">
        <v>0.33</v>
      </c>
      <c r="N1236" s="82">
        <v>24.75</v>
      </c>
    </row>
    <row r="1237" spans="1:14" x14ac:dyDescent="0.25">
      <c r="A1237" s="10" t="str">
        <f>_xlfn.IFNA(
    IF(J1237=
        "PCB-0001",
        "CSS",
        IF(
            ISNUMBER(MATCH(_xlfn.TEXTBEFORE(J1237,"-"), {"CSS","CSN","PCB","PCF","BEC","CSD","PCM"}, 0)),
            _xlfn.TEXTBEFORE(J1237,"-"),
            "Other"
        )
    ),
"Add")</f>
        <v>PCB</v>
      </c>
      <c r="B1237" s="10" t="str">
        <f t="shared" si="20"/>
        <v>0134</v>
      </c>
      <c r="C1237" s="10" t="str">
        <f>_xlfn.LET(
    _xlpm.val, IF(Datadetails[[#This Row],[Activity]]="D02","C20",Datadetails[[#This Row],[Activity]]),
    IF(ISNUMBER(MATCH(_xlpm.val,{"D04","C30","c40","C20"},0)), _xlpm.val, "Other")
)</f>
        <v>C30</v>
      </c>
      <c r="D1237" s="10" t="str">
        <f>IFERROR(VLOOKUP(Datadetails[[#This Row],[Taskcode]],Dashboard!A:A,1,FALSE),"00 Err Missing")</f>
        <v>0134</v>
      </c>
      <c r="E1237" s="79">
        <v>45838</v>
      </c>
      <c r="F1237" s="80" t="s">
        <v>329</v>
      </c>
      <c r="G1237" s="60" t="s">
        <v>40</v>
      </c>
      <c r="H1237" s="80" t="s">
        <v>301</v>
      </c>
      <c r="I1237" s="80" t="s">
        <v>34</v>
      </c>
      <c r="J1237" s="80" t="s">
        <v>371</v>
      </c>
      <c r="K1237" s="80" t="s">
        <v>347</v>
      </c>
      <c r="L1237" s="80" t="s">
        <v>343</v>
      </c>
      <c r="M1237" s="81">
        <v>0.17</v>
      </c>
      <c r="N1237" s="82">
        <v>12.750000000000002</v>
      </c>
    </row>
    <row r="1238" spans="1:14" x14ac:dyDescent="0.25">
      <c r="A1238" s="10" t="str">
        <f>_xlfn.IFNA(
    IF(J1238=
        "PCB-0001",
        "CSS",
        IF(
            ISNUMBER(MATCH(_xlfn.TEXTBEFORE(J1238,"-"), {"CSS","CSN","PCB","PCF","BEC","CSD","PCM"}, 0)),
            _xlfn.TEXTBEFORE(J1238,"-"),
            "Other"
        )
    ),
"Add")</f>
        <v>PCB</v>
      </c>
      <c r="B1238" s="10" t="str">
        <f t="shared" si="20"/>
        <v>0071</v>
      </c>
      <c r="C1238" s="10" t="str">
        <f>_xlfn.LET(
    _xlpm.val, IF(Datadetails[[#This Row],[Activity]]="D02","C20",Datadetails[[#This Row],[Activity]]),
    IF(ISNUMBER(MATCH(_xlpm.val,{"D04","C30","c40","C20"},0)), _xlpm.val, "Other")
)</f>
        <v>C30</v>
      </c>
      <c r="D1238" s="10" t="str">
        <f>IFERROR(VLOOKUP(Datadetails[[#This Row],[Taskcode]],Dashboard!A:A,1,FALSE),"00 Err Missing")</f>
        <v>0071</v>
      </c>
      <c r="E1238" s="79">
        <v>45838</v>
      </c>
      <c r="F1238" s="80" t="s">
        <v>329</v>
      </c>
      <c r="G1238" s="60" t="s">
        <v>40</v>
      </c>
      <c r="H1238" s="80" t="s">
        <v>238</v>
      </c>
      <c r="I1238" s="80" t="s">
        <v>34</v>
      </c>
      <c r="J1238" s="80" t="s">
        <v>374</v>
      </c>
      <c r="K1238" s="80" t="s">
        <v>347</v>
      </c>
      <c r="L1238" s="80" t="s">
        <v>343</v>
      </c>
      <c r="M1238" s="81">
        <v>0.25</v>
      </c>
      <c r="N1238" s="82">
        <v>18.75</v>
      </c>
    </row>
    <row r="1239" spans="1:14" x14ac:dyDescent="0.25">
      <c r="A1239" s="10" t="str">
        <f>_xlfn.IFNA(
    IF(J1239=
        "PCB-0001",
        "CSS",
        IF(
            ISNUMBER(MATCH(_xlfn.TEXTBEFORE(J1239,"-"), {"CSS","CSN","PCB","PCF","BEC","CSD","PCM"}, 0)),
            _xlfn.TEXTBEFORE(J1239,"-"),
            "Other"
        )
    ),
"Add")</f>
        <v>PCB</v>
      </c>
      <c r="B1239" s="10" t="str">
        <f t="shared" si="20"/>
        <v>0085</v>
      </c>
      <c r="C1239" s="10" t="str">
        <f>_xlfn.LET(
    _xlpm.val, IF(Datadetails[[#This Row],[Activity]]="D02","C20",Datadetails[[#This Row],[Activity]]),
    IF(ISNUMBER(MATCH(_xlpm.val,{"D04","C30","c40","C20"},0)), _xlpm.val, "Other")
)</f>
        <v>C30</v>
      </c>
      <c r="D1239" s="10" t="str">
        <f>IFERROR(VLOOKUP(Datadetails[[#This Row],[Taskcode]],Dashboard!A:A,1,FALSE),"00 Err Missing")</f>
        <v>0085</v>
      </c>
      <c r="E1239" s="79">
        <v>45838</v>
      </c>
      <c r="F1239" s="80" t="s">
        <v>330</v>
      </c>
      <c r="G1239" s="60" t="s">
        <v>40</v>
      </c>
      <c r="H1239" s="80" t="s">
        <v>252</v>
      </c>
      <c r="I1239" s="80" t="s">
        <v>34</v>
      </c>
      <c r="J1239" s="80" t="s">
        <v>416</v>
      </c>
      <c r="K1239" s="80" t="s">
        <v>347</v>
      </c>
      <c r="L1239" s="80" t="s">
        <v>343</v>
      </c>
      <c r="M1239" s="81">
        <v>0.5</v>
      </c>
      <c r="N1239" s="82">
        <v>30</v>
      </c>
    </row>
    <row r="1240" spans="1:14" x14ac:dyDescent="0.25">
      <c r="A1240" s="10" t="str">
        <f>_xlfn.IFNA(
    IF(J1240=
        "PCB-0001",
        "CSS",
        IF(
            ISNUMBER(MATCH(_xlfn.TEXTBEFORE(J1240,"-"), {"CSS","CSN","PCB","PCF","BEC","CSD","PCM"}, 0)),
            _xlfn.TEXTBEFORE(J1240,"-"),
            "Other"
        )
    ),
"Add")</f>
        <v>PCB</v>
      </c>
      <c r="B1240" s="10" t="str">
        <f t="shared" si="20"/>
        <v>0081</v>
      </c>
      <c r="C1240" s="10" t="str">
        <f>_xlfn.LET(
    _xlpm.val, IF(Datadetails[[#This Row],[Activity]]="D02","C20",Datadetails[[#This Row],[Activity]]),
    IF(ISNUMBER(MATCH(_xlpm.val,{"D04","C30","c40","C20"},0)), _xlpm.val, "Other")
)</f>
        <v>C30</v>
      </c>
      <c r="D1240" s="10" t="str">
        <f>IFERROR(VLOOKUP(Datadetails[[#This Row],[Taskcode]],Dashboard!A:A,1,FALSE),"00 Err Missing")</f>
        <v>0081</v>
      </c>
      <c r="E1240" s="79">
        <v>45838</v>
      </c>
      <c r="F1240" s="80" t="s">
        <v>329</v>
      </c>
      <c r="G1240" s="60" t="s">
        <v>40</v>
      </c>
      <c r="H1240" s="80" t="s">
        <v>248</v>
      </c>
      <c r="I1240" s="80" t="s">
        <v>34</v>
      </c>
      <c r="J1240" s="80" t="s">
        <v>385</v>
      </c>
      <c r="K1240" s="80" t="s">
        <v>347</v>
      </c>
      <c r="L1240" s="80" t="s">
        <v>343</v>
      </c>
      <c r="M1240" s="81">
        <v>0.17</v>
      </c>
      <c r="N1240" s="82">
        <v>12.750000000000002</v>
      </c>
    </row>
    <row r="1241" spans="1:14" x14ac:dyDescent="0.25">
      <c r="A1241" s="10" t="str">
        <f>_xlfn.IFNA(
    IF(J1241=
        "PCB-0001",
        "CSS",
        IF(
            ISNUMBER(MATCH(_xlfn.TEXTBEFORE(J1241,"-"), {"CSS","CSN","PCB","PCF","BEC","CSD","PCM"}, 0)),
            _xlfn.TEXTBEFORE(J1241,"-"),
            "Other"
        )
    ),
"Add")</f>
        <v>PCB</v>
      </c>
      <c r="B1241" s="10" t="str">
        <f t="shared" si="20"/>
        <v>0080</v>
      </c>
      <c r="C1241" s="10" t="str">
        <f>_xlfn.LET(
    _xlpm.val, IF(Datadetails[[#This Row],[Activity]]="D02","C20",Datadetails[[#This Row],[Activity]]),
    IF(ISNUMBER(MATCH(_xlpm.val,{"D04","C30","c40","C20"},0)), _xlpm.val, "Other")
)</f>
        <v>C30</v>
      </c>
      <c r="D1241" s="10" t="str">
        <f>IFERROR(VLOOKUP(Datadetails[[#This Row],[Taskcode]],Dashboard!A:A,1,FALSE),"00 Err Missing")</f>
        <v>0080</v>
      </c>
      <c r="E1241" s="79">
        <v>45838</v>
      </c>
      <c r="F1241" s="80" t="s">
        <v>329</v>
      </c>
      <c r="G1241" s="60" t="s">
        <v>40</v>
      </c>
      <c r="H1241" s="80" t="s">
        <v>247</v>
      </c>
      <c r="I1241" s="80" t="s">
        <v>34</v>
      </c>
      <c r="J1241" s="80" t="s">
        <v>375</v>
      </c>
      <c r="K1241" s="80" t="s">
        <v>347</v>
      </c>
      <c r="L1241" s="80" t="s">
        <v>343</v>
      </c>
      <c r="M1241" s="81">
        <v>0.17</v>
      </c>
      <c r="N1241" s="82">
        <v>12.750000000000002</v>
      </c>
    </row>
    <row r="1242" spans="1:14" x14ac:dyDescent="0.25">
      <c r="A1242" s="10" t="str">
        <f>_xlfn.IFNA(
    IF(J1242=
        "PCB-0001",
        "CSS",
        IF(
            ISNUMBER(MATCH(_xlfn.TEXTBEFORE(J1242,"-"), {"CSS","CSN","PCB","PCF","BEC","CSD","PCM"}, 0)),
            _xlfn.TEXTBEFORE(J1242,"-"),
            "Other"
        )
    ),
"Add")</f>
        <v>PCB</v>
      </c>
      <c r="B1242" s="10" t="str">
        <f t="shared" si="20"/>
        <v>0101</v>
      </c>
      <c r="C1242" s="10" t="str">
        <f>_xlfn.LET(
    _xlpm.val, IF(Datadetails[[#This Row],[Activity]]="D02","C20",Datadetails[[#This Row],[Activity]]),
    IF(ISNUMBER(MATCH(_xlpm.val,{"D04","C30","c40","C20"},0)), _xlpm.val, "Other")
)</f>
        <v>C30</v>
      </c>
      <c r="D1242" s="10" t="str">
        <f>IFERROR(VLOOKUP(Datadetails[[#This Row],[Taskcode]],Dashboard!A:A,1,FALSE),"00 Err Missing")</f>
        <v>0101</v>
      </c>
      <c r="E1242" s="79">
        <v>45838</v>
      </c>
      <c r="F1242" s="80" t="s">
        <v>329</v>
      </c>
      <c r="G1242" s="60" t="s">
        <v>40</v>
      </c>
      <c r="H1242" s="80" t="s">
        <v>268</v>
      </c>
      <c r="I1242" s="80" t="s">
        <v>34</v>
      </c>
      <c r="J1242" s="80" t="s">
        <v>386</v>
      </c>
      <c r="K1242" s="80" t="s">
        <v>347</v>
      </c>
      <c r="L1242" s="80" t="s">
        <v>343</v>
      </c>
      <c r="M1242" s="81">
        <v>0.17</v>
      </c>
      <c r="N1242" s="82">
        <v>12.750000000000002</v>
      </c>
    </row>
    <row r="1243" spans="1:14" x14ac:dyDescent="0.25">
      <c r="A1243" s="10" t="str">
        <f>_xlfn.IFNA(
    IF(J1243=
        "PCB-0001",
        "CSS",
        IF(
            ISNUMBER(MATCH(_xlfn.TEXTBEFORE(J1243,"-"), {"CSS","CSN","PCB","PCF","BEC","CSD","PCM"}, 0)),
            _xlfn.TEXTBEFORE(J1243,"-"),
            "Other"
        )
    ),
"Add")</f>
        <v>PCB</v>
      </c>
      <c r="B1243" s="10" t="str">
        <f t="shared" si="20"/>
        <v>0081</v>
      </c>
      <c r="C1243" s="10" t="str">
        <f>_xlfn.LET(
    _xlpm.val, IF(Datadetails[[#This Row],[Activity]]="D02","C20",Datadetails[[#This Row],[Activity]]),
    IF(ISNUMBER(MATCH(_xlpm.val,{"D04","C30","c40","C20"},0)), _xlpm.val, "Other")
)</f>
        <v>C40</v>
      </c>
      <c r="D1243" s="10" t="str">
        <f>IFERROR(VLOOKUP(Datadetails[[#This Row],[Taskcode]],Dashboard!A:A,1,FALSE),"00 Err Missing")</f>
        <v>0081</v>
      </c>
      <c r="E1243" s="79">
        <v>45838</v>
      </c>
      <c r="F1243" s="80" t="s">
        <v>329</v>
      </c>
      <c r="G1243" s="60" t="s">
        <v>40</v>
      </c>
      <c r="H1243" s="80" t="s">
        <v>248</v>
      </c>
      <c r="I1243" s="80" t="s">
        <v>341</v>
      </c>
      <c r="J1243" s="80" t="s">
        <v>385</v>
      </c>
      <c r="K1243" s="80" t="s">
        <v>347</v>
      </c>
      <c r="L1243" s="80" t="s">
        <v>344</v>
      </c>
      <c r="M1243" s="81">
        <v>0.75</v>
      </c>
      <c r="N1243" s="82">
        <v>56.25</v>
      </c>
    </row>
    <row r="1244" spans="1:14" x14ac:dyDescent="0.25">
      <c r="A1244" s="10" t="str">
        <f>_xlfn.IFNA(
    IF(J1244=
        "PCB-0001",
        "CSS",
        IF(
            ISNUMBER(MATCH(_xlfn.TEXTBEFORE(J1244,"-"), {"CSS","CSN","PCB","PCF","BEC","CSD","PCM"}, 0)),
            _xlfn.TEXTBEFORE(J1244,"-"),
            "Other"
        )
    ),
"Add")</f>
        <v>PCB</v>
      </c>
      <c r="B1244" s="10" t="str">
        <f t="shared" si="20"/>
        <v>0080</v>
      </c>
      <c r="C1244" s="10" t="str">
        <f>_xlfn.LET(
    _xlpm.val, IF(Datadetails[[#This Row],[Activity]]="D02","C20",Datadetails[[#This Row],[Activity]]),
    IF(ISNUMBER(MATCH(_xlpm.val,{"D04","C30","c40","C20"},0)), _xlpm.val, "Other")
)</f>
        <v>C40</v>
      </c>
      <c r="D1244" s="10" t="str">
        <f>IFERROR(VLOOKUP(Datadetails[[#This Row],[Taskcode]],Dashboard!A:A,1,FALSE),"00 Err Missing")</f>
        <v>0080</v>
      </c>
      <c r="E1244" s="79">
        <v>45838</v>
      </c>
      <c r="F1244" s="80" t="s">
        <v>329</v>
      </c>
      <c r="G1244" s="60" t="s">
        <v>40</v>
      </c>
      <c r="H1244" s="80" t="s">
        <v>247</v>
      </c>
      <c r="I1244" s="80" t="s">
        <v>341</v>
      </c>
      <c r="J1244" s="80" t="s">
        <v>375</v>
      </c>
      <c r="K1244" s="80" t="s">
        <v>347</v>
      </c>
      <c r="L1244" s="80" t="s">
        <v>344</v>
      </c>
      <c r="M1244" s="81">
        <v>0.5</v>
      </c>
      <c r="N1244" s="82">
        <v>37.5</v>
      </c>
    </row>
    <row r="1245" spans="1:14" x14ac:dyDescent="0.25">
      <c r="A1245" s="10" t="str">
        <f>_xlfn.IFNA(
    IF(J1245=
        "PCB-0001",
        "CSS",
        IF(
            ISNUMBER(MATCH(_xlfn.TEXTBEFORE(J1245,"-"), {"CSS","CSN","PCB","PCF","BEC","CSD","PCM"}, 0)),
            _xlfn.TEXTBEFORE(J1245,"-"),
            "Other"
        )
    ),
"Add")</f>
        <v>PCB</v>
      </c>
      <c r="B1245" s="10" t="str">
        <f t="shared" si="20"/>
        <v>0129</v>
      </c>
      <c r="C1245" s="10" t="str">
        <f>_xlfn.LET(
    _xlpm.val, IF(Datadetails[[#This Row],[Activity]]="D02","C20",Datadetails[[#This Row],[Activity]]),
    IF(ISNUMBER(MATCH(_xlpm.val,{"D04","C30","c40","C20"},0)), _xlpm.val, "Other")
)</f>
        <v>C40</v>
      </c>
      <c r="D1245" s="10" t="str">
        <f>IFERROR(VLOOKUP(Datadetails[[#This Row],[Taskcode]],Dashboard!A:A,1,FALSE),"00 Err Missing")</f>
        <v>0129</v>
      </c>
      <c r="E1245" s="79">
        <v>45838</v>
      </c>
      <c r="F1245" s="80" t="s">
        <v>329</v>
      </c>
      <c r="G1245" s="60" t="s">
        <v>40</v>
      </c>
      <c r="H1245" s="80" t="s">
        <v>296</v>
      </c>
      <c r="I1245" s="80" t="s">
        <v>341</v>
      </c>
      <c r="J1245" s="80" t="s">
        <v>411</v>
      </c>
      <c r="K1245" s="80" t="s">
        <v>347</v>
      </c>
      <c r="L1245" s="80" t="s">
        <v>344</v>
      </c>
      <c r="M1245" s="81">
        <v>0.5</v>
      </c>
      <c r="N1245" s="82">
        <v>37.5</v>
      </c>
    </row>
    <row r="1246" spans="1:14" x14ac:dyDescent="0.25">
      <c r="A1246" s="10" t="str">
        <f>_xlfn.IFNA(
    IF(J1246=
        "PCB-0001",
        "CSS",
        IF(
            ISNUMBER(MATCH(_xlfn.TEXTBEFORE(J1246,"-"), {"CSS","CSN","PCB","PCF","BEC","CSD","PCM"}, 0)),
            _xlfn.TEXTBEFORE(J1246,"-"),
            "Other"
        )
    ),
"Add")</f>
        <v>PCB</v>
      </c>
      <c r="B1246" s="10" t="str">
        <f t="shared" si="20"/>
        <v>0132</v>
      </c>
      <c r="C1246" s="10" t="str">
        <f>_xlfn.LET(
    _xlpm.val, IF(Datadetails[[#This Row],[Activity]]="D02","C20",Datadetails[[#This Row],[Activity]]),
    IF(ISNUMBER(MATCH(_xlpm.val,{"D04","C30","c40","C20"},0)), _xlpm.val, "Other")
)</f>
        <v>C20</v>
      </c>
      <c r="D1246" s="10" t="str">
        <f>IFERROR(VLOOKUP(Datadetails[[#This Row],[Taskcode]],Dashboard!A:A,1,FALSE),"00 Err Missing")</f>
        <v>0132</v>
      </c>
      <c r="E1246" s="79">
        <v>45838</v>
      </c>
      <c r="F1246" s="80" t="s">
        <v>329</v>
      </c>
      <c r="G1246" s="60" t="s">
        <v>40</v>
      </c>
      <c r="H1246" s="80" t="s">
        <v>299</v>
      </c>
      <c r="I1246" s="80" t="s">
        <v>312</v>
      </c>
      <c r="J1246" s="80" t="s">
        <v>455</v>
      </c>
      <c r="K1246" s="80" t="s">
        <v>347</v>
      </c>
      <c r="L1246" s="80" t="s">
        <v>350</v>
      </c>
      <c r="M1246" s="81">
        <v>0.5</v>
      </c>
      <c r="N1246" s="82">
        <v>37.5</v>
      </c>
    </row>
    <row r="1247" spans="1:14" x14ac:dyDescent="0.25">
      <c r="A1247" s="10" t="str">
        <f>_xlfn.IFNA(
    IF(J1247=
        "PCB-0001",
        "CSS",
        IF(
            ISNUMBER(MATCH(_xlfn.TEXTBEFORE(J1247,"-"), {"CSS","CSN","PCB","PCF","BEC","CSD","PCM"}, 0)),
            _xlfn.TEXTBEFORE(J1247,"-"),
            "Other"
        )
    ),
"Add")</f>
        <v>PCF</v>
      </c>
      <c r="B1247" s="10" t="str">
        <f t="shared" si="20"/>
        <v>0008</v>
      </c>
      <c r="C1247" s="10" t="str">
        <f>_xlfn.LET(
    _xlpm.val, IF(Datadetails[[#This Row],[Activity]]="D02","C20",Datadetails[[#This Row],[Activity]]),
    IF(ISNUMBER(MATCH(_xlpm.val,{"D04","C30","c40","C20"},0)), _xlpm.val, "Other")
)</f>
        <v>C20</v>
      </c>
      <c r="D1247" s="10" t="str">
        <f>IFERROR(VLOOKUP(Datadetails[[#This Row],[Taskcode]],Dashboard!A:A,1,FALSE),"00 Err Missing")</f>
        <v>0008</v>
      </c>
      <c r="E1247" s="79">
        <v>45838</v>
      </c>
      <c r="F1247" s="80" t="s">
        <v>326</v>
      </c>
      <c r="G1247" s="60" t="s">
        <v>40</v>
      </c>
      <c r="H1247" s="80" t="s">
        <v>175</v>
      </c>
      <c r="I1247" s="80" t="s">
        <v>36</v>
      </c>
      <c r="J1247" s="80" t="s">
        <v>388</v>
      </c>
      <c r="K1247" s="80" t="s">
        <v>348</v>
      </c>
      <c r="L1247" s="80" t="s">
        <v>342</v>
      </c>
      <c r="M1247" s="81">
        <v>0.75</v>
      </c>
      <c r="N1247" s="82">
        <v>45</v>
      </c>
    </row>
    <row r="1248" spans="1:14" x14ac:dyDescent="0.25">
      <c r="A1248" s="10" t="str">
        <f>_xlfn.IFNA(
    IF(J1248=
        "PCB-0001",
        "CSS",
        IF(
            ISNUMBER(MATCH(_xlfn.TEXTBEFORE(J1248,"-"), {"CSS","CSN","PCB","PCF","BEC","CSD","PCM"}, 0)),
            _xlfn.TEXTBEFORE(J1248,"-"),
            "Other"
        )
    ),
"Add")</f>
        <v>PCF</v>
      </c>
      <c r="B1248" s="10" t="str">
        <f t="shared" si="20"/>
        <v>0060</v>
      </c>
      <c r="C1248" s="10" t="str">
        <f>_xlfn.LET(
    _xlpm.val, IF(Datadetails[[#This Row],[Activity]]="D02","C20",Datadetails[[#This Row],[Activity]]),
    IF(ISNUMBER(MATCH(_xlpm.val,{"D04","C30","c40","C20"},0)), _xlpm.val, "Other")
)</f>
        <v>C20</v>
      </c>
      <c r="D1248" s="10" t="str">
        <f>IFERROR(VLOOKUP(Datadetails[[#This Row],[Taskcode]],Dashboard!A:A,1,FALSE),"00 Err Missing")</f>
        <v>0060</v>
      </c>
      <c r="E1248" s="79">
        <v>45838</v>
      </c>
      <c r="F1248" s="80" t="s">
        <v>326</v>
      </c>
      <c r="G1248" s="60" t="s">
        <v>40</v>
      </c>
      <c r="H1248" s="80" t="s">
        <v>227</v>
      </c>
      <c r="I1248" s="80" t="s">
        <v>36</v>
      </c>
      <c r="J1248" s="80" t="s">
        <v>453</v>
      </c>
      <c r="K1248" s="80" t="s">
        <v>348</v>
      </c>
      <c r="L1248" s="80" t="s">
        <v>342</v>
      </c>
      <c r="M1248" s="81">
        <v>1</v>
      </c>
      <c r="N1248" s="82">
        <v>60</v>
      </c>
    </row>
    <row r="1249" spans="1:14" x14ac:dyDescent="0.25">
      <c r="A1249" s="10" t="str">
        <f>_xlfn.IFNA(
    IF(J1249=
        "PCB-0001",
        "CSS",
        IF(
            ISNUMBER(MATCH(_xlfn.TEXTBEFORE(J1249,"-"), {"CSS","CSN","PCB","PCF","BEC","CSD","PCM"}, 0)),
            _xlfn.TEXTBEFORE(J1249,"-"),
            "Other"
        )
    ),
"Add")</f>
        <v>PCF</v>
      </c>
      <c r="B1249" s="10" t="str">
        <f t="shared" si="20"/>
        <v>0040</v>
      </c>
      <c r="C1249" s="10" t="str">
        <f>_xlfn.LET(
    _xlpm.val, IF(Datadetails[[#This Row],[Activity]]="D02","C20",Datadetails[[#This Row],[Activity]]),
    IF(ISNUMBER(MATCH(_xlpm.val,{"D04","C30","c40","C20"},0)), _xlpm.val, "Other")
)</f>
        <v>C30</v>
      </c>
      <c r="D1249" s="10" t="str">
        <f>IFERROR(VLOOKUP(Datadetails[[#This Row],[Taskcode]],Dashboard!A:A,1,FALSE),"00 Err Missing")</f>
        <v>0040</v>
      </c>
      <c r="E1249" s="79">
        <v>45838</v>
      </c>
      <c r="F1249" s="80" t="s">
        <v>326</v>
      </c>
      <c r="G1249" s="60" t="s">
        <v>40</v>
      </c>
      <c r="H1249" s="80" t="s">
        <v>207</v>
      </c>
      <c r="I1249" s="80" t="s">
        <v>34</v>
      </c>
      <c r="J1249" s="80" t="s">
        <v>417</v>
      </c>
      <c r="K1249" s="80" t="s">
        <v>348</v>
      </c>
      <c r="L1249" s="80" t="s">
        <v>343</v>
      </c>
      <c r="M1249" s="81">
        <v>0.5</v>
      </c>
      <c r="N1249" s="82">
        <v>30</v>
      </c>
    </row>
    <row r="1250" spans="1:14" x14ac:dyDescent="0.25">
      <c r="A1250" s="10" t="str">
        <f>_xlfn.IFNA(
    IF(J1250=
        "PCB-0001",
        "CSS",
        IF(
            ISNUMBER(MATCH(_xlfn.TEXTBEFORE(J1250,"-"), {"CSS","CSN","PCB","PCF","BEC","CSD","PCM"}, 0)),
            _xlfn.TEXTBEFORE(J1250,"-"),
            "Other"
        )
    ),
"Add")</f>
        <v>BEC</v>
      </c>
      <c r="B1250" s="10" t="str">
        <f t="shared" si="20"/>
        <v>0001</v>
      </c>
      <c r="C1250" s="10" t="str">
        <f>_xlfn.LET(
    _xlpm.val, IF(Datadetails[[#This Row],[Activity]]="D02","C20",Datadetails[[#This Row],[Activity]]),
    IF(ISNUMBER(MATCH(_xlpm.val,{"D04","C30","c40","C20"},0)), _xlpm.val, "Other")
)</f>
        <v>D04</v>
      </c>
      <c r="D1250" s="10" t="str">
        <f>IFERROR(VLOOKUP(Datadetails[[#This Row],[Taskcode]],Dashboard!A:A,1,FALSE),"00 Err Missing")</f>
        <v>0001</v>
      </c>
      <c r="E1250" s="79">
        <v>45838</v>
      </c>
      <c r="F1250" s="80" t="s">
        <v>332</v>
      </c>
      <c r="G1250" s="60" t="s">
        <v>40</v>
      </c>
      <c r="H1250" s="80" t="s">
        <v>314</v>
      </c>
      <c r="I1250" s="80" t="s">
        <v>35</v>
      </c>
      <c r="J1250" s="80" t="s">
        <v>359</v>
      </c>
      <c r="K1250" s="80" t="s">
        <v>339</v>
      </c>
      <c r="L1250" s="80" t="s">
        <v>352</v>
      </c>
      <c r="M1250" s="81">
        <v>9.33</v>
      </c>
      <c r="N1250" s="82">
        <v>373.2</v>
      </c>
    </row>
    <row r="1251" spans="1:14" x14ac:dyDescent="0.25">
      <c r="A1251" s="10" t="str">
        <f>_xlfn.IFNA(
    IF(J1251=
        "PCB-0001",
        "CSS",
        IF(
            ISNUMBER(MATCH(_xlfn.TEXTBEFORE(J1251,"-"), {"CSS","CSN","PCB","PCF","BEC","CSD","PCM"}, 0)),
            _xlfn.TEXTBEFORE(J1251,"-"),
            "Other"
        )
    ),
"Add")</f>
        <v>BEC</v>
      </c>
      <c r="B1251" s="10" t="str">
        <f t="shared" si="20"/>
        <v>0001</v>
      </c>
      <c r="C1251" s="10" t="str">
        <f>_xlfn.LET(
    _xlpm.val, IF(Datadetails[[#This Row],[Activity]]="D02","C20",Datadetails[[#This Row],[Activity]]),
    IF(ISNUMBER(MATCH(_xlpm.val,{"D04","C30","c40","C20"},0)), _xlpm.val, "Other")
)</f>
        <v>D04</v>
      </c>
      <c r="D1251" s="10" t="str">
        <f>IFERROR(VLOOKUP(Datadetails[[#This Row],[Taskcode]],Dashboard!A:A,1,FALSE),"00 Err Missing")</f>
        <v>0001</v>
      </c>
      <c r="E1251" s="79">
        <v>45838</v>
      </c>
      <c r="F1251" s="80" t="s">
        <v>324</v>
      </c>
      <c r="G1251" s="60" t="s">
        <v>40</v>
      </c>
      <c r="H1251" s="80" t="s">
        <v>314</v>
      </c>
      <c r="I1251" s="80" t="s">
        <v>35</v>
      </c>
      <c r="J1251" s="80" t="s">
        <v>359</v>
      </c>
      <c r="K1251" s="80" t="s">
        <v>339</v>
      </c>
      <c r="L1251" s="80" t="s">
        <v>352</v>
      </c>
      <c r="M1251" s="81">
        <v>4</v>
      </c>
      <c r="N1251" s="82">
        <v>300</v>
      </c>
    </row>
    <row r="1252" spans="1:14" x14ac:dyDescent="0.25">
      <c r="A1252" s="10" t="str">
        <f>_xlfn.IFNA(
    IF(J1252=
        "PCB-0001",
        "CSS",
        IF(
            ISNUMBER(MATCH(_xlfn.TEXTBEFORE(J1252,"-"), {"CSS","CSN","PCB","PCF","BEC","CSD","PCM"}, 0)),
            _xlfn.TEXTBEFORE(J1252,"-"),
            "Other"
        )
    ),
"Add")</f>
        <v>PCB</v>
      </c>
      <c r="B1252" s="10" t="str">
        <f t="shared" si="20"/>
        <v>0103</v>
      </c>
      <c r="C1252" s="10" t="str">
        <f>_xlfn.LET(
    _xlpm.val, IF(Datadetails[[#This Row],[Activity]]="D02","C20",Datadetails[[#This Row],[Activity]]),
    IF(ISNUMBER(MATCH(_xlpm.val,{"D04","C30","c40","C20"},0)), _xlpm.val, "Other")
)</f>
        <v>C30</v>
      </c>
      <c r="D1252" s="10" t="str">
        <f>IFERROR(VLOOKUP(Datadetails[[#This Row],[Taskcode]],Dashboard!A:A,1,FALSE),"00 Err Missing")</f>
        <v>0103</v>
      </c>
      <c r="E1252" s="79">
        <v>45839</v>
      </c>
      <c r="F1252" s="80" t="s">
        <v>329</v>
      </c>
      <c r="G1252" s="60" t="s">
        <v>40</v>
      </c>
      <c r="H1252" s="80" t="s">
        <v>270</v>
      </c>
      <c r="I1252" s="80" t="s">
        <v>34</v>
      </c>
      <c r="J1252" s="80" t="s">
        <v>360</v>
      </c>
      <c r="K1252" s="80" t="s">
        <v>347</v>
      </c>
      <c r="L1252" s="80" t="s">
        <v>343</v>
      </c>
      <c r="M1252" s="81">
        <v>0.17</v>
      </c>
      <c r="N1252" s="82">
        <v>12.750000000000002</v>
      </c>
    </row>
    <row r="1253" spans="1:14" x14ac:dyDescent="0.25">
      <c r="A1253" s="10" t="str">
        <f>_xlfn.IFNA(
    IF(J1253=
        "PCB-0001",
        "CSS",
        IF(
            ISNUMBER(MATCH(_xlfn.TEXTBEFORE(J1253,"-"), {"CSS","CSN","PCB","PCF","BEC","CSD","PCM"}, 0)),
            _xlfn.TEXTBEFORE(J1253,"-"),
            "Other"
        )
    ),
"Add")</f>
        <v>PCB</v>
      </c>
      <c r="B1253" s="10" t="str">
        <f t="shared" si="20"/>
        <v>0071</v>
      </c>
      <c r="C1253" s="10" t="str">
        <f>_xlfn.LET(
    _xlpm.val, IF(Datadetails[[#This Row],[Activity]]="D02","C20",Datadetails[[#This Row],[Activity]]),
    IF(ISNUMBER(MATCH(_xlpm.val,{"D04","C30","c40","C20"},0)), _xlpm.val, "Other")
)</f>
        <v>C40</v>
      </c>
      <c r="D1253" s="10" t="str">
        <f>IFERROR(VLOOKUP(Datadetails[[#This Row],[Taskcode]],Dashboard!A:A,1,FALSE),"00 Err Missing")</f>
        <v>0071</v>
      </c>
      <c r="E1253" s="79">
        <v>45839</v>
      </c>
      <c r="F1253" s="80" t="s">
        <v>329</v>
      </c>
      <c r="G1253" s="60" t="s">
        <v>40</v>
      </c>
      <c r="H1253" s="80" t="s">
        <v>238</v>
      </c>
      <c r="I1253" s="80" t="s">
        <v>341</v>
      </c>
      <c r="J1253" s="80" t="s">
        <v>374</v>
      </c>
      <c r="K1253" s="80" t="s">
        <v>347</v>
      </c>
      <c r="L1253" s="80" t="s">
        <v>344</v>
      </c>
      <c r="M1253" s="81">
        <v>2</v>
      </c>
      <c r="N1253" s="82">
        <v>150</v>
      </c>
    </row>
    <row r="1254" spans="1:14" x14ac:dyDescent="0.25">
      <c r="A1254" s="10" t="str">
        <f>_xlfn.IFNA(
    IF(J1254=
        "PCB-0001",
        "CSS",
        IF(
            ISNUMBER(MATCH(_xlfn.TEXTBEFORE(J1254,"-"), {"CSS","CSN","PCB","PCF","BEC","CSD","PCM"}, 0)),
            _xlfn.TEXTBEFORE(J1254,"-"),
            "Other"
        )
    ),
"Add")</f>
        <v>PCB</v>
      </c>
      <c r="B1254" s="10" t="str">
        <f t="shared" si="20"/>
        <v>0054</v>
      </c>
      <c r="C1254" s="10" t="str">
        <f>_xlfn.LET(
    _xlpm.val, IF(Datadetails[[#This Row],[Activity]]="D02","C20",Datadetails[[#This Row],[Activity]]),
    IF(ISNUMBER(MATCH(_xlpm.val,{"D04","C30","c40","C20"},0)), _xlpm.val, "Other")
)</f>
        <v>C40</v>
      </c>
      <c r="D1254" s="10" t="str">
        <f>IFERROR(VLOOKUP(Datadetails[[#This Row],[Taskcode]],Dashboard!A:A,1,FALSE),"00 Err Missing")</f>
        <v>0054</v>
      </c>
      <c r="E1254" s="79">
        <v>45839</v>
      </c>
      <c r="F1254" s="80" t="s">
        <v>329</v>
      </c>
      <c r="G1254" s="60" t="s">
        <v>40</v>
      </c>
      <c r="H1254" s="80" t="s">
        <v>221</v>
      </c>
      <c r="I1254" s="80" t="s">
        <v>341</v>
      </c>
      <c r="J1254" s="80" t="s">
        <v>369</v>
      </c>
      <c r="K1254" s="80" t="s">
        <v>347</v>
      </c>
      <c r="L1254" s="80" t="s">
        <v>344</v>
      </c>
      <c r="M1254" s="81">
        <v>1.75</v>
      </c>
      <c r="N1254" s="82">
        <v>131.25</v>
      </c>
    </row>
    <row r="1255" spans="1:14" x14ac:dyDescent="0.25">
      <c r="A1255" s="10" t="str">
        <f>_xlfn.IFNA(
    IF(J1255=
        "PCB-0001",
        "CSS",
        IF(
            ISNUMBER(MATCH(_xlfn.TEXTBEFORE(J1255,"-"), {"CSS","CSN","PCB","PCF","BEC","CSD","PCM"}, 0)),
            _xlfn.TEXTBEFORE(J1255,"-"),
            "Other"
        )
    ),
"Add")</f>
        <v>PCM</v>
      </c>
      <c r="B1255" s="10" t="str">
        <f t="shared" si="20"/>
        <v>0041</v>
      </c>
      <c r="C1255" s="10" t="str">
        <f>_xlfn.LET(
    _xlpm.val, IF(Datadetails[[#This Row],[Activity]]="D02","C20",Datadetails[[#This Row],[Activity]]),
    IF(ISNUMBER(MATCH(_xlpm.val,{"D04","C30","c40","C20"},0)), _xlpm.val, "Other")
)</f>
        <v>C20</v>
      </c>
      <c r="D1255" s="10" t="str">
        <f>IFERROR(VLOOKUP(Datadetails[[#This Row],[Taskcode]],Dashboard!A:A,1,FALSE),"00 Err Missing")</f>
        <v>0041</v>
      </c>
      <c r="E1255" s="79">
        <v>45839</v>
      </c>
      <c r="F1255" s="80" t="s">
        <v>323</v>
      </c>
      <c r="G1255" s="60" t="s">
        <v>40</v>
      </c>
      <c r="H1255" s="80" t="s">
        <v>208</v>
      </c>
      <c r="I1255" s="80" t="s">
        <v>36</v>
      </c>
      <c r="J1255" s="80" t="s">
        <v>456</v>
      </c>
      <c r="K1255" s="80" t="s">
        <v>346</v>
      </c>
      <c r="L1255" s="80" t="s">
        <v>342</v>
      </c>
      <c r="M1255" s="81">
        <v>0.25</v>
      </c>
      <c r="N1255" s="82">
        <v>15</v>
      </c>
    </row>
    <row r="1256" spans="1:14" x14ac:dyDescent="0.25">
      <c r="A1256" s="10" t="str">
        <f>_xlfn.IFNA(
    IF(J1256=
        "PCB-0001",
        "CSS",
        IF(
            ISNUMBER(MATCH(_xlfn.TEXTBEFORE(J1256,"-"), {"CSS","CSN","PCB","PCF","BEC","CSD","PCM"}, 0)),
            _xlfn.TEXTBEFORE(J1256,"-"),
            "Other"
        )
    ),
"Add")</f>
        <v>PCM</v>
      </c>
      <c r="B1256" s="10" t="str">
        <f t="shared" si="20"/>
        <v>0052</v>
      </c>
      <c r="C1256" s="10" t="str">
        <f>_xlfn.LET(
    _xlpm.val, IF(Datadetails[[#This Row],[Activity]]="D02","C20",Datadetails[[#This Row],[Activity]]),
    IF(ISNUMBER(MATCH(_xlpm.val,{"D04","C30","c40","C20"},0)), _xlpm.val, "Other")
)</f>
        <v>C20</v>
      </c>
      <c r="D1256" s="10" t="str">
        <f>IFERROR(VLOOKUP(Datadetails[[#This Row],[Taskcode]],Dashboard!A:A,1,FALSE),"00 Err Missing")</f>
        <v>0052</v>
      </c>
      <c r="E1256" s="79">
        <v>45839</v>
      </c>
      <c r="F1256" s="80" t="s">
        <v>323</v>
      </c>
      <c r="G1256" s="60" t="s">
        <v>40</v>
      </c>
      <c r="H1256" s="80" t="s">
        <v>219</v>
      </c>
      <c r="I1256" s="80" t="s">
        <v>36</v>
      </c>
      <c r="J1256" s="80" t="s">
        <v>432</v>
      </c>
      <c r="K1256" s="80" t="s">
        <v>346</v>
      </c>
      <c r="L1256" s="80" t="s">
        <v>342</v>
      </c>
      <c r="M1256" s="81">
        <v>0.25</v>
      </c>
      <c r="N1256" s="82">
        <v>15</v>
      </c>
    </row>
    <row r="1257" spans="1:14" x14ac:dyDescent="0.25">
      <c r="A1257" s="10" t="str">
        <f>_xlfn.IFNA(
    IF(J1257=
        "PCB-0001",
        "CSS",
        IF(
            ISNUMBER(MATCH(_xlfn.TEXTBEFORE(J1257,"-"), {"CSS","CSN","PCB","PCF","BEC","CSD","PCM"}, 0)),
            _xlfn.TEXTBEFORE(J1257,"-"),
            "Other"
        )
    ),
"Add")</f>
        <v>CSN</v>
      </c>
      <c r="B1257" s="10" t="str">
        <f t="shared" si="20"/>
        <v>0001</v>
      </c>
      <c r="C1257" s="10" t="str">
        <f>_xlfn.LET(
    _xlpm.val, IF(Datadetails[[#This Row],[Activity]]="D02","C20",Datadetails[[#This Row],[Activity]]),
    IF(ISNUMBER(MATCH(_xlpm.val,{"D04","C30","c40","C20"},0)), _xlpm.val, "Other")
)</f>
        <v>D04</v>
      </c>
      <c r="D1257" s="10" t="str">
        <f>IFERROR(VLOOKUP(Datadetails[[#This Row],[Taskcode]],Dashboard!A:A,1,FALSE),"00 Err Missing")</f>
        <v>0001</v>
      </c>
      <c r="E1257" s="79">
        <v>45839</v>
      </c>
      <c r="F1257" s="80" t="s">
        <v>329</v>
      </c>
      <c r="G1257" s="60" t="s">
        <v>40</v>
      </c>
      <c r="H1257" s="80" t="s">
        <v>316</v>
      </c>
      <c r="I1257" s="80" t="s">
        <v>35</v>
      </c>
      <c r="J1257" s="80" t="s">
        <v>338</v>
      </c>
      <c r="K1257" s="80" t="s">
        <v>337</v>
      </c>
      <c r="L1257" s="80" t="s">
        <v>352</v>
      </c>
      <c r="M1257" s="81">
        <v>1</v>
      </c>
      <c r="N1257" s="82">
        <v>75</v>
      </c>
    </row>
    <row r="1258" spans="1:14" x14ac:dyDescent="0.25">
      <c r="A1258" s="10" t="str">
        <f>_xlfn.IFNA(
    IF(J1258=
        "PCB-0001",
        "CSS",
        IF(
            ISNUMBER(MATCH(_xlfn.TEXTBEFORE(J1258,"-"), {"CSS","CSN","PCB","PCF","BEC","CSD","PCM"}, 0)),
            _xlfn.TEXTBEFORE(J1258,"-"),
            "Other"
        )
    ),
"Add")</f>
        <v>CSN</v>
      </c>
      <c r="B1258" s="10" t="str">
        <f t="shared" si="20"/>
        <v>0001</v>
      </c>
      <c r="C1258" s="10" t="str">
        <f>_xlfn.LET(
    _xlpm.val, IF(Datadetails[[#This Row],[Activity]]="D02","C20",Datadetails[[#This Row],[Activity]]),
    IF(ISNUMBER(MATCH(_xlpm.val,{"D04","C30","c40","C20"},0)), _xlpm.val, "Other")
)</f>
        <v>D04</v>
      </c>
      <c r="D1258" s="10" t="str">
        <f>IFERROR(VLOOKUP(Datadetails[[#This Row],[Taskcode]],Dashboard!A:A,1,FALSE),"00 Err Missing")</f>
        <v>0001</v>
      </c>
      <c r="E1258" s="79">
        <v>45839</v>
      </c>
      <c r="F1258" s="80" t="s">
        <v>331</v>
      </c>
      <c r="G1258" s="60" t="s">
        <v>40</v>
      </c>
      <c r="H1258" s="80" t="s">
        <v>316</v>
      </c>
      <c r="I1258" s="80" t="s">
        <v>35</v>
      </c>
      <c r="J1258" s="80" t="s">
        <v>338</v>
      </c>
      <c r="K1258" s="80" t="s">
        <v>337</v>
      </c>
      <c r="L1258" s="80" t="s">
        <v>352</v>
      </c>
      <c r="M1258" s="81">
        <v>1</v>
      </c>
      <c r="N1258" s="82">
        <v>32</v>
      </c>
    </row>
    <row r="1259" spans="1:14" x14ac:dyDescent="0.25">
      <c r="A1259" s="10" t="str">
        <f>_xlfn.IFNA(
    IF(J1259=
        "PCB-0001",
        "CSS",
        IF(
            ISNUMBER(MATCH(_xlfn.TEXTBEFORE(J1259,"-"), {"CSS","CSN","PCB","PCF","BEC","CSD","PCM"}, 0)),
            _xlfn.TEXTBEFORE(J1259,"-"),
            "Other"
        )
    ),
"Add")</f>
        <v>CSD</v>
      </c>
      <c r="B1259" s="10" t="str">
        <f t="shared" si="20"/>
        <v>0001</v>
      </c>
      <c r="C1259" s="10" t="str">
        <f>_xlfn.LET(
    _xlpm.val, IF(Datadetails[[#This Row],[Activity]]="D02","C20",Datadetails[[#This Row],[Activity]]),
    IF(ISNUMBER(MATCH(_xlpm.val,{"D04","C30","c40","C20"},0)), _xlpm.val, "Other")
)</f>
        <v>D04</v>
      </c>
      <c r="D1259" s="10" t="str">
        <f>IFERROR(VLOOKUP(Datadetails[[#This Row],[Taskcode]],Dashboard!A:A,1,FALSE),"00 Err Missing")</f>
        <v>0001</v>
      </c>
      <c r="E1259" s="79">
        <v>45839</v>
      </c>
      <c r="F1259" s="80" t="s">
        <v>327</v>
      </c>
      <c r="G1259" s="60" t="s">
        <v>40</v>
      </c>
      <c r="H1259" s="80" t="s">
        <v>320</v>
      </c>
      <c r="I1259" s="80" t="s">
        <v>35</v>
      </c>
      <c r="J1259" s="80" t="s">
        <v>322</v>
      </c>
      <c r="K1259" s="80" t="s">
        <v>319</v>
      </c>
      <c r="L1259" s="80" t="s">
        <v>352</v>
      </c>
      <c r="M1259" s="81">
        <v>7.43</v>
      </c>
      <c r="N1259" s="82">
        <v>237.76</v>
      </c>
    </row>
    <row r="1260" spans="1:14" x14ac:dyDescent="0.25">
      <c r="A1260" s="10" t="str">
        <f>_xlfn.IFNA(
    IF(J1260=
        "PCB-0001",
        "CSS",
        IF(
            ISNUMBER(MATCH(_xlfn.TEXTBEFORE(J1260,"-"), {"CSS","CSN","PCB","PCF","BEC","CSD","PCM"}, 0)),
            _xlfn.TEXTBEFORE(J1260,"-"),
            "Other"
        )
    ),
"Add")</f>
        <v>CSD</v>
      </c>
      <c r="B1260" s="10" t="str">
        <f t="shared" si="20"/>
        <v>0001</v>
      </c>
      <c r="C1260" s="10" t="str">
        <f>_xlfn.LET(
    _xlpm.val, IF(Datadetails[[#This Row],[Activity]]="D02","C20",Datadetails[[#This Row],[Activity]]),
    IF(ISNUMBER(MATCH(_xlpm.val,{"D04","C30","c40","C20"},0)), _xlpm.val, "Other")
)</f>
        <v>D04</v>
      </c>
      <c r="D1260" s="10" t="str">
        <f>IFERROR(VLOOKUP(Datadetails[[#This Row],[Taskcode]],Dashboard!A:A,1,FALSE),"00 Err Missing")</f>
        <v>0001</v>
      </c>
      <c r="E1260" s="79">
        <v>45839</v>
      </c>
      <c r="F1260" s="80" t="s">
        <v>333</v>
      </c>
      <c r="G1260" s="60" t="s">
        <v>40</v>
      </c>
      <c r="H1260" s="80" t="s">
        <v>320</v>
      </c>
      <c r="I1260" s="80" t="s">
        <v>35</v>
      </c>
      <c r="J1260" s="80" t="s">
        <v>322</v>
      </c>
      <c r="K1260" s="80" t="s">
        <v>319</v>
      </c>
      <c r="L1260" s="80" t="s">
        <v>352</v>
      </c>
      <c r="M1260" s="81">
        <v>7.07</v>
      </c>
      <c r="N1260" s="82">
        <v>226.24</v>
      </c>
    </row>
    <row r="1261" spans="1:14" x14ac:dyDescent="0.25">
      <c r="A1261" s="10" t="str">
        <f>_xlfn.IFNA(
    IF(J1261=
        "PCB-0001",
        "CSS",
        IF(
            ISNUMBER(MATCH(_xlfn.TEXTBEFORE(J1261,"-"), {"CSS","CSN","PCB","PCF","BEC","CSD","PCM"}, 0)),
            _xlfn.TEXTBEFORE(J1261,"-"),
            "Other"
        )
    ),
"Add")</f>
        <v>PCM</v>
      </c>
      <c r="B1261" s="10" t="str">
        <f t="shared" si="20"/>
        <v>0119</v>
      </c>
      <c r="C1261" s="10" t="str">
        <f>_xlfn.LET(
    _xlpm.val, IF(Datadetails[[#This Row],[Activity]]="D02","C20",Datadetails[[#This Row],[Activity]]),
    IF(ISNUMBER(MATCH(_xlpm.val,{"D04","C30","c40","C20"},0)), _xlpm.val, "Other")
)</f>
        <v>C20</v>
      </c>
      <c r="D1261" s="10" t="str">
        <f>IFERROR(VLOOKUP(Datadetails[[#This Row],[Taskcode]],Dashboard!A:A,1,FALSE),"00 Err Missing")</f>
        <v>0119</v>
      </c>
      <c r="E1261" s="79">
        <v>45839</v>
      </c>
      <c r="F1261" s="80" t="s">
        <v>323</v>
      </c>
      <c r="G1261" s="60" t="s">
        <v>40</v>
      </c>
      <c r="H1261" s="80" t="s">
        <v>286</v>
      </c>
      <c r="I1261" s="80" t="s">
        <v>36</v>
      </c>
      <c r="J1261" s="80" t="s">
        <v>434</v>
      </c>
      <c r="K1261" s="80" t="s">
        <v>346</v>
      </c>
      <c r="L1261" s="80" t="s">
        <v>342</v>
      </c>
      <c r="M1261" s="81">
        <v>0.25</v>
      </c>
      <c r="N1261" s="82">
        <v>15</v>
      </c>
    </row>
    <row r="1262" spans="1:14" x14ac:dyDescent="0.25">
      <c r="A1262" s="10" t="str">
        <f>_xlfn.IFNA(
    IF(J1262=
        "PCB-0001",
        "CSS",
        IF(
            ISNUMBER(MATCH(_xlfn.TEXTBEFORE(J1262,"-"), {"CSS","CSN","PCB","PCF","BEC","CSD","PCM"}, 0)),
            _xlfn.TEXTBEFORE(J1262,"-"),
            "Other"
        )
    ),
"Add")</f>
        <v>PCM</v>
      </c>
      <c r="B1262" s="10" t="str">
        <f t="shared" si="20"/>
        <v>0107</v>
      </c>
      <c r="C1262" s="10" t="str">
        <f>_xlfn.LET(
    _xlpm.val, IF(Datadetails[[#This Row],[Activity]]="D02","C20",Datadetails[[#This Row],[Activity]]),
    IF(ISNUMBER(MATCH(_xlpm.val,{"D04","C30","c40","C20"},0)), _xlpm.val, "Other")
)</f>
        <v>C20</v>
      </c>
      <c r="D1262" s="10" t="str">
        <f>IFERROR(VLOOKUP(Datadetails[[#This Row],[Taskcode]],Dashboard!A:A,1,FALSE),"00 Err Missing")</f>
        <v>0107</v>
      </c>
      <c r="E1262" s="79">
        <v>45839</v>
      </c>
      <c r="F1262" s="80" t="s">
        <v>323</v>
      </c>
      <c r="G1262" s="60" t="s">
        <v>40</v>
      </c>
      <c r="H1262" s="80" t="s">
        <v>274</v>
      </c>
      <c r="I1262" s="80" t="s">
        <v>36</v>
      </c>
      <c r="J1262" s="80" t="s">
        <v>421</v>
      </c>
      <c r="K1262" s="80" t="s">
        <v>346</v>
      </c>
      <c r="L1262" s="80" t="s">
        <v>342</v>
      </c>
      <c r="M1262" s="81">
        <v>0.25</v>
      </c>
      <c r="N1262" s="82">
        <v>15</v>
      </c>
    </row>
    <row r="1263" spans="1:14" x14ac:dyDescent="0.25">
      <c r="A1263" s="10" t="str">
        <f>_xlfn.IFNA(
    IF(J1263=
        "PCB-0001",
        "CSS",
        IF(
            ISNUMBER(MATCH(_xlfn.TEXTBEFORE(J1263,"-"), {"CSS","CSN","PCB","PCF","BEC","CSD","PCM"}, 0)),
            _xlfn.TEXTBEFORE(J1263,"-"),
            "Other"
        )
    ),
"Add")</f>
        <v>PCB</v>
      </c>
      <c r="B1263" s="10" t="str">
        <f t="shared" si="20"/>
        <v>0054</v>
      </c>
      <c r="C1263" s="10" t="str">
        <f>_xlfn.LET(
    _xlpm.val, IF(Datadetails[[#This Row],[Activity]]="D02","C20",Datadetails[[#This Row],[Activity]]),
    IF(ISNUMBER(MATCH(_xlpm.val,{"D04","C30","c40","C20"},0)), _xlpm.val, "Other")
)</f>
        <v>C30</v>
      </c>
      <c r="D1263" s="10" t="str">
        <f>IFERROR(VLOOKUP(Datadetails[[#This Row],[Taskcode]],Dashboard!A:A,1,FALSE),"00 Err Missing")</f>
        <v>0054</v>
      </c>
      <c r="E1263" s="79">
        <v>45839</v>
      </c>
      <c r="F1263" s="80" t="s">
        <v>329</v>
      </c>
      <c r="G1263" s="60" t="s">
        <v>40</v>
      </c>
      <c r="H1263" s="80" t="s">
        <v>221</v>
      </c>
      <c r="I1263" s="80" t="s">
        <v>34</v>
      </c>
      <c r="J1263" s="80" t="s">
        <v>369</v>
      </c>
      <c r="K1263" s="80" t="s">
        <v>347</v>
      </c>
      <c r="L1263" s="80" t="s">
        <v>343</v>
      </c>
      <c r="M1263" s="81">
        <v>0.25</v>
      </c>
      <c r="N1263" s="82">
        <v>18.75</v>
      </c>
    </row>
    <row r="1264" spans="1:14" x14ac:dyDescent="0.25">
      <c r="A1264" s="10" t="str">
        <f>_xlfn.IFNA(
    IF(J1264=
        "PCB-0001",
        "CSS",
        IF(
            ISNUMBER(MATCH(_xlfn.TEXTBEFORE(J1264,"-"), {"CSS","CSN","PCB","PCF","BEC","CSD","PCM"}, 0)),
            _xlfn.TEXTBEFORE(J1264,"-"),
            "Other"
        )
    ),
"Add")</f>
        <v>PCB</v>
      </c>
      <c r="B1264" s="10" t="str">
        <f t="shared" si="20"/>
        <v>0091</v>
      </c>
      <c r="C1264" s="10" t="str">
        <f>_xlfn.LET(
    _xlpm.val, IF(Datadetails[[#This Row],[Activity]]="D02","C20",Datadetails[[#This Row],[Activity]]),
    IF(ISNUMBER(MATCH(_xlpm.val,{"D04","C30","c40","C20"},0)), _xlpm.val, "Other")
)</f>
        <v>C30</v>
      </c>
      <c r="D1264" s="10" t="str">
        <f>IFERROR(VLOOKUP(Datadetails[[#This Row],[Taskcode]],Dashboard!A:A,1,FALSE),"00 Err Missing")</f>
        <v>0091</v>
      </c>
      <c r="E1264" s="79">
        <v>45839</v>
      </c>
      <c r="F1264" s="80" t="s">
        <v>329</v>
      </c>
      <c r="G1264" s="60" t="s">
        <v>40</v>
      </c>
      <c r="H1264" s="80" t="s">
        <v>258</v>
      </c>
      <c r="I1264" s="80" t="s">
        <v>34</v>
      </c>
      <c r="J1264" s="80" t="s">
        <v>381</v>
      </c>
      <c r="K1264" s="80" t="s">
        <v>347</v>
      </c>
      <c r="L1264" s="80" t="s">
        <v>343</v>
      </c>
      <c r="M1264" s="81">
        <v>0.33</v>
      </c>
      <c r="N1264" s="82">
        <v>24.75</v>
      </c>
    </row>
    <row r="1265" spans="1:14" x14ac:dyDescent="0.25">
      <c r="A1265" s="10" t="str">
        <f>_xlfn.IFNA(
    IF(J1265=
        "PCB-0001",
        "CSS",
        IF(
            ISNUMBER(MATCH(_xlfn.TEXTBEFORE(J1265,"-"), {"CSS","CSN","PCB","PCF","BEC","CSD","PCM"}, 0)),
            _xlfn.TEXTBEFORE(J1265,"-"),
            "Other"
        )
    ),
"Add")</f>
        <v>PCB</v>
      </c>
      <c r="B1265" s="10" t="str">
        <f t="shared" si="20"/>
        <v>0082</v>
      </c>
      <c r="C1265" s="10" t="str">
        <f>_xlfn.LET(
    _xlpm.val, IF(Datadetails[[#This Row],[Activity]]="D02","C20",Datadetails[[#This Row],[Activity]]),
    IF(ISNUMBER(MATCH(_xlpm.val,{"D04","C30","c40","C20"},0)), _xlpm.val, "Other")
)</f>
        <v>C30</v>
      </c>
      <c r="D1265" s="10" t="str">
        <f>IFERROR(VLOOKUP(Datadetails[[#This Row],[Taskcode]],Dashboard!A:A,1,FALSE),"00 Err Missing")</f>
        <v>0082</v>
      </c>
      <c r="E1265" s="79">
        <v>45839</v>
      </c>
      <c r="F1265" s="80" t="s">
        <v>325</v>
      </c>
      <c r="G1265" s="60" t="s">
        <v>40</v>
      </c>
      <c r="H1265" s="80" t="s">
        <v>249</v>
      </c>
      <c r="I1265" s="80" t="s">
        <v>34</v>
      </c>
      <c r="J1265" s="80" t="s">
        <v>409</v>
      </c>
      <c r="K1265" s="80" t="s">
        <v>347</v>
      </c>
      <c r="L1265" s="80" t="s">
        <v>343</v>
      </c>
      <c r="M1265" s="81">
        <v>0.17</v>
      </c>
      <c r="N1265" s="82">
        <v>12.750000000000002</v>
      </c>
    </row>
    <row r="1266" spans="1:14" x14ac:dyDescent="0.25">
      <c r="A1266" s="10" t="str">
        <f>_xlfn.IFNA(
    IF(J1266=
        "PCB-0001",
        "CSS",
        IF(
            ISNUMBER(MATCH(_xlfn.TEXTBEFORE(J1266,"-"), {"CSS","CSN","PCB","PCF","BEC","CSD","PCM"}, 0)),
            _xlfn.TEXTBEFORE(J1266,"-"),
            "Other"
        )
    ),
"Add")</f>
        <v>PCB</v>
      </c>
      <c r="B1266" s="10" t="str">
        <f t="shared" si="20"/>
        <v>0111</v>
      </c>
      <c r="C1266" s="10" t="str">
        <f>_xlfn.LET(
    _xlpm.val, IF(Datadetails[[#This Row],[Activity]]="D02","C20",Datadetails[[#This Row],[Activity]]),
    IF(ISNUMBER(MATCH(_xlpm.val,{"D04","C30","c40","C20"},0)), _xlpm.val, "Other")
)</f>
        <v>C30</v>
      </c>
      <c r="D1266" s="10" t="str">
        <f>IFERROR(VLOOKUP(Datadetails[[#This Row],[Taskcode]],Dashboard!A:A,1,FALSE),"00 Err Missing")</f>
        <v>0111</v>
      </c>
      <c r="E1266" s="79">
        <v>45839</v>
      </c>
      <c r="F1266" s="80" t="s">
        <v>325</v>
      </c>
      <c r="G1266" s="60" t="s">
        <v>40</v>
      </c>
      <c r="H1266" s="80" t="s">
        <v>278</v>
      </c>
      <c r="I1266" s="80" t="s">
        <v>34</v>
      </c>
      <c r="J1266" s="80" t="s">
        <v>452</v>
      </c>
      <c r="K1266" s="80" t="s">
        <v>347</v>
      </c>
      <c r="L1266" s="80" t="s">
        <v>343</v>
      </c>
      <c r="M1266" s="81">
        <v>0.25</v>
      </c>
      <c r="N1266" s="82">
        <v>18.75</v>
      </c>
    </row>
    <row r="1267" spans="1:14" x14ac:dyDescent="0.25">
      <c r="A1267" s="10" t="str">
        <f>_xlfn.IFNA(
    IF(J1267=
        "PCB-0001",
        "CSS",
        IF(
            ISNUMBER(MATCH(_xlfn.TEXTBEFORE(J1267,"-"), {"CSS","CSN","PCB","PCF","BEC","CSD","PCM"}, 0)),
            _xlfn.TEXTBEFORE(J1267,"-"),
            "Other"
        )
    ),
"Add")</f>
        <v>PCB</v>
      </c>
      <c r="B1267" s="10" t="str">
        <f t="shared" si="20"/>
        <v>0132</v>
      </c>
      <c r="C1267" s="10" t="str">
        <f>_xlfn.LET(
    _xlpm.val, IF(Datadetails[[#This Row],[Activity]]="D02","C20",Datadetails[[#This Row],[Activity]]),
    IF(ISNUMBER(MATCH(_xlpm.val,{"D04","C30","c40","C20"},0)), _xlpm.val, "Other")
)</f>
        <v>C20</v>
      </c>
      <c r="D1267" s="10" t="str">
        <f>IFERROR(VLOOKUP(Datadetails[[#This Row],[Taskcode]],Dashboard!A:A,1,FALSE),"00 Err Missing")</f>
        <v>0132</v>
      </c>
      <c r="E1267" s="79">
        <v>45839</v>
      </c>
      <c r="F1267" s="80" t="s">
        <v>329</v>
      </c>
      <c r="G1267" s="60" t="s">
        <v>40</v>
      </c>
      <c r="H1267" s="80" t="s">
        <v>299</v>
      </c>
      <c r="I1267" s="80" t="s">
        <v>312</v>
      </c>
      <c r="J1267" s="80" t="s">
        <v>455</v>
      </c>
      <c r="K1267" s="80" t="s">
        <v>347</v>
      </c>
      <c r="L1267" s="80" t="s">
        <v>350</v>
      </c>
      <c r="M1267" s="81">
        <v>0.33</v>
      </c>
      <c r="N1267" s="82">
        <v>24.75</v>
      </c>
    </row>
    <row r="1268" spans="1:14" x14ac:dyDescent="0.25">
      <c r="A1268" s="10" t="str">
        <f>_xlfn.IFNA(
    IF(J1268=
        "PCB-0001",
        "CSS",
        IF(
            ISNUMBER(MATCH(_xlfn.TEXTBEFORE(J1268,"-"), {"CSS","CSN","PCB","PCF","BEC","CSD","PCM"}, 0)),
            _xlfn.TEXTBEFORE(J1268,"-"),
            "Other"
        )
    ),
"Add")</f>
        <v>PCF</v>
      </c>
      <c r="B1268" s="10" t="str">
        <f t="shared" si="20"/>
        <v>0068</v>
      </c>
      <c r="C1268" s="10" t="str">
        <f>_xlfn.LET(
    _xlpm.val, IF(Datadetails[[#This Row],[Activity]]="D02","C20",Datadetails[[#This Row],[Activity]]),
    IF(ISNUMBER(MATCH(_xlpm.val,{"D04","C30","c40","C20"},0)), _xlpm.val, "Other")
)</f>
        <v>C20</v>
      </c>
      <c r="D1268" s="10" t="str">
        <f>IFERROR(VLOOKUP(Datadetails[[#This Row],[Taskcode]],Dashboard!A:A,1,FALSE),"00 Err Missing")</f>
        <v>0068</v>
      </c>
      <c r="E1268" s="79">
        <v>45839</v>
      </c>
      <c r="F1268" s="80" t="s">
        <v>326</v>
      </c>
      <c r="G1268" s="60" t="s">
        <v>40</v>
      </c>
      <c r="H1268" s="80" t="s">
        <v>235</v>
      </c>
      <c r="I1268" s="80" t="s">
        <v>36</v>
      </c>
      <c r="J1268" s="80" t="s">
        <v>355</v>
      </c>
      <c r="K1268" s="80" t="s">
        <v>348</v>
      </c>
      <c r="L1268" s="80" t="s">
        <v>342</v>
      </c>
      <c r="M1268" s="81">
        <v>0.83</v>
      </c>
      <c r="N1268" s="82">
        <v>49.8</v>
      </c>
    </row>
    <row r="1269" spans="1:14" x14ac:dyDescent="0.25">
      <c r="A1269" s="10" t="str">
        <f>_xlfn.IFNA(
    IF(J1269=
        "PCB-0001",
        "CSS",
        IF(
            ISNUMBER(MATCH(_xlfn.TEXTBEFORE(J1269,"-"), {"CSS","CSN","PCB","PCF","BEC","CSD","PCM"}, 0)),
            _xlfn.TEXTBEFORE(J1269,"-"),
            "Other"
        )
    ),
"Add")</f>
        <v>PCF</v>
      </c>
      <c r="B1269" s="10" t="str">
        <f t="shared" si="20"/>
        <v>0008</v>
      </c>
      <c r="C1269" s="10" t="str">
        <f>_xlfn.LET(
    _xlpm.val, IF(Datadetails[[#This Row],[Activity]]="D02","C20",Datadetails[[#This Row],[Activity]]),
    IF(ISNUMBER(MATCH(_xlpm.val,{"D04","C30","c40","C20"},0)), _xlpm.val, "Other")
)</f>
        <v>C30</v>
      </c>
      <c r="D1269" s="10" t="str">
        <f>IFERROR(VLOOKUP(Datadetails[[#This Row],[Taskcode]],Dashboard!A:A,1,FALSE),"00 Err Missing")</f>
        <v>0008</v>
      </c>
      <c r="E1269" s="79">
        <v>45839</v>
      </c>
      <c r="F1269" s="80" t="s">
        <v>326</v>
      </c>
      <c r="G1269" s="60" t="s">
        <v>40</v>
      </c>
      <c r="H1269" s="80" t="s">
        <v>175</v>
      </c>
      <c r="I1269" s="80" t="s">
        <v>34</v>
      </c>
      <c r="J1269" s="80" t="s">
        <v>388</v>
      </c>
      <c r="K1269" s="80" t="s">
        <v>348</v>
      </c>
      <c r="L1269" s="80" t="s">
        <v>343</v>
      </c>
      <c r="M1269" s="81">
        <v>1</v>
      </c>
      <c r="N1269" s="82">
        <v>60</v>
      </c>
    </row>
    <row r="1270" spans="1:14" x14ac:dyDescent="0.25">
      <c r="A1270" s="10" t="str">
        <f>_xlfn.IFNA(
    IF(J1270=
        "PCB-0001",
        "CSS",
        IF(
            ISNUMBER(MATCH(_xlfn.TEXTBEFORE(J1270,"-"), {"CSS","CSN","PCB","PCF","BEC","CSD","PCM"}, 0)),
            _xlfn.TEXTBEFORE(J1270,"-"),
            "Other"
        )
    ),
"Add")</f>
        <v>PCF</v>
      </c>
      <c r="B1270" s="10" t="str">
        <f t="shared" si="20"/>
        <v>0142</v>
      </c>
      <c r="C1270" s="10" t="str">
        <f>_xlfn.LET(
    _xlpm.val, IF(Datadetails[[#This Row],[Activity]]="D02","C20",Datadetails[[#This Row],[Activity]]),
    IF(ISNUMBER(MATCH(_xlpm.val,{"D04","C30","c40","C20"},0)), _xlpm.val, "Other")
)</f>
        <v>C30</v>
      </c>
      <c r="D1270" s="10" t="str">
        <f>IFERROR(VLOOKUP(Datadetails[[#This Row],[Taskcode]],Dashboard!A:A,1,FALSE),"00 Err Missing")</f>
        <v>0142</v>
      </c>
      <c r="E1270" s="79">
        <v>45839</v>
      </c>
      <c r="F1270" s="80" t="s">
        <v>326</v>
      </c>
      <c r="G1270" s="60" t="s">
        <v>40</v>
      </c>
      <c r="H1270" s="80" t="s">
        <v>309</v>
      </c>
      <c r="I1270" s="80" t="s">
        <v>34</v>
      </c>
      <c r="J1270" s="80" t="s">
        <v>454</v>
      </c>
      <c r="K1270" s="80" t="s">
        <v>348</v>
      </c>
      <c r="L1270" s="80" t="s">
        <v>343</v>
      </c>
      <c r="M1270" s="81">
        <v>1.42</v>
      </c>
      <c r="N1270" s="82">
        <v>85.199999999999989</v>
      </c>
    </row>
    <row r="1271" spans="1:14" x14ac:dyDescent="0.25">
      <c r="A1271" s="10" t="str">
        <f>_xlfn.IFNA(
    IF(J1271=
        "PCB-0001",
        "CSS",
        IF(
            ISNUMBER(MATCH(_xlfn.TEXTBEFORE(J1271,"-"), {"CSS","CSN","PCB","PCF","BEC","CSD","PCM"}, 0)),
            _xlfn.TEXTBEFORE(J1271,"-"),
            "Other"
        )
    ),
"Add")</f>
        <v>BEC</v>
      </c>
      <c r="B1271" s="10" t="str">
        <f t="shared" si="20"/>
        <v>0001</v>
      </c>
      <c r="C1271" s="10" t="str">
        <f>_xlfn.LET(
    _xlpm.val, IF(Datadetails[[#This Row],[Activity]]="D02","C20",Datadetails[[#This Row],[Activity]]),
    IF(ISNUMBER(MATCH(_xlpm.val,{"D04","C30","c40","C20"},0)), _xlpm.val, "Other")
)</f>
        <v>D04</v>
      </c>
      <c r="D1271" s="10" t="str">
        <f>IFERROR(VLOOKUP(Datadetails[[#This Row],[Taskcode]],Dashboard!A:A,1,FALSE),"00 Err Missing")</f>
        <v>0001</v>
      </c>
      <c r="E1271" s="79">
        <v>45839</v>
      </c>
      <c r="F1271" s="80" t="s">
        <v>332</v>
      </c>
      <c r="G1271" s="60" t="s">
        <v>40</v>
      </c>
      <c r="H1271" s="80" t="s">
        <v>314</v>
      </c>
      <c r="I1271" s="80" t="s">
        <v>35</v>
      </c>
      <c r="J1271" s="80" t="s">
        <v>359</v>
      </c>
      <c r="K1271" s="80" t="s">
        <v>339</v>
      </c>
      <c r="L1271" s="80" t="s">
        <v>352</v>
      </c>
      <c r="M1271" s="81">
        <v>8.83</v>
      </c>
      <c r="N1271" s="82">
        <v>353.2</v>
      </c>
    </row>
    <row r="1272" spans="1:14" x14ac:dyDescent="0.25">
      <c r="A1272" s="10" t="str">
        <f>_xlfn.IFNA(
    IF(J1272=
        "PCB-0001",
        "CSS",
        IF(
            ISNUMBER(MATCH(_xlfn.TEXTBEFORE(J1272,"-"), {"CSS","CSN","PCB","PCF","BEC","CSD","PCM"}, 0)),
            _xlfn.TEXTBEFORE(J1272,"-"),
            "Other"
        )
    ),
"Add")</f>
        <v>BEC</v>
      </c>
      <c r="B1272" s="10" t="str">
        <f t="shared" si="20"/>
        <v>0001</v>
      </c>
      <c r="C1272" s="10" t="str">
        <f>_xlfn.LET(
    _xlpm.val, IF(Datadetails[[#This Row],[Activity]]="D02","C20",Datadetails[[#This Row],[Activity]]),
    IF(ISNUMBER(MATCH(_xlpm.val,{"D04","C30","c40","C20"},0)), _xlpm.val, "Other")
)</f>
        <v>D04</v>
      </c>
      <c r="D1272" s="10" t="str">
        <f>IFERROR(VLOOKUP(Datadetails[[#This Row],[Taskcode]],Dashboard!A:A,1,FALSE),"00 Err Missing")</f>
        <v>0001</v>
      </c>
      <c r="E1272" s="79">
        <v>45839</v>
      </c>
      <c r="F1272" s="80" t="s">
        <v>324</v>
      </c>
      <c r="G1272" s="60" t="s">
        <v>40</v>
      </c>
      <c r="H1272" s="80" t="s">
        <v>314</v>
      </c>
      <c r="I1272" s="80" t="s">
        <v>35</v>
      </c>
      <c r="J1272" s="80" t="s">
        <v>359</v>
      </c>
      <c r="K1272" s="80" t="s">
        <v>339</v>
      </c>
      <c r="L1272" s="80" t="s">
        <v>352</v>
      </c>
      <c r="M1272" s="81">
        <v>5.75</v>
      </c>
      <c r="N1272" s="82">
        <v>431.25</v>
      </c>
    </row>
    <row r="1273" spans="1:14" x14ac:dyDescent="0.25">
      <c r="A1273" s="10" t="str">
        <f>_xlfn.IFNA(
    IF(J1273=
        "PCB-0001",
        "CSS",
        IF(
            ISNUMBER(MATCH(_xlfn.TEXTBEFORE(J1273,"-"), {"CSS","CSN","PCB","PCF","BEC","CSD","PCM"}, 0)),
            _xlfn.TEXTBEFORE(J1273,"-"),
            "Other"
        )
    ),
"Add")</f>
        <v>PCB</v>
      </c>
      <c r="B1273" s="10" t="str">
        <f t="shared" si="20"/>
        <v>0103</v>
      </c>
      <c r="C1273" s="10" t="str">
        <f>_xlfn.LET(
    _xlpm.val, IF(Datadetails[[#This Row],[Activity]]="D02","C20",Datadetails[[#This Row],[Activity]]),
    IF(ISNUMBER(MATCH(_xlpm.val,{"D04","C30","c40","C20"},0)), _xlpm.val, "Other")
)</f>
        <v>C30</v>
      </c>
      <c r="D1273" s="10" t="str">
        <f>IFERROR(VLOOKUP(Datadetails[[#This Row],[Taskcode]],Dashboard!A:A,1,FALSE),"00 Err Missing")</f>
        <v>0103</v>
      </c>
      <c r="E1273" s="79">
        <v>45840</v>
      </c>
      <c r="F1273" s="80" t="s">
        <v>329</v>
      </c>
      <c r="G1273" s="60" t="s">
        <v>40</v>
      </c>
      <c r="H1273" s="80" t="s">
        <v>270</v>
      </c>
      <c r="I1273" s="80" t="s">
        <v>34</v>
      </c>
      <c r="J1273" s="80" t="s">
        <v>360</v>
      </c>
      <c r="K1273" s="80" t="s">
        <v>347</v>
      </c>
      <c r="L1273" s="80" t="s">
        <v>343</v>
      </c>
      <c r="M1273" s="81">
        <v>0.17</v>
      </c>
      <c r="N1273" s="82">
        <v>12.750000000000002</v>
      </c>
    </row>
    <row r="1274" spans="1:14" x14ac:dyDescent="0.25">
      <c r="A1274" s="10" t="str">
        <f>_xlfn.IFNA(
    IF(J1274=
        "PCB-0001",
        "CSS",
        IF(
            ISNUMBER(MATCH(_xlfn.TEXTBEFORE(J1274,"-"), {"CSS","CSN","PCB","PCF","BEC","CSD","PCM"}, 0)),
            _xlfn.TEXTBEFORE(J1274,"-"),
            "Other"
        )
    ),
"Add")</f>
        <v>PCM</v>
      </c>
      <c r="B1274" s="10" t="str">
        <f t="shared" si="20"/>
        <v>0034</v>
      </c>
      <c r="C1274" s="10" t="str">
        <f>_xlfn.LET(
    _xlpm.val, IF(Datadetails[[#This Row],[Activity]]="D02","C20",Datadetails[[#This Row],[Activity]]),
    IF(ISNUMBER(MATCH(_xlpm.val,{"D04","C30","c40","C20"},0)), _xlpm.val, "Other")
)</f>
        <v>C20</v>
      </c>
      <c r="D1274" s="10" t="str">
        <f>IFERROR(VLOOKUP(Datadetails[[#This Row],[Taskcode]],Dashboard!A:A,1,FALSE),"00 Err Missing")</f>
        <v>0034</v>
      </c>
      <c r="E1274" s="79">
        <v>45840</v>
      </c>
      <c r="F1274" s="80" t="s">
        <v>323</v>
      </c>
      <c r="G1274" s="60" t="s">
        <v>40</v>
      </c>
      <c r="H1274" s="80" t="s">
        <v>201</v>
      </c>
      <c r="I1274" s="80" t="s">
        <v>36</v>
      </c>
      <c r="J1274" s="80" t="s">
        <v>395</v>
      </c>
      <c r="K1274" s="80" t="s">
        <v>346</v>
      </c>
      <c r="L1274" s="80" t="s">
        <v>342</v>
      </c>
      <c r="M1274" s="81">
        <v>0.25</v>
      </c>
      <c r="N1274" s="82">
        <v>15</v>
      </c>
    </row>
    <row r="1275" spans="1:14" x14ac:dyDescent="0.25">
      <c r="A1275" s="10" t="str">
        <f>_xlfn.IFNA(
    IF(J1275=
        "PCB-0001",
        "CSS",
        IF(
            ISNUMBER(MATCH(_xlfn.TEXTBEFORE(J1275,"-"), {"CSS","CSN","PCB","PCF","BEC","CSD","PCM"}, 0)),
            _xlfn.TEXTBEFORE(J1275,"-"),
            "Other"
        )
    ),
"Add")</f>
        <v>CSN</v>
      </c>
      <c r="B1275" s="10" t="str">
        <f t="shared" si="20"/>
        <v>0001</v>
      </c>
      <c r="C1275" s="10" t="str">
        <f>_xlfn.LET(
    _xlpm.val, IF(Datadetails[[#This Row],[Activity]]="D02","C20",Datadetails[[#This Row],[Activity]]),
    IF(ISNUMBER(MATCH(_xlpm.val,{"D04","C30","c40","C20"},0)), _xlpm.val, "Other")
)</f>
        <v>D04</v>
      </c>
      <c r="D1275" s="10" t="str">
        <f>IFERROR(VLOOKUP(Datadetails[[#This Row],[Taskcode]],Dashboard!A:A,1,FALSE),"00 Err Missing")</f>
        <v>0001</v>
      </c>
      <c r="E1275" s="79">
        <v>45840</v>
      </c>
      <c r="F1275" s="80" t="s">
        <v>329</v>
      </c>
      <c r="G1275" s="60" t="s">
        <v>40</v>
      </c>
      <c r="H1275" s="80" t="s">
        <v>316</v>
      </c>
      <c r="I1275" s="80" t="s">
        <v>35</v>
      </c>
      <c r="J1275" s="80" t="s">
        <v>338</v>
      </c>
      <c r="K1275" s="80" t="s">
        <v>337</v>
      </c>
      <c r="L1275" s="80" t="s">
        <v>352</v>
      </c>
      <c r="M1275" s="81">
        <v>1</v>
      </c>
      <c r="N1275" s="82">
        <v>75</v>
      </c>
    </row>
    <row r="1276" spans="1:14" x14ac:dyDescent="0.25">
      <c r="A1276" s="10" t="str">
        <f>_xlfn.IFNA(
    IF(J1276=
        "PCB-0001",
        "CSS",
        IF(
            ISNUMBER(MATCH(_xlfn.TEXTBEFORE(J1276,"-"), {"CSS","CSN","PCB","PCF","BEC","CSD","PCM"}, 0)),
            _xlfn.TEXTBEFORE(J1276,"-"),
            "Other"
        )
    ),
"Add")</f>
        <v>CSN</v>
      </c>
      <c r="B1276" s="10" t="str">
        <f t="shared" si="20"/>
        <v>0001</v>
      </c>
      <c r="C1276" s="10" t="str">
        <f>_xlfn.LET(
    _xlpm.val, IF(Datadetails[[#This Row],[Activity]]="D02","C20",Datadetails[[#This Row],[Activity]]),
    IF(ISNUMBER(MATCH(_xlpm.val,{"D04","C30","c40","C20"},0)), _xlpm.val, "Other")
)</f>
        <v>D04</v>
      </c>
      <c r="D1276" s="10" t="str">
        <f>IFERROR(VLOOKUP(Datadetails[[#This Row],[Taskcode]],Dashboard!A:A,1,FALSE),"00 Err Missing")</f>
        <v>0001</v>
      </c>
      <c r="E1276" s="79">
        <v>45840</v>
      </c>
      <c r="F1276" s="80" t="s">
        <v>331</v>
      </c>
      <c r="G1276" s="60" t="s">
        <v>40</v>
      </c>
      <c r="H1276" s="80" t="s">
        <v>316</v>
      </c>
      <c r="I1276" s="80" t="s">
        <v>35</v>
      </c>
      <c r="J1276" s="80" t="s">
        <v>338</v>
      </c>
      <c r="K1276" s="80" t="s">
        <v>337</v>
      </c>
      <c r="L1276" s="80" t="s">
        <v>352</v>
      </c>
      <c r="M1276" s="81">
        <v>0.83</v>
      </c>
      <c r="N1276" s="82">
        <v>26.56</v>
      </c>
    </row>
    <row r="1277" spans="1:14" x14ac:dyDescent="0.25">
      <c r="A1277" s="10" t="str">
        <f>_xlfn.IFNA(
    IF(J1277=
        "PCB-0001",
        "CSS",
        IF(
            ISNUMBER(MATCH(_xlfn.TEXTBEFORE(J1277,"-"), {"CSS","CSN","PCB","PCF","BEC","CSD","PCM"}, 0)),
            _xlfn.TEXTBEFORE(J1277,"-"),
            "Other"
        )
    ),
"Add")</f>
        <v>CSD</v>
      </c>
      <c r="B1277" s="10" t="str">
        <f t="shared" si="20"/>
        <v>0001</v>
      </c>
      <c r="C1277" s="10" t="str">
        <f>_xlfn.LET(
    _xlpm.val, IF(Datadetails[[#This Row],[Activity]]="D02","C20",Datadetails[[#This Row],[Activity]]),
    IF(ISNUMBER(MATCH(_xlpm.val,{"D04","C30","c40","C20"},0)), _xlpm.val, "Other")
)</f>
        <v>D04</v>
      </c>
      <c r="D1277" s="10" t="str">
        <f>IFERROR(VLOOKUP(Datadetails[[#This Row],[Taskcode]],Dashboard!A:A,1,FALSE),"00 Err Missing")</f>
        <v>0001</v>
      </c>
      <c r="E1277" s="79">
        <v>45840</v>
      </c>
      <c r="F1277" s="80" t="s">
        <v>327</v>
      </c>
      <c r="G1277" s="60" t="s">
        <v>40</v>
      </c>
      <c r="H1277" s="80" t="s">
        <v>320</v>
      </c>
      <c r="I1277" s="80" t="s">
        <v>35</v>
      </c>
      <c r="J1277" s="80" t="s">
        <v>322</v>
      </c>
      <c r="K1277" s="80" t="s">
        <v>319</v>
      </c>
      <c r="L1277" s="80" t="s">
        <v>352</v>
      </c>
      <c r="M1277" s="81">
        <v>7.58</v>
      </c>
      <c r="N1277" s="82">
        <v>242.56</v>
      </c>
    </row>
    <row r="1278" spans="1:14" x14ac:dyDescent="0.25">
      <c r="A1278" s="10" t="str">
        <f>_xlfn.IFNA(
    IF(J1278=
        "PCB-0001",
        "CSS",
        IF(
            ISNUMBER(MATCH(_xlfn.TEXTBEFORE(J1278,"-"), {"CSS","CSN","PCB","PCF","BEC","CSD","PCM"}, 0)),
            _xlfn.TEXTBEFORE(J1278,"-"),
            "Other"
        )
    ),
"Add")</f>
        <v>CSD</v>
      </c>
      <c r="B1278" s="10" t="str">
        <f t="shared" si="20"/>
        <v>0001</v>
      </c>
      <c r="C1278" s="10" t="str">
        <f>_xlfn.LET(
    _xlpm.val, IF(Datadetails[[#This Row],[Activity]]="D02","C20",Datadetails[[#This Row],[Activity]]),
    IF(ISNUMBER(MATCH(_xlpm.val,{"D04","C30","c40","C20"},0)), _xlpm.val, "Other")
)</f>
        <v>D04</v>
      </c>
      <c r="D1278" s="10" t="str">
        <f>IFERROR(VLOOKUP(Datadetails[[#This Row],[Taskcode]],Dashboard!A:A,1,FALSE),"00 Err Missing")</f>
        <v>0001</v>
      </c>
      <c r="E1278" s="79">
        <v>45840</v>
      </c>
      <c r="F1278" s="80" t="s">
        <v>333</v>
      </c>
      <c r="G1278" s="60" t="s">
        <v>40</v>
      </c>
      <c r="H1278" s="80" t="s">
        <v>320</v>
      </c>
      <c r="I1278" s="80" t="s">
        <v>35</v>
      </c>
      <c r="J1278" s="80" t="s">
        <v>322</v>
      </c>
      <c r="K1278" s="80" t="s">
        <v>319</v>
      </c>
      <c r="L1278" s="80" t="s">
        <v>352</v>
      </c>
      <c r="M1278" s="81">
        <v>7.73</v>
      </c>
      <c r="N1278" s="82">
        <v>247.36</v>
      </c>
    </row>
    <row r="1279" spans="1:14" x14ac:dyDescent="0.25">
      <c r="A1279" s="10" t="str">
        <f>_xlfn.IFNA(
    IF(J1279=
        "PCB-0001",
        "CSS",
        IF(
            ISNUMBER(MATCH(_xlfn.TEXTBEFORE(J1279,"-"), {"CSS","CSN","PCB","PCF","BEC","CSD","PCM"}, 0)),
            _xlfn.TEXTBEFORE(J1279,"-"),
            "Other"
        )
    ),
"Add")</f>
        <v>PCM</v>
      </c>
      <c r="B1279" s="10" t="str">
        <f t="shared" si="20"/>
        <v>0065</v>
      </c>
      <c r="C1279" s="10" t="str">
        <f>_xlfn.LET(
    _xlpm.val, IF(Datadetails[[#This Row],[Activity]]="D02","C20",Datadetails[[#This Row],[Activity]]),
    IF(ISNUMBER(MATCH(_xlpm.val,{"D04","C30","c40","C20"},0)), _xlpm.val, "Other")
)</f>
        <v>C20</v>
      </c>
      <c r="D1279" s="10" t="str">
        <f>IFERROR(VLOOKUP(Datadetails[[#This Row],[Taskcode]],Dashboard!A:A,1,FALSE),"00 Err Missing")</f>
        <v>0065</v>
      </c>
      <c r="E1279" s="79">
        <v>45840</v>
      </c>
      <c r="F1279" s="80" t="s">
        <v>323</v>
      </c>
      <c r="G1279" s="60" t="s">
        <v>40</v>
      </c>
      <c r="H1279" s="80" t="s">
        <v>232</v>
      </c>
      <c r="I1279" s="80" t="s">
        <v>36</v>
      </c>
      <c r="J1279" s="80" t="s">
        <v>393</v>
      </c>
      <c r="K1279" s="80" t="s">
        <v>346</v>
      </c>
      <c r="L1279" s="80" t="s">
        <v>342</v>
      </c>
      <c r="M1279" s="81">
        <v>0.33</v>
      </c>
      <c r="N1279" s="82">
        <v>19.8</v>
      </c>
    </row>
    <row r="1280" spans="1:14" x14ac:dyDescent="0.25">
      <c r="A1280" s="10" t="str">
        <f>_xlfn.IFNA(
    IF(J1280=
        "PCB-0001",
        "CSS",
        IF(
            ISNUMBER(MATCH(_xlfn.TEXTBEFORE(J1280,"-"), {"CSS","CSN","PCB","PCF","BEC","CSD","PCM"}, 0)),
            _xlfn.TEXTBEFORE(J1280,"-"),
            "Other"
        )
    ),
"Add")</f>
        <v>PCM</v>
      </c>
      <c r="B1280" s="10" t="str">
        <f t="shared" si="20"/>
        <v>0033</v>
      </c>
      <c r="C1280" s="10" t="str">
        <f>_xlfn.LET(
    _xlpm.val, IF(Datadetails[[#This Row],[Activity]]="D02","C20",Datadetails[[#This Row],[Activity]]),
    IF(ISNUMBER(MATCH(_xlpm.val,{"D04","C30","c40","C20"},0)), _xlpm.val, "Other")
)</f>
        <v>C30</v>
      </c>
      <c r="D1280" s="10" t="str">
        <f>IFERROR(VLOOKUP(Datadetails[[#This Row],[Taskcode]],Dashboard!A:A,1,FALSE),"00 Err Missing")</f>
        <v>0033</v>
      </c>
      <c r="E1280" s="79">
        <v>45840</v>
      </c>
      <c r="F1280" s="80" t="s">
        <v>323</v>
      </c>
      <c r="G1280" s="60" t="s">
        <v>40</v>
      </c>
      <c r="H1280" s="80" t="s">
        <v>200</v>
      </c>
      <c r="I1280" s="80" t="s">
        <v>34</v>
      </c>
      <c r="J1280" s="80" t="s">
        <v>391</v>
      </c>
      <c r="K1280" s="80" t="s">
        <v>346</v>
      </c>
      <c r="L1280" s="80" t="s">
        <v>343</v>
      </c>
      <c r="M1280" s="81">
        <v>0.33</v>
      </c>
      <c r="N1280" s="82">
        <v>19.8</v>
      </c>
    </row>
    <row r="1281" spans="1:14" x14ac:dyDescent="0.25">
      <c r="A1281" s="10" t="str">
        <f>_xlfn.IFNA(
    IF(J1281=
        "PCB-0001",
        "CSS",
        IF(
            ISNUMBER(MATCH(_xlfn.TEXTBEFORE(J1281,"-"), {"CSS","CSN","PCB","PCF","BEC","CSD","PCM"}, 0)),
            _xlfn.TEXTBEFORE(J1281,"-"),
            "Other"
        )
    ),
"Add")</f>
        <v>PCM</v>
      </c>
      <c r="B1281" s="10" t="str">
        <f t="shared" si="20"/>
        <v>0113</v>
      </c>
      <c r="C1281" s="10" t="str">
        <f>_xlfn.LET(
    _xlpm.val, IF(Datadetails[[#This Row],[Activity]]="D02","C20",Datadetails[[#This Row],[Activity]]),
    IF(ISNUMBER(MATCH(_xlpm.val,{"D04","C30","c40","C20"},0)), _xlpm.val, "Other")
)</f>
        <v>C40</v>
      </c>
      <c r="D1281" s="10" t="str">
        <f>IFERROR(VLOOKUP(Datadetails[[#This Row],[Taskcode]],Dashboard!A:A,1,FALSE),"00 Err Missing")</f>
        <v>0113</v>
      </c>
      <c r="E1281" s="79">
        <v>45840</v>
      </c>
      <c r="F1281" s="80" t="s">
        <v>323</v>
      </c>
      <c r="G1281" s="60" t="s">
        <v>40</v>
      </c>
      <c r="H1281" s="80" t="s">
        <v>280</v>
      </c>
      <c r="I1281" s="80" t="s">
        <v>341</v>
      </c>
      <c r="J1281" s="80" t="s">
        <v>445</v>
      </c>
      <c r="K1281" s="80" t="s">
        <v>346</v>
      </c>
      <c r="L1281" s="80" t="s">
        <v>344</v>
      </c>
      <c r="M1281" s="81">
        <v>0.5</v>
      </c>
      <c r="N1281" s="82">
        <v>30</v>
      </c>
    </row>
    <row r="1282" spans="1:14" x14ac:dyDescent="0.25">
      <c r="A1282" s="10" t="str">
        <f>_xlfn.IFNA(
    IF(J1282=
        "PCB-0001",
        "CSS",
        IF(
            ISNUMBER(MATCH(_xlfn.TEXTBEFORE(J1282,"-"), {"CSS","CSN","PCB","PCF","BEC","CSD","PCM"}, 0)),
            _xlfn.TEXTBEFORE(J1282,"-"),
            "Other"
        )
    ),
"Add")</f>
        <v>PCM</v>
      </c>
      <c r="B1282" s="10" t="str">
        <f t="shared" si="20"/>
        <v>0115</v>
      </c>
      <c r="C1282" s="10" t="str">
        <f>_xlfn.LET(
    _xlpm.val, IF(Datadetails[[#This Row],[Activity]]="D02","C20",Datadetails[[#This Row],[Activity]]),
    IF(ISNUMBER(MATCH(_xlpm.val,{"D04","C30","c40","C20"},0)), _xlpm.val, "Other")
)</f>
        <v>C40</v>
      </c>
      <c r="D1282" s="10" t="str">
        <f>IFERROR(VLOOKUP(Datadetails[[#This Row],[Taskcode]],Dashboard!A:A,1,FALSE),"00 Err Missing")</f>
        <v>0115</v>
      </c>
      <c r="E1282" s="79">
        <v>45840</v>
      </c>
      <c r="F1282" s="80" t="s">
        <v>323</v>
      </c>
      <c r="G1282" s="60" t="s">
        <v>40</v>
      </c>
      <c r="H1282" s="80" t="s">
        <v>282</v>
      </c>
      <c r="I1282" s="80" t="s">
        <v>341</v>
      </c>
      <c r="J1282" s="80" t="s">
        <v>451</v>
      </c>
      <c r="K1282" s="80" t="s">
        <v>346</v>
      </c>
      <c r="L1282" s="80" t="s">
        <v>344</v>
      </c>
      <c r="M1282" s="81">
        <v>0.5</v>
      </c>
      <c r="N1282" s="82">
        <v>30</v>
      </c>
    </row>
    <row r="1283" spans="1:14" x14ac:dyDescent="0.25">
      <c r="A1283" s="10" t="str">
        <f>_xlfn.IFNA(
    IF(J1283=
        "PCB-0001",
        "CSS",
        IF(
            ISNUMBER(MATCH(_xlfn.TEXTBEFORE(J1283,"-"), {"CSS","CSN","PCB","PCF","BEC","CSD","PCM"}, 0)),
            _xlfn.TEXTBEFORE(J1283,"-"),
            "Other"
        )
    ),
"Add")</f>
        <v>PCM</v>
      </c>
      <c r="B1283" s="10" t="str">
        <f t="shared" si="20"/>
        <v>0114</v>
      </c>
      <c r="C1283" s="10" t="str">
        <f>_xlfn.LET(
    _xlpm.val, IF(Datadetails[[#This Row],[Activity]]="D02","C20",Datadetails[[#This Row],[Activity]]),
    IF(ISNUMBER(MATCH(_xlpm.val,{"D04","C30","c40","C20"},0)), _xlpm.val, "Other")
)</f>
        <v>C40</v>
      </c>
      <c r="D1283" s="10" t="str">
        <f>IFERROR(VLOOKUP(Datadetails[[#This Row],[Taskcode]],Dashboard!A:A,1,FALSE),"00 Err Missing")</f>
        <v>0114</v>
      </c>
      <c r="E1283" s="79">
        <v>45840</v>
      </c>
      <c r="F1283" s="80" t="s">
        <v>323</v>
      </c>
      <c r="G1283" s="60" t="s">
        <v>40</v>
      </c>
      <c r="H1283" s="80" t="s">
        <v>281</v>
      </c>
      <c r="I1283" s="80" t="s">
        <v>341</v>
      </c>
      <c r="J1283" s="80" t="s">
        <v>430</v>
      </c>
      <c r="K1283" s="80" t="s">
        <v>346</v>
      </c>
      <c r="L1283" s="80" t="s">
        <v>344</v>
      </c>
      <c r="M1283" s="81">
        <v>0.5</v>
      </c>
      <c r="N1283" s="82">
        <v>30</v>
      </c>
    </row>
    <row r="1284" spans="1:14" x14ac:dyDescent="0.25">
      <c r="A1284" s="10" t="str">
        <f>_xlfn.IFNA(
    IF(J1284=
        "PCB-0001",
        "CSS",
        IF(
            ISNUMBER(MATCH(_xlfn.TEXTBEFORE(J1284,"-"), {"CSS","CSN","PCB","PCF","BEC","CSD","PCM"}, 0)),
            _xlfn.TEXTBEFORE(J1284,"-"),
            "Other"
        )
    ),
"Add")</f>
        <v>PCB</v>
      </c>
      <c r="B1284" s="10" t="str">
        <f t="shared" ref="B1284:B1347" si="21">_xlfn.IFNA(_xlfn.TEXTAFTER(J1284,"-"),"Data to C2")</f>
        <v>0128</v>
      </c>
      <c r="C1284" s="10" t="str">
        <f>_xlfn.LET(
    _xlpm.val, IF(Datadetails[[#This Row],[Activity]]="D02","C20",Datadetails[[#This Row],[Activity]]),
    IF(ISNUMBER(MATCH(_xlpm.val,{"D04","C30","c40","C20"},0)), _xlpm.val, "Other")
)</f>
        <v>C30</v>
      </c>
      <c r="D1284" s="10" t="str">
        <f>IFERROR(VLOOKUP(Datadetails[[#This Row],[Taskcode]],Dashboard!A:A,1,FALSE),"00 Err Missing")</f>
        <v>0128</v>
      </c>
      <c r="E1284" s="79">
        <v>45840</v>
      </c>
      <c r="F1284" s="80" t="s">
        <v>329</v>
      </c>
      <c r="G1284" s="60" t="s">
        <v>40</v>
      </c>
      <c r="H1284" s="80" t="s">
        <v>295</v>
      </c>
      <c r="I1284" s="80" t="s">
        <v>34</v>
      </c>
      <c r="J1284" s="80" t="s">
        <v>379</v>
      </c>
      <c r="K1284" s="80" t="s">
        <v>347</v>
      </c>
      <c r="L1284" s="80" t="s">
        <v>343</v>
      </c>
      <c r="M1284" s="81">
        <v>0.17</v>
      </c>
      <c r="N1284" s="82">
        <v>12.750000000000002</v>
      </c>
    </row>
    <row r="1285" spans="1:14" x14ac:dyDescent="0.25">
      <c r="A1285" s="10" t="str">
        <f>_xlfn.IFNA(
    IF(J1285=
        "PCB-0001",
        "CSS",
        IF(
            ISNUMBER(MATCH(_xlfn.TEXTBEFORE(J1285,"-"), {"CSS","CSN","PCB","PCF","BEC","CSD","PCM"}, 0)),
            _xlfn.TEXTBEFORE(J1285,"-"),
            "Other"
        )
    ),
"Add")</f>
        <v>PCB</v>
      </c>
      <c r="B1285" s="10" t="str">
        <f t="shared" si="21"/>
        <v>0138</v>
      </c>
      <c r="C1285" s="10" t="str">
        <f>_xlfn.LET(
    _xlpm.val, IF(Datadetails[[#This Row],[Activity]]="D02","C20",Datadetails[[#This Row],[Activity]]),
    IF(ISNUMBER(MATCH(_xlpm.val,{"D04","C30","c40","C20"},0)), _xlpm.val, "Other")
)</f>
        <v>C30</v>
      </c>
      <c r="D1285" s="10" t="str">
        <f>IFERROR(VLOOKUP(Datadetails[[#This Row],[Taskcode]],Dashboard!A:A,1,FALSE),"00 Err Missing")</f>
        <v>0138</v>
      </c>
      <c r="E1285" s="79">
        <v>45840</v>
      </c>
      <c r="F1285" s="80" t="s">
        <v>325</v>
      </c>
      <c r="G1285" s="60" t="s">
        <v>40</v>
      </c>
      <c r="H1285" s="80" t="s">
        <v>305</v>
      </c>
      <c r="I1285" s="80" t="s">
        <v>34</v>
      </c>
      <c r="J1285" s="80" t="s">
        <v>382</v>
      </c>
      <c r="K1285" s="80" t="s">
        <v>347</v>
      </c>
      <c r="L1285" s="80" t="s">
        <v>343</v>
      </c>
      <c r="M1285" s="81">
        <v>0.25</v>
      </c>
      <c r="N1285" s="82">
        <v>18.75</v>
      </c>
    </row>
    <row r="1286" spans="1:14" x14ac:dyDescent="0.25">
      <c r="A1286" s="10" t="str">
        <f>_xlfn.IFNA(
    IF(J1286=
        "PCB-0001",
        "CSS",
        IF(
            ISNUMBER(MATCH(_xlfn.TEXTBEFORE(J1286,"-"), {"CSS","CSN","PCB","PCF","BEC","CSD","PCM"}, 0)),
            _xlfn.TEXTBEFORE(J1286,"-"),
            "Other"
        )
    ),
"Add")</f>
        <v>PCB</v>
      </c>
      <c r="B1286" s="10" t="str">
        <f t="shared" si="21"/>
        <v>0110</v>
      </c>
      <c r="C1286" s="10" t="str">
        <f>_xlfn.LET(
    _xlpm.val, IF(Datadetails[[#This Row],[Activity]]="D02","C20",Datadetails[[#This Row],[Activity]]),
    IF(ISNUMBER(MATCH(_xlpm.val,{"D04","C30","c40","C20"},0)), _xlpm.val, "Other")
)</f>
        <v>C30</v>
      </c>
      <c r="D1286" s="10" t="str">
        <f>IFERROR(VLOOKUP(Datadetails[[#This Row],[Taskcode]],Dashboard!A:A,1,FALSE),"00 Err Missing")</f>
        <v>0110</v>
      </c>
      <c r="E1286" s="79">
        <v>45840</v>
      </c>
      <c r="F1286" s="80" t="s">
        <v>325</v>
      </c>
      <c r="G1286" s="60" t="s">
        <v>40</v>
      </c>
      <c r="H1286" s="80" t="s">
        <v>277</v>
      </c>
      <c r="I1286" s="80" t="s">
        <v>34</v>
      </c>
      <c r="J1286" s="80" t="s">
        <v>353</v>
      </c>
      <c r="K1286" s="80" t="s">
        <v>347</v>
      </c>
      <c r="L1286" s="80" t="s">
        <v>343</v>
      </c>
      <c r="M1286" s="81">
        <v>0.33</v>
      </c>
      <c r="N1286" s="82">
        <v>24.75</v>
      </c>
    </row>
    <row r="1287" spans="1:14" x14ac:dyDescent="0.25">
      <c r="A1287" s="10" t="str">
        <f>_xlfn.IFNA(
    IF(J1287=
        "PCB-0001",
        "CSS",
        IF(
            ISNUMBER(MATCH(_xlfn.TEXTBEFORE(J1287,"-"), {"CSS","CSN","PCB","PCF","BEC","CSD","PCM"}, 0)),
            _xlfn.TEXTBEFORE(J1287,"-"),
            "Other"
        )
    ),
"Add")</f>
        <v>PCB</v>
      </c>
      <c r="B1287" s="10" t="str">
        <f t="shared" si="21"/>
        <v>0111</v>
      </c>
      <c r="C1287" s="10" t="str">
        <f>_xlfn.LET(
    _xlpm.val, IF(Datadetails[[#This Row],[Activity]]="D02","C20",Datadetails[[#This Row],[Activity]]),
    IF(ISNUMBER(MATCH(_xlpm.val,{"D04","C30","c40","C20"},0)), _xlpm.val, "Other")
)</f>
        <v>C30</v>
      </c>
      <c r="D1287" s="10" t="str">
        <f>IFERROR(VLOOKUP(Datadetails[[#This Row],[Taskcode]],Dashboard!A:A,1,FALSE),"00 Err Missing")</f>
        <v>0111</v>
      </c>
      <c r="E1287" s="79">
        <v>45840</v>
      </c>
      <c r="F1287" s="80" t="s">
        <v>325</v>
      </c>
      <c r="G1287" s="60" t="s">
        <v>40</v>
      </c>
      <c r="H1287" s="80" t="s">
        <v>278</v>
      </c>
      <c r="I1287" s="80" t="s">
        <v>34</v>
      </c>
      <c r="J1287" s="80" t="s">
        <v>452</v>
      </c>
      <c r="K1287" s="80" t="s">
        <v>347</v>
      </c>
      <c r="L1287" s="80" t="s">
        <v>343</v>
      </c>
      <c r="M1287" s="81">
        <v>0.33</v>
      </c>
      <c r="N1287" s="82">
        <v>24.75</v>
      </c>
    </row>
    <row r="1288" spans="1:14" x14ac:dyDescent="0.25">
      <c r="A1288" s="10" t="str">
        <f>_xlfn.IFNA(
    IF(J1288=
        "PCB-0001",
        "CSS",
        IF(
            ISNUMBER(MATCH(_xlfn.TEXTBEFORE(J1288,"-"), {"CSS","CSN","PCB","PCF","BEC","CSD","PCM"}, 0)),
            _xlfn.TEXTBEFORE(J1288,"-"),
            "Other"
        )
    ),
"Add")</f>
        <v>PCB</v>
      </c>
      <c r="B1288" s="10" t="str">
        <f t="shared" si="21"/>
        <v>0082</v>
      </c>
      <c r="C1288" s="10" t="str">
        <f>_xlfn.LET(
    _xlpm.val, IF(Datadetails[[#This Row],[Activity]]="D02","C20",Datadetails[[#This Row],[Activity]]),
    IF(ISNUMBER(MATCH(_xlpm.val,{"D04","C30","c40","C20"},0)), _xlpm.val, "Other")
)</f>
        <v>C40</v>
      </c>
      <c r="D1288" s="10" t="str">
        <f>IFERROR(VLOOKUP(Datadetails[[#This Row],[Taskcode]],Dashboard!A:A,1,FALSE),"00 Err Missing")</f>
        <v>0082</v>
      </c>
      <c r="E1288" s="79">
        <v>45840</v>
      </c>
      <c r="F1288" s="80" t="s">
        <v>325</v>
      </c>
      <c r="G1288" s="60" t="s">
        <v>40</v>
      </c>
      <c r="H1288" s="80" t="s">
        <v>249</v>
      </c>
      <c r="I1288" s="80" t="s">
        <v>341</v>
      </c>
      <c r="J1288" s="80" t="s">
        <v>409</v>
      </c>
      <c r="K1288" s="80" t="s">
        <v>347</v>
      </c>
      <c r="L1288" s="80" t="s">
        <v>344</v>
      </c>
      <c r="M1288" s="81">
        <v>1.17</v>
      </c>
      <c r="N1288" s="82">
        <v>87.75</v>
      </c>
    </row>
    <row r="1289" spans="1:14" x14ac:dyDescent="0.25">
      <c r="A1289" s="10" t="str">
        <f>_xlfn.IFNA(
    IF(J1289=
        "PCB-0001",
        "CSS",
        IF(
            ISNUMBER(MATCH(_xlfn.TEXTBEFORE(J1289,"-"), {"CSS","CSN","PCB","PCF","BEC","CSD","PCM"}, 0)),
            _xlfn.TEXTBEFORE(J1289,"-"),
            "Other"
        )
    ),
"Add")</f>
        <v>PCB</v>
      </c>
      <c r="B1289" s="10" t="str">
        <f t="shared" si="21"/>
        <v>0085</v>
      </c>
      <c r="C1289" s="10" t="str">
        <f>_xlfn.LET(
    _xlpm.val, IF(Datadetails[[#This Row],[Activity]]="D02","C20",Datadetails[[#This Row],[Activity]]),
    IF(ISNUMBER(MATCH(_xlpm.val,{"D04","C30","c40","C20"},0)), _xlpm.val, "Other")
)</f>
        <v>C40</v>
      </c>
      <c r="D1289" s="10" t="str">
        <f>IFERROR(VLOOKUP(Datadetails[[#This Row],[Taskcode]],Dashboard!A:A,1,FALSE),"00 Err Missing")</f>
        <v>0085</v>
      </c>
      <c r="E1289" s="79">
        <v>45840</v>
      </c>
      <c r="F1289" s="80" t="s">
        <v>330</v>
      </c>
      <c r="G1289" s="60" t="s">
        <v>40</v>
      </c>
      <c r="H1289" s="80" t="s">
        <v>252</v>
      </c>
      <c r="I1289" s="80" t="s">
        <v>341</v>
      </c>
      <c r="J1289" s="80" t="s">
        <v>416</v>
      </c>
      <c r="K1289" s="80" t="s">
        <v>347</v>
      </c>
      <c r="L1289" s="80" t="s">
        <v>344</v>
      </c>
      <c r="M1289" s="81">
        <v>2.5</v>
      </c>
      <c r="N1289" s="82">
        <v>150</v>
      </c>
    </row>
    <row r="1290" spans="1:14" x14ac:dyDescent="0.25">
      <c r="A1290" s="10" t="str">
        <f>_xlfn.IFNA(
    IF(J1290=
        "PCB-0001",
        "CSS",
        IF(
            ISNUMBER(MATCH(_xlfn.TEXTBEFORE(J1290,"-"), {"CSS","CSN","PCB","PCF","BEC","CSD","PCM"}, 0)),
            _xlfn.TEXTBEFORE(J1290,"-"),
            "Other"
        )
    ),
"Add")</f>
        <v>PCB</v>
      </c>
      <c r="B1290" s="10" t="str">
        <f t="shared" si="21"/>
        <v>0086</v>
      </c>
      <c r="C1290" s="10" t="str">
        <f>_xlfn.LET(
    _xlpm.val, IF(Datadetails[[#This Row],[Activity]]="D02","C20",Datadetails[[#This Row],[Activity]]),
    IF(ISNUMBER(MATCH(_xlpm.val,{"D04","C30","c40","C20"},0)), _xlpm.val, "Other")
)</f>
        <v>C40</v>
      </c>
      <c r="D1290" s="10" t="str">
        <f>IFERROR(VLOOKUP(Datadetails[[#This Row],[Taskcode]],Dashboard!A:A,1,FALSE),"00 Err Missing")</f>
        <v>0086</v>
      </c>
      <c r="E1290" s="79">
        <v>45840</v>
      </c>
      <c r="F1290" s="80" t="s">
        <v>325</v>
      </c>
      <c r="G1290" s="60" t="s">
        <v>40</v>
      </c>
      <c r="H1290" s="80" t="s">
        <v>253</v>
      </c>
      <c r="I1290" s="80" t="s">
        <v>341</v>
      </c>
      <c r="J1290" s="80" t="s">
        <v>408</v>
      </c>
      <c r="K1290" s="80" t="s">
        <v>347</v>
      </c>
      <c r="L1290" s="80" t="s">
        <v>344</v>
      </c>
      <c r="M1290" s="81">
        <v>1.08</v>
      </c>
      <c r="N1290" s="82">
        <v>81</v>
      </c>
    </row>
    <row r="1291" spans="1:14" x14ac:dyDescent="0.25">
      <c r="A1291" s="10" t="str">
        <f>_xlfn.IFNA(
    IF(J1291=
        "PCB-0001",
        "CSS",
        IF(
            ISNUMBER(MATCH(_xlfn.TEXTBEFORE(J1291,"-"), {"CSS","CSN","PCB","PCF","BEC","CSD","PCM"}, 0)),
            _xlfn.TEXTBEFORE(J1291,"-"),
            "Other"
        )
    ),
"Add")</f>
        <v>PCB</v>
      </c>
      <c r="B1291" s="10" t="str">
        <f t="shared" si="21"/>
        <v>0121</v>
      </c>
      <c r="C1291" s="10" t="str">
        <f>_xlfn.LET(
    _xlpm.val, IF(Datadetails[[#This Row],[Activity]]="D02","C20",Datadetails[[#This Row],[Activity]]),
    IF(ISNUMBER(MATCH(_xlpm.val,{"D04","C30","c40","C20"},0)), _xlpm.val, "Other")
)</f>
        <v>C40</v>
      </c>
      <c r="D1291" s="10" t="str">
        <f>IFERROR(VLOOKUP(Datadetails[[#This Row],[Taskcode]],Dashboard!A:A,1,FALSE),"00 Err Missing")</f>
        <v>0121</v>
      </c>
      <c r="E1291" s="79">
        <v>45840</v>
      </c>
      <c r="F1291" s="80" t="s">
        <v>329</v>
      </c>
      <c r="G1291" s="60" t="s">
        <v>40</v>
      </c>
      <c r="H1291" s="80" t="s">
        <v>288</v>
      </c>
      <c r="I1291" s="80" t="s">
        <v>341</v>
      </c>
      <c r="J1291" s="80" t="s">
        <v>405</v>
      </c>
      <c r="K1291" s="80" t="s">
        <v>347</v>
      </c>
      <c r="L1291" s="80" t="s">
        <v>344</v>
      </c>
      <c r="M1291" s="81">
        <v>2</v>
      </c>
      <c r="N1291" s="82">
        <v>150</v>
      </c>
    </row>
    <row r="1292" spans="1:14" x14ac:dyDescent="0.25">
      <c r="A1292" s="10" t="str">
        <f>_xlfn.IFNA(
    IF(J1292=
        "PCB-0001",
        "CSS",
        IF(
            ISNUMBER(MATCH(_xlfn.TEXTBEFORE(J1292,"-"), {"CSS","CSN","PCB","PCF","BEC","CSD","PCM"}, 0)),
            _xlfn.TEXTBEFORE(J1292,"-"),
            "Other"
        )
    ),
"Add")</f>
        <v>PCB</v>
      </c>
      <c r="B1292" s="10" t="str">
        <f t="shared" si="21"/>
        <v>0127</v>
      </c>
      <c r="C1292" s="10" t="str">
        <f>_xlfn.LET(
    _xlpm.val, IF(Datadetails[[#This Row],[Activity]]="D02","C20",Datadetails[[#This Row],[Activity]]),
    IF(ISNUMBER(MATCH(_xlpm.val,{"D04","C30","c40","C20"},0)), _xlpm.val, "Other")
)</f>
        <v>C40</v>
      </c>
      <c r="D1292" s="10" t="str">
        <f>IFERROR(VLOOKUP(Datadetails[[#This Row],[Taskcode]],Dashboard!A:A,1,FALSE),"00 Err Missing")</f>
        <v>0127</v>
      </c>
      <c r="E1292" s="79">
        <v>45840</v>
      </c>
      <c r="F1292" s="80" t="s">
        <v>329</v>
      </c>
      <c r="G1292" s="60" t="s">
        <v>40</v>
      </c>
      <c r="H1292" s="80" t="s">
        <v>294</v>
      </c>
      <c r="I1292" s="80" t="s">
        <v>341</v>
      </c>
      <c r="J1292" s="80" t="s">
        <v>377</v>
      </c>
      <c r="K1292" s="80" t="s">
        <v>347</v>
      </c>
      <c r="L1292" s="80" t="s">
        <v>344</v>
      </c>
      <c r="M1292" s="81">
        <v>2</v>
      </c>
      <c r="N1292" s="82">
        <v>150</v>
      </c>
    </row>
    <row r="1293" spans="1:14" x14ac:dyDescent="0.25">
      <c r="A1293" s="10" t="str">
        <f>_xlfn.IFNA(
    IF(J1293=
        "PCB-0001",
        "CSS",
        IF(
            ISNUMBER(MATCH(_xlfn.TEXTBEFORE(J1293,"-"), {"CSS","CSN","PCB","PCF","BEC","CSD","PCM"}, 0)),
            _xlfn.TEXTBEFORE(J1293,"-"),
            "Other"
        )
    ),
"Add")</f>
        <v>PCB</v>
      </c>
      <c r="B1293" s="10" t="str">
        <f t="shared" si="21"/>
        <v>0132</v>
      </c>
      <c r="C1293" s="10" t="str">
        <f>_xlfn.LET(
    _xlpm.val, IF(Datadetails[[#This Row],[Activity]]="D02","C20",Datadetails[[#This Row],[Activity]]),
    IF(ISNUMBER(MATCH(_xlpm.val,{"D04","C30","c40","C20"},0)), _xlpm.val, "Other")
)</f>
        <v>C20</v>
      </c>
      <c r="D1293" s="10" t="str">
        <f>IFERROR(VLOOKUP(Datadetails[[#This Row],[Taskcode]],Dashboard!A:A,1,FALSE),"00 Err Missing")</f>
        <v>0132</v>
      </c>
      <c r="E1293" s="79">
        <v>45840</v>
      </c>
      <c r="F1293" s="80" t="s">
        <v>329</v>
      </c>
      <c r="G1293" s="60" t="s">
        <v>40</v>
      </c>
      <c r="H1293" s="80" t="s">
        <v>299</v>
      </c>
      <c r="I1293" s="80" t="s">
        <v>312</v>
      </c>
      <c r="J1293" s="80" t="s">
        <v>455</v>
      </c>
      <c r="K1293" s="80" t="s">
        <v>347</v>
      </c>
      <c r="L1293" s="80" t="s">
        <v>350</v>
      </c>
      <c r="M1293" s="81">
        <v>0.5</v>
      </c>
      <c r="N1293" s="82">
        <v>37.5</v>
      </c>
    </row>
    <row r="1294" spans="1:14" x14ac:dyDescent="0.25">
      <c r="A1294" s="10" t="str">
        <f>_xlfn.IFNA(
    IF(J1294=
        "PCB-0001",
        "CSS",
        IF(
            ISNUMBER(MATCH(_xlfn.TEXTBEFORE(J1294,"-"), {"CSS","CSN","PCB","PCF","BEC","CSD","PCM"}, 0)),
            _xlfn.TEXTBEFORE(J1294,"-"),
            "Other"
        )
    ),
"Add")</f>
        <v>PCF</v>
      </c>
      <c r="B1294" s="10" t="str">
        <f t="shared" si="21"/>
        <v>0008</v>
      </c>
      <c r="C1294" s="10" t="str">
        <f>_xlfn.LET(
    _xlpm.val, IF(Datadetails[[#This Row],[Activity]]="D02","C20",Datadetails[[#This Row],[Activity]]),
    IF(ISNUMBER(MATCH(_xlpm.val,{"D04","C30","c40","C20"},0)), _xlpm.val, "Other")
)</f>
        <v>C20</v>
      </c>
      <c r="D1294" s="10" t="str">
        <f>IFERROR(VLOOKUP(Datadetails[[#This Row],[Taskcode]],Dashboard!A:A,1,FALSE),"00 Err Missing")</f>
        <v>0008</v>
      </c>
      <c r="E1294" s="79">
        <v>45840</v>
      </c>
      <c r="F1294" s="80" t="s">
        <v>326</v>
      </c>
      <c r="G1294" s="60" t="s">
        <v>40</v>
      </c>
      <c r="H1294" s="80" t="s">
        <v>175</v>
      </c>
      <c r="I1294" s="80" t="s">
        <v>36</v>
      </c>
      <c r="J1294" s="80" t="s">
        <v>388</v>
      </c>
      <c r="K1294" s="80" t="s">
        <v>348</v>
      </c>
      <c r="L1294" s="80" t="s">
        <v>342</v>
      </c>
      <c r="M1294" s="81">
        <v>0.83</v>
      </c>
      <c r="N1294" s="82">
        <v>49.8</v>
      </c>
    </row>
    <row r="1295" spans="1:14" x14ac:dyDescent="0.25">
      <c r="A1295" s="10" t="str">
        <f>_xlfn.IFNA(
    IF(J1295=
        "PCB-0001",
        "CSS",
        IF(
            ISNUMBER(MATCH(_xlfn.TEXTBEFORE(J1295,"-"), {"CSS","CSN","PCB","PCF","BEC","CSD","PCM"}, 0)),
            _xlfn.TEXTBEFORE(J1295,"-"),
            "Other"
        )
    ),
"Add")</f>
        <v>PCF</v>
      </c>
      <c r="B1295" s="10" t="str">
        <f t="shared" si="21"/>
        <v>0040</v>
      </c>
      <c r="C1295" s="10" t="str">
        <f>_xlfn.LET(
    _xlpm.val, IF(Datadetails[[#This Row],[Activity]]="D02","C20",Datadetails[[#This Row],[Activity]]),
    IF(ISNUMBER(MATCH(_xlpm.val,{"D04","C30","c40","C20"},0)), _xlpm.val, "Other")
)</f>
        <v>C30</v>
      </c>
      <c r="D1295" s="10" t="str">
        <f>IFERROR(VLOOKUP(Datadetails[[#This Row],[Taskcode]],Dashboard!A:A,1,FALSE),"00 Err Missing")</f>
        <v>0040</v>
      </c>
      <c r="E1295" s="79">
        <v>45840</v>
      </c>
      <c r="F1295" s="80" t="s">
        <v>326</v>
      </c>
      <c r="G1295" s="60" t="s">
        <v>40</v>
      </c>
      <c r="H1295" s="80" t="s">
        <v>207</v>
      </c>
      <c r="I1295" s="80" t="s">
        <v>34</v>
      </c>
      <c r="J1295" s="80" t="s">
        <v>417</v>
      </c>
      <c r="K1295" s="80" t="s">
        <v>348</v>
      </c>
      <c r="L1295" s="80" t="s">
        <v>343</v>
      </c>
      <c r="M1295" s="81">
        <v>0.5</v>
      </c>
      <c r="N1295" s="82">
        <v>30</v>
      </c>
    </row>
    <row r="1296" spans="1:14" x14ac:dyDescent="0.25">
      <c r="A1296" s="10" t="str">
        <f>_xlfn.IFNA(
    IF(J1296=
        "PCB-0001",
        "CSS",
        IF(
            ISNUMBER(MATCH(_xlfn.TEXTBEFORE(J1296,"-"), {"CSS","CSN","PCB","PCF","BEC","CSD","PCM"}, 0)),
            _xlfn.TEXTBEFORE(J1296,"-"),
            "Other"
        )
    ),
"Add")</f>
        <v>PCF</v>
      </c>
      <c r="B1296" s="10" t="str">
        <f t="shared" si="21"/>
        <v>0067</v>
      </c>
      <c r="C1296" s="10" t="str">
        <f>_xlfn.LET(
    _xlpm.val, IF(Datadetails[[#This Row],[Activity]]="D02","C20",Datadetails[[#This Row],[Activity]]),
    IF(ISNUMBER(MATCH(_xlpm.val,{"D04","C30","c40","C20"},0)), _xlpm.val, "Other")
)</f>
        <v>C30</v>
      </c>
      <c r="D1296" s="10" t="str">
        <f>IFERROR(VLOOKUP(Datadetails[[#This Row],[Taskcode]],Dashboard!A:A,1,FALSE),"00 Err Missing")</f>
        <v>0067</v>
      </c>
      <c r="E1296" s="79">
        <v>45840</v>
      </c>
      <c r="F1296" s="80" t="s">
        <v>326</v>
      </c>
      <c r="G1296" s="60" t="s">
        <v>40</v>
      </c>
      <c r="H1296" s="80" t="s">
        <v>234</v>
      </c>
      <c r="I1296" s="80" t="s">
        <v>34</v>
      </c>
      <c r="J1296" s="80" t="s">
        <v>389</v>
      </c>
      <c r="K1296" s="80" t="s">
        <v>348</v>
      </c>
      <c r="L1296" s="80" t="s">
        <v>343</v>
      </c>
      <c r="M1296" s="81">
        <v>0.67</v>
      </c>
      <c r="N1296" s="82">
        <v>40.200000000000003</v>
      </c>
    </row>
    <row r="1297" spans="1:14" x14ac:dyDescent="0.25">
      <c r="A1297" s="10" t="str">
        <f>_xlfn.IFNA(
    IF(J1297=
        "PCB-0001",
        "CSS",
        IF(
            ISNUMBER(MATCH(_xlfn.TEXTBEFORE(J1297,"-"), {"CSS","CSN","PCB","PCF","BEC","CSD","PCM"}, 0)),
            _xlfn.TEXTBEFORE(J1297,"-"),
            "Other"
        )
    ),
"Add")</f>
        <v>PCF</v>
      </c>
      <c r="B1297" s="10" t="str">
        <f t="shared" si="21"/>
        <v>0021</v>
      </c>
      <c r="C1297" s="10" t="str">
        <f>_xlfn.LET(
    _xlpm.val, IF(Datadetails[[#This Row],[Activity]]="D02","C20",Datadetails[[#This Row],[Activity]]),
    IF(ISNUMBER(MATCH(_xlpm.val,{"D04","C30","c40","C20"},0)), _xlpm.val, "Other")
)</f>
        <v>C30</v>
      </c>
      <c r="D1297" s="10" t="str">
        <f>IFERROR(VLOOKUP(Datadetails[[#This Row],[Taskcode]],Dashboard!A:A,1,FALSE),"00 Err Missing")</f>
        <v>0021</v>
      </c>
      <c r="E1297" s="79">
        <v>45840</v>
      </c>
      <c r="F1297" s="80" t="s">
        <v>326</v>
      </c>
      <c r="G1297" s="60" t="s">
        <v>40</v>
      </c>
      <c r="H1297" s="80" t="s">
        <v>188</v>
      </c>
      <c r="I1297" s="80" t="s">
        <v>34</v>
      </c>
      <c r="J1297" s="80" t="s">
        <v>356</v>
      </c>
      <c r="K1297" s="80" t="s">
        <v>348</v>
      </c>
      <c r="L1297" s="80" t="s">
        <v>343</v>
      </c>
      <c r="M1297" s="81">
        <v>0.75</v>
      </c>
      <c r="N1297" s="82">
        <v>45</v>
      </c>
    </row>
    <row r="1298" spans="1:14" x14ac:dyDescent="0.25">
      <c r="A1298" s="10" t="str">
        <f>_xlfn.IFNA(
    IF(J1298=
        "PCB-0001",
        "CSS",
        IF(
            ISNUMBER(MATCH(_xlfn.TEXTBEFORE(J1298,"-"), {"CSS","CSN","PCB","PCF","BEC","CSD","PCM"}, 0)),
            _xlfn.TEXTBEFORE(J1298,"-"),
            "Other"
        )
    ),
"Add")</f>
        <v>BEC</v>
      </c>
      <c r="B1298" s="10" t="str">
        <f t="shared" si="21"/>
        <v>0001</v>
      </c>
      <c r="C1298" s="10" t="str">
        <f>_xlfn.LET(
    _xlpm.val, IF(Datadetails[[#This Row],[Activity]]="D02","C20",Datadetails[[#This Row],[Activity]]),
    IF(ISNUMBER(MATCH(_xlpm.val,{"D04","C30","c40","C20"},0)), _xlpm.val, "Other")
)</f>
        <v>D04</v>
      </c>
      <c r="D1298" s="10" t="str">
        <f>IFERROR(VLOOKUP(Datadetails[[#This Row],[Taskcode]],Dashboard!A:A,1,FALSE),"00 Err Missing")</f>
        <v>0001</v>
      </c>
      <c r="E1298" s="79">
        <v>45840</v>
      </c>
      <c r="F1298" s="80" t="s">
        <v>332</v>
      </c>
      <c r="G1298" s="60" t="s">
        <v>40</v>
      </c>
      <c r="H1298" s="80" t="s">
        <v>314</v>
      </c>
      <c r="I1298" s="80" t="s">
        <v>35</v>
      </c>
      <c r="J1298" s="80" t="s">
        <v>359</v>
      </c>
      <c r="K1298" s="80" t="s">
        <v>339</v>
      </c>
      <c r="L1298" s="80" t="s">
        <v>352</v>
      </c>
      <c r="M1298" s="81">
        <v>9</v>
      </c>
      <c r="N1298" s="82">
        <v>360</v>
      </c>
    </row>
    <row r="1299" spans="1:14" x14ac:dyDescent="0.25">
      <c r="A1299" s="10" t="str">
        <f>_xlfn.IFNA(
    IF(J1299=
        "PCB-0001",
        "CSS",
        IF(
            ISNUMBER(MATCH(_xlfn.TEXTBEFORE(J1299,"-"), {"CSS","CSN","PCB","PCF","BEC","CSD","PCM"}, 0)),
            _xlfn.TEXTBEFORE(J1299,"-"),
            "Other"
        )
    ),
"Add")</f>
        <v>PCB</v>
      </c>
      <c r="B1299" s="10" t="str">
        <f t="shared" si="21"/>
        <v>0102</v>
      </c>
      <c r="C1299" s="10" t="str">
        <f>_xlfn.LET(
    _xlpm.val, IF(Datadetails[[#This Row],[Activity]]="D02","C20",Datadetails[[#This Row],[Activity]]),
    IF(ISNUMBER(MATCH(_xlpm.val,{"D04","C30","c40","C20"},0)), _xlpm.val, "Other")
)</f>
        <v>C30</v>
      </c>
      <c r="D1299" s="10" t="str">
        <f>IFERROR(VLOOKUP(Datadetails[[#This Row],[Taskcode]],Dashboard!A:A,1,FALSE),"00 Err Missing")</f>
        <v>0102</v>
      </c>
      <c r="E1299" s="79">
        <v>45841</v>
      </c>
      <c r="F1299" s="80" t="s">
        <v>329</v>
      </c>
      <c r="G1299" s="60" t="s">
        <v>40</v>
      </c>
      <c r="H1299" s="80" t="s">
        <v>269</v>
      </c>
      <c r="I1299" s="80" t="s">
        <v>34</v>
      </c>
      <c r="J1299" s="80" t="s">
        <v>361</v>
      </c>
      <c r="K1299" s="80" t="s">
        <v>347</v>
      </c>
      <c r="L1299" s="80" t="s">
        <v>343</v>
      </c>
      <c r="M1299" s="81">
        <v>0.5</v>
      </c>
      <c r="N1299" s="82">
        <v>37.5</v>
      </c>
    </row>
    <row r="1300" spans="1:14" x14ac:dyDescent="0.25">
      <c r="A1300" s="10" t="str">
        <f>_xlfn.IFNA(
    IF(J1300=
        "PCB-0001",
        "CSS",
        IF(
            ISNUMBER(MATCH(_xlfn.TEXTBEFORE(J1300,"-"), {"CSS","CSN","PCB","PCF","BEC","CSD","PCM"}, 0)),
            _xlfn.TEXTBEFORE(J1300,"-"),
            "Other"
        )
    ),
"Add")</f>
        <v>PCB</v>
      </c>
      <c r="B1300" s="10" t="str">
        <f t="shared" si="21"/>
        <v>0105</v>
      </c>
      <c r="C1300" s="10" t="str">
        <f>_xlfn.LET(
    _xlpm.val, IF(Datadetails[[#This Row],[Activity]]="D02","C20",Datadetails[[#This Row],[Activity]]),
    IF(ISNUMBER(MATCH(_xlpm.val,{"D04","C30","c40","C20"},0)), _xlpm.val, "Other")
)</f>
        <v>C30</v>
      </c>
      <c r="D1300" s="10" t="str">
        <f>IFERROR(VLOOKUP(Datadetails[[#This Row],[Taskcode]],Dashboard!A:A,1,FALSE),"00 Err Missing")</f>
        <v>0105</v>
      </c>
      <c r="E1300" s="79">
        <v>45841</v>
      </c>
      <c r="F1300" s="80" t="s">
        <v>329</v>
      </c>
      <c r="G1300" s="60" t="s">
        <v>40</v>
      </c>
      <c r="H1300" s="80" t="s">
        <v>272</v>
      </c>
      <c r="I1300" s="80" t="s">
        <v>34</v>
      </c>
      <c r="J1300" s="80" t="s">
        <v>362</v>
      </c>
      <c r="K1300" s="80" t="s">
        <v>347</v>
      </c>
      <c r="L1300" s="80" t="s">
        <v>343</v>
      </c>
      <c r="M1300" s="81">
        <v>0.17</v>
      </c>
      <c r="N1300" s="82">
        <v>12.750000000000002</v>
      </c>
    </row>
    <row r="1301" spans="1:14" x14ac:dyDescent="0.25">
      <c r="A1301" s="10" t="str">
        <f>_xlfn.IFNA(
    IF(J1301=
        "PCB-0001",
        "CSS",
        IF(
            ISNUMBER(MATCH(_xlfn.TEXTBEFORE(J1301,"-"), {"CSS","CSN","PCB","PCF","BEC","CSD","PCM"}, 0)),
            _xlfn.TEXTBEFORE(J1301,"-"),
            "Other"
        )
    ),
"Add")</f>
        <v>CSN</v>
      </c>
      <c r="B1301" s="10" t="str">
        <f t="shared" si="21"/>
        <v>0001</v>
      </c>
      <c r="C1301" s="10" t="str">
        <f>_xlfn.LET(
    _xlpm.val, IF(Datadetails[[#This Row],[Activity]]="D02","C20",Datadetails[[#This Row],[Activity]]),
    IF(ISNUMBER(MATCH(_xlpm.val,{"D04","C30","c40","C20"},0)), _xlpm.val, "Other")
)</f>
        <v>D04</v>
      </c>
      <c r="D1301" s="10" t="str">
        <f>IFERROR(VLOOKUP(Datadetails[[#This Row],[Taskcode]],Dashboard!A:A,1,FALSE),"00 Err Missing")</f>
        <v>0001</v>
      </c>
      <c r="E1301" s="79">
        <v>45841</v>
      </c>
      <c r="F1301" s="80" t="s">
        <v>329</v>
      </c>
      <c r="G1301" s="60" t="s">
        <v>40</v>
      </c>
      <c r="H1301" s="80" t="s">
        <v>316</v>
      </c>
      <c r="I1301" s="80" t="s">
        <v>35</v>
      </c>
      <c r="J1301" s="80" t="s">
        <v>338</v>
      </c>
      <c r="K1301" s="80" t="s">
        <v>337</v>
      </c>
      <c r="L1301" s="80" t="s">
        <v>352</v>
      </c>
      <c r="M1301" s="81">
        <v>0.83</v>
      </c>
      <c r="N1301" s="82">
        <v>62.25</v>
      </c>
    </row>
    <row r="1302" spans="1:14" x14ac:dyDescent="0.25">
      <c r="A1302" s="10" t="str">
        <f>_xlfn.IFNA(
    IF(J1302=
        "PCB-0001",
        "CSS",
        IF(
            ISNUMBER(MATCH(_xlfn.TEXTBEFORE(J1302,"-"), {"CSS","CSN","PCB","PCF","BEC","CSD","PCM"}, 0)),
            _xlfn.TEXTBEFORE(J1302,"-"),
            "Other"
        )
    ),
"Add")</f>
        <v>CSD</v>
      </c>
      <c r="B1302" s="10" t="str">
        <f t="shared" si="21"/>
        <v>0001</v>
      </c>
      <c r="C1302" s="10" t="str">
        <f>_xlfn.LET(
    _xlpm.val, IF(Datadetails[[#This Row],[Activity]]="D02","C20",Datadetails[[#This Row],[Activity]]),
    IF(ISNUMBER(MATCH(_xlpm.val,{"D04","C30","c40","C20"},0)), _xlpm.val, "Other")
)</f>
        <v>D04</v>
      </c>
      <c r="D1302" s="10" t="str">
        <f>IFERROR(VLOOKUP(Datadetails[[#This Row],[Taskcode]],Dashboard!A:A,1,FALSE),"00 Err Missing")</f>
        <v>0001</v>
      </c>
      <c r="E1302" s="79">
        <v>45841</v>
      </c>
      <c r="F1302" s="80" t="s">
        <v>327</v>
      </c>
      <c r="G1302" s="60" t="s">
        <v>40</v>
      </c>
      <c r="H1302" s="80" t="s">
        <v>320</v>
      </c>
      <c r="I1302" s="80" t="s">
        <v>35</v>
      </c>
      <c r="J1302" s="80" t="s">
        <v>322</v>
      </c>
      <c r="K1302" s="80" t="s">
        <v>319</v>
      </c>
      <c r="L1302" s="80" t="s">
        <v>352</v>
      </c>
      <c r="M1302" s="81">
        <v>7.33</v>
      </c>
      <c r="N1302" s="82">
        <v>234.56</v>
      </c>
    </row>
    <row r="1303" spans="1:14" x14ac:dyDescent="0.25">
      <c r="A1303" s="10" t="str">
        <f>_xlfn.IFNA(
    IF(J1303=
        "PCB-0001",
        "CSS",
        IF(
            ISNUMBER(MATCH(_xlfn.TEXTBEFORE(J1303,"-"), {"CSS","CSN","PCB","PCF","BEC","CSD","PCM"}, 0)),
            _xlfn.TEXTBEFORE(J1303,"-"),
            "Other"
        )
    ),
"Add")</f>
        <v>CSD</v>
      </c>
      <c r="B1303" s="10" t="str">
        <f t="shared" si="21"/>
        <v>0001</v>
      </c>
      <c r="C1303" s="10" t="str">
        <f>_xlfn.LET(
    _xlpm.val, IF(Datadetails[[#This Row],[Activity]]="D02","C20",Datadetails[[#This Row],[Activity]]),
    IF(ISNUMBER(MATCH(_xlpm.val,{"D04","C30","c40","C20"},0)), _xlpm.val, "Other")
)</f>
        <v>D04</v>
      </c>
      <c r="D1303" s="10" t="str">
        <f>IFERROR(VLOOKUP(Datadetails[[#This Row],[Taskcode]],Dashboard!A:A,1,FALSE),"00 Err Missing")</f>
        <v>0001</v>
      </c>
      <c r="E1303" s="79">
        <v>45841</v>
      </c>
      <c r="F1303" s="80" t="s">
        <v>333</v>
      </c>
      <c r="G1303" s="60" t="s">
        <v>40</v>
      </c>
      <c r="H1303" s="80" t="s">
        <v>320</v>
      </c>
      <c r="I1303" s="80" t="s">
        <v>35</v>
      </c>
      <c r="J1303" s="80" t="s">
        <v>322</v>
      </c>
      <c r="K1303" s="80" t="s">
        <v>319</v>
      </c>
      <c r="L1303" s="80" t="s">
        <v>352</v>
      </c>
      <c r="M1303" s="81">
        <v>7.42</v>
      </c>
      <c r="N1303" s="82">
        <v>237.44</v>
      </c>
    </row>
    <row r="1304" spans="1:14" x14ac:dyDescent="0.25">
      <c r="A1304" s="10" t="str">
        <f>_xlfn.IFNA(
    IF(J1304=
        "PCB-0001",
        "CSS",
        IF(
            ISNUMBER(MATCH(_xlfn.TEXTBEFORE(J1304,"-"), {"CSS","CSN","PCB","PCF","BEC","CSD","PCM"}, 0)),
            _xlfn.TEXTBEFORE(J1304,"-"),
            "Other"
        )
    ),
"Add")</f>
        <v>PCM</v>
      </c>
      <c r="B1304" s="10" t="str">
        <f t="shared" si="21"/>
        <v>0078</v>
      </c>
      <c r="C1304" s="10" t="str">
        <f>_xlfn.LET(
    _xlpm.val, IF(Datadetails[[#This Row],[Activity]]="D02","C20",Datadetails[[#This Row],[Activity]]),
    IF(ISNUMBER(MATCH(_xlpm.val,{"D04","C30","c40","C20"},0)), _xlpm.val, "Other")
)</f>
        <v>C20</v>
      </c>
      <c r="D1304" s="10" t="str">
        <f>IFERROR(VLOOKUP(Datadetails[[#This Row],[Taskcode]],Dashboard!A:A,1,FALSE),"00 Err Missing")</f>
        <v>0078</v>
      </c>
      <c r="E1304" s="79">
        <v>45841</v>
      </c>
      <c r="F1304" s="80" t="s">
        <v>323</v>
      </c>
      <c r="G1304" s="60" t="s">
        <v>40</v>
      </c>
      <c r="H1304" s="80" t="s">
        <v>245</v>
      </c>
      <c r="I1304" s="80" t="s">
        <v>36</v>
      </c>
      <c r="J1304" s="80" t="s">
        <v>435</v>
      </c>
      <c r="K1304" s="80" t="s">
        <v>346</v>
      </c>
      <c r="L1304" s="80" t="s">
        <v>342</v>
      </c>
      <c r="M1304" s="81">
        <v>0.25</v>
      </c>
      <c r="N1304" s="82">
        <v>15</v>
      </c>
    </row>
    <row r="1305" spans="1:14" x14ac:dyDescent="0.25">
      <c r="A1305" s="10" t="str">
        <f>_xlfn.IFNA(
    IF(J1305=
        "PCB-0001",
        "CSS",
        IF(
            ISNUMBER(MATCH(_xlfn.TEXTBEFORE(J1305,"-"), {"CSS","CSN","PCB","PCF","BEC","CSD","PCM"}, 0)),
            _xlfn.TEXTBEFORE(J1305,"-"),
            "Other"
        )
    ),
"Add")</f>
        <v>PCM</v>
      </c>
      <c r="B1305" s="10" t="str">
        <f t="shared" si="21"/>
        <v>0116</v>
      </c>
      <c r="C1305" s="10" t="str">
        <f>_xlfn.LET(
    _xlpm.val, IF(Datadetails[[#This Row],[Activity]]="D02","C20",Datadetails[[#This Row],[Activity]]),
    IF(ISNUMBER(MATCH(_xlpm.val,{"D04","C30","c40","C20"},0)), _xlpm.val, "Other")
)</f>
        <v>C20</v>
      </c>
      <c r="D1305" s="10" t="str">
        <f>IFERROR(VLOOKUP(Datadetails[[#This Row],[Taskcode]],Dashboard!A:A,1,FALSE),"00 Err Missing")</f>
        <v>0116</v>
      </c>
      <c r="E1305" s="79">
        <v>45841</v>
      </c>
      <c r="F1305" s="80" t="s">
        <v>323</v>
      </c>
      <c r="G1305" s="60" t="s">
        <v>40</v>
      </c>
      <c r="H1305" s="80" t="s">
        <v>283</v>
      </c>
      <c r="I1305" s="80" t="s">
        <v>36</v>
      </c>
      <c r="J1305" s="80" t="s">
        <v>429</v>
      </c>
      <c r="K1305" s="80" t="s">
        <v>346</v>
      </c>
      <c r="L1305" s="80" t="s">
        <v>342</v>
      </c>
      <c r="M1305" s="81">
        <v>0.33</v>
      </c>
      <c r="N1305" s="82">
        <v>19.8</v>
      </c>
    </row>
    <row r="1306" spans="1:14" x14ac:dyDescent="0.25">
      <c r="A1306" s="10" t="str">
        <f>_xlfn.IFNA(
    IF(J1306=
        "PCB-0001",
        "CSS",
        IF(
            ISNUMBER(MATCH(_xlfn.TEXTBEFORE(J1306,"-"), {"CSS","CSN","PCB","PCF","BEC","CSD","PCM"}, 0)),
            _xlfn.TEXTBEFORE(J1306,"-"),
            "Other"
        )
    ),
"Add")</f>
        <v>PCM</v>
      </c>
      <c r="B1306" s="10" t="str">
        <f t="shared" si="21"/>
        <v>0119</v>
      </c>
      <c r="C1306" s="10" t="str">
        <f>_xlfn.LET(
    _xlpm.val, IF(Datadetails[[#This Row],[Activity]]="D02","C20",Datadetails[[#This Row],[Activity]]),
    IF(ISNUMBER(MATCH(_xlpm.val,{"D04","C30","c40","C20"},0)), _xlpm.val, "Other")
)</f>
        <v>C20</v>
      </c>
      <c r="D1306" s="10" t="str">
        <f>IFERROR(VLOOKUP(Datadetails[[#This Row],[Taskcode]],Dashboard!A:A,1,FALSE),"00 Err Missing")</f>
        <v>0119</v>
      </c>
      <c r="E1306" s="79">
        <v>45841</v>
      </c>
      <c r="F1306" s="80" t="s">
        <v>323</v>
      </c>
      <c r="G1306" s="60" t="s">
        <v>40</v>
      </c>
      <c r="H1306" s="80" t="s">
        <v>286</v>
      </c>
      <c r="I1306" s="80" t="s">
        <v>36</v>
      </c>
      <c r="J1306" s="80" t="s">
        <v>434</v>
      </c>
      <c r="K1306" s="80" t="s">
        <v>346</v>
      </c>
      <c r="L1306" s="80" t="s">
        <v>342</v>
      </c>
      <c r="M1306" s="81">
        <v>0.25</v>
      </c>
      <c r="N1306" s="82">
        <v>15</v>
      </c>
    </row>
    <row r="1307" spans="1:14" x14ac:dyDescent="0.25">
      <c r="A1307" s="10" t="str">
        <f>_xlfn.IFNA(
    IF(J1307=
        "PCB-0001",
        "CSS",
        IF(
            ISNUMBER(MATCH(_xlfn.TEXTBEFORE(J1307,"-"), {"CSS","CSN","PCB","PCF","BEC","CSD","PCM"}, 0)),
            _xlfn.TEXTBEFORE(J1307,"-"),
            "Other"
        )
    ),
"Add")</f>
        <v>PCM</v>
      </c>
      <c r="B1307" s="10" t="str">
        <f t="shared" si="21"/>
        <v>0099</v>
      </c>
      <c r="C1307" s="10" t="str">
        <f>_xlfn.LET(
    _xlpm.val, IF(Datadetails[[#This Row],[Activity]]="D02","C20",Datadetails[[#This Row],[Activity]]),
    IF(ISNUMBER(MATCH(_xlpm.val,{"D04","C30","c40","C20"},0)), _xlpm.val, "Other")
)</f>
        <v>C20</v>
      </c>
      <c r="D1307" s="10" t="str">
        <f>IFERROR(VLOOKUP(Datadetails[[#This Row],[Taskcode]],Dashboard!A:A,1,FALSE),"00 Err Missing")</f>
        <v>0099</v>
      </c>
      <c r="E1307" s="79">
        <v>45841</v>
      </c>
      <c r="F1307" s="80" t="s">
        <v>323</v>
      </c>
      <c r="G1307" s="60" t="s">
        <v>40</v>
      </c>
      <c r="H1307" s="80" t="s">
        <v>266</v>
      </c>
      <c r="I1307" s="80" t="s">
        <v>36</v>
      </c>
      <c r="J1307" s="80" t="s">
        <v>394</v>
      </c>
      <c r="K1307" s="80" t="s">
        <v>346</v>
      </c>
      <c r="L1307" s="80" t="s">
        <v>342</v>
      </c>
      <c r="M1307" s="81">
        <v>0.5</v>
      </c>
      <c r="N1307" s="82">
        <v>30</v>
      </c>
    </row>
    <row r="1308" spans="1:14" x14ac:dyDescent="0.25">
      <c r="A1308" s="10" t="str">
        <f>_xlfn.IFNA(
    IF(J1308=
        "PCB-0001",
        "CSS",
        IF(
            ISNUMBER(MATCH(_xlfn.TEXTBEFORE(J1308,"-"), {"CSS","CSN","PCB","PCF","BEC","CSD","PCM"}, 0)),
            _xlfn.TEXTBEFORE(J1308,"-"),
            "Other"
        )
    ),
"Add")</f>
        <v>PCM</v>
      </c>
      <c r="B1308" s="10" t="str">
        <f t="shared" si="21"/>
        <v>0114</v>
      </c>
      <c r="C1308" s="10" t="str">
        <f>_xlfn.LET(
    _xlpm.val, IF(Datadetails[[#This Row],[Activity]]="D02","C20",Datadetails[[#This Row],[Activity]]),
    IF(ISNUMBER(MATCH(_xlpm.val,{"D04","C30","c40","C20"},0)), _xlpm.val, "Other")
)</f>
        <v>C20</v>
      </c>
      <c r="D1308" s="10" t="str">
        <f>IFERROR(VLOOKUP(Datadetails[[#This Row],[Taskcode]],Dashboard!A:A,1,FALSE),"00 Err Missing")</f>
        <v>0114</v>
      </c>
      <c r="E1308" s="79">
        <v>45841</v>
      </c>
      <c r="F1308" s="80" t="s">
        <v>323</v>
      </c>
      <c r="G1308" s="60" t="s">
        <v>40</v>
      </c>
      <c r="H1308" s="80" t="s">
        <v>281</v>
      </c>
      <c r="I1308" s="80" t="s">
        <v>36</v>
      </c>
      <c r="J1308" s="80" t="s">
        <v>430</v>
      </c>
      <c r="K1308" s="80" t="s">
        <v>346</v>
      </c>
      <c r="L1308" s="80" t="s">
        <v>342</v>
      </c>
      <c r="M1308" s="81">
        <v>0.5</v>
      </c>
      <c r="N1308" s="82">
        <v>30</v>
      </c>
    </row>
    <row r="1309" spans="1:14" x14ac:dyDescent="0.25">
      <c r="A1309" s="10" t="str">
        <f>_xlfn.IFNA(
    IF(J1309=
        "PCB-0001",
        "CSS",
        IF(
            ISNUMBER(MATCH(_xlfn.TEXTBEFORE(J1309,"-"), {"CSS","CSN","PCB","PCF","BEC","CSD","PCM"}, 0)),
            _xlfn.TEXTBEFORE(J1309,"-"),
            "Other"
        )
    ),
"Add")</f>
        <v>PCB</v>
      </c>
      <c r="B1309" s="10" t="str">
        <f t="shared" si="21"/>
        <v>0031</v>
      </c>
      <c r="C1309" s="10" t="str">
        <f>_xlfn.LET(
    _xlpm.val, IF(Datadetails[[#This Row],[Activity]]="D02","C20",Datadetails[[#This Row],[Activity]]),
    IF(ISNUMBER(MATCH(_xlpm.val,{"D04","C30","c40","C20"},0)), _xlpm.val, "Other")
)</f>
        <v>C20</v>
      </c>
      <c r="D1309" s="10" t="str">
        <f>IFERROR(VLOOKUP(Datadetails[[#This Row],[Taskcode]],Dashboard!A:A,1,FALSE),"00 Err Missing")</f>
        <v>0031</v>
      </c>
      <c r="E1309" s="79">
        <v>45841</v>
      </c>
      <c r="F1309" s="80" t="s">
        <v>325</v>
      </c>
      <c r="G1309" s="60" t="s">
        <v>40</v>
      </c>
      <c r="H1309" s="80" t="s">
        <v>198</v>
      </c>
      <c r="I1309" s="80" t="s">
        <v>36</v>
      </c>
      <c r="J1309" s="80" t="s">
        <v>413</v>
      </c>
      <c r="K1309" s="80" t="s">
        <v>347</v>
      </c>
      <c r="L1309" s="80" t="s">
        <v>342</v>
      </c>
      <c r="M1309" s="81">
        <v>0.33</v>
      </c>
      <c r="N1309" s="82">
        <v>24.75</v>
      </c>
    </row>
    <row r="1310" spans="1:14" x14ac:dyDescent="0.25">
      <c r="A1310" s="10" t="str">
        <f>_xlfn.IFNA(
    IF(J1310=
        "PCB-0001",
        "CSS",
        IF(
            ISNUMBER(MATCH(_xlfn.TEXTBEFORE(J1310,"-"), {"CSS","CSN","PCB","PCF","BEC","CSD","PCM"}, 0)),
            _xlfn.TEXTBEFORE(J1310,"-"),
            "Other"
        )
    ),
"Add")</f>
        <v>PCB</v>
      </c>
      <c r="B1310" s="10" t="str">
        <f t="shared" si="21"/>
        <v>0030</v>
      </c>
      <c r="C1310" s="10" t="str">
        <f>_xlfn.LET(
    _xlpm.val, IF(Datadetails[[#This Row],[Activity]]="D02","C20",Datadetails[[#This Row],[Activity]]),
    IF(ISNUMBER(MATCH(_xlpm.val,{"D04","C30","c40","C20"},0)), _xlpm.val, "Other")
)</f>
        <v>C30</v>
      </c>
      <c r="D1310" s="10" t="str">
        <f>IFERROR(VLOOKUP(Datadetails[[#This Row],[Taskcode]],Dashboard!A:A,1,FALSE),"00 Err Missing")</f>
        <v>0030</v>
      </c>
      <c r="E1310" s="79">
        <v>45841</v>
      </c>
      <c r="F1310" s="80" t="s">
        <v>329</v>
      </c>
      <c r="G1310" s="60" t="s">
        <v>40</v>
      </c>
      <c r="H1310" s="80" t="s">
        <v>197</v>
      </c>
      <c r="I1310" s="80" t="s">
        <v>34</v>
      </c>
      <c r="J1310" s="80" t="s">
        <v>366</v>
      </c>
      <c r="K1310" s="80" t="s">
        <v>347</v>
      </c>
      <c r="L1310" s="80" t="s">
        <v>343</v>
      </c>
      <c r="M1310" s="81">
        <v>0.17</v>
      </c>
      <c r="N1310" s="82">
        <v>12.750000000000002</v>
      </c>
    </row>
    <row r="1311" spans="1:14" x14ac:dyDescent="0.25">
      <c r="A1311" s="10" t="str">
        <f>_xlfn.IFNA(
    IF(J1311=
        "PCB-0001",
        "CSS",
        IF(
            ISNUMBER(MATCH(_xlfn.TEXTBEFORE(J1311,"-"), {"CSS","CSN","PCB","PCF","BEC","CSD","PCM"}, 0)),
            _xlfn.TEXTBEFORE(J1311,"-"),
            "Other"
        )
    ),
"Add")</f>
        <v>PCB</v>
      </c>
      <c r="B1311" s="10" t="str">
        <f t="shared" si="21"/>
        <v>0134</v>
      </c>
      <c r="C1311" s="10" t="str">
        <f>_xlfn.LET(
    _xlpm.val, IF(Datadetails[[#This Row],[Activity]]="D02","C20",Datadetails[[#This Row],[Activity]]),
    IF(ISNUMBER(MATCH(_xlpm.val,{"D04","C30","c40","C20"},0)), _xlpm.val, "Other")
)</f>
        <v>C30</v>
      </c>
      <c r="D1311" s="10" t="str">
        <f>IFERROR(VLOOKUP(Datadetails[[#This Row],[Taskcode]],Dashboard!A:A,1,FALSE),"00 Err Missing")</f>
        <v>0134</v>
      </c>
      <c r="E1311" s="79">
        <v>45841</v>
      </c>
      <c r="F1311" s="80" t="s">
        <v>329</v>
      </c>
      <c r="G1311" s="60" t="s">
        <v>40</v>
      </c>
      <c r="H1311" s="80" t="s">
        <v>301</v>
      </c>
      <c r="I1311" s="80" t="s">
        <v>34</v>
      </c>
      <c r="J1311" s="80" t="s">
        <v>371</v>
      </c>
      <c r="K1311" s="80" t="s">
        <v>347</v>
      </c>
      <c r="L1311" s="80" t="s">
        <v>343</v>
      </c>
      <c r="M1311" s="81">
        <v>0.25</v>
      </c>
      <c r="N1311" s="82">
        <v>18.75</v>
      </c>
    </row>
    <row r="1312" spans="1:14" x14ac:dyDescent="0.25">
      <c r="A1312" s="10" t="str">
        <f>_xlfn.IFNA(
    IF(J1312=
        "PCB-0001",
        "CSS",
        IF(
            ISNUMBER(MATCH(_xlfn.TEXTBEFORE(J1312,"-"), {"CSS","CSN","PCB","PCF","BEC","CSD","PCM"}, 0)),
            _xlfn.TEXTBEFORE(J1312,"-"),
            "Other"
        )
    ),
"Add")</f>
        <v>PCB</v>
      </c>
      <c r="B1312" s="10" t="str">
        <f t="shared" si="21"/>
        <v>0136</v>
      </c>
      <c r="C1312" s="10" t="str">
        <f>_xlfn.LET(
    _xlpm.val, IF(Datadetails[[#This Row],[Activity]]="D02","C20",Datadetails[[#This Row],[Activity]]),
    IF(ISNUMBER(MATCH(_xlpm.val,{"D04","C30","c40","C20"},0)), _xlpm.val, "Other")
)</f>
        <v>C30</v>
      </c>
      <c r="D1312" s="10" t="str">
        <f>IFERROR(VLOOKUP(Datadetails[[#This Row],[Taskcode]],Dashboard!A:A,1,FALSE),"00 Err Missing")</f>
        <v>0136</v>
      </c>
      <c r="E1312" s="79">
        <v>45841</v>
      </c>
      <c r="F1312" s="80" t="s">
        <v>329</v>
      </c>
      <c r="G1312" s="60" t="s">
        <v>40</v>
      </c>
      <c r="H1312" s="80" t="s">
        <v>303</v>
      </c>
      <c r="I1312" s="80" t="s">
        <v>34</v>
      </c>
      <c r="J1312" s="80" t="s">
        <v>400</v>
      </c>
      <c r="K1312" s="80" t="s">
        <v>347</v>
      </c>
      <c r="L1312" s="80" t="s">
        <v>343</v>
      </c>
      <c r="M1312" s="81">
        <v>0.17</v>
      </c>
      <c r="N1312" s="82">
        <v>12.750000000000002</v>
      </c>
    </row>
    <row r="1313" spans="1:14" x14ac:dyDescent="0.25">
      <c r="A1313" s="10" t="str">
        <f>_xlfn.IFNA(
    IF(J1313=
        "PCB-0001",
        "CSS",
        IF(
            ISNUMBER(MATCH(_xlfn.TEXTBEFORE(J1313,"-"), {"CSS","CSN","PCB","PCF","BEC","CSD","PCM"}, 0)),
            _xlfn.TEXTBEFORE(J1313,"-"),
            "Other"
        )
    ),
"Add")</f>
        <v>PCB</v>
      </c>
      <c r="B1313" s="10" t="str">
        <f t="shared" si="21"/>
        <v>0062</v>
      </c>
      <c r="C1313" s="10" t="str">
        <f>_xlfn.LET(
    _xlpm.val, IF(Datadetails[[#This Row],[Activity]]="D02","C20",Datadetails[[#This Row],[Activity]]),
    IF(ISNUMBER(MATCH(_xlpm.val,{"D04","C30","c40","C20"},0)), _xlpm.val, "Other")
)</f>
        <v>C30</v>
      </c>
      <c r="D1313" s="10" t="str">
        <f>IFERROR(VLOOKUP(Datadetails[[#This Row],[Taskcode]],Dashboard!A:A,1,FALSE),"00 Err Missing")</f>
        <v>0062</v>
      </c>
      <c r="E1313" s="79">
        <v>45841</v>
      </c>
      <c r="F1313" s="80" t="s">
        <v>329</v>
      </c>
      <c r="G1313" s="60" t="s">
        <v>40</v>
      </c>
      <c r="H1313" s="80" t="s">
        <v>229</v>
      </c>
      <c r="I1313" s="80" t="s">
        <v>34</v>
      </c>
      <c r="J1313" s="80" t="s">
        <v>373</v>
      </c>
      <c r="K1313" s="80" t="s">
        <v>347</v>
      </c>
      <c r="L1313" s="80" t="s">
        <v>343</v>
      </c>
      <c r="M1313" s="81">
        <v>0.42</v>
      </c>
      <c r="N1313" s="82">
        <v>31.5</v>
      </c>
    </row>
    <row r="1314" spans="1:14" x14ac:dyDescent="0.25">
      <c r="A1314" s="10" t="str">
        <f>_xlfn.IFNA(
    IF(J1314=
        "PCB-0001",
        "CSS",
        IF(
            ISNUMBER(MATCH(_xlfn.TEXTBEFORE(J1314,"-"), {"CSS","CSN","PCB","PCF","BEC","CSD","PCM"}, 0)),
            _xlfn.TEXTBEFORE(J1314,"-"),
            "Other"
        )
    ),
"Add")</f>
        <v>PCB</v>
      </c>
      <c r="B1314" s="10" t="str">
        <f t="shared" si="21"/>
        <v>0054</v>
      </c>
      <c r="C1314" s="10" t="str">
        <f>_xlfn.LET(
    _xlpm.val, IF(Datadetails[[#This Row],[Activity]]="D02","C20",Datadetails[[#This Row],[Activity]]),
    IF(ISNUMBER(MATCH(_xlpm.val,{"D04","C30","c40","C20"},0)), _xlpm.val, "Other")
)</f>
        <v>C30</v>
      </c>
      <c r="D1314" s="10" t="str">
        <f>IFERROR(VLOOKUP(Datadetails[[#This Row],[Taskcode]],Dashboard!A:A,1,FALSE),"00 Err Missing")</f>
        <v>0054</v>
      </c>
      <c r="E1314" s="79">
        <v>45841</v>
      </c>
      <c r="F1314" s="80" t="s">
        <v>329</v>
      </c>
      <c r="G1314" s="60" t="s">
        <v>40</v>
      </c>
      <c r="H1314" s="80" t="s">
        <v>221</v>
      </c>
      <c r="I1314" s="80" t="s">
        <v>34</v>
      </c>
      <c r="J1314" s="80" t="s">
        <v>369</v>
      </c>
      <c r="K1314" s="80" t="s">
        <v>347</v>
      </c>
      <c r="L1314" s="80" t="s">
        <v>343</v>
      </c>
      <c r="M1314" s="81">
        <v>0.17</v>
      </c>
      <c r="N1314" s="82">
        <v>12.750000000000002</v>
      </c>
    </row>
    <row r="1315" spans="1:14" x14ac:dyDescent="0.25">
      <c r="A1315" s="10" t="str">
        <f>_xlfn.IFNA(
    IF(J1315=
        "PCB-0001",
        "CSS",
        IF(
            ISNUMBER(MATCH(_xlfn.TEXTBEFORE(J1315,"-"), {"CSS","CSN","PCB","PCF","BEC","CSD","PCM"}, 0)),
            _xlfn.TEXTBEFORE(J1315,"-"),
            "Other"
        )
    ),
"Add")</f>
        <v>PCB</v>
      </c>
      <c r="B1315" s="10" t="str">
        <f t="shared" si="21"/>
        <v>0071</v>
      </c>
      <c r="C1315" s="10" t="str">
        <f>_xlfn.LET(
    _xlpm.val, IF(Datadetails[[#This Row],[Activity]]="D02","C20",Datadetails[[#This Row],[Activity]]),
    IF(ISNUMBER(MATCH(_xlpm.val,{"D04","C30","c40","C20"},0)), _xlpm.val, "Other")
)</f>
        <v>C30</v>
      </c>
      <c r="D1315" s="10" t="str">
        <f>IFERROR(VLOOKUP(Datadetails[[#This Row],[Taskcode]],Dashboard!A:A,1,FALSE),"00 Err Missing")</f>
        <v>0071</v>
      </c>
      <c r="E1315" s="79">
        <v>45841</v>
      </c>
      <c r="F1315" s="80" t="s">
        <v>329</v>
      </c>
      <c r="G1315" s="60" t="s">
        <v>40</v>
      </c>
      <c r="H1315" s="80" t="s">
        <v>238</v>
      </c>
      <c r="I1315" s="80" t="s">
        <v>34</v>
      </c>
      <c r="J1315" s="80" t="s">
        <v>374</v>
      </c>
      <c r="K1315" s="80" t="s">
        <v>347</v>
      </c>
      <c r="L1315" s="80" t="s">
        <v>343</v>
      </c>
      <c r="M1315" s="81">
        <v>0.17</v>
      </c>
      <c r="N1315" s="82">
        <v>12.750000000000002</v>
      </c>
    </row>
    <row r="1316" spans="1:14" x14ac:dyDescent="0.25">
      <c r="A1316" s="10" t="str">
        <f>_xlfn.IFNA(
    IF(J1316=
        "PCB-0001",
        "CSS",
        IF(
            ISNUMBER(MATCH(_xlfn.TEXTBEFORE(J1316,"-"), {"CSS","CSN","PCB","PCF","BEC","CSD","PCM"}, 0)),
            _xlfn.TEXTBEFORE(J1316,"-"),
            "Other"
        )
    ),
"Add")</f>
        <v>PCB</v>
      </c>
      <c r="B1316" s="10" t="str">
        <f t="shared" si="21"/>
        <v>0073</v>
      </c>
      <c r="C1316" s="10" t="str">
        <f>_xlfn.LET(
    _xlpm.val, IF(Datadetails[[#This Row],[Activity]]="D02","C20",Datadetails[[#This Row],[Activity]]),
    IF(ISNUMBER(MATCH(_xlpm.val,{"D04","C30","c40","C20"},0)), _xlpm.val, "Other")
)</f>
        <v>C30</v>
      </c>
      <c r="D1316" s="10" t="str">
        <f>IFERROR(VLOOKUP(Datadetails[[#This Row],[Taskcode]],Dashboard!A:A,1,FALSE),"00 Err Missing")</f>
        <v>0073</v>
      </c>
      <c r="E1316" s="79">
        <v>45841</v>
      </c>
      <c r="F1316" s="80" t="s">
        <v>329</v>
      </c>
      <c r="G1316" s="60" t="s">
        <v>40</v>
      </c>
      <c r="H1316" s="80" t="s">
        <v>240</v>
      </c>
      <c r="I1316" s="80" t="s">
        <v>34</v>
      </c>
      <c r="J1316" s="80" t="s">
        <v>402</v>
      </c>
      <c r="K1316" s="80" t="s">
        <v>347</v>
      </c>
      <c r="L1316" s="80" t="s">
        <v>343</v>
      </c>
      <c r="M1316" s="81">
        <v>0.17</v>
      </c>
      <c r="N1316" s="82">
        <v>12.750000000000002</v>
      </c>
    </row>
    <row r="1317" spans="1:14" x14ac:dyDescent="0.25">
      <c r="A1317" s="10" t="str">
        <f>_xlfn.IFNA(
    IF(J1317=
        "PCB-0001",
        "CSS",
        IF(
            ISNUMBER(MATCH(_xlfn.TEXTBEFORE(J1317,"-"), {"CSS","CSN","PCB","PCF","BEC","CSD","PCM"}, 0)),
            _xlfn.TEXTBEFORE(J1317,"-"),
            "Other"
        )
    ),
"Add")</f>
        <v>PCB</v>
      </c>
      <c r="B1317" s="10" t="str">
        <f t="shared" si="21"/>
        <v>0074</v>
      </c>
      <c r="C1317" s="10" t="str">
        <f>_xlfn.LET(
    _xlpm.val, IF(Datadetails[[#This Row],[Activity]]="D02","C20",Datadetails[[#This Row],[Activity]]),
    IF(ISNUMBER(MATCH(_xlpm.val,{"D04","C30","c40","C20"},0)), _xlpm.val, "Other")
)</f>
        <v>C30</v>
      </c>
      <c r="D1317" s="10" t="str">
        <f>IFERROR(VLOOKUP(Datadetails[[#This Row],[Taskcode]],Dashboard!A:A,1,FALSE),"00 Err Missing")</f>
        <v>0074</v>
      </c>
      <c r="E1317" s="79">
        <v>45841</v>
      </c>
      <c r="F1317" s="80" t="s">
        <v>329</v>
      </c>
      <c r="G1317" s="60" t="s">
        <v>40</v>
      </c>
      <c r="H1317" s="80" t="s">
        <v>241</v>
      </c>
      <c r="I1317" s="80" t="s">
        <v>34</v>
      </c>
      <c r="J1317" s="80" t="s">
        <v>403</v>
      </c>
      <c r="K1317" s="80" t="s">
        <v>347</v>
      </c>
      <c r="L1317" s="80" t="s">
        <v>343</v>
      </c>
      <c r="M1317" s="81">
        <v>0.17</v>
      </c>
      <c r="N1317" s="82">
        <v>12.750000000000002</v>
      </c>
    </row>
    <row r="1318" spans="1:14" x14ac:dyDescent="0.25">
      <c r="A1318" s="10" t="str">
        <f>_xlfn.IFNA(
    IF(J1318=
        "PCB-0001",
        "CSS",
        IF(
            ISNUMBER(MATCH(_xlfn.TEXTBEFORE(J1318,"-"), {"CSS","CSN","PCB","PCF","BEC","CSD","PCM"}, 0)),
            _xlfn.TEXTBEFORE(J1318,"-"),
            "Other"
        )
    ),
"Add")</f>
        <v>PCB</v>
      </c>
      <c r="B1318" s="10" t="str">
        <f t="shared" si="21"/>
        <v>0128</v>
      </c>
      <c r="C1318" s="10" t="str">
        <f>_xlfn.LET(
    _xlpm.val, IF(Datadetails[[#This Row],[Activity]]="D02","C20",Datadetails[[#This Row],[Activity]]),
    IF(ISNUMBER(MATCH(_xlpm.val,{"D04","C30","c40","C20"},0)), _xlpm.val, "Other")
)</f>
        <v>C30</v>
      </c>
      <c r="D1318" s="10" t="str">
        <f>IFERROR(VLOOKUP(Datadetails[[#This Row],[Taskcode]],Dashboard!A:A,1,FALSE),"00 Err Missing")</f>
        <v>0128</v>
      </c>
      <c r="E1318" s="79">
        <v>45841</v>
      </c>
      <c r="F1318" s="80" t="s">
        <v>329</v>
      </c>
      <c r="G1318" s="60" t="s">
        <v>40</v>
      </c>
      <c r="H1318" s="80" t="s">
        <v>295</v>
      </c>
      <c r="I1318" s="80" t="s">
        <v>34</v>
      </c>
      <c r="J1318" s="80" t="s">
        <v>379</v>
      </c>
      <c r="K1318" s="80" t="s">
        <v>347</v>
      </c>
      <c r="L1318" s="80" t="s">
        <v>343</v>
      </c>
      <c r="M1318" s="81">
        <v>0.25</v>
      </c>
      <c r="N1318" s="82">
        <v>18.75</v>
      </c>
    </row>
    <row r="1319" spans="1:14" x14ac:dyDescent="0.25">
      <c r="A1319" s="10" t="str">
        <f>_xlfn.IFNA(
    IF(J1319=
        "PCB-0001",
        "CSS",
        IF(
            ISNUMBER(MATCH(_xlfn.TEXTBEFORE(J1319,"-"), {"CSS","CSN","PCB","PCF","BEC","CSD","PCM"}, 0)),
            _xlfn.TEXTBEFORE(J1319,"-"),
            "Other"
        )
    ),
"Add")</f>
        <v>PCB</v>
      </c>
      <c r="B1319" s="10" t="str">
        <f t="shared" si="21"/>
        <v>0086</v>
      </c>
      <c r="C1319" s="10" t="str">
        <f>_xlfn.LET(
    _xlpm.val, IF(Datadetails[[#This Row],[Activity]]="D02","C20",Datadetails[[#This Row],[Activity]]),
    IF(ISNUMBER(MATCH(_xlpm.val,{"D04","C30","c40","C20"},0)), _xlpm.val, "Other")
)</f>
        <v>C30</v>
      </c>
      <c r="D1319" s="10" t="str">
        <f>IFERROR(VLOOKUP(Datadetails[[#This Row],[Taskcode]],Dashboard!A:A,1,FALSE),"00 Err Missing")</f>
        <v>0086</v>
      </c>
      <c r="E1319" s="79">
        <v>45841</v>
      </c>
      <c r="F1319" s="80" t="s">
        <v>325</v>
      </c>
      <c r="G1319" s="60" t="s">
        <v>40</v>
      </c>
      <c r="H1319" s="80" t="s">
        <v>253</v>
      </c>
      <c r="I1319" s="80" t="s">
        <v>34</v>
      </c>
      <c r="J1319" s="80" t="s">
        <v>408</v>
      </c>
      <c r="K1319" s="80" t="s">
        <v>347</v>
      </c>
      <c r="L1319" s="80" t="s">
        <v>343</v>
      </c>
      <c r="M1319" s="81">
        <v>0.25</v>
      </c>
      <c r="N1319" s="82">
        <v>18.75</v>
      </c>
    </row>
    <row r="1320" spans="1:14" x14ac:dyDescent="0.25">
      <c r="A1320" s="10" t="str">
        <f>_xlfn.IFNA(
    IF(J1320=
        "PCB-0001",
        "CSS",
        IF(
            ISNUMBER(MATCH(_xlfn.TEXTBEFORE(J1320,"-"), {"CSS","CSN","PCB","PCF","BEC","CSD","PCM"}, 0)),
            _xlfn.TEXTBEFORE(J1320,"-"),
            "Other"
        )
    ),
"Add")</f>
        <v>PCB</v>
      </c>
      <c r="B1320" s="10" t="str">
        <f t="shared" si="21"/>
        <v>0091</v>
      </c>
      <c r="C1320" s="10" t="str">
        <f>_xlfn.LET(
    _xlpm.val, IF(Datadetails[[#This Row],[Activity]]="D02","C20",Datadetails[[#This Row],[Activity]]),
    IF(ISNUMBER(MATCH(_xlpm.val,{"D04","C30","c40","C20"},0)), _xlpm.val, "Other")
)</f>
        <v>C30</v>
      </c>
      <c r="D1320" s="10" t="str">
        <f>IFERROR(VLOOKUP(Datadetails[[#This Row],[Taskcode]],Dashboard!A:A,1,FALSE),"00 Err Missing")</f>
        <v>0091</v>
      </c>
      <c r="E1320" s="79">
        <v>45841</v>
      </c>
      <c r="F1320" s="80" t="s">
        <v>329</v>
      </c>
      <c r="G1320" s="60" t="s">
        <v>40</v>
      </c>
      <c r="H1320" s="80" t="s">
        <v>258</v>
      </c>
      <c r="I1320" s="80" t="s">
        <v>34</v>
      </c>
      <c r="J1320" s="80" t="s">
        <v>381</v>
      </c>
      <c r="K1320" s="80" t="s">
        <v>347</v>
      </c>
      <c r="L1320" s="80" t="s">
        <v>343</v>
      </c>
      <c r="M1320" s="81">
        <v>0.17</v>
      </c>
      <c r="N1320" s="82">
        <v>12.750000000000002</v>
      </c>
    </row>
    <row r="1321" spans="1:14" x14ac:dyDescent="0.25">
      <c r="A1321" s="10" t="str">
        <f>_xlfn.IFNA(
    IF(J1321=
        "PCB-0001",
        "CSS",
        IF(
            ISNUMBER(MATCH(_xlfn.TEXTBEFORE(J1321,"-"), {"CSS","CSN","PCB","PCF","BEC","CSD","PCM"}, 0)),
            _xlfn.TEXTBEFORE(J1321,"-"),
            "Other"
        )
    ),
"Add")</f>
        <v>PCB</v>
      </c>
      <c r="B1321" s="10" t="str">
        <f t="shared" si="21"/>
        <v>0092</v>
      </c>
      <c r="C1321" s="10" t="str">
        <f>_xlfn.LET(
    _xlpm.val, IF(Datadetails[[#This Row],[Activity]]="D02","C20",Datadetails[[#This Row],[Activity]]),
    IF(ISNUMBER(MATCH(_xlpm.val,{"D04","C30","c40","C20"},0)), _xlpm.val, "Other")
)</f>
        <v>C30</v>
      </c>
      <c r="D1321" s="10" t="str">
        <f>IFERROR(VLOOKUP(Datadetails[[#This Row],[Taskcode]],Dashboard!A:A,1,FALSE),"00 Err Missing")</f>
        <v>0092</v>
      </c>
      <c r="E1321" s="79">
        <v>45841</v>
      </c>
      <c r="F1321" s="80" t="s">
        <v>329</v>
      </c>
      <c r="G1321" s="60" t="s">
        <v>40</v>
      </c>
      <c r="H1321" s="80" t="s">
        <v>259</v>
      </c>
      <c r="I1321" s="80" t="s">
        <v>34</v>
      </c>
      <c r="J1321" s="80" t="s">
        <v>407</v>
      </c>
      <c r="K1321" s="80" t="s">
        <v>347</v>
      </c>
      <c r="L1321" s="80" t="s">
        <v>343</v>
      </c>
      <c r="M1321" s="81">
        <v>0.17</v>
      </c>
      <c r="N1321" s="82">
        <v>12.750000000000002</v>
      </c>
    </row>
    <row r="1322" spans="1:14" x14ac:dyDescent="0.25">
      <c r="A1322" s="10" t="str">
        <f>_xlfn.IFNA(
    IF(J1322=
        "PCB-0001",
        "CSS",
        IF(
            ISNUMBER(MATCH(_xlfn.TEXTBEFORE(J1322,"-"), {"CSS","CSN","PCB","PCF","BEC","CSD","PCM"}, 0)),
            _xlfn.TEXTBEFORE(J1322,"-"),
            "Other"
        )
    ),
"Add")</f>
        <v>PCB</v>
      </c>
      <c r="B1322" s="10" t="str">
        <f t="shared" si="21"/>
        <v>0080</v>
      </c>
      <c r="C1322" s="10" t="str">
        <f>_xlfn.LET(
    _xlpm.val, IF(Datadetails[[#This Row],[Activity]]="D02","C20",Datadetails[[#This Row],[Activity]]),
    IF(ISNUMBER(MATCH(_xlpm.val,{"D04","C30","c40","C20"},0)), _xlpm.val, "Other")
)</f>
        <v>C30</v>
      </c>
      <c r="D1322" s="10" t="str">
        <f>IFERROR(VLOOKUP(Datadetails[[#This Row],[Taskcode]],Dashboard!A:A,1,FALSE),"00 Err Missing")</f>
        <v>0080</v>
      </c>
      <c r="E1322" s="79">
        <v>45841</v>
      </c>
      <c r="F1322" s="80" t="s">
        <v>329</v>
      </c>
      <c r="G1322" s="60" t="s">
        <v>40</v>
      </c>
      <c r="H1322" s="80" t="s">
        <v>247</v>
      </c>
      <c r="I1322" s="80" t="s">
        <v>34</v>
      </c>
      <c r="J1322" s="80" t="s">
        <v>375</v>
      </c>
      <c r="K1322" s="80" t="s">
        <v>347</v>
      </c>
      <c r="L1322" s="80" t="s">
        <v>343</v>
      </c>
      <c r="M1322" s="81">
        <v>0.25</v>
      </c>
      <c r="N1322" s="82">
        <v>18.75</v>
      </c>
    </row>
    <row r="1323" spans="1:14" x14ac:dyDescent="0.25">
      <c r="A1323" s="10" t="str">
        <f>_xlfn.IFNA(
    IF(J1323=
        "PCB-0001",
        "CSS",
        IF(
            ISNUMBER(MATCH(_xlfn.TEXTBEFORE(J1323,"-"), {"CSS","CSN","PCB","PCF","BEC","CSD","PCM"}, 0)),
            _xlfn.TEXTBEFORE(J1323,"-"),
            "Other"
        )
    ),
"Add")</f>
        <v>PCB</v>
      </c>
      <c r="B1323" s="10" t="str">
        <f t="shared" si="21"/>
        <v>0063</v>
      </c>
      <c r="C1323" s="10" t="str">
        <f>_xlfn.LET(
    _xlpm.val, IF(Datadetails[[#This Row],[Activity]]="D02","C20",Datadetails[[#This Row],[Activity]]),
    IF(ISNUMBER(MATCH(_xlpm.val,{"D04","C30","c40","C20"},0)), _xlpm.val, "Other")
)</f>
        <v>C30</v>
      </c>
      <c r="D1323" s="10" t="str">
        <f>IFERROR(VLOOKUP(Datadetails[[#This Row],[Taskcode]],Dashboard!A:A,1,FALSE),"00 Err Missing")</f>
        <v>0063</v>
      </c>
      <c r="E1323" s="79">
        <v>45841</v>
      </c>
      <c r="F1323" s="80" t="s">
        <v>329</v>
      </c>
      <c r="G1323" s="60" t="s">
        <v>40</v>
      </c>
      <c r="H1323" s="80" t="s">
        <v>230</v>
      </c>
      <c r="I1323" s="80" t="s">
        <v>34</v>
      </c>
      <c r="J1323" s="80" t="s">
        <v>410</v>
      </c>
      <c r="K1323" s="80" t="s">
        <v>347</v>
      </c>
      <c r="L1323" s="80" t="s">
        <v>343</v>
      </c>
      <c r="M1323" s="81">
        <v>0.83</v>
      </c>
      <c r="N1323" s="82">
        <v>62.25</v>
      </c>
    </row>
    <row r="1324" spans="1:14" x14ac:dyDescent="0.25">
      <c r="A1324" s="10" t="str">
        <f>_xlfn.IFNA(
    IF(J1324=
        "PCB-0001",
        "CSS",
        IF(
            ISNUMBER(MATCH(_xlfn.TEXTBEFORE(J1324,"-"), {"CSS","CSN","PCB","PCF","BEC","CSD","PCM"}, 0)),
            _xlfn.TEXTBEFORE(J1324,"-"),
            "Other"
        )
    ),
"Add")</f>
        <v>PCB</v>
      </c>
      <c r="B1324" s="10" t="str">
        <f t="shared" si="21"/>
        <v>0101</v>
      </c>
      <c r="C1324" s="10" t="str">
        <f>_xlfn.LET(
    _xlpm.val, IF(Datadetails[[#This Row],[Activity]]="D02","C20",Datadetails[[#This Row],[Activity]]),
    IF(ISNUMBER(MATCH(_xlpm.val,{"D04","C30","c40","C20"},0)), _xlpm.val, "Other")
)</f>
        <v>C30</v>
      </c>
      <c r="D1324" s="10" t="str">
        <f>IFERROR(VLOOKUP(Datadetails[[#This Row],[Taskcode]],Dashboard!A:A,1,FALSE),"00 Err Missing")</f>
        <v>0101</v>
      </c>
      <c r="E1324" s="79">
        <v>45841</v>
      </c>
      <c r="F1324" s="80" t="s">
        <v>329</v>
      </c>
      <c r="G1324" s="60" t="s">
        <v>40</v>
      </c>
      <c r="H1324" s="80" t="s">
        <v>268</v>
      </c>
      <c r="I1324" s="80" t="s">
        <v>34</v>
      </c>
      <c r="J1324" s="80" t="s">
        <v>386</v>
      </c>
      <c r="K1324" s="80" t="s">
        <v>347</v>
      </c>
      <c r="L1324" s="80" t="s">
        <v>343</v>
      </c>
      <c r="M1324" s="81">
        <v>0.25</v>
      </c>
      <c r="N1324" s="82">
        <v>18.75</v>
      </c>
    </row>
    <row r="1325" spans="1:14" x14ac:dyDescent="0.25">
      <c r="A1325" s="10" t="str">
        <f>_xlfn.IFNA(
    IF(J1325=
        "PCB-0001",
        "CSS",
        IF(
            ISNUMBER(MATCH(_xlfn.TEXTBEFORE(J1325,"-"), {"CSS","CSN","PCB","PCF","BEC","CSD","PCM"}, 0)),
            _xlfn.TEXTBEFORE(J1325,"-"),
            "Other"
        )
    ),
"Add")</f>
        <v>PCB</v>
      </c>
      <c r="B1325" s="10" t="str">
        <f t="shared" si="21"/>
        <v>0132</v>
      </c>
      <c r="C1325" s="10" t="str">
        <f>_xlfn.LET(
    _xlpm.val, IF(Datadetails[[#This Row],[Activity]]="D02","C20",Datadetails[[#This Row],[Activity]]),
    IF(ISNUMBER(MATCH(_xlpm.val,{"D04","C30","c40","C20"},0)), _xlpm.val, "Other")
)</f>
        <v>C20</v>
      </c>
      <c r="D1325" s="10" t="str">
        <f>IFERROR(VLOOKUP(Datadetails[[#This Row],[Taskcode]],Dashboard!A:A,1,FALSE),"00 Err Missing")</f>
        <v>0132</v>
      </c>
      <c r="E1325" s="79">
        <v>45841</v>
      </c>
      <c r="F1325" s="80" t="s">
        <v>329</v>
      </c>
      <c r="G1325" s="60" t="s">
        <v>40</v>
      </c>
      <c r="H1325" s="80" t="s">
        <v>299</v>
      </c>
      <c r="I1325" s="80" t="s">
        <v>312</v>
      </c>
      <c r="J1325" s="80" t="s">
        <v>455</v>
      </c>
      <c r="K1325" s="80" t="s">
        <v>347</v>
      </c>
      <c r="L1325" s="80" t="s">
        <v>350</v>
      </c>
      <c r="M1325" s="81">
        <v>0.08</v>
      </c>
      <c r="N1325" s="82">
        <v>6</v>
      </c>
    </row>
    <row r="1326" spans="1:14" x14ac:dyDescent="0.25">
      <c r="A1326" s="10" t="str">
        <f>_xlfn.IFNA(
    IF(J1326=
        "PCB-0001",
        "CSS",
        IF(
            ISNUMBER(MATCH(_xlfn.TEXTBEFORE(J1326,"-"), {"CSS","CSN","PCB","PCF","BEC","CSD","PCM"}, 0)),
            _xlfn.TEXTBEFORE(J1326,"-"),
            "Other"
        )
    ),
"Add")</f>
        <v>PCF</v>
      </c>
      <c r="B1326" s="10" t="str">
        <f t="shared" si="21"/>
        <v>0008</v>
      </c>
      <c r="C1326" s="10" t="str">
        <f>_xlfn.LET(
    _xlpm.val, IF(Datadetails[[#This Row],[Activity]]="D02","C20",Datadetails[[#This Row],[Activity]]),
    IF(ISNUMBER(MATCH(_xlpm.val,{"D04","C30","c40","C20"},0)), _xlpm.val, "Other")
)</f>
        <v>C20</v>
      </c>
      <c r="D1326" s="10" t="str">
        <f>IFERROR(VLOOKUP(Datadetails[[#This Row],[Taskcode]],Dashboard!A:A,1,FALSE),"00 Err Missing")</f>
        <v>0008</v>
      </c>
      <c r="E1326" s="79">
        <v>45841</v>
      </c>
      <c r="F1326" s="80" t="s">
        <v>326</v>
      </c>
      <c r="G1326" s="60" t="s">
        <v>40</v>
      </c>
      <c r="H1326" s="80" t="s">
        <v>175</v>
      </c>
      <c r="I1326" s="80" t="s">
        <v>36</v>
      </c>
      <c r="J1326" s="80" t="s">
        <v>388</v>
      </c>
      <c r="K1326" s="80" t="s">
        <v>348</v>
      </c>
      <c r="L1326" s="80" t="s">
        <v>342</v>
      </c>
      <c r="M1326" s="81">
        <v>1.17</v>
      </c>
      <c r="N1326" s="82">
        <v>70.199999999999989</v>
      </c>
    </row>
    <row r="1327" spans="1:14" x14ac:dyDescent="0.25">
      <c r="A1327" s="10" t="str">
        <f>_xlfn.IFNA(
    IF(J1327=
        "PCB-0001",
        "CSS",
        IF(
            ISNUMBER(MATCH(_xlfn.TEXTBEFORE(J1327,"-"), {"CSS","CSN","PCB","PCF","BEC","CSD","PCM"}, 0)),
            _xlfn.TEXTBEFORE(J1327,"-"),
            "Other"
        )
    ),
"Add")</f>
        <v>PCF</v>
      </c>
      <c r="B1327" s="10" t="str">
        <f t="shared" si="21"/>
        <v>0021</v>
      </c>
      <c r="C1327" s="10" t="str">
        <f>_xlfn.LET(
    _xlpm.val, IF(Datadetails[[#This Row],[Activity]]="D02","C20",Datadetails[[#This Row],[Activity]]),
    IF(ISNUMBER(MATCH(_xlpm.val,{"D04","C30","c40","C20"},0)), _xlpm.val, "Other")
)</f>
        <v>C20</v>
      </c>
      <c r="D1327" s="10" t="str">
        <f>IFERROR(VLOOKUP(Datadetails[[#This Row],[Taskcode]],Dashboard!A:A,1,FALSE),"00 Err Missing")</f>
        <v>0021</v>
      </c>
      <c r="E1327" s="79">
        <v>45841</v>
      </c>
      <c r="F1327" s="80" t="s">
        <v>326</v>
      </c>
      <c r="G1327" s="60" t="s">
        <v>40</v>
      </c>
      <c r="H1327" s="80" t="s">
        <v>188</v>
      </c>
      <c r="I1327" s="80" t="s">
        <v>36</v>
      </c>
      <c r="J1327" s="80" t="s">
        <v>356</v>
      </c>
      <c r="K1327" s="80" t="s">
        <v>348</v>
      </c>
      <c r="L1327" s="80" t="s">
        <v>342</v>
      </c>
      <c r="M1327" s="81">
        <v>1</v>
      </c>
      <c r="N1327" s="82">
        <v>60</v>
      </c>
    </row>
    <row r="1328" spans="1:14" x14ac:dyDescent="0.25">
      <c r="A1328" s="10" t="str">
        <f>_xlfn.IFNA(
    IF(J1328=
        "PCB-0001",
        "CSS",
        IF(
            ISNUMBER(MATCH(_xlfn.TEXTBEFORE(J1328,"-"), {"CSS","CSN","PCB","PCF","BEC","CSD","PCM"}, 0)),
            _xlfn.TEXTBEFORE(J1328,"-"),
            "Other"
        )
    ),
"Add")</f>
        <v>PCF</v>
      </c>
      <c r="B1328" s="10" t="str">
        <f t="shared" si="21"/>
        <v>0008</v>
      </c>
      <c r="C1328" s="10" t="str">
        <f>_xlfn.LET(
    _xlpm.val, IF(Datadetails[[#This Row],[Activity]]="D02","C20",Datadetails[[#This Row],[Activity]]),
    IF(ISNUMBER(MATCH(_xlpm.val,{"D04","C30","c40","C20"},0)), _xlpm.val, "Other")
)</f>
        <v>C30</v>
      </c>
      <c r="D1328" s="10" t="str">
        <f>IFERROR(VLOOKUP(Datadetails[[#This Row],[Taskcode]],Dashboard!A:A,1,FALSE),"00 Err Missing")</f>
        <v>0008</v>
      </c>
      <c r="E1328" s="79">
        <v>45841</v>
      </c>
      <c r="F1328" s="80" t="s">
        <v>326</v>
      </c>
      <c r="G1328" s="60" t="s">
        <v>40</v>
      </c>
      <c r="H1328" s="80" t="s">
        <v>175</v>
      </c>
      <c r="I1328" s="80" t="s">
        <v>34</v>
      </c>
      <c r="J1328" s="80" t="s">
        <v>388</v>
      </c>
      <c r="K1328" s="80" t="s">
        <v>348</v>
      </c>
      <c r="L1328" s="80" t="s">
        <v>343</v>
      </c>
      <c r="M1328" s="81">
        <v>0.67</v>
      </c>
      <c r="N1328" s="82">
        <v>40.200000000000003</v>
      </c>
    </row>
    <row r="1329" spans="1:14" x14ac:dyDescent="0.25">
      <c r="A1329" s="10" t="str">
        <f>_xlfn.IFNA(
    IF(J1329=
        "PCB-0001",
        "CSS",
        IF(
            ISNUMBER(MATCH(_xlfn.TEXTBEFORE(J1329,"-"), {"CSS","CSN","PCB","PCF","BEC","CSD","PCM"}, 0)),
            _xlfn.TEXTBEFORE(J1329,"-"),
            "Other"
        )
    ),
"Add")</f>
        <v>PCF</v>
      </c>
      <c r="B1329" s="10" t="str">
        <f t="shared" si="21"/>
        <v>0142</v>
      </c>
      <c r="C1329" s="10" t="str">
        <f>_xlfn.LET(
    _xlpm.val, IF(Datadetails[[#This Row],[Activity]]="D02","C20",Datadetails[[#This Row],[Activity]]),
    IF(ISNUMBER(MATCH(_xlpm.val,{"D04","C30","c40","C20"},0)), _xlpm.val, "Other")
)</f>
        <v>C30</v>
      </c>
      <c r="D1329" s="10" t="str">
        <f>IFERROR(VLOOKUP(Datadetails[[#This Row],[Taskcode]],Dashboard!A:A,1,FALSE),"00 Err Missing")</f>
        <v>0142</v>
      </c>
      <c r="E1329" s="79">
        <v>45841</v>
      </c>
      <c r="F1329" s="80" t="s">
        <v>326</v>
      </c>
      <c r="G1329" s="60" t="s">
        <v>40</v>
      </c>
      <c r="H1329" s="80" t="s">
        <v>309</v>
      </c>
      <c r="I1329" s="80" t="s">
        <v>34</v>
      </c>
      <c r="J1329" s="80" t="s">
        <v>454</v>
      </c>
      <c r="K1329" s="80" t="s">
        <v>348</v>
      </c>
      <c r="L1329" s="80" t="s">
        <v>343</v>
      </c>
      <c r="M1329" s="81">
        <v>1.25</v>
      </c>
      <c r="N1329" s="82">
        <v>75</v>
      </c>
    </row>
    <row r="1330" spans="1:14" x14ac:dyDescent="0.25">
      <c r="A1330" s="10" t="str">
        <f>_xlfn.IFNA(
    IF(J1330=
        "PCB-0001",
        "CSS",
        IF(
            ISNUMBER(MATCH(_xlfn.TEXTBEFORE(J1330,"-"), {"CSS","CSN","PCB","PCF","BEC","CSD","PCM"}, 0)),
            _xlfn.TEXTBEFORE(J1330,"-"),
            "Other"
        )
    ),
"Add")</f>
        <v>BEC</v>
      </c>
      <c r="B1330" s="10" t="str">
        <f t="shared" si="21"/>
        <v>0001</v>
      </c>
      <c r="C1330" s="10" t="str">
        <f>_xlfn.LET(
    _xlpm.val, IF(Datadetails[[#This Row],[Activity]]="D02","C20",Datadetails[[#This Row],[Activity]]),
    IF(ISNUMBER(MATCH(_xlpm.val,{"D04","C30","c40","C20"},0)), _xlpm.val, "Other")
)</f>
        <v>D04</v>
      </c>
      <c r="D1330" s="10" t="str">
        <f>IFERROR(VLOOKUP(Datadetails[[#This Row],[Taskcode]],Dashboard!A:A,1,FALSE),"00 Err Missing")</f>
        <v>0001</v>
      </c>
      <c r="E1330" s="79">
        <v>45841</v>
      </c>
      <c r="F1330" s="80" t="s">
        <v>332</v>
      </c>
      <c r="G1330" s="60" t="s">
        <v>40</v>
      </c>
      <c r="H1330" s="80" t="s">
        <v>314</v>
      </c>
      <c r="I1330" s="80" t="s">
        <v>35</v>
      </c>
      <c r="J1330" s="80" t="s">
        <v>359</v>
      </c>
      <c r="K1330" s="80" t="s">
        <v>339</v>
      </c>
      <c r="L1330" s="80" t="s">
        <v>352</v>
      </c>
      <c r="M1330" s="81">
        <v>5.33</v>
      </c>
      <c r="N1330" s="82">
        <v>213.2</v>
      </c>
    </row>
    <row r="1331" spans="1:14" x14ac:dyDescent="0.25">
      <c r="A1331" s="10" t="str">
        <f>_xlfn.IFNA(
    IF(J1331=
        "PCB-0001",
        "CSS",
        IF(
            ISNUMBER(MATCH(_xlfn.TEXTBEFORE(J1331,"-"), {"CSS","CSN","PCB","PCF","BEC","CSD","PCM"}, 0)),
            _xlfn.TEXTBEFORE(J1331,"-"),
            "Other"
        )
    ),
"Add")</f>
        <v>PCB</v>
      </c>
      <c r="B1331" s="10" t="str">
        <f t="shared" si="21"/>
        <v>0103</v>
      </c>
      <c r="C1331" s="10" t="str">
        <f>_xlfn.LET(
    _xlpm.val, IF(Datadetails[[#This Row],[Activity]]="D02","C20",Datadetails[[#This Row],[Activity]]),
    IF(ISNUMBER(MATCH(_xlpm.val,{"D04","C30","c40","C20"},0)), _xlpm.val, "Other")
)</f>
        <v>C30</v>
      </c>
      <c r="D1331" s="10" t="str">
        <f>IFERROR(VLOOKUP(Datadetails[[#This Row],[Taskcode]],Dashboard!A:A,1,FALSE),"00 Err Missing")</f>
        <v>0103</v>
      </c>
      <c r="E1331" s="79">
        <v>45842</v>
      </c>
      <c r="F1331" s="80" t="s">
        <v>329</v>
      </c>
      <c r="G1331" s="60" t="s">
        <v>40</v>
      </c>
      <c r="H1331" s="80" t="s">
        <v>270</v>
      </c>
      <c r="I1331" s="80" t="s">
        <v>34</v>
      </c>
      <c r="J1331" s="80" t="s">
        <v>360</v>
      </c>
      <c r="K1331" s="80" t="s">
        <v>347</v>
      </c>
      <c r="L1331" s="80" t="s">
        <v>343</v>
      </c>
      <c r="M1331" s="81">
        <v>0.08</v>
      </c>
      <c r="N1331" s="82">
        <v>6</v>
      </c>
    </row>
    <row r="1332" spans="1:14" x14ac:dyDescent="0.25">
      <c r="A1332" s="10" t="str">
        <f>_xlfn.IFNA(
    IF(J1332=
        "PCB-0001",
        "CSS",
        IF(
            ISNUMBER(MATCH(_xlfn.TEXTBEFORE(J1332,"-"), {"CSS","CSN","PCB","PCF","BEC","CSD","PCM"}, 0)),
            _xlfn.TEXTBEFORE(J1332,"-"),
            "Other"
        )
    ),
"Add")</f>
        <v>CSN</v>
      </c>
      <c r="B1332" s="10" t="str">
        <f t="shared" si="21"/>
        <v>0001</v>
      </c>
      <c r="C1332" s="10" t="str">
        <f>_xlfn.LET(
    _xlpm.val, IF(Datadetails[[#This Row],[Activity]]="D02","C20",Datadetails[[#This Row],[Activity]]),
    IF(ISNUMBER(MATCH(_xlpm.val,{"D04","C30","c40","C20"},0)), _xlpm.val, "Other")
)</f>
        <v>D04</v>
      </c>
      <c r="D1332" s="10" t="str">
        <f>IFERROR(VLOOKUP(Datadetails[[#This Row],[Taskcode]],Dashboard!A:A,1,FALSE),"00 Err Missing")</f>
        <v>0001</v>
      </c>
      <c r="E1332" s="79">
        <v>45842</v>
      </c>
      <c r="F1332" s="80" t="s">
        <v>329</v>
      </c>
      <c r="G1332" s="60" t="s">
        <v>40</v>
      </c>
      <c r="H1332" s="80" t="s">
        <v>316</v>
      </c>
      <c r="I1332" s="80" t="s">
        <v>35</v>
      </c>
      <c r="J1332" s="80" t="s">
        <v>338</v>
      </c>
      <c r="K1332" s="80" t="s">
        <v>337</v>
      </c>
      <c r="L1332" s="80" t="s">
        <v>352</v>
      </c>
      <c r="M1332" s="81">
        <v>0.67</v>
      </c>
      <c r="N1332" s="82">
        <v>50.25</v>
      </c>
    </row>
    <row r="1333" spans="1:14" x14ac:dyDescent="0.25">
      <c r="A1333" s="10" t="str">
        <f>_xlfn.IFNA(
    IF(J1333=
        "PCB-0001",
        "CSS",
        IF(
            ISNUMBER(MATCH(_xlfn.TEXTBEFORE(J1333,"-"), {"CSS","CSN","PCB","PCF","BEC","CSD","PCM"}, 0)),
            _xlfn.TEXTBEFORE(J1333,"-"),
            "Other"
        )
    ),
"Add")</f>
        <v>CSN</v>
      </c>
      <c r="B1333" s="10" t="str">
        <f t="shared" si="21"/>
        <v>0001</v>
      </c>
      <c r="C1333" s="10" t="str">
        <f>_xlfn.LET(
    _xlpm.val, IF(Datadetails[[#This Row],[Activity]]="D02","C20",Datadetails[[#This Row],[Activity]]),
    IF(ISNUMBER(MATCH(_xlpm.val,{"D04","C30","c40","C20"},0)), _xlpm.val, "Other")
)</f>
        <v>D04</v>
      </c>
      <c r="D1333" s="10" t="str">
        <f>IFERROR(VLOOKUP(Datadetails[[#This Row],[Taskcode]],Dashboard!A:A,1,FALSE),"00 Err Missing")</f>
        <v>0001</v>
      </c>
      <c r="E1333" s="79">
        <v>45842</v>
      </c>
      <c r="F1333" s="80" t="s">
        <v>331</v>
      </c>
      <c r="G1333" s="60" t="s">
        <v>40</v>
      </c>
      <c r="H1333" s="80" t="s">
        <v>316</v>
      </c>
      <c r="I1333" s="80" t="s">
        <v>35</v>
      </c>
      <c r="J1333" s="80" t="s">
        <v>338</v>
      </c>
      <c r="K1333" s="80" t="s">
        <v>337</v>
      </c>
      <c r="L1333" s="80" t="s">
        <v>352</v>
      </c>
      <c r="M1333" s="81">
        <v>0.57999999999999996</v>
      </c>
      <c r="N1333" s="82">
        <v>18.559999999999999</v>
      </c>
    </row>
    <row r="1334" spans="1:14" x14ac:dyDescent="0.25">
      <c r="A1334" s="10" t="str">
        <f>_xlfn.IFNA(
    IF(J1334=
        "PCB-0001",
        "CSS",
        IF(
            ISNUMBER(MATCH(_xlfn.TEXTBEFORE(J1334,"-"), {"CSS","CSN","PCB","PCF","BEC","CSD","PCM"}, 0)),
            _xlfn.TEXTBEFORE(J1334,"-"),
            "Other"
        )
    ),
"Add")</f>
        <v>CSD</v>
      </c>
      <c r="B1334" s="10" t="str">
        <f t="shared" si="21"/>
        <v>0001</v>
      </c>
      <c r="C1334" s="10" t="str">
        <f>_xlfn.LET(
    _xlpm.val, IF(Datadetails[[#This Row],[Activity]]="D02","C20",Datadetails[[#This Row],[Activity]]),
    IF(ISNUMBER(MATCH(_xlpm.val,{"D04","C30","c40","C20"},0)), _xlpm.val, "Other")
)</f>
        <v>D04</v>
      </c>
      <c r="D1334" s="10" t="str">
        <f>IFERROR(VLOOKUP(Datadetails[[#This Row],[Taskcode]],Dashboard!A:A,1,FALSE),"00 Err Missing")</f>
        <v>0001</v>
      </c>
      <c r="E1334" s="79">
        <v>45842</v>
      </c>
      <c r="F1334" s="80" t="s">
        <v>327</v>
      </c>
      <c r="G1334" s="60" t="s">
        <v>40</v>
      </c>
      <c r="H1334" s="80" t="s">
        <v>320</v>
      </c>
      <c r="I1334" s="80" t="s">
        <v>35</v>
      </c>
      <c r="J1334" s="80" t="s">
        <v>322</v>
      </c>
      <c r="K1334" s="80" t="s">
        <v>319</v>
      </c>
      <c r="L1334" s="80" t="s">
        <v>352</v>
      </c>
      <c r="M1334" s="81">
        <v>4</v>
      </c>
      <c r="N1334" s="82">
        <v>128</v>
      </c>
    </row>
    <row r="1335" spans="1:14" x14ac:dyDescent="0.25">
      <c r="A1335" s="10" t="str">
        <f>_xlfn.IFNA(
    IF(J1335=
        "PCB-0001",
        "CSS",
        IF(
            ISNUMBER(MATCH(_xlfn.TEXTBEFORE(J1335,"-"), {"CSS","CSN","PCB","PCF","BEC","CSD","PCM"}, 0)),
            _xlfn.TEXTBEFORE(J1335,"-"),
            "Other"
        )
    ),
"Add")</f>
        <v>CSD</v>
      </c>
      <c r="B1335" s="10" t="str">
        <f t="shared" si="21"/>
        <v>0001</v>
      </c>
      <c r="C1335" s="10" t="str">
        <f>_xlfn.LET(
    _xlpm.val, IF(Datadetails[[#This Row],[Activity]]="D02","C20",Datadetails[[#This Row],[Activity]]),
    IF(ISNUMBER(MATCH(_xlpm.val,{"D04","C30","c40","C20"},0)), _xlpm.val, "Other")
)</f>
        <v>D04</v>
      </c>
      <c r="D1335" s="10" t="str">
        <f>IFERROR(VLOOKUP(Datadetails[[#This Row],[Taskcode]],Dashboard!A:A,1,FALSE),"00 Err Missing")</f>
        <v>0001</v>
      </c>
      <c r="E1335" s="79">
        <v>45842</v>
      </c>
      <c r="F1335" s="80" t="s">
        <v>333</v>
      </c>
      <c r="G1335" s="60" t="s">
        <v>40</v>
      </c>
      <c r="H1335" s="80" t="s">
        <v>320</v>
      </c>
      <c r="I1335" s="80" t="s">
        <v>35</v>
      </c>
      <c r="J1335" s="80" t="s">
        <v>322</v>
      </c>
      <c r="K1335" s="80" t="s">
        <v>319</v>
      </c>
      <c r="L1335" s="80" t="s">
        <v>352</v>
      </c>
      <c r="M1335" s="81">
        <v>6.62</v>
      </c>
      <c r="N1335" s="82">
        <v>211.84</v>
      </c>
    </row>
    <row r="1336" spans="1:14" x14ac:dyDescent="0.25">
      <c r="A1336" s="10" t="str">
        <f>_xlfn.IFNA(
    IF(J1336=
        "PCB-0001",
        "CSS",
        IF(
            ISNUMBER(MATCH(_xlfn.TEXTBEFORE(J1336,"-"), {"CSS","CSN","PCB","PCF","BEC","CSD","PCM"}, 0)),
            _xlfn.TEXTBEFORE(J1336,"-"),
            "Other"
        )
    ),
"Add")</f>
        <v>PCM</v>
      </c>
      <c r="B1336" s="10" t="str">
        <f t="shared" si="21"/>
        <v>0033</v>
      </c>
      <c r="C1336" s="10" t="str">
        <f>_xlfn.LET(
    _xlpm.val, IF(Datadetails[[#This Row],[Activity]]="D02","C20",Datadetails[[#This Row],[Activity]]),
    IF(ISNUMBER(MATCH(_xlpm.val,{"D04","C30","c40","C20"},0)), _xlpm.val, "Other")
)</f>
        <v>C30</v>
      </c>
      <c r="D1336" s="10" t="str">
        <f>IFERROR(VLOOKUP(Datadetails[[#This Row],[Taskcode]],Dashboard!A:A,1,FALSE),"00 Err Missing")</f>
        <v>0033</v>
      </c>
      <c r="E1336" s="79">
        <v>45842</v>
      </c>
      <c r="F1336" s="80" t="s">
        <v>323</v>
      </c>
      <c r="G1336" s="60" t="s">
        <v>40</v>
      </c>
      <c r="H1336" s="80" t="s">
        <v>200</v>
      </c>
      <c r="I1336" s="80" t="s">
        <v>34</v>
      </c>
      <c r="J1336" s="80" t="s">
        <v>391</v>
      </c>
      <c r="K1336" s="80" t="s">
        <v>346</v>
      </c>
      <c r="L1336" s="80" t="s">
        <v>343</v>
      </c>
      <c r="M1336" s="81">
        <v>0.33</v>
      </c>
      <c r="N1336" s="82">
        <v>19.8</v>
      </c>
    </row>
    <row r="1337" spans="1:14" x14ac:dyDescent="0.25">
      <c r="A1337" s="10" t="str">
        <f>_xlfn.IFNA(
    IF(J1337=
        "PCB-0001",
        "CSS",
        IF(
            ISNUMBER(MATCH(_xlfn.TEXTBEFORE(J1337,"-"), {"CSS","CSN","PCB","PCF","BEC","CSD","PCM"}, 0)),
            _xlfn.TEXTBEFORE(J1337,"-"),
            "Other"
        )
    ),
"Add")</f>
        <v>PCB</v>
      </c>
      <c r="B1337" s="10" t="str">
        <f t="shared" si="21"/>
        <v>0031</v>
      </c>
      <c r="C1337" s="10" t="str">
        <f>_xlfn.LET(
    _xlpm.val, IF(Datadetails[[#This Row],[Activity]]="D02","C20",Datadetails[[#This Row],[Activity]]),
    IF(ISNUMBER(MATCH(_xlpm.val,{"D04","C30","c40","C20"},0)), _xlpm.val, "Other")
)</f>
        <v>C20</v>
      </c>
      <c r="D1337" s="10" t="str">
        <f>IFERROR(VLOOKUP(Datadetails[[#This Row],[Taskcode]],Dashboard!A:A,1,FALSE),"00 Err Missing")</f>
        <v>0031</v>
      </c>
      <c r="E1337" s="79">
        <v>45842</v>
      </c>
      <c r="F1337" s="80" t="s">
        <v>325</v>
      </c>
      <c r="G1337" s="60" t="s">
        <v>40</v>
      </c>
      <c r="H1337" s="80" t="s">
        <v>198</v>
      </c>
      <c r="I1337" s="80" t="s">
        <v>36</v>
      </c>
      <c r="J1337" s="80" t="s">
        <v>413</v>
      </c>
      <c r="K1337" s="80" t="s">
        <v>347</v>
      </c>
      <c r="L1337" s="80" t="s">
        <v>342</v>
      </c>
      <c r="M1337" s="81">
        <v>0.33</v>
      </c>
      <c r="N1337" s="82">
        <v>24.75</v>
      </c>
    </row>
    <row r="1338" spans="1:14" x14ac:dyDescent="0.25">
      <c r="A1338" s="10" t="str">
        <f>_xlfn.IFNA(
    IF(J1338=
        "PCB-0001",
        "CSS",
        IF(
            ISNUMBER(MATCH(_xlfn.TEXTBEFORE(J1338,"-"), {"CSS","CSN","PCB","PCF","BEC","CSD","PCM"}, 0)),
            _xlfn.TEXTBEFORE(J1338,"-"),
            "Other"
        )
    ),
"Add")</f>
        <v>PCB</v>
      </c>
      <c r="B1338" s="10" t="str">
        <f t="shared" si="21"/>
        <v>0019</v>
      </c>
      <c r="C1338" s="10" t="str">
        <f>_xlfn.LET(
    _xlpm.val, IF(Datadetails[[#This Row],[Activity]]="D02","C20",Datadetails[[#This Row],[Activity]]),
    IF(ISNUMBER(MATCH(_xlpm.val,{"D04","C30","c40","C20"},0)), _xlpm.val, "Other")
)</f>
        <v>C30</v>
      </c>
      <c r="D1338" s="10" t="str">
        <f>IFERROR(VLOOKUP(Datadetails[[#This Row],[Taskcode]],Dashboard!A:A,1,FALSE),"00 Err Missing")</f>
        <v>0019</v>
      </c>
      <c r="E1338" s="79">
        <v>45842</v>
      </c>
      <c r="F1338" s="80" t="s">
        <v>329</v>
      </c>
      <c r="G1338" s="60" t="s">
        <v>40</v>
      </c>
      <c r="H1338" s="80" t="s">
        <v>186</v>
      </c>
      <c r="I1338" s="80" t="s">
        <v>34</v>
      </c>
      <c r="J1338" s="80" t="s">
        <v>397</v>
      </c>
      <c r="K1338" s="80" t="s">
        <v>347</v>
      </c>
      <c r="L1338" s="80" t="s">
        <v>343</v>
      </c>
      <c r="M1338" s="81">
        <v>0.17</v>
      </c>
      <c r="N1338" s="82">
        <v>12.750000000000002</v>
      </c>
    </row>
    <row r="1339" spans="1:14" x14ac:dyDescent="0.25">
      <c r="A1339" s="10" t="str">
        <f>_xlfn.IFNA(
    IF(J1339=
        "PCB-0001",
        "CSS",
        IF(
            ISNUMBER(MATCH(_xlfn.TEXTBEFORE(J1339,"-"), {"CSS","CSN","PCB","PCF","BEC","CSD","PCM"}, 0)),
            _xlfn.TEXTBEFORE(J1339,"-"),
            "Other"
        )
    ),
"Add")</f>
        <v>PCB</v>
      </c>
      <c r="B1339" s="10" t="str">
        <f t="shared" si="21"/>
        <v>0030</v>
      </c>
      <c r="C1339" s="10" t="str">
        <f>_xlfn.LET(
    _xlpm.val, IF(Datadetails[[#This Row],[Activity]]="D02","C20",Datadetails[[#This Row],[Activity]]),
    IF(ISNUMBER(MATCH(_xlpm.val,{"D04","C30","c40","C20"},0)), _xlpm.val, "Other")
)</f>
        <v>C30</v>
      </c>
      <c r="D1339" s="10" t="str">
        <f>IFERROR(VLOOKUP(Datadetails[[#This Row],[Taskcode]],Dashboard!A:A,1,FALSE),"00 Err Missing")</f>
        <v>0030</v>
      </c>
      <c r="E1339" s="79">
        <v>45842</v>
      </c>
      <c r="F1339" s="80" t="s">
        <v>329</v>
      </c>
      <c r="G1339" s="60" t="s">
        <v>40</v>
      </c>
      <c r="H1339" s="80" t="s">
        <v>197</v>
      </c>
      <c r="I1339" s="80" t="s">
        <v>34</v>
      </c>
      <c r="J1339" s="80" t="s">
        <v>366</v>
      </c>
      <c r="K1339" s="80" t="s">
        <v>347</v>
      </c>
      <c r="L1339" s="80" t="s">
        <v>343</v>
      </c>
      <c r="M1339" s="81">
        <v>0.08</v>
      </c>
      <c r="N1339" s="82">
        <v>6</v>
      </c>
    </row>
    <row r="1340" spans="1:14" x14ac:dyDescent="0.25">
      <c r="A1340" s="10" t="str">
        <f>_xlfn.IFNA(
    IF(J1340=
        "PCB-0001",
        "CSS",
        IF(
            ISNUMBER(MATCH(_xlfn.TEXTBEFORE(J1340,"-"), {"CSS","CSN","PCB","PCF","BEC","CSD","PCM"}, 0)),
            _xlfn.TEXTBEFORE(J1340,"-"),
            "Other"
        )
    ),
"Add")</f>
        <v>PCB</v>
      </c>
      <c r="B1340" s="10" t="str">
        <f t="shared" si="21"/>
        <v>0134</v>
      </c>
      <c r="C1340" s="10" t="str">
        <f>_xlfn.LET(
    _xlpm.val, IF(Datadetails[[#This Row],[Activity]]="D02","C20",Datadetails[[#This Row],[Activity]]),
    IF(ISNUMBER(MATCH(_xlpm.val,{"D04","C30","c40","C20"},0)), _xlpm.val, "Other")
)</f>
        <v>C30</v>
      </c>
      <c r="D1340" s="10" t="str">
        <f>IFERROR(VLOOKUP(Datadetails[[#This Row],[Taskcode]],Dashboard!A:A,1,FALSE),"00 Err Missing")</f>
        <v>0134</v>
      </c>
      <c r="E1340" s="79">
        <v>45842</v>
      </c>
      <c r="F1340" s="80" t="s">
        <v>329</v>
      </c>
      <c r="G1340" s="60" t="s">
        <v>40</v>
      </c>
      <c r="H1340" s="80" t="s">
        <v>301</v>
      </c>
      <c r="I1340" s="80" t="s">
        <v>34</v>
      </c>
      <c r="J1340" s="80" t="s">
        <v>371</v>
      </c>
      <c r="K1340" s="80" t="s">
        <v>347</v>
      </c>
      <c r="L1340" s="80" t="s">
        <v>343</v>
      </c>
      <c r="M1340" s="81">
        <v>0.17</v>
      </c>
      <c r="N1340" s="82">
        <v>12.750000000000002</v>
      </c>
    </row>
    <row r="1341" spans="1:14" x14ac:dyDescent="0.25">
      <c r="A1341" s="10" t="str">
        <f>_xlfn.IFNA(
    IF(J1341=
        "PCB-0001",
        "CSS",
        IF(
            ISNUMBER(MATCH(_xlfn.TEXTBEFORE(J1341,"-"), {"CSS","CSN","PCB","PCF","BEC","CSD","PCM"}, 0)),
            _xlfn.TEXTBEFORE(J1341,"-"),
            "Other"
        )
    ),
"Add")</f>
        <v>PCB</v>
      </c>
      <c r="B1341" s="10" t="str">
        <f t="shared" si="21"/>
        <v>0136</v>
      </c>
      <c r="C1341" s="10" t="str">
        <f>_xlfn.LET(
    _xlpm.val, IF(Datadetails[[#This Row],[Activity]]="D02","C20",Datadetails[[#This Row],[Activity]]),
    IF(ISNUMBER(MATCH(_xlpm.val,{"D04","C30","c40","C20"},0)), _xlpm.val, "Other")
)</f>
        <v>C30</v>
      </c>
      <c r="D1341" s="10" t="str">
        <f>IFERROR(VLOOKUP(Datadetails[[#This Row],[Taskcode]],Dashboard!A:A,1,FALSE),"00 Err Missing")</f>
        <v>0136</v>
      </c>
      <c r="E1341" s="79">
        <v>45842</v>
      </c>
      <c r="F1341" s="80" t="s">
        <v>329</v>
      </c>
      <c r="G1341" s="60" t="s">
        <v>40</v>
      </c>
      <c r="H1341" s="80" t="s">
        <v>303</v>
      </c>
      <c r="I1341" s="80" t="s">
        <v>34</v>
      </c>
      <c r="J1341" s="80" t="s">
        <v>400</v>
      </c>
      <c r="K1341" s="80" t="s">
        <v>347</v>
      </c>
      <c r="L1341" s="80" t="s">
        <v>343</v>
      </c>
      <c r="M1341" s="81">
        <v>0.08</v>
      </c>
      <c r="N1341" s="82">
        <v>6</v>
      </c>
    </row>
    <row r="1342" spans="1:14" x14ac:dyDescent="0.25">
      <c r="A1342" s="10" t="str">
        <f>_xlfn.IFNA(
    IF(J1342=
        "PCB-0001",
        "CSS",
        IF(
            ISNUMBER(MATCH(_xlfn.TEXTBEFORE(J1342,"-"), {"CSS","CSN","PCB","PCF","BEC","CSD","PCM"}, 0)),
            _xlfn.TEXTBEFORE(J1342,"-"),
            "Other"
        )
    ),
"Add")</f>
        <v>PCB</v>
      </c>
      <c r="B1342" s="10" t="str">
        <f t="shared" si="21"/>
        <v>0054</v>
      </c>
      <c r="C1342" s="10" t="str">
        <f>_xlfn.LET(
    _xlpm.val, IF(Datadetails[[#This Row],[Activity]]="D02","C20",Datadetails[[#This Row],[Activity]]),
    IF(ISNUMBER(MATCH(_xlpm.val,{"D04","C30","c40","C20"},0)), _xlpm.val, "Other")
)</f>
        <v>C30</v>
      </c>
      <c r="D1342" s="10" t="str">
        <f>IFERROR(VLOOKUP(Datadetails[[#This Row],[Taskcode]],Dashboard!A:A,1,FALSE),"00 Err Missing")</f>
        <v>0054</v>
      </c>
      <c r="E1342" s="79">
        <v>45842</v>
      </c>
      <c r="F1342" s="80" t="s">
        <v>329</v>
      </c>
      <c r="G1342" s="60" t="s">
        <v>40</v>
      </c>
      <c r="H1342" s="80" t="s">
        <v>221</v>
      </c>
      <c r="I1342" s="80" t="s">
        <v>34</v>
      </c>
      <c r="J1342" s="80" t="s">
        <v>369</v>
      </c>
      <c r="K1342" s="80" t="s">
        <v>347</v>
      </c>
      <c r="L1342" s="80" t="s">
        <v>343</v>
      </c>
      <c r="M1342" s="81">
        <v>0.17</v>
      </c>
      <c r="N1342" s="82">
        <v>12.750000000000002</v>
      </c>
    </row>
    <row r="1343" spans="1:14" x14ac:dyDescent="0.25">
      <c r="A1343" s="10" t="str">
        <f>_xlfn.IFNA(
    IF(J1343=
        "PCB-0001",
        "CSS",
        IF(
            ISNUMBER(MATCH(_xlfn.TEXTBEFORE(J1343,"-"), {"CSS","CSN","PCB","PCF","BEC","CSD","PCM"}, 0)),
            _xlfn.TEXTBEFORE(J1343,"-"),
            "Other"
        )
    ),
"Add")</f>
        <v>PCB</v>
      </c>
      <c r="B1343" s="10" t="str">
        <f t="shared" si="21"/>
        <v>0073</v>
      </c>
      <c r="C1343" s="10" t="str">
        <f>_xlfn.LET(
    _xlpm.val, IF(Datadetails[[#This Row],[Activity]]="D02","C20",Datadetails[[#This Row],[Activity]]),
    IF(ISNUMBER(MATCH(_xlpm.val,{"D04","C30","c40","C20"},0)), _xlpm.val, "Other")
)</f>
        <v>C30</v>
      </c>
      <c r="D1343" s="10" t="str">
        <f>IFERROR(VLOOKUP(Datadetails[[#This Row],[Taskcode]],Dashboard!A:A,1,FALSE),"00 Err Missing")</f>
        <v>0073</v>
      </c>
      <c r="E1343" s="79">
        <v>45842</v>
      </c>
      <c r="F1343" s="80" t="s">
        <v>329</v>
      </c>
      <c r="G1343" s="60" t="s">
        <v>40</v>
      </c>
      <c r="H1343" s="80" t="s">
        <v>240</v>
      </c>
      <c r="I1343" s="80" t="s">
        <v>34</v>
      </c>
      <c r="J1343" s="80" t="s">
        <v>402</v>
      </c>
      <c r="K1343" s="80" t="s">
        <v>347</v>
      </c>
      <c r="L1343" s="80" t="s">
        <v>343</v>
      </c>
      <c r="M1343" s="81">
        <v>0.17</v>
      </c>
      <c r="N1343" s="82">
        <v>12.750000000000002</v>
      </c>
    </row>
    <row r="1344" spans="1:14" x14ac:dyDescent="0.25">
      <c r="A1344" s="10" t="str">
        <f>_xlfn.IFNA(
    IF(J1344=
        "PCB-0001",
        "CSS",
        IF(
            ISNUMBER(MATCH(_xlfn.TEXTBEFORE(J1344,"-"), {"CSS","CSN","PCB","PCF","BEC","CSD","PCM"}, 0)),
            _xlfn.TEXTBEFORE(J1344,"-"),
            "Other"
        )
    ),
"Add")</f>
        <v>PCB</v>
      </c>
      <c r="B1344" s="10" t="str">
        <f t="shared" si="21"/>
        <v>0074</v>
      </c>
      <c r="C1344" s="10" t="str">
        <f>_xlfn.LET(
    _xlpm.val, IF(Datadetails[[#This Row],[Activity]]="D02","C20",Datadetails[[#This Row],[Activity]]),
    IF(ISNUMBER(MATCH(_xlpm.val,{"D04","C30","c40","C20"},0)), _xlpm.val, "Other")
)</f>
        <v>C30</v>
      </c>
      <c r="D1344" s="10" t="str">
        <f>IFERROR(VLOOKUP(Datadetails[[#This Row],[Taskcode]],Dashboard!A:A,1,FALSE),"00 Err Missing")</f>
        <v>0074</v>
      </c>
      <c r="E1344" s="79">
        <v>45842</v>
      </c>
      <c r="F1344" s="80" t="s">
        <v>329</v>
      </c>
      <c r="G1344" s="60" t="s">
        <v>40</v>
      </c>
      <c r="H1344" s="80" t="s">
        <v>241</v>
      </c>
      <c r="I1344" s="80" t="s">
        <v>34</v>
      </c>
      <c r="J1344" s="80" t="s">
        <v>403</v>
      </c>
      <c r="K1344" s="80" t="s">
        <v>347</v>
      </c>
      <c r="L1344" s="80" t="s">
        <v>343</v>
      </c>
      <c r="M1344" s="81">
        <v>0.25</v>
      </c>
      <c r="N1344" s="82">
        <v>18.75</v>
      </c>
    </row>
    <row r="1345" spans="1:14" x14ac:dyDescent="0.25">
      <c r="A1345" s="10" t="str">
        <f>_xlfn.IFNA(
    IF(J1345=
        "PCB-0001",
        "CSS",
        IF(
            ISNUMBER(MATCH(_xlfn.TEXTBEFORE(J1345,"-"), {"CSS","CSN","PCB","PCF","BEC","CSD","PCM"}, 0)),
            _xlfn.TEXTBEFORE(J1345,"-"),
            "Other"
        )
    ),
"Add")</f>
        <v>PCB</v>
      </c>
      <c r="B1345" s="10" t="str">
        <f t="shared" si="21"/>
        <v>0128</v>
      </c>
      <c r="C1345" s="10" t="str">
        <f>_xlfn.LET(
    _xlpm.val, IF(Datadetails[[#This Row],[Activity]]="D02","C20",Datadetails[[#This Row],[Activity]]),
    IF(ISNUMBER(MATCH(_xlpm.val,{"D04","C30","c40","C20"},0)), _xlpm.val, "Other")
)</f>
        <v>C30</v>
      </c>
      <c r="D1345" s="10" t="str">
        <f>IFERROR(VLOOKUP(Datadetails[[#This Row],[Taskcode]],Dashboard!A:A,1,FALSE),"00 Err Missing")</f>
        <v>0128</v>
      </c>
      <c r="E1345" s="79">
        <v>45842</v>
      </c>
      <c r="F1345" s="80" t="s">
        <v>329</v>
      </c>
      <c r="G1345" s="60" t="s">
        <v>40</v>
      </c>
      <c r="H1345" s="80" t="s">
        <v>295</v>
      </c>
      <c r="I1345" s="80" t="s">
        <v>34</v>
      </c>
      <c r="J1345" s="80" t="s">
        <v>379</v>
      </c>
      <c r="K1345" s="80" t="s">
        <v>347</v>
      </c>
      <c r="L1345" s="80" t="s">
        <v>343</v>
      </c>
      <c r="M1345" s="81">
        <v>0.42</v>
      </c>
      <c r="N1345" s="82">
        <v>31.5</v>
      </c>
    </row>
    <row r="1346" spans="1:14" x14ac:dyDescent="0.25">
      <c r="A1346" s="10" t="str">
        <f>_xlfn.IFNA(
    IF(J1346=
        "PCB-0001",
        "CSS",
        IF(
            ISNUMBER(MATCH(_xlfn.TEXTBEFORE(J1346,"-"), {"CSS","CSN","PCB","PCF","BEC","CSD","PCM"}, 0)),
            _xlfn.TEXTBEFORE(J1346,"-"),
            "Other"
        )
    ),
"Add")</f>
        <v>PCB</v>
      </c>
      <c r="B1346" s="10" t="str">
        <f t="shared" si="21"/>
        <v>0129</v>
      </c>
      <c r="C1346" s="10" t="str">
        <f>_xlfn.LET(
    _xlpm.val, IF(Datadetails[[#This Row],[Activity]]="D02","C20",Datadetails[[#This Row],[Activity]]),
    IF(ISNUMBER(MATCH(_xlpm.val,{"D04","C30","c40","C20"},0)), _xlpm.val, "Other")
)</f>
        <v>C30</v>
      </c>
      <c r="D1346" s="10" t="str">
        <f>IFERROR(VLOOKUP(Datadetails[[#This Row],[Taskcode]],Dashboard!A:A,1,FALSE),"00 Err Missing")</f>
        <v>0129</v>
      </c>
      <c r="E1346" s="79">
        <v>45842</v>
      </c>
      <c r="F1346" s="80" t="s">
        <v>329</v>
      </c>
      <c r="G1346" s="60" t="s">
        <v>40</v>
      </c>
      <c r="H1346" s="80" t="s">
        <v>296</v>
      </c>
      <c r="I1346" s="80" t="s">
        <v>34</v>
      </c>
      <c r="J1346" s="80" t="s">
        <v>411</v>
      </c>
      <c r="K1346" s="80" t="s">
        <v>347</v>
      </c>
      <c r="L1346" s="80" t="s">
        <v>343</v>
      </c>
      <c r="M1346" s="81">
        <v>0.25</v>
      </c>
      <c r="N1346" s="82">
        <v>18.75</v>
      </c>
    </row>
    <row r="1347" spans="1:14" x14ac:dyDescent="0.25">
      <c r="A1347" s="10" t="str">
        <f>_xlfn.IFNA(
    IF(J1347=
        "PCB-0001",
        "CSS",
        IF(
            ISNUMBER(MATCH(_xlfn.TEXTBEFORE(J1347,"-"), {"CSS","CSN","PCB","PCF","BEC","CSD","PCM"}, 0)),
            _xlfn.TEXTBEFORE(J1347,"-"),
            "Other"
        )
    ),
"Add")</f>
        <v>PCB</v>
      </c>
      <c r="B1347" s="10" t="str">
        <f t="shared" si="21"/>
        <v>0086</v>
      </c>
      <c r="C1347" s="10" t="str">
        <f>_xlfn.LET(
    _xlpm.val, IF(Datadetails[[#This Row],[Activity]]="D02","C20",Datadetails[[#This Row],[Activity]]),
    IF(ISNUMBER(MATCH(_xlpm.val,{"D04","C30","c40","C20"},0)), _xlpm.val, "Other")
)</f>
        <v>C30</v>
      </c>
      <c r="D1347" s="10" t="str">
        <f>IFERROR(VLOOKUP(Datadetails[[#This Row],[Taskcode]],Dashboard!A:A,1,FALSE),"00 Err Missing")</f>
        <v>0086</v>
      </c>
      <c r="E1347" s="79">
        <v>45842</v>
      </c>
      <c r="F1347" s="80" t="s">
        <v>325</v>
      </c>
      <c r="G1347" s="60" t="s">
        <v>40</v>
      </c>
      <c r="H1347" s="80" t="s">
        <v>253</v>
      </c>
      <c r="I1347" s="80" t="s">
        <v>34</v>
      </c>
      <c r="J1347" s="80" t="s">
        <v>408</v>
      </c>
      <c r="K1347" s="80" t="s">
        <v>347</v>
      </c>
      <c r="L1347" s="80" t="s">
        <v>343</v>
      </c>
      <c r="M1347" s="81">
        <v>0.25</v>
      </c>
      <c r="N1347" s="82">
        <v>18.75</v>
      </c>
    </row>
    <row r="1348" spans="1:14" x14ac:dyDescent="0.25">
      <c r="A1348" s="10" t="str">
        <f>_xlfn.IFNA(
    IF(J1348=
        "PCB-0001",
        "CSS",
        IF(
            ISNUMBER(MATCH(_xlfn.TEXTBEFORE(J1348,"-"), {"CSS","CSN","PCB","PCF","BEC","CSD","PCM"}, 0)),
            _xlfn.TEXTBEFORE(J1348,"-"),
            "Other"
        )
    ),
"Add")</f>
        <v>PCB</v>
      </c>
      <c r="B1348" s="10" t="str">
        <f t="shared" ref="B1348:B1411" si="22">_xlfn.IFNA(_xlfn.TEXTAFTER(J1348,"-"),"Data to C2")</f>
        <v>0091</v>
      </c>
      <c r="C1348" s="10" t="str">
        <f>_xlfn.LET(
    _xlpm.val, IF(Datadetails[[#This Row],[Activity]]="D02","C20",Datadetails[[#This Row],[Activity]]),
    IF(ISNUMBER(MATCH(_xlpm.val,{"D04","C30","c40","C20"},0)), _xlpm.val, "Other")
)</f>
        <v>C30</v>
      </c>
      <c r="D1348" s="10" t="str">
        <f>IFERROR(VLOOKUP(Datadetails[[#This Row],[Taskcode]],Dashboard!A:A,1,FALSE),"00 Err Missing")</f>
        <v>0091</v>
      </c>
      <c r="E1348" s="79">
        <v>45842</v>
      </c>
      <c r="F1348" s="80" t="s">
        <v>329</v>
      </c>
      <c r="G1348" s="60" t="s">
        <v>40</v>
      </c>
      <c r="H1348" s="80" t="s">
        <v>258</v>
      </c>
      <c r="I1348" s="80" t="s">
        <v>34</v>
      </c>
      <c r="J1348" s="80" t="s">
        <v>381</v>
      </c>
      <c r="K1348" s="80" t="s">
        <v>347</v>
      </c>
      <c r="L1348" s="80" t="s">
        <v>343</v>
      </c>
      <c r="M1348" s="81">
        <v>0.08</v>
      </c>
      <c r="N1348" s="82">
        <v>6</v>
      </c>
    </row>
    <row r="1349" spans="1:14" x14ac:dyDescent="0.25">
      <c r="A1349" s="10" t="str">
        <f>_xlfn.IFNA(
    IF(J1349=
        "PCB-0001",
        "CSS",
        IF(
            ISNUMBER(MATCH(_xlfn.TEXTBEFORE(J1349,"-"), {"CSS","CSN","PCB","PCF","BEC","CSD","PCM"}, 0)),
            _xlfn.TEXTBEFORE(J1349,"-"),
            "Other"
        )
    ),
"Add")</f>
        <v>PCB</v>
      </c>
      <c r="B1349" s="10" t="str">
        <f t="shared" si="22"/>
        <v>0092</v>
      </c>
      <c r="C1349" s="10" t="str">
        <f>_xlfn.LET(
    _xlpm.val, IF(Datadetails[[#This Row],[Activity]]="D02","C20",Datadetails[[#This Row],[Activity]]),
    IF(ISNUMBER(MATCH(_xlpm.val,{"D04","C30","c40","C20"},0)), _xlpm.val, "Other")
)</f>
        <v>C30</v>
      </c>
      <c r="D1349" s="10" t="str">
        <f>IFERROR(VLOOKUP(Datadetails[[#This Row],[Taskcode]],Dashboard!A:A,1,FALSE),"00 Err Missing")</f>
        <v>0092</v>
      </c>
      <c r="E1349" s="79">
        <v>45842</v>
      </c>
      <c r="F1349" s="80" t="s">
        <v>329</v>
      </c>
      <c r="G1349" s="60" t="s">
        <v>40</v>
      </c>
      <c r="H1349" s="80" t="s">
        <v>259</v>
      </c>
      <c r="I1349" s="80" t="s">
        <v>34</v>
      </c>
      <c r="J1349" s="80" t="s">
        <v>407</v>
      </c>
      <c r="K1349" s="80" t="s">
        <v>347</v>
      </c>
      <c r="L1349" s="80" t="s">
        <v>343</v>
      </c>
      <c r="M1349" s="81">
        <v>0.08</v>
      </c>
      <c r="N1349" s="82">
        <v>6</v>
      </c>
    </row>
    <row r="1350" spans="1:14" x14ac:dyDescent="0.25">
      <c r="A1350" s="10" t="str">
        <f>_xlfn.IFNA(
    IF(J1350=
        "PCB-0001",
        "CSS",
        IF(
            ISNUMBER(MATCH(_xlfn.TEXTBEFORE(J1350,"-"), {"CSS","CSN","PCB","PCF","BEC","CSD","PCM"}, 0)),
            _xlfn.TEXTBEFORE(J1350,"-"),
            "Other"
        )
    ),
"Add")</f>
        <v>PCB</v>
      </c>
      <c r="B1350" s="10" t="str">
        <f t="shared" si="22"/>
        <v>0080</v>
      </c>
      <c r="C1350" s="10" t="str">
        <f>_xlfn.LET(
    _xlpm.val, IF(Datadetails[[#This Row],[Activity]]="D02","C20",Datadetails[[#This Row],[Activity]]),
    IF(ISNUMBER(MATCH(_xlpm.val,{"D04","C30","c40","C20"},0)), _xlpm.val, "Other")
)</f>
        <v>C30</v>
      </c>
      <c r="D1350" s="10" t="str">
        <f>IFERROR(VLOOKUP(Datadetails[[#This Row],[Taskcode]],Dashboard!A:A,1,FALSE),"00 Err Missing")</f>
        <v>0080</v>
      </c>
      <c r="E1350" s="79">
        <v>45842</v>
      </c>
      <c r="F1350" s="80" t="s">
        <v>329</v>
      </c>
      <c r="G1350" s="60" t="s">
        <v>40</v>
      </c>
      <c r="H1350" s="80" t="s">
        <v>247</v>
      </c>
      <c r="I1350" s="80" t="s">
        <v>34</v>
      </c>
      <c r="J1350" s="80" t="s">
        <v>375</v>
      </c>
      <c r="K1350" s="80" t="s">
        <v>347</v>
      </c>
      <c r="L1350" s="80" t="s">
        <v>343</v>
      </c>
      <c r="M1350" s="81">
        <v>0.17</v>
      </c>
      <c r="N1350" s="82">
        <v>12.750000000000002</v>
      </c>
    </row>
    <row r="1351" spans="1:14" x14ac:dyDescent="0.25">
      <c r="A1351" s="10" t="str">
        <f>_xlfn.IFNA(
    IF(J1351=
        "PCB-0001",
        "CSS",
        IF(
            ISNUMBER(MATCH(_xlfn.TEXTBEFORE(J1351,"-"), {"CSS","CSN","PCB","PCF","BEC","CSD","PCM"}, 0)),
            _xlfn.TEXTBEFORE(J1351,"-"),
            "Other"
        )
    ),
"Add")</f>
        <v>PCB</v>
      </c>
      <c r="B1351" s="10" t="str">
        <f t="shared" si="22"/>
        <v>0111</v>
      </c>
      <c r="C1351" s="10" t="str">
        <f>_xlfn.LET(
    _xlpm.val, IF(Datadetails[[#This Row],[Activity]]="D02","C20",Datadetails[[#This Row],[Activity]]),
    IF(ISNUMBER(MATCH(_xlpm.val,{"D04","C30","c40","C20"},0)), _xlpm.val, "Other")
)</f>
        <v>C30</v>
      </c>
      <c r="D1351" s="10" t="str">
        <f>IFERROR(VLOOKUP(Datadetails[[#This Row],[Taskcode]],Dashboard!A:A,1,FALSE),"00 Err Missing")</f>
        <v>0111</v>
      </c>
      <c r="E1351" s="79">
        <v>45842</v>
      </c>
      <c r="F1351" s="80" t="s">
        <v>325</v>
      </c>
      <c r="G1351" s="60" t="s">
        <v>40</v>
      </c>
      <c r="H1351" s="80" t="s">
        <v>278</v>
      </c>
      <c r="I1351" s="80" t="s">
        <v>34</v>
      </c>
      <c r="J1351" s="80" t="s">
        <v>452</v>
      </c>
      <c r="K1351" s="80" t="s">
        <v>347</v>
      </c>
      <c r="L1351" s="80" t="s">
        <v>343</v>
      </c>
      <c r="M1351" s="81">
        <v>0.17</v>
      </c>
      <c r="N1351" s="82">
        <v>12.750000000000002</v>
      </c>
    </row>
    <row r="1352" spans="1:14" x14ac:dyDescent="0.25">
      <c r="A1352" s="10" t="str">
        <f>_xlfn.IFNA(
    IF(J1352=
        "PCB-0001",
        "CSS",
        IF(
            ISNUMBER(MATCH(_xlfn.TEXTBEFORE(J1352,"-"), {"CSS","CSN","PCB","PCF","BEC","CSD","PCM"}, 0)),
            _xlfn.TEXTBEFORE(J1352,"-"),
            "Other"
        )
    ),
"Add")</f>
        <v>PCB</v>
      </c>
      <c r="B1352" s="10" t="str">
        <f t="shared" si="22"/>
        <v>0063</v>
      </c>
      <c r="C1352" s="10" t="str">
        <f>_xlfn.LET(
    _xlpm.val, IF(Datadetails[[#This Row],[Activity]]="D02","C20",Datadetails[[#This Row],[Activity]]),
    IF(ISNUMBER(MATCH(_xlpm.val,{"D04","C30","c40","C20"},0)), _xlpm.val, "Other")
)</f>
        <v>C30</v>
      </c>
      <c r="D1352" s="10" t="str">
        <f>IFERROR(VLOOKUP(Datadetails[[#This Row],[Taskcode]],Dashboard!A:A,1,FALSE),"00 Err Missing")</f>
        <v>0063</v>
      </c>
      <c r="E1352" s="79">
        <v>45842</v>
      </c>
      <c r="F1352" s="80" t="s">
        <v>329</v>
      </c>
      <c r="G1352" s="60" t="s">
        <v>40</v>
      </c>
      <c r="H1352" s="80" t="s">
        <v>230</v>
      </c>
      <c r="I1352" s="80" t="s">
        <v>34</v>
      </c>
      <c r="J1352" s="80" t="s">
        <v>410</v>
      </c>
      <c r="K1352" s="80" t="s">
        <v>347</v>
      </c>
      <c r="L1352" s="80" t="s">
        <v>343</v>
      </c>
      <c r="M1352" s="81">
        <v>0.08</v>
      </c>
      <c r="N1352" s="82">
        <v>6</v>
      </c>
    </row>
    <row r="1353" spans="1:14" x14ac:dyDescent="0.25">
      <c r="A1353" s="10" t="str">
        <f>_xlfn.IFNA(
    IF(J1353=
        "PCB-0001",
        "CSS",
        IF(
            ISNUMBER(MATCH(_xlfn.TEXTBEFORE(J1353,"-"), {"CSS","CSN","PCB","PCF","BEC","CSD","PCM"}, 0)),
            _xlfn.TEXTBEFORE(J1353,"-"),
            "Other"
        )
    ),
"Add")</f>
        <v>PCB</v>
      </c>
      <c r="B1353" s="10" t="str">
        <f t="shared" si="22"/>
        <v>0101</v>
      </c>
      <c r="C1353" s="10" t="str">
        <f>_xlfn.LET(
    _xlpm.val, IF(Datadetails[[#This Row],[Activity]]="D02","C20",Datadetails[[#This Row],[Activity]]),
    IF(ISNUMBER(MATCH(_xlpm.val,{"D04","C30","c40","C20"},0)), _xlpm.val, "Other")
)</f>
        <v>C30</v>
      </c>
      <c r="D1353" s="10" t="str">
        <f>IFERROR(VLOOKUP(Datadetails[[#This Row],[Taskcode]],Dashboard!A:A,1,FALSE),"00 Err Missing")</f>
        <v>0101</v>
      </c>
      <c r="E1353" s="79">
        <v>45842</v>
      </c>
      <c r="F1353" s="80" t="s">
        <v>329</v>
      </c>
      <c r="G1353" s="60" t="s">
        <v>40</v>
      </c>
      <c r="H1353" s="80" t="s">
        <v>268</v>
      </c>
      <c r="I1353" s="80" t="s">
        <v>34</v>
      </c>
      <c r="J1353" s="80" t="s">
        <v>386</v>
      </c>
      <c r="K1353" s="80" t="s">
        <v>347</v>
      </c>
      <c r="L1353" s="80" t="s">
        <v>343</v>
      </c>
      <c r="M1353" s="81">
        <v>0.08</v>
      </c>
      <c r="N1353" s="82">
        <v>6</v>
      </c>
    </row>
    <row r="1354" spans="1:14" x14ac:dyDescent="0.25">
      <c r="A1354" s="10" t="str">
        <f>_xlfn.IFNA(
    IF(J1354=
        "PCB-0001",
        "CSS",
        IF(
            ISNUMBER(MATCH(_xlfn.TEXTBEFORE(J1354,"-"), {"CSS","CSN","PCB","PCF","BEC","CSD","PCM"}, 0)),
            _xlfn.TEXTBEFORE(J1354,"-"),
            "Other"
        )
    ),
"Add")</f>
        <v>PCB</v>
      </c>
      <c r="B1354" s="10" t="str">
        <f t="shared" si="22"/>
        <v>0132</v>
      </c>
      <c r="C1354" s="10" t="str">
        <f>_xlfn.LET(
    _xlpm.val, IF(Datadetails[[#This Row],[Activity]]="D02","C20",Datadetails[[#This Row],[Activity]]),
    IF(ISNUMBER(MATCH(_xlpm.val,{"D04","C30","c40","C20"},0)), _xlpm.val, "Other")
)</f>
        <v>C20</v>
      </c>
      <c r="D1354" s="10" t="str">
        <f>IFERROR(VLOOKUP(Datadetails[[#This Row],[Taskcode]],Dashboard!A:A,1,FALSE),"00 Err Missing")</f>
        <v>0132</v>
      </c>
      <c r="E1354" s="79">
        <v>45842</v>
      </c>
      <c r="F1354" s="80" t="s">
        <v>329</v>
      </c>
      <c r="G1354" s="60" t="s">
        <v>40</v>
      </c>
      <c r="H1354" s="80" t="s">
        <v>299</v>
      </c>
      <c r="I1354" s="80" t="s">
        <v>312</v>
      </c>
      <c r="J1354" s="80" t="s">
        <v>455</v>
      </c>
      <c r="K1354" s="80" t="s">
        <v>347</v>
      </c>
      <c r="L1354" s="80" t="s">
        <v>350</v>
      </c>
      <c r="M1354" s="81">
        <v>0.5</v>
      </c>
      <c r="N1354" s="82">
        <v>37.5</v>
      </c>
    </row>
    <row r="1355" spans="1:14" x14ac:dyDescent="0.25">
      <c r="A1355" s="10" t="str">
        <f>_xlfn.IFNA(
    IF(J1355=
        "PCB-0001",
        "CSS",
        IF(
            ISNUMBER(MATCH(_xlfn.TEXTBEFORE(J1355,"-"), {"CSS","CSN","PCB","PCF","BEC","CSD","PCM"}, 0)),
            _xlfn.TEXTBEFORE(J1355,"-"),
            "Other"
        )
    ),
"Add")</f>
        <v>PCF</v>
      </c>
      <c r="B1355" s="10" t="str">
        <f t="shared" si="22"/>
        <v>0060</v>
      </c>
      <c r="C1355" s="10" t="str">
        <f>_xlfn.LET(
    _xlpm.val, IF(Datadetails[[#This Row],[Activity]]="D02","C20",Datadetails[[#This Row],[Activity]]),
    IF(ISNUMBER(MATCH(_xlpm.val,{"D04","C30","c40","C20"},0)), _xlpm.val, "Other")
)</f>
        <v>C20</v>
      </c>
      <c r="D1355" s="10" t="str">
        <f>IFERROR(VLOOKUP(Datadetails[[#This Row],[Taskcode]],Dashboard!A:A,1,FALSE),"00 Err Missing")</f>
        <v>0060</v>
      </c>
      <c r="E1355" s="79">
        <v>45842</v>
      </c>
      <c r="F1355" s="80" t="s">
        <v>326</v>
      </c>
      <c r="G1355" s="60" t="s">
        <v>40</v>
      </c>
      <c r="H1355" s="80" t="s">
        <v>227</v>
      </c>
      <c r="I1355" s="80" t="s">
        <v>36</v>
      </c>
      <c r="J1355" s="80" t="s">
        <v>453</v>
      </c>
      <c r="K1355" s="80" t="s">
        <v>348</v>
      </c>
      <c r="L1355" s="80" t="s">
        <v>342</v>
      </c>
      <c r="M1355" s="81">
        <v>0.5</v>
      </c>
      <c r="N1355" s="82">
        <v>30</v>
      </c>
    </row>
    <row r="1356" spans="1:14" x14ac:dyDescent="0.25">
      <c r="A1356" s="10" t="str">
        <f>_xlfn.IFNA(
    IF(J1356=
        "PCB-0001",
        "CSS",
        IF(
            ISNUMBER(MATCH(_xlfn.TEXTBEFORE(J1356,"-"), {"CSS","CSN","PCB","PCF","BEC","CSD","PCM"}, 0)),
            _xlfn.TEXTBEFORE(J1356,"-"),
            "Other"
        )
    ),
"Add")</f>
        <v>PCF</v>
      </c>
      <c r="B1356" s="10" t="str">
        <f t="shared" si="22"/>
        <v>0068</v>
      </c>
      <c r="C1356" s="10" t="str">
        <f>_xlfn.LET(
    _xlpm.val, IF(Datadetails[[#This Row],[Activity]]="D02","C20",Datadetails[[#This Row],[Activity]]),
    IF(ISNUMBER(MATCH(_xlpm.val,{"D04","C30","c40","C20"},0)), _xlpm.val, "Other")
)</f>
        <v>C20</v>
      </c>
      <c r="D1356" s="10" t="str">
        <f>IFERROR(VLOOKUP(Datadetails[[#This Row],[Taskcode]],Dashboard!A:A,1,FALSE),"00 Err Missing")</f>
        <v>0068</v>
      </c>
      <c r="E1356" s="79">
        <v>45842</v>
      </c>
      <c r="F1356" s="80" t="s">
        <v>326</v>
      </c>
      <c r="G1356" s="60" t="s">
        <v>40</v>
      </c>
      <c r="H1356" s="80" t="s">
        <v>235</v>
      </c>
      <c r="I1356" s="80" t="s">
        <v>36</v>
      </c>
      <c r="J1356" s="80" t="s">
        <v>355</v>
      </c>
      <c r="K1356" s="80" t="s">
        <v>348</v>
      </c>
      <c r="L1356" s="80" t="s">
        <v>342</v>
      </c>
      <c r="M1356" s="81">
        <v>0.57999999999999996</v>
      </c>
      <c r="N1356" s="82">
        <v>34.799999999999997</v>
      </c>
    </row>
    <row r="1357" spans="1:14" x14ac:dyDescent="0.25">
      <c r="A1357" s="10" t="str">
        <f>_xlfn.IFNA(
    IF(J1357=
        "PCB-0001",
        "CSS",
        IF(
            ISNUMBER(MATCH(_xlfn.TEXTBEFORE(J1357,"-"), {"CSS","CSN","PCB","PCF","BEC","CSD","PCM"}, 0)),
            _xlfn.TEXTBEFORE(J1357,"-"),
            "Other"
        )
    ),
"Add")</f>
        <v>BEC</v>
      </c>
      <c r="B1357" s="10" t="str">
        <f t="shared" si="22"/>
        <v>0001</v>
      </c>
      <c r="C1357" s="10" t="str">
        <f>_xlfn.LET(
    _xlpm.val, IF(Datadetails[[#This Row],[Activity]]="D02","C20",Datadetails[[#This Row],[Activity]]),
    IF(ISNUMBER(MATCH(_xlpm.val,{"D04","C30","c40","C20"},0)), _xlpm.val, "Other")
)</f>
        <v>D04</v>
      </c>
      <c r="D1357" s="10" t="str">
        <f>IFERROR(VLOOKUP(Datadetails[[#This Row],[Taskcode]],Dashboard!A:A,1,FALSE),"00 Err Missing")</f>
        <v>0001</v>
      </c>
      <c r="E1357" s="79">
        <v>45842</v>
      </c>
      <c r="F1357" s="80" t="s">
        <v>332</v>
      </c>
      <c r="G1357" s="60" t="s">
        <v>40</v>
      </c>
      <c r="H1357" s="80" t="s">
        <v>314</v>
      </c>
      <c r="I1357" s="80" t="s">
        <v>35</v>
      </c>
      <c r="J1357" s="80" t="s">
        <v>359</v>
      </c>
      <c r="K1357" s="80" t="s">
        <v>339</v>
      </c>
      <c r="L1357" s="80" t="s">
        <v>352</v>
      </c>
      <c r="M1357" s="81">
        <v>7.5</v>
      </c>
      <c r="N1357" s="82">
        <v>300</v>
      </c>
    </row>
    <row r="1358" spans="1:14" x14ac:dyDescent="0.25">
      <c r="A1358" s="10" t="str">
        <f>_xlfn.IFNA(
    IF(J1358=
        "PCB-0001",
        "CSS",
        IF(
            ISNUMBER(MATCH(_xlfn.TEXTBEFORE(J1358,"-"), {"CSS","CSN","PCB","PCF","BEC","CSD","PCM"}, 0)),
            _xlfn.TEXTBEFORE(J1358,"-"),
            "Other"
        )
    ),
"Add")</f>
        <v>BEC</v>
      </c>
      <c r="B1358" s="10" t="str">
        <f t="shared" si="22"/>
        <v>0001</v>
      </c>
      <c r="C1358" s="10" t="str">
        <f>_xlfn.LET(
    _xlpm.val, IF(Datadetails[[#This Row],[Activity]]="D02","C20",Datadetails[[#This Row],[Activity]]),
    IF(ISNUMBER(MATCH(_xlpm.val,{"D04","C30","c40","C20"},0)), _xlpm.val, "Other")
)</f>
        <v>D04</v>
      </c>
      <c r="D1358" s="10" t="str">
        <f>IFERROR(VLOOKUP(Datadetails[[#This Row],[Taskcode]],Dashboard!A:A,1,FALSE),"00 Err Missing")</f>
        <v>0001</v>
      </c>
      <c r="E1358" s="79">
        <v>45843</v>
      </c>
      <c r="F1358" s="80" t="s">
        <v>332</v>
      </c>
      <c r="G1358" s="60" t="s">
        <v>40</v>
      </c>
      <c r="H1358" s="80" t="s">
        <v>314</v>
      </c>
      <c r="I1358" s="80" t="s">
        <v>35</v>
      </c>
      <c r="J1358" s="80" t="s">
        <v>359</v>
      </c>
      <c r="K1358" s="80" t="s">
        <v>339</v>
      </c>
      <c r="L1358" s="80" t="s">
        <v>352</v>
      </c>
      <c r="M1358" s="81">
        <v>4</v>
      </c>
      <c r="N1358" s="82">
        <v>160</v>
      </c>
    </row>
    <row r="1359" spans="1:14" x14ac:dyDescent="0.25">
      <c r="A1359" s="10" t="str">
        <f>_xlfn.IFNA(
    IF(J1359=
        "PCB-0001",
        "CSS",
        IF(
            ISNUMBER(MATCH(_xlfn.TEXTBEFORE(J1359,"-"), {"CSS","CSN","PCB","PCF","BEC","CSD","PCM"}, 0)),
            _xlfn.TEXTBEFORE(J1359,"-"),
            "Other"
        )
    ),
"Add")</f>
        <v>PCM</v>
      </c>
      <c r="B1359" s="10" t="str">
        <f t="shared" si="22"/>
        <v>0001</v>
      </c>
      <c r="C1359" s="10" t="str">
        <f>_xlfn.LET(
    _xlpm.val, IF(Datadetails[[#This Row],[Activity]]="D02","C20",Datadetails[[#This Row],[Activity]]),
    IF(ISNUMBER(MATCH(_xlpm.val,{"D04","C30","c40","C20"},0)), _xlpm.val, "Other")
)</f>
        <v>C20</v>
      </c>
      <c r="D1359" s="10" t="str">
        <f>IFERROR(VLOOKUP(Datadetails[[#This Row],[Taskcode]],Dashboard!A:A,1,FALSE),"00 Err Missing")</f>
        <v>0001</v>
      </c>
      <c r="E1359" s="79">
        <v>45845</v>
      </c>
      <c r="F1359" s="80" t="s">
        <v>323</v>
      </c>
      <c r="G1359" s="60" t="s">
        <v>40</v>
      </c>
      <c r="H1359" s="80" t="s">
        <v>168</v>
      </c>
      <c r="I1359" s="80" t="s">
        <v>36</v>
      </c>
      <c r="J1359" s="80" t="s">
        <v>419</v>
      </c>
      <c r="K1359" s="80" t="s">
        <v>346</v>
      </c>
      <c r="L1359" s="80" t="s">
        <v>342</v>
      </c>
      <c r="M1359" s="81">
        <v>0.5</v>
      </c>
      <c r="N1359" s="82">
        <v>30</v>
      </c>
    </row>
    <row r="1360" spans="1:14" x14ac:dyDescent="0.25">
      <c r="A1360" s="10" t="str">
        <f>_xlfn.IFNA(
    IF(J1360=
        "PCB-0001",
        "CSS",
        IF(
            ISNUMBER(MATCH(_xlfn.TEXTBEFORE(J1360,"-"), {"CSS","CSN","PCB","PCF","BEC","CSD","PCM"}, 0)),
            _xlfn.TEXTBEFORE(J1360,"-"),
            "Other"
        )
    ),
"Add")</f>
        <v>PCM</v>
      </c>
      <c r="B1360" s="10" t="str">
        <f t="shared" si="22"/>
        <v>0041</v>
      </c>
      <c r="C1360" s="10" t="str">
        <f>_xlfn.LET(
    _xlpm.val, IF(Datadetails[[#This Row],[Activity]]="D02","C20",Datadetails[[#This Row],[Activity]]),
    IF(ISNUMBER(MATCH(_xlpm.val,{"D04","C30","c40","C20"},0)), _xlpm.val, "Other")
)</f>
        <v>C20</v>
      </c>
      <c r="D1360" s="10" t="str">
        <f>IFERROR(VLOOKUP(Datadetails[[#This Row],[Taskcode]],Dashboard!A:A,1,FALSE),"00 Err Missing")</f>
        <v>0041</v>
      </c>
      <c r="E1360" s="79">
        <v>45845</v>
      </c>
      <c r="F1360" s="80" t="s">
        <v>323</v>
      </c>
      <c r="G1360" s="60" t="s">
        <v>40</v>
      </c>
      <c r="H1360" s="80" t="s">
        <v>208</v>
      </c>
      <c r="I1360" s="80" t="s">
        <v>36</v>
      </c>
      <c r="J1360" s="80" t="s">
        <v>456</v>
      </c>
      <c r="K1360" s="80" t="s">
        <v>346</v>
      </c>
      <c r="L1360" s="80" t="s">
        <v>342</v>
      </c>
      <c r="M1360" s="81">
        <v>0.33</v>
      </c>
      <c r="N1360" s="82">
        <v>19.8</v>
      </c>
    </row>
    <row r="1361" spans="1:14" x14ac:dyDescent="0.25">
      <c r="A1361" s="10" t="str">
        <f>_xlfn.IFNA(
    IF(J1361=
        "PCB-0001",
        "CSS",
        IF(
            ISNUMBER(MATCH(_xlfn.TEXTBEFORE(J1361,"-"), {"CSS","CSN","PCB","PCF","BEC","CSD","PCM"}, 0)),
            _xlfn.TEXTBEFORE(J1361,"-"),
            "Other"
        )
    ),
"Add")</f>
        <v>CSN</v>
      </c>
      <c r="B1361" s="10" t="str">
        <f t="shared" si="22"/>
        <v>0001</v>
      </c>
      <c r="C1361" s="10" t="str">
        <f>_xlfn.LET(
    _xlpm.val, IF(Datadetails[[#This Row],[Activity]]="D02","C20",Datadetails[[#This Row],[Activity]]),
    IF(ISNUMBER(MATCH(_xlpm.val,{"D04","C30","c40","C20"},0)), _xlpm.val, "Other")
)</f>
        <v>D04</v>
      </c>
      <c r="D1361" s="10" t="str">
        <f>IFERROR(VLOOKUP(Datadetails[[#This Row],[Taskcode]],Dashboard!A:A,1,FALSE),"00 Err Missing")</f>
        <v>0001</v>
      </c>
      <c r="E1361" s="79">
        <v>45845</v>
      </c>
      <c r="F1361" s="80" t="s">
        <v>331</v>
      </c>
      <c r="G1361" s="60" t="s">
        <v>40</v>
      </c>
      <c r="H1361" s="80" t="s">
        <v>316</v>
      </c>
      <c r="I1361" s="80" t="s">
        <v>35</v>
      </c>
      <c r="J1361" s="80" t="s">
        <v>338</v>
      </c>
      <c r="K1361" s="80" t="s">
        <v>337</v>
      </c>
      <c r="L1361" s="80" t="s">
        <v>352</v>
      </c>
      <c r="M1361" s="81">
        <v>0.25</v>
      </c>
      <c r="N1361" s="82">
        <v>8</v>
      </c>
    </row>
    <row r="1362" spans="1:14" x14ac:dyDescent="0.25">
      <c r="A1362" s="10" t="str">
        <f>_xlfn.IFNA(
    IF(J1362=
        "PCB-0001",
        "CSS",
        IF(
            ISNUMBER(MATCH(_xlfn.TEXTBEFORE(J1362,"-"), {"CSS","CSN","PCB","PCF","BEC","CSD","PCM"}, 0)),
            _xlfn.TEXTBEFORE(J1362,"-"),
            "Other"
        )
    ),
"Add")</f>
        <v>CSD</v>
      </c>
      <c r="B1362" s="10" t="str">
        <f t="shared" si="22"/>
        <v>0001</v>
      </c>
      <c r="C1362" s="10" t="str">
        <f>_xlfn.LET(
    _xlpm.val, IF(Datadetails[[#This Row],[Activity]]="D02","C20",Datadetails[[#This Row],[Activity]]),
    IF(ISNUMBER(MATCH(_xlpm.val,{"D04","C30","c40","C20"},0)), _xlpm.val, "Other")
)</f>
        <v>D04</v>
      </c>
      <c r="D1362" s="10" t="str">
        <f>IFERROR(VLOOKUP(Datadetails[[#This Row],[Taskcode]],Dashboard!A:A,1,FALSE),"00 Err Missing")</f>
        <v>0001</v>
      </c>
      <c r="E1362" s="79">
        <v>45845</v>
      </c>
      <c r="F1362" s="80" t="s">
        <v>327</v>
      </c>
      <c r="G1362" s="60" t="s">
        <v>40</v>
      </c>
      <c r="H1362" s="80" t="s">
        <v>320</v>
      </c>
      <c r="I1362" s="80" t="s">
        <v>35</v>
      </c>
      <c r="J1362" s="80" t="s">
        <v>322</v>
      </c>
      <c r="K1362" s="80" t="s">
        <v>319</v>
      </c>
      <c r="L1362" s="80" t="s">
        <v>352</v>
      </c>
      <c r="M1362" s="81">
        <v>7.5</v>
      </c>
      <c r="N1362" s="82">
        <v>240</v>
      </c>
    </row>
    <row r="1363" spans="1:14" x14ac:dyDescent="0.25">
      <c r="A1363" s="10" t="str">
        <f>_xlfn.IFNA(
    IF(J1363=
        "PCB-0001",
        "CSS",
        IF(
            ISNUMBER(MATCH(_xlfn.TEXTBEFORE(J1363,"-"), {"CSS","CSN","PCB","PCF","BEC","CSD","PCM"}, 0)),
            _xlfn.TEXTBEFORE(J1363,"-"),
            "Other"
        )
    ),
"Add")</f>
        <v>CSD</v>
      </c>
      <c r="B1363" s="10" t="str">
        <f t="shared" si="22"/>
        <v>0001</v>
      </c>
      <c r="C1363" s="10" t="str">
        <f>_xlfn.LET(
    _xlpm.val, IF(Datadetails[[#This Row],[Activity]]="D02","C20",Datadetails[[#This Row],[Activity]]),
    IF(ISNUMBER(MATCH(_xlpm.val,{"D04","C30","c40","C20"},0)), _xlpm.val, "Other")
)</f>
        <v>D04</v>
      </c>
      <c r="D1363" s="10" t="str">
        <f>IFERROR(VLOOKUP(Datadetails[[#This Row],[Taskcode]],Dashboard!A:A,1,FALSE),"00 Err Missing")</f>
        <v>0001</v>
      </c>
      <c r="E1363" s="79">
        <v>45845</v>
      </c>
      <c r="F1363" s="80" t="s">
        <v>333</v>
      </c>
      <c r="G1363" s="60" t="s">
        <v>40</v>
      </c>
      <c r="H1363" s="80" t="s">
        <v>320</v>
      </c>
      <c r="I1363" s="80" t="s">
        <v>35</v>
      </c>
      <c r="J1363" s="80" t="s">
        <v>322</v>
      </c>
      <c r="K1363" s="80" t="s">
        <v>319</v>
      </c>
      <c r="L1363" s="80" t="s">
        <v>352</v>
      </c>
      <c r="M1363" s="81">
        <v>7.38</v>
      </c>
      <c r="N1363" s="82">
        <v>236.16</v>
      </c>
    </row>
    <row r="1364" spans="1:14" x14ac:dyDescent="0.25">
      <c r="A1364" s="10" t="str">
        <f>_xlfn.IFNA(
    IF(J1364=
        "PCB-0001",
        "CSS",
        IF(
            ISNUMBER(MATCH(_xlfn.TEXTBEFORE(J1364,"-"), {"CSS","CSN","PCB","PCF","BEC","CSD","PCM"}, 0)),
            _xlfn.TEXTBEFORE(J1364,"-"),
            "Other"
        )
    ),
"Add")</f>
        <v>PCM</v>
      </c>
      <c r="B1364" s="10" t="str">
        <f t="shared" si="22"/>
        <v>0035</v>
      </c>
      <c r="C1364" s="10" t="str">
        <f>_xlfn.LET(
    _xlpm.val, IF(Datadetails[[#This Row],[Activity]]="D02","C20",Datadetails[[#This Row],[Activity]]),
    IF(ISNUMBER(MATCH(_xlpm.val,{"D04","C30","c40","C20"},0)), _xlpm.val, "Other")
)</f>
        <v>C40</v>
      </c>
      <c r="D1364" s="10" t="str">
        <f>IFERROR(VLOOKUP(Datadetails[[#This Row],[Taskcode]],Dashboard!A:A,1,FALSE),"00 Err Missing")</f>
        <v>0035</v>
      </c>
      <c r="E1364" s="79">
        <v>45845</v>
      </c>
      <c r="F1364" s="80" t="s">
        <v>323</v>
      </c>
      <c r="G1364" s="60" t="s">
        <v>40</v>
      </c>
      <c r="H1364" s="80" t="s">
        <v>202</v>
      </c>
      <c r="I1364" s="80" t="s">
        <v>341</v>
      </c>
      <c r="J1364" s="80" t="s">
        <v>431</v>
      </c>
      <c r="K1364" s="80" t="s">
        <v>346</v>
      </c>
      <c r="L1364" s="80" t="s">
        <v>344</v>
      </c>
      <c r="M1364" s="81">
        <v>0.33</v>
      </c>
      <c r="N1364" s="82">
        <v>19.8</v>
      </c>
    </row>
    <row r="1365" spans="1:14" x14ac:dyDescent="0.25">
      <c r="A1365" s="10" t="str">
        <f>_xlfn.IFNA(
    IF(J1365=
        "PCB-0001",
        "CSS",
        IF(
            ISNUMBER(MATCH(_xlfn.TEXTBEFORE(J1365,"-"), {"CSS","CSN","PCB","PCF","BEC","CSD","PCM"}, 0)),
            _xlfn.TEXTBEFORE(J1365,"-"),
            "Other"
        )
    ),
"Add")</f>
        <v>PCB</v>
      </c>
      <c r="B1365" s="10" t="str">
        <f t="shared" si="22"/>
        <v>0031</v>
      </c>
      <c r="C1365" s="10" t="str">
        <f>_xlfn.LET(
    _xlpm.val, IF(Datadetails[[#This Row],[Activity]]="D02","C20",Datadetails[[#This Row],[Activity]]),
    IF(ISNUMBER(MATCH(_xlpm.val,{"D04","C30","c40","C20"},0)), _xlpm.val, "Other")
)</f>
        <v>C20</v>
      </c>
      <c r="D1365" s="10" t="str">
        <f>IFERROR(VLOOKUP(Datadetails[[#This Row],[Taskcode]],Dashboard!A:A,1,FALSE),"00 Err Missing")</f>
        <v>0031</v>
      </c>
      <c r="E1365" s="79">
        <v>45845</v>
      </c>
      <c r="F1365" s="80" t="s">
        <v>325</v>
      </c>
      <c r="G1365" s="60" t="s">
        <v>40</v>
      </c>
      <c r="H1365" s="80" t="s">
        <v>198</v>
      </c>
      <c r="I1365" s="80" t="s">
        <v>36</v>
      </c>
      <c r="J1365" s="80" t="s">
        <v>413</v>
      </c>
      <c r="K1365" s="80" t="s">
        <v>347</v>
      </c>
      <c r="L1365" s="80" t="s">
        <v>342</v>
      </c>
      <c r="M1365" s="81">
        <v>0.57999999999999996</v>
      </c>
      <c r="N1365" s="82">
        <v>43.5</v>
      </c>
    </row>
    <row r="1366" spans="1:14" x14ac:dyDescent="0.25">
      <c r="A1366" s="10" t="str">
        <f>_xlfn.IFNA(
    IF(J1366=
        "PCB-0001",
        "CSS",
        IF(
            ISNUMBER(MATCH(_xlfn.TEXTBEFORE(J1366,"-"), {"CSS","CSN","PCB","PCF","BEC","CSD","PCM"}, 0)),
            _xlfn.TEXTBEFORE(J1366,"-"),
            "Other"
        )
    ),
"Add")</f>
        <v>PCB</v>
      </c>
      <c r="B1366" s="10" t="str">
        <f t="shared" si="22"/>
        <v>0028</v>
      </c>
      <c r="C1366" s="10" t="str">
        <f>_xlfn.LET(
    _xlpm.val, IF(Datadetails[[#This Row],[Activity]]="D02","C20",Datadetails[[#This Row],[Activity]]),
    IF(ISNUMBER(MATCH(_xlpm.val,{"D04","C30","c40","C20"},0)), _xlpm.val, "Other")
)</f>
        <v>C30</v>
      </c>
      <c r="D1366" s="10" t="str">
        <f>IFERROR(VLOOKUP(Datadetails[[#This Row],[Taskcode]],Dashboard!A:A,1,FALSE),"00 Err Missing")</f>
        <v>0028</v>
      </c>
      <c r="E1366" s="79">
        <v>45845</v>
      </c>
      <c r="F1366" s="80" t="s">
        <v>330</v>
      </c>
      <c r="G1366" s="60" t="s">
        <v>40</v>
      </c>
      <c r="H1366" s="80" t="s">
        <v>195</v>
      </c>
      <c r="I1366" s="80" t="s">
        <v>34</v>
      </c>
      <c r="J1366" s="80" t="s">
        <v>449</v>
      </c>
      <c r="K1366" s="80" t="s">
        <v>347</v>
      </c>
      <c r="L1366" s="80" t="s">
        <v>343</v>
      </c>
      <c r="M1366" s="81">
        <v>0.33</v>
      </c>
      <c r="N1366" s="82">
        <v>19.8</v>
      </c>
    </row>
    <row r="1367" spans="1:14" x14ac:dyDescent="0.25">
      <c r="A1367" s="10" t="str">
        <f>_xlfn.IFNA(
    IF(J1367=
        "PCB-0001",
        "CSS",
        IF(
            ISNUMBER(MATCH(_xlfn.TEXTBEFORE(J1367,"-"), {"CSS","CSN","PCB","PCF","BEC","CSD","PCM"}, 0)),
            _xlfn.TEXTBEFORE(J1367,"-"),
            "Other"
        )
    ),
"Add")</f>
        <v>PCB</v>
      </c>
      <c r="B1367" s="10" t="str">
        <f t="shared" si="22"/>
        <v>0032</v>
      </c>
      <c r="C1367" s="10" t="str">
        <f>_xlfn.LET(
    _xlpm.val, IF(Datadetails[[#This Row],[Activity]]="D02","C20",Datadetails[[#This Row],[Activity]]),
    IF(ISNUMBER(MATCH(_xlpm.val,{"D04","C30","c40","C20"},0)), _xlpm.val, "Other")
)</f>
        <v>C30</v>
      </c>
      <c r="D1367" s="10" t="str">
        <f>IFERROR(VLOOKUP(Datadetails[[#This Row],[Taskcode]],Dashboard!A:A,1,FALSE),"00 Err Missing")</f>
        <v>0032</v>
      </c>
      <c r="E1367" s="79">
        <v>45845</v>
      </c>
      <c r="F1367" s="80" t="s">
        <v>330</v>
      </c>
      <c r="G1367" s="60" t="s">
        <v>40</v>
      </c>
      <c r="H1367" s="80" t="s">
        <v>199</v>
      </c>
      <c r="I1367" s="80" t="s">
        <v>34</v>
      </c>
      <c r="J1367" s="80" t="s">
        <v>414</v>
      </c>
      <c r="K1367" s="80" t="s">
        <v>347</v>
      </c>
      <c r="L1367" s="80" t="s">
        <v>343</v>
      </c>
      <c r="M1367" s="81">
        <v>0.33</v>
      </c>
      <c r="N1367" s="82">
        <v>19.8</v>
      </c>
    </row>
    <row r="1368" spans="1:14" x14ac:dyDescent="0.25">
      <c r="A1368" s="10" t="str">
        <f>_xlfn.IFNA(
    IF(J1368=
        "PCB-0001",
        "CSS",
        IF(
            ISNUMBER(MATCH(_xlfn.TEXTBEFORE(J1368,"-"), {"CSS","CSN","PCB","PCF","BEC","CSD","PCM"}, 0)),
            _xlfn.TEXTBEFORE(J1368,"-"),
            "Other"
        )
    ),
"Add")</f>
        <v>PCB</v>
      </c>
      <c r="B1368" s="10" t="str">
        <f t="shared" si="22"/>
        <v>0048</v>
      </c>
      <c r="C1368" s="10" t="str">
        <f>_xlfn.LET(
    _xlpm.val, IF(Datadetails[[#This Row],[Activity]]="D02","C20",Datadetails[[#This Row],[Activity]]),
    IF(ISNUMBER(MATCH(_xlpm.val,{"D04","C30","c40","C20"},0)), _xlpm.val, "Other")
)</f>
        <v>C30</v>
      </c>
      <c r="D1368" s="10" t="str">
        <f>IFERROR(VLOOKUP(Datadetails[[#This Row],[Taskcode]],Dashboard!A:A,1,FALSE),"00 Err Missing")</f>
        <v>0048</v>
      </c>
      <c r="E1368" s="79">
        <v>45845</v>
      </c>
      <c r="F1368" s="80" t="s">
        <v>330</v>
      </c>
      <c r="G1368" s="60" t="s">
        <v>40</v>
      </c>
      <c r="H1368" s="80" t="s">
        <v>215</v>
      </c>
      <c r="I1368" s="80" t="s">
        <v>34</v>
      </c>
      <c r="J1368" s="80" t="s">
        <v>450</v>
      </c>
      <c r="K1368" s="80" t="s">
        <v>347</v>
      </c>
      <c r="L1368" s="80" t="s">
        <v>343</v>
      </c>
      <c r="M1368" s="81">
        <v>0.33</v>
      </c>
      <c r="N1368" s="82">
        <v>19.8</v>
      </c>
    </row>
    <row r="1369" spans="1:14" x14ac:dyDescent="0.25">
      <c r="A1369" s="10" t="str">
        <f>_xlfn.IFNA(
    IF(J1369=
        "PCB-0001",
        "CSS",
        IF(
            ISNUMBER(MATCH(_xlfn.TEXTBEFORE(J1369,"-"), {"CSS","CSN","PCB","PCF","BEC","CSD","PCM"}, 0)),
            _xlfn.TEXTBEFORE(J1369,"-"),
            "Other"
        )
    ),
"Add")</f>
        <v>PCB</v>
      </c>
      <c r="B1369" s="10" t="str">
        <f t="shared" si="22"/>
        <v>0058</v>
      </c>
      <c r="C1369" s="10" t="str">
        <f>_xlfn.LET(
    _xlpm.val, IF(Datadetails[[#This Row],[Activity]]="D02","C20",Datadetails[[#This Row],[Activity]]),
    IF(ISNUMBER(MATCH(_xlpm.val,{"D04","C30","c40","C20"},0)), _xlpm.val, "Other")
)</f>
        <v>C30</v>
      </c>
      <c r="D1369" s="10" t="str">
        <f>IFERROR(VLOOKUP(Datadetails[[#This Row],[Taskcode]],Dashboard!A:A,1,FALSE),"00 Err Missing")</f>
        <v>0058</v>
      </c>
      <c r="E1369" s="79">
        <v>45845</v>
      </c>
      <c r="F1369" s="80" t="s">
        <v>330</v>
      </c>
      <c r="G1369" s="60" t="s">
        <v>40</v>
      </c>
      <c r="H1369" s="80" t="s">
        <v>225</v>
      </c>
      <c r="I1369" s="80" t="s">
        <v>34</v>
      </c>
      <c r="J1369" s="80" t="s">
        <v>365</v>
      </c>
      <c r="K1369" s="80" t="s">
        <v>347</v>
      </c>
      <c r="L1369" s="80" t="s">
        <v>343</v>
      </c>
      <c r="M1369" s="81">
        <v>0.33</v>
      </c>
      <c r="N1369" s="82">
        <v>19.8</v>
      </c>
    </row>
    <row r="1370" spans="1:14" x14ac:dyDescent="0.25">
      <c r="A1370" s="10" t="str">
        <f>_xlfn.IFNA(
    IF(J1370=
        "PCB-0001",
        "CSS",
        IF(
            ISNUMBER(MATCH(_xlfn.TEXTBEFORE(J1370,"-"), {"CSS","CSN","PCB","PCF","BEC","CSD","PCM"}, 0)),
            _xlfn.TEXTBEFORE(J1370,"-"),
            "Other"
        )
    ),
"Add")</f>
        <v>PCB</v>
      </c>
      <c r="B1370" s="10" t="str">
        <f t="shared" si="22"/>
        <v>0108</v>
      </c>
      <c r="C1370" s="10" t="str">
        <f>_xlfn.LET(
    _xlpm.val, IF(Datadetails[[#This Row],[Activity]]="D02","C20",Datadetails[[#This Row],[Activity]]),
    IF(ISNUMBER(MATCH(_xlpm.val,{"D04","C30","c40","C20"},0)), _xlpm.val, "Other")
)</f>
        <v>C30</v>
      </c>
      <c r="D1370" s="10" t="str">
        <f>IFERROR(VLOOKUP(Datadetails[[#This Row],[Taskcode]],Dashboard!A:A,1,FALSE),"00 Err Missing")</f>
        <v>0108</v>
      </c>
      <c r="E1370" s="79">
        <v>45845</v>
      </c>
      <c r="F1370" s="80" t="s">
        <v>330</v>
      </c>
      <c r="G1370" s="60" t="s">
        <v>40</v>
      </c>
      <c r="H1370" s="80" t="s">
        <v>275</v>
      </c>
      <c r="I1370" s="80" t="s">
        <v>34</v>
      </c>
      <c r="J1370" s="80" t="s">
        <v>443</v>
      </c>
      <c r="K1370" s="80" t="s">
        <v>347</v>
      </c>
      <c r="L1370" s="80" t="s">
        <v>343</v>
      </c>
      <c r="M1370" s="81">
        <v>0.5</v>
      </c>
      <c r="N1370" s="82">
        <v>30</v>
      </c>
    </row>
    <row r="1371" spans="1:14" x14ac:dyDescent="0.25">
      <c r="A1371" s="10" t="str">
        <f>_xlfn.IFNA(
    IF(J1371=
        "PCB-0001",
        "CSS",
        IF(
            ISNUMBER(MATCH(_xlfn.TEXTBEFORE(J1371,"-"), {"CSS","CSN","PCB","PCF","BEC","CSD","PCM"}, 0)),
            _xlfn.TEXTBEFORE(J1371,"-"),
            "Other"
        )
    ),
"Add")</f>
        <v>PCB</v>
      </c>
      <c r="B1371" s="10" t="str">
        <f t="shared" si="22"/>
        <v>0111</v>
      </c>
      <c r="C1371" s="10" t="str">
        <f>_xlfn.LET(
    _xlpm.val, IF(Datadetails[[#This Row],[Activity]]="D02","C20",Datadetails[[#This Row],[Activity]]),
    IF(ISNUMBER(MATCH(_xlpm.val,{"D04","C30","c40","C20"},0)), _xlpm.val, "Other")
)</f>
        <v>C30</v>
      </c>
      <c r="D1371" s="10" t="str">
        <f>IFERROR(VLOOKUP(Datadetails[[#This Row],[Taskcode]],Dashboard!A:A,1,FALSE),"00 Err Missing")</f>
        <v>0111</v>
      </c>
      <c r="E1371" s="79">
        <v>45845</v>
      </c>
      <c r="F1371" s="80" t="s">
        <v>325</v>
      </c>
      <c r="G1371" s="60" t="s">
        <v>40</v>
      </c>
      <c r="H1371" s="80" t="s">
        <v>278</v>
      </c>
      <c r="I1371" s="80" t="s">
        <v>34</v>
      </c>
      <c r="J1371" s="80" t="s">
        <v>452</v>
      </c>
      <c r="K1371" s="80" t="s">
        <v>347</v>
      </c>
      <c r="L1371" s="80" t="s">
        <v>343</v>
      </c>
      <c r="M1371" s="81">
        <v>0.25</v>
      </c>
      <c r="N1371" s="82">
        <v>18.75</v>
      </c>
    </row>
    <row r="1372" spans="1:14" x14ac:dyDescent="0.25">
      <c r="A1372" s="10" t="str">
        <f>_xlfn.IFNA(
    IF(J1372=
        "PCB-0001",
        "CSS",
        IF(
            ISNUMBER(MATCH(_xlfn.TEXTBEFORE(J1372,"-"), {"CSS","CSN","PCB","PCF","BEC","CSD","PCM"}, 0)),
            _xlfn.TEXTBEFORE(J1372,"-"),
            "Other"
        )
    ),
"Add")</f>
        <v>PCF</v>
      </c>
      <c r="B1372" s="10" t="str">
        <f t="shared" si="22"/>
        <v>0070</v>
      </c>
      <c r="C1372" s="10" t="str">
        <f>_xlfn.LET(
    _xlpm.val, IF(Datadetails[[#This Row],[Activity]]="D02","C20",Datadetails[[#This Row],[Activity]]),
    IF(ISNUMBER(MATCH(_xlpm.val,{"D04","C30","c40","C20"},0)), _xlpm.val, "Other")
)</f>
        <v>C30</v>
      </c>
      <c r="D1372" s="10" t="str">
        <f>IFERROR(VLOOKUP(Datadetails[[#This Row],[Taskcode]],Dashboard!A:A,1,FALSE),"00 Err Missing")</f>
        <v>0070</v>
      </c>
      <c r="E1372" s="79">
        <v>45845</v>
      </c>
      <c r="F1372" s="80" t="s">
        <v>326</v>
      </c>
      <c r="G1372" s="60" t="s">
        <v>40</v>
      </c>
      <c r="H1372" s="80" t="s">
        <v>237</v>
      </c>
      <c r="I1372" s="80" t="s">
        <v>34</v>
      </c>
      <c r="J1372" s="80" t="s">
        <v>427</v>
      </c>
      <c r="K1372" s="80" t="s">
        <v>348</v>
      </c>
      <c r="L1372" s="80" t="s">
        <v>343</v>
      </c>
      <c r="M1372" s="81">
        <v>0.83</v>
      </c>
      <c r="N1372" s="82">
        <v>49.8</v>
      </c>
    </row>
    <row r="1373" spans="1:14" x14ac:dyDescent="0.25">
      <c r="A1373" s="10" t="str">
        <f>_xlfn.IFNA(
    IF(J1373=
        "PCB-0001",
        "CSS",
        IF(
            ISNUMBER(MATCH(_xlfn.TEXTBEFORE(J1373,"-"), {"CSS","CSN","PCB","PCF","BEC","CSD","PCM"}, 0)),
            _xlfn.TEXTBEFORE(J1373,"-"),
            "Other"
        )
    ),
"Add")</f>
        <v>PCF</v>
      </c>
      <c r="B1373" s="10" t="str">
        <f t="shared" si="22"/>
        <v>0060</v>
      </c>
      <c r="C1373" s="10" t="str">
        <f>_xlfn.LET(
    _xlpm.val, IF(Datadetails[[#This Row],[Activity]]="D02","C20",Datadetails[[#This Row],[Activity]]),
    IF(ISNUMBER(MATCH(_xlpm.val,{"D04","C30","c40","C20"},0)), _xlpm.val, "Other")
)</f>
        <v>C30</v>
      </c>
      <c r="D1373" s="10" t="str">
        <f>IFERROR(VLOOKUP(Datadetails[[#This Row],[Taskcode]],Dashboard!A:A,1,FALSE),"00 Err Missing")</f>
        <v>0060</v>
      </c>
      <c r="E1373" s="79">
        <v>45845</v>
      </c>
      <c r="F1373" s="80" t="s">
        <v>326</v>
      </c>
      <c r="G1373" s="60" t="s">
        <v>40</v>
      </c>
      <c r="H1373" s="80" t="s">
        <v>227</v>
      </c>
      <c r="I1373" s="80" t="s">
        <v>34</v>
      </c>
      <c r="J1373" s="80" t="s">
        <v>453</v>
      </c>
      <c r="K1373" s="80" t="s">
        <v>348</v>
      </c>
      <c r="L1373" s="80" t="s">
        <v>343</v>
      </c>
      <c r="M1373" s="81">
        <v>0.83</v>
      </c>
      <c r="N1373" s="82">
        <v>49.8</v>
      </c>
    </row>
    <row r="1374" spans="1:14" x14ac:dyDescent="0.25">
      <c r="A1374" s="10" t="str">
        <f>_xlfn.IFNA(
    IF(J1374=
        "PCB-0001",
        "CSS",
        IF(
            ISNUMBER(MATCH(_xlfn.TEXTBEFORE(J1374,"-"), {"CSS","CSN","PCB","PCF","BEC","CSD","PCM"}, 0)),
            _xlfn.TEXTBEFORE(J1374,"-"),
            "Other"
        )
    ),
"Add")</f>
        <v>PCF</v>
      </c>
      <c r="B1374" s="10" t="str">
        <f t="shared" si="22"/>
        <v>0066</v>
      </c>
      <c r="C1374" s="10" t="str">
        <f>_xlfn.LET(
    _xlpm.val, IF(Datadetails[[#This Row],[Activity]]="D02","C20",Datadetails[[#This Row],[Activity]]),
    IF(ISNUMBER(MATCH(_xlpm.val,{"D04","C30","c40","C20"},0)), _xlpm.val, "Other")
)</f>
        <v>C30</v>
      </c>
      <c r="D1374" s="10" t="str">
        <f>IFERROR(VLOOKUP(Datadetails[[#This Row],[Taskcode]],Dashboard!A:A,1,FALSE),"00 Err Missing")</f>
        <v>0066</v>
      </c>
      <c r="E1374" s="79">
        <v>45845</v>
      </c>
      <c r="F1374" s="80" t="s">
        <v>326</v>
      </c>
      <c r="G1374" s="60" t="s">
        <v>40</v>
      </c>
      <c r="H1374" s="80" t="s">
        <v>233</v>
      </c>
      <c r="I1374" s="80" t="s">
        <v>34</v>
      </c>
      <c r="J1374" s="80" t="s">
        <v>387</v>
      </c>
      <c r="K1374" s="80" t="s">
        <v>348</v>
      </c>
      <c r="L1374" s="80" t="s">
        <v>343</v>
      </c>
      <c r="M1374" s="81">
        <v>0.83</v>
      </c>
      <c r="N1374" s="82">
        <v>49.8</v>
      </c>
    </row>
    <row r="1375" spans="1:14" x14ac:dyDescent="0.25">
      <c r="A1375" s="10" t="str">
        <f>_xlfn.IFNA(
    IF(J1375=
        "PCB-0001",
        "CSS",
        IF(
            ISNUMBER(MATCH(_xlfn.TEXTBEFORE(J1375,"-"), {"CSS","CSN","PCB","PCF","BEC","CSD","PCM"}, 0)),
            _xlfn.TEXTBEFORE(J1375,"-"),
            "Other"
        )
    ),
"Add")</f>
        <v>PCF</v>
      </c>
      <c r="B1375" s="10" t="str">
        <f t="shared" si="22"/>
        <v>0142</v>
      </c>
      <c r="C1375" s="10" t="str">
        <f>_xlfn.LET(
    _xlpm.val, IF(Datadetails[[#This Row],[Activity]]="D02","C20",Datadetails[[#This Row],[Activity]]),
    IF(ISNUMBER(MATCH(_xlpm.val,{"D04","C30","c40","C20"},0)), _xlpm.val, "Other")
)</f>
        <v>C30</v>
      </c>
      <c r="D1375" s="10" t="str">
        <f>IFERROR(VLOOKUP(Datadetails[[#This Row],[Taskcode]],Dashboard!A:A,1,FALSE),"00 Err Missing")</f>
        <v>0142</v>
      </c>
      <c r="E1375" s="79">
        <v>45845</v>
      </c>
      <c r="F1375" s="80" t="s">
        <v>326</v>
      </c>
      <c r="G1375" s="60" t="s">
        <v>40</v>
      </c>
      <c r="H1375" s="80" t="s">
        <v>309</v>
      </c>
      <c r="I1375" s="80" t="s">
        <v>34</v>
      </c>
      <c r="J1375" s="80" t="s">
        <v>454</v>
      </c>
      <c r="K1375" s="80" t="s">
        <v>348</v>
      </c>
      <c r="L1375" s="80" t="s">
        <v>343</v>
      </c>
      <c r="M1375" s="81">
        <v>1.33</v>
      </c>
      <c r="N1375" s="82">
        <v>79.800000000000011</v>
      </c>
    </row>
    <row r="1376" spans="1:14" x14ac:dyDescent="0.25">
      <c r="A1376" s="10" t="str">
        <f>_xlfn.IFNA(
    IF(J1376=
        "PCB-0001",
        "CSS",
        IF(
            ISNUMBER(MATCH(_xlfn.TEXTBEFORE(J1376,"-"), {"CSS","CSN","PCB","PCF","BEC","CSD","PCM"}, 0)),
            _xlfn.TEXTBEFORE(J1376,"-"),
            "Other"
        )
    ),
"Add")</f>
        <v>BEC</v>
      </c>
      <c r="B1376" s="10" t="str">
        <f t="shared" si="22"/>
        <v>0001</v>
      </c>
      <c r="C1376" s="10" t="str">
        <f>_xlfn.LET(
    _xlpm.val, IF(Datadetails[[#This Row],[Activity]]="D02","C20",Datadetails[[#This Row],[Activity]]),
    IF(ISNUMBER(MATCH(_xlpm.val,{"D04","C30","c40","C20"},0)), _xlpm.val, "Other")
)</f>
        <v>D04</v>
      </c>
      <c r="D1376" s="10" t="str">
        <f>IFERROR(VLOOKUP(Datadetails[[#This Row],[Taskcode]],Dashboard!A:A,1,FALSE),"00 Err Missing")</f>
        <v>0001</v>
      </c>
      <c r="E1376" s="79">
        <v>45845</v>
      </c>
      <c r="F1376" s="80" t="s">
        <v>332</v>
      </c>
      <c r="G1376" s="60" t="s">
        <v>40</v>
      </c>
      <c r="H1376" s="80" t="s">
        <v>314</v>
      </c>
      <c r="I1376" s="80" t="s">
        <v>35</v>
      </c>
      <c r="J1376" s="80" t="s">
        <v>359</v>
      </c>
      <c r="K1376" s="80" t="s">
        <v>339</v>
      </c>
      <c r="L1376" s="80" t="s">
        <v>352</v>
      </c>
      <c r="M1376" s="81">
        <v>9.33</v>
      </c>
      <c r="N1376" s="82">
        <v>373.2</v>
      </c>
    </row>
    <row r="1377" spans="1:14" x14ac:dyDescent="0.25">
      <c r="A1377" s="10" t="str">
        <f>_xlfn.IFNA(
    IF(J1377=
        "PCB-0001",
        "CSS",
        IF(
            ISNUMBER(MATCH(_xlfn.TEXTBEFORE(J1377,"-"), {"CSS","CSN","PCB","PCF","BEC","CSD","PCM"}, 0)),
            _xlfn.TEXTBEFORE(J1377,"-"),
            "Other"
        )
    ),
"Add")</f>
        <v>BEC</v>
      </c>
      <c r="B1377" s="10" t="str">
        <f t="shared" si="22"/>
        <v>0001</v>
      </c>
      <c r="C1377" s="10" t="str">
        <f>_xlfn.LET(
    _xlpm.val, IF(Datadetails[[#This Row],[Activity]]="D02","C20",Datadetails[[#This Row],[Activity]]),
    IF(ISNUMBER(MATCH(_xlpm.val,{"D04","C30","c40","C20"},0)), _xlpm.val, "Other")
)</f>
        <v>D04</v>
      </c>
      <c r="D1377" s="10" t="str">
        <f>IFERROR(VLOOKUP(Datadetails[[#This Row],[Taskcode]],Dashboard!A:A,1,FALSE),"00 Err Missing")</f>
        <v>0001</v>
      </c>
      <c r="E1377" s="79">
        <v>45845</v>
      </c>
      <c r="F1377" s="80" t="s">
        <v>324</v>
      </c>
      <c r="G1377" s="60" t="s">
        <v>40</v>
      </c>
      <c r="H1377" s="80" t="s">
        <v>314</v>
      </c>
      <c r="I1377" s="80" t="s">
        <v>35</v>
      </c>
      <c r="J1377" s="80" t="s">
        <v>359</v>
      </c>
      <c r="K1377" s="80" t="s">
        <v>339</v>
      </c>
      <c r="L1377" s="80" t="s">
        <v>352</v>
      </c>
      <c r="M1377" s="81">
        <v>4</v>
      </c>
      <c r="N1377" s="82">
        <v>300</v>
      </c>
    </row>
    <row r="1378" spans="1:14" x14ac:dyDescent="0.25">
      <c r="A1378" s="10" t="str">
        <f>_xlfn.IFNA(
    IF(J1378=
        "PCB-0001",
        "CSS",
        IF(
            ISNUMBER(MATCH(_xlfn.TEXTBEFORE(J1378,"-"), {"CSS","CSN","PCB","PCF","BEC","CSD","PCM"}, 0)),
            _xlfn.TEXTBEFORE(J1378,"-"),
            "Other"
        )
    ),
"Add")</f>
        <v>CSN</v>
      </c>
      <c r="B1378" s="10" t="str">
        <f t="shared" si="22"/>
        <v>0001</v>
      </c>
      <c r="C1378" s="10" t="str">
        <f>_xlfn.LET(
    _xlpm.val, IF(Datadetails[[#This Row],[Activity]]="D02","C20",Datadetails[[#This Row],[Activity]]),
    IF(ISNUMBER(MATCH(_xlpm.val,{"D04","C30","c40","C20"},0)), _xlpm.val, "Other")
)</f>
        <v>D04</v>
      </c>
      <c r="D1378" s="10" t="str">
        <f>IFERROR(VLOOKUP(Datadetails[[#This Row],[Taskcode]],Dashboard!A:A,1,FALSE),"00 Err Missing")</f>
        <v>0001</v>
      </c>
      <c r="E1378" s="79">
        <v>45846</v>
      </c>
      <c r="F1378" s="80" t="s">
        <v>331</v>
      </c>
      <c r="G1378" s="60" t="s">
        <v>40</v>
      </c>
      <c r="H1378" s="80" t="s">
        <v>316</v>
      </c>
      <c r="I1378" s="80" t="s">
        <v>35</v>
      </c>
      <c r="J1378" s="80" t="s">
        <v>338</v>
      </c>
      <c r="K1378" s="80" t="s">
        <v>337</v>
      </c>
      <c r="L1378" s="80" t="s">
        <v>352</v>
      </c>
      <c r="M1378" s="81">
        <v>4</v>
      </c>
      <c r="N1378" s="82">
        <v>128</v>
      </c>
    </row>
    <row r="1379" spans="1:14" x14ac:dyDescent="0.25">
      <c r="A1379" s="10" t="str">
        <f>_xlfn.IFNA(
    IF(J1379=
        "PCB-0001",
        "CSS",
        IF(
            ISNUMBER(MATCH(_xlfn.TEXTBEFORE(J1379,"-"), {"CSS","CSN","PCB","PCF","BEC","CSD","PCM"}, 0)),
            _xlfn.TEXTBEFORE(J1379,"-"),
            "Other"
        )
    ),
"Add")</f>
        <v>CSN</v>
      </c>
      <c r="B1379" s="10" t="str">
        <f t="shared" si="22"/>
        <v>0001</v>
      </c>
      <c r="C1379" s="10" t="str">
        <f>_xlfn.LET(
    _xlpm.val, IF(Datadetails[[#This Row],[Activity]]="D02","C20",Datadetails[[#This Row],[Activity]]),
    IF(ISNUMBER(MATCH(_xlpm.val,{"D04","C30","c40","C20"},0)), _xlpm.val, "Other")
)</f>
        <v>D04</v>
      </c>
      <c r="D1379" s="10" t="str">
        <f>IFERROR(VLOOKUP(Datadetails[[#This Row],[Taskcode]],Dashboard!A:A,1,FALSE),"00 Err Missing")</f>
        <v>0001</v>
      </c>
      <c r="E1379" s="79">
        <v>45846</v>
      </c>
      <c r="F1379" s="80" t="s">
        <v>329</v>
      </c>
      <c r="G1379" s="60" t="s">
        <v>40</v>
      </c>
      <c r="H1379" s="80" t="s">
        <v>316</v>
      </c>
      <c r="I1379" s="80" t="s">
        <v>35</v>
      </c>
      <c r="J1379" s="80" t="s">
        <v>338</v>
      </c>
      <c r="K1379" s="80" t="s">
        <v>337</v>
      </c>
      <c r="L1379" s="80" t="s">
        <v>352</v>
      </c>
      <c r="M1379" s="81">
        <v>3.58</v>
      </c>
      <c r="N1379" s="82">
        <v>268.5</v>
      </c>
    </row>
    <row r="1380" spans="1:14" x14ac:dyDescent="0.25">
      <c r="A1380" s="10" t="str">
        <f>_xlfn.IFNA(
    IF(J1380=
        "PCB-0001",
        "CSS",
        IF(
            ISNUMBER(MATCH(_xlfn.TEXTBEFORE(J1380,"-"), {"CSS","CSN","PCB","PCF","BEC","CSD","PCM"}, 0)),
            _xlfn.TEXTBEFORE(J1380,"-"),
            "Other"
        )
    ),
"Add")</f>
        <v>CSD</v>
      </c>
      <c r="B1380" s="10" t="str">
        <f t="shared" si="22"/>
        <v>0001</v>
      </c>
      <c r="C1380" s="10" t="str">
        <f>_xlfn.LET(
    _xlpm.val, IF(Datadetails[[#This Row],[Activity]]="D02","C20",Datadetails[[#This Row],[Activity]]),
    IF(ISNUMBER(MATCH(_xlpm.val,{"D04","C30","c40","C20"},0)), _xlpm.val, "Other")
)</f>
        <v>D04</v>
      </c>
      <c r="D1380" s="10" t="str">
        <f>IFERROR(VLOOKUP(Datadetails[[#This Row],[Taskcode]],Dashboard!A:A,1,FALSE),"00 Err Missing")</f>
        <v>0001</v>
      </c>
      <c r="E1380" s="79">
        <v>45846</v>
      </c>
      <c r="F1380" s="80" t="s">
        <v>327</v>
      </c>
      <c r="G1380" s="60" t="s">
        <v>40</v>
      </c>
      <c r="H1380" s="80" t="s">
        <v>320</v>
      </c>
      <c r="I1380" s="80" t="s">
        <v>35</v>
      </c>
      <c r="J1380" s="80" t="s">
        <v>322</v>
      </c>
      <c r="K1380" s="80" t="s">
        <v>319</v>
      </c>
      <c r="L1380" s="80" t="s">
        <v>352</v>
      </c>
      <c r="M1380" s="81">
        <v>7.42</v>
      </c>
      <c r="N1380" s="82">
        <v>237.44</v>
      </c>
    </row>
    <row r="1381" spans="1:14" x14ac:dyDescent="0.25">
      <c r="A1381" s="10" t="str">
        <f>_xlfn.IFNA(
    IF(J1381=
        "PCB-0001",
        "CSS",
        IF(
            ISNUMBER(MATCH(_xlfn.TEXTBEFORE(J1381,"-"), {"CSS","CSN","PCB","PCF","BEC","CSD","PCM"}, 0)),
            _xlfn.TEXTBEFORE(J1381,"-"),
            "Other"
        )
    ),
"Add")</f>
        <v>CSD</v>
      </c>
      <c r="B1381" s="10" t="str">
        <f t="shared" si="22"/>
        <v>0001</v>
      </c>
      <c r="C1381" s="10" t="str">
        <f>_xlfn.LET(
    _xlpm.val, IF(Datadetails[[#This Row],[Activity]]="D02","C20",Datadetails[[#This Row],[Activity]]),
    IF(ISNUMBER(MATCH(_xlpm.val,{"D04","C30","c40","C20"},0)), _xlpm.val, "Other")
)</f>
        <v>D04</v>
      </c>
      <c r="D1381" s="10" t="str">
        <f>IFERROR(VLOOKUP(Datadetails[[#This Row],[Taskcode]],Dashboard!A:A,1,FALSE),"00 Err Missing")</f>
        <v>0001</v>
      </c>
      <c r="E1381" s="79">
        <v>45846</v>
      </c>
      <c r="F1381" s="80" t="s">
        <v>333</v>
      </c>
      <c r="G1381" s="60" t="s">
        <v>40</v>
      </c>
      <c r="H1381" s="80" t="s">
        <v>320</v>
      </c>
      <c r="I1381" s="80" t="s">
        <v>35</v>
      </c>
      <c r="J1381" s="80" t="s">
        <v>322</v>
      </c>
      <c r="K1381" s="80" t="s">
        <v>319</v>
      </c>
      <c r="L1381" s="80" t="s">
        <v>352</v>
      </c>
      <c r="M1381" s="81">
        <v>7.33</v>
      </c>
      <c r="N1381" s="82">
        <v>234.56</v>
      </c>
    </row>
    <row r="1382" spans="1:14" x14ac:dyDescent="0.25">
      <c r="A1382" s="10" t="str">
        <f>_xlfn.IFNA(
    IF(J1382=
        "PCB-0001",
        "CSS",
        IF(
            ISNUMBER(MATCH(_xlfn.TEXTBEFORE(J1382,"-"), {"CSS","CSN","PCB","PCF","BEC","CSD","PCM"}, 0)),
            _xlfn.TEXTBEFORE(J1382,"-"),
            "Other"
        )
    ),
"Add")</f>
        <v>PCM</v>
      </c>
      <c r="B1382" s="10" t="str">
        <f t="shared" si="22"/>
        <v>0065</v>
      </c>
      <c r="C1382" s="10" t="str">
        <f>_xlfn.LET(
    _xlpm.val, IF(Datadetails[[#This Row],[Activity]]="D02","C20",Datadetails[[#This Row],[Activity]]),
    IF(ISNUMBER(MATCH(_xlpm.val,{"D04","C30","c40","C20"},0)), _xlpm.val, "Other")
)</f>
        <v>C20</v>
      </c>
      <c r="D1382" s="10" t="str">
        <f>IFERROR(VLOOKUP(Datadetails[[#This Row],[Taskcode]],Dashboard!A:A,1,FALSE),"00 Err Missing")</f>
        <v>0065</v>
      </c>
      <c r="E1382" s="79">
        <v>45846</v>
      </c>
      <c r="F1382" s="80" t="s">
        <v>323</v>
      </c>
      <c r="G1382" s="60" t="s">
        <v>40</v>
      </c>
      <c r="H1382" s="80" t="s">
        <v>232</v>
      </c>
      <c r="I1382" s="80" t="s">
        <v>36</v>
      </c>
      <c r="J1382" s="80" t="s">
        <v>393</v>
      </c>
      <c r="K1382" s="80" t="s">
        <v>346</v>
      </c>
      <c r="L1382" s="80" t="s">
        <v>342</v>
      </c>
      <c r="M1382" s="81">
        <v>0.5</v>
      </c>
      <c r="N1382" s="82">
        <v>30</v>
      </c>
    </row>
    <row r="1383" spans="1:14" x14ac:dyDescent="0.25">
      <c r="A1383" s="10" t="str">
        <f>_xlfn.IFNA(
    IF(J1383=
        "PCB-0001",
        "CSS",
        IF(
            ISNUMBER(MATCH(_xlfn.TEXTBEFORE(J1383,"-"), {"CSS","CSN","PCB","PCF","BEC","CSD","PCM"}, 0)),
            _xlfn.TEXTBEFORE(J1383,"-"),
            "Other"
        )
    ),
"Add")</f>
        <v>PCM</v>
      </c>
      <c r="B1383" s="10" t="str">
        <f t="shared" si="22"/>
        <v>0116</v>
      </c>
      <c r="C1383" s="10" t="str">
        <f>_xlfn.LET(
    _xlpm.val, IF(Datadetails[[#This Row],[Activity]]="D02","C20",Datadetails[[#This Row],[Activity]]),
    IF(ISNUMBER(MATCH(_xlpm.val,{"D04","C30","c40","C20"},0)), _xlpm.val, "Other")
)</f>
        <v>C20</v>
      </c>
      <c r="D1383" s="10" t="str">
        <f>IFERROR(VLOOKUP(Datadetails[[#This Row],[Taskcode]],Dashboard!A:A,1,FALSE),"00 Err Missing")</f>
        <v>0116</v>
      </c>
      <c r="E1383" s="79">
        <v>45846</v>
      </c>
      <c r="F1383" s="80" t="s">
        <v>323</v>
      </c>
      <c r="G1383" s="60" t="s">
        <v>40</v>
      </c>
      <c r="H1383" s="80" t="s">
        <v>283</v>
      </c>
      <c r="I1383" s="80" t="s">
        <v>36</v>
      </c>
      <c r="J1383" s="80" t="s">
        <v>429</v>
      </c>
      <c r="K1383" s="80" t="s">
        <v>346</v>
      </c>
      <c r="L1383" s="80" t="s">
        <v>342</v>
      </c>
      <c r="M1383" s="81">
        <v>0.25</v>
      </c>
      <c r="N1383" s="82">
        <v>15</v>
      </c>
    </row>
    <row r="1384" spans="1:14" x14ac:dyDescent="0.25">
      <c r="A1384" s="10" t="str">
        <f>_xlfn.IFNA(
    IF(J1384=
        "PCB-0001",
        "CSS",
        IF(
            ISNUMBER(MATCH(_xlfn.TEXTBEFORE(J1384,"-"), {"CSS","CSN","PCB","PCF","BEC","CSD","PCM"}, 0)),
            _xlfn.TEXTBEFORE(J1384,"-"),
            "Other"
        )
    ),
"Add")</f>
        <v>PCM</v>
      </c>
      <c r="B1384" s="10" t="str">
        <f t="shared" si="22"/>
        <v>0099</v>
      </c>
      <c r="C1384" s="10" t="str">
        <f>_xlfn.LET(
    _xlpm.val, IF(Datadetails[[#This Row],[Activity]]="D02","C20",Datadetails[[#This Row],[Activity]]),
    IF(ISNUMBER(MATCH(_xlpm.val,{"D04","C30","c40","C20"},0)), _xlpm.val, "Other")
)</f>
        <v>C20</v>
      </c>
      <c r="D1384" s="10" t="str">
        <f>IFERROR(VLOOKUP(Datadetails[[#This Row],[Taskcode]],Dashboard!A:A,1,FALSE),"00 Err Missing")</f>
        <v>0099</v>
      </c>
      <c r="E1384" s="79">
        <v>45846</v>
      </c>
      <c r="F1384" s="80" t="s">
        <v>323</v>
      </c>
      <c r="G1384" s="60" t="s">
        <v>40</v>
      </c>
      <c r="H1384" s="80" t="s">
        <v>266</v>
      </c>
      <c r="I1384" s="80" t="s">
        <v>36</v>
      </c>
      <c r="J1384" s="80" t="s">
        <v>394</v>
      </c>
      <c r="K1384" s="80" t="s">
        <v>346</v>
      </c>
      <c r="L1384" s="80" t="s">
        <v>342</v>
      </c>
      <c r="M1384" s="81">
        <v>0.5</v>
      </c>
      <c r="N1384" s="82">
        <v>30</v>
      </c>
    </row>
    <row r="1385" spans="1:14" x14ac:dyDescent="0.25">
      <c r="A1385" s="10" t="str">
        <f>_xlfn.IFNA(
    IF(J1385=
        "PCB-0001",
        "CSS",
        IF(
            ISNUMBER(MATCH(_xlfn.TEXTBEFORE(J1385,"-"), {"CSS","CSN","PCB","PCF","BEC","CSD","PCM"}, 0)),
            _xlfn.TEXTBEFORE(J1385,"-"),
            "Other"
        )
    ),
"Add")</f>
        <v>PCM</v>
      </c>
      <c r="B1385" s="10" t="str">
        <f t="shared" si="22"/>
        <v>0113</v>
      </c>
      <c r="C1385" s="10" t="str">
        <f>_xlfn.LET(
    _xlpm.val, IF(Datadetails[[#This Row],[Activity]]="D02","C20",Datadetails[[#This Row],[Activity]]),
    IF(ISNUMBER(MATCH(_xlpm.val,{"D04","C30","c40","C20"},0)), _xlpm.val, "Other")
)</f>
        <v>C20</v>
      </c>
      <c r="D1385" s="10" t="str">
        <f>IFERROR(VLOOKUP(Datadetails[[#This Row],[Taskcode]],Dashboard!A:A,1,FALSE),"00 Err Missing")</f>
        <v>0113</v>
      </c>
      <c r="E1385" s="79">
        <v>45846</v>
      </c>
      <c r="F1385" s="80" t="s">
        <v>323</v>
      </c>
      <c r="G1385" s="60" t="s">
        <v>40</v>
      </c>
      <c r="H1385" s="80" t="s">
        <v>280</v>
      </c>
      <c r="I1385" s="80" t="s">
        <v>36</v>
      </c>
      <c r="J1385" s="80" t="s">
        <v>445</v>
      </c>
      <c r="K1385" s="80" t="s">
        <v>346</v>
      </c>
      <c r="L1385" s="80" t="s">
        <v>342</v>
      </c>
      <c r="M1385" s="81">
        <v>0.5</v>
      </c>
      <c r="N1385" s="82">
        <v>30</v>
      </c>
    </row>
    <row r="1386" spans="1:14" x14ac:dyDescent="0.25">
      <c r="A1386" s="10" t="str">
        <f>_xlfn.IFNA(
    IF(J1386=
        "PCB-0001",
        "CSS",
        IF(
            ISNUMBER(MATCH(_xlfn.TEXTBEFORE(J1386,"-"), {"CSS","CSN","PCB","PCF","BEC","CSD","PCM"}, 0)),
            _xlfn.TEXTBEFORE(J1386,"-"),
            "Other"
        )
    ),
"Add")</f>
        <v>PCM</v>
      </c>
      <c r="B1386" s="10" t="str">
        <f t="shared" si="22"/>
        <v>0114</v>
      </c>
      <c r="C1386" s="10" t="str">
        <f>_xlfn.LET(
    _xlpm.val, IF(Datadetails[[#This Row],[Activity]]="D02","C20",Datadetails[[#This Row],[Activity]]),
    IF(ISNUMBER(MATCH(_xlpm.val,{"D04","C30","c40","C20"},0)), _xlpm.val, "Other")
)</f>
        <v>C20</v>
      </c>
      <c r="D1386" s="10" t="str">
        <f>IFERROR(VLOOKUP(Datadetails[[#This Row],[Taskcode]],Dashboard!A:A,1,FALSE),"00 Err Missing")</f>
        <v>0114</v>
      </c>
      <c r="E1386" s="79">
        <v>45846</v>
      </c>
      <c r="F1386" s="80" t="s">
        <v>323</v>
      </c>
      <c r="G1386" s="60" t="s">
        <v>40</v>
      </c>
      <c r="H1386" s="80" t="s">
        <v>281</v>
      </c>
      <c r="I1386" s="80" t="s">
        <v>36</v>
      </c>
      <c r="J1386" s="80" t="s">
        <v>430</v>
      </c>
      <c r="K1386" s="80" t="s">
        <v>346</v>
      </c>
      <c r="L1386" s="80" t="s">
        <v>342</v>
      </c>
      <c r="M1386" s="81">
        <v>0.5</v>
      </c>
      <c r="N1386" s="82">
        <v>30</v>
      </c>
    </row>
    <row r="1387" spans="1:14" x14ac:dyDescent="0.25">
      <c r="A1387" s="10" t="str">
        <f>_xlfn.IFNA(
    IF(J1387=
        "PCB-0001",
        "CSS",
        IF(
            ISNUMBER(MATCH(_xlfn.TEXTBEFORE(J1387,"-"), {"CSS","CSN","PCB","PCF","BEC","CSD","PCM"}, 0)),
            _xlfn.TEXTBEFORE(J1387,"-"),
            "Other"
        )
    ),
"Add")</f>
        <v>PCM</v>
      </c>
      <c r="B1387" s="10" t="str">
        <f t="shared" si="22"/>
        <v>0115</v>
      </c>
      <c r="C1387" s="10" t="str">
        <f>_xlfn.LET(
    _xlpm.val, IF(Datadetails[[#This Row],[Activity]]="D02","C20",Datadetails[[#This Row],[Activity]]),
    IF(ISNUMBER(MATCH(_xlpm.val,{"D04","C30","c40","C20"},0)), _xlpm.val, "Other")
)</f>
        <v>C20</v>
      </c>
      <c r="D1387" s="10" t="str">
        <f>IFERROR(VLOOKUP(Datadetails[[#This Row],[Taskcode]],Dashboard!A:A,1,FALSE),"00 Err Missing")</f>
        <v>0115</v>
      </c>
      <c r="E1387" s="79">
        <v>45846</v>
      </c>
      <c r="F1387" s="80" t="s">
        <v>323</v>
      </c>
      <c r="G1387" s="60" t="s">
        <v>40</v>
      </c>
      <c r="H1387" s="80" t="s">
        <v>282</v>
      </c>
      <c r="I1387" s="80" t="s">
        <v>36</v>
      </c>
      <c r="J1387" s="80" t="s">
        <v>451</v>
      </c>
      <c r="K1387" s="80" t="s">
        <v>346</v>
      </c>
      <c r="L1387" s="80" t="s">
        <v>342</v>
      </c>
      <c r="M1387" s="81">
        <v>0.5</v>
      </c>
      <c r="N1387" s="82">
        <v>30</v>
      </c>
    </row>
    <row r="1388" spans="1:14" x14ac:dyDescent="0.25">
      <c r="A1388" s="10" t="str">
        <f>_xlfn.IFNA(
    IF(J1388=
        "PCB-0001",
        "CSS",
        IF(
            ISNUMBER(MATCH(_xlfn.TEXTBEFORE(J1388,"-"), {"CSS","CSN","PCB","PCF","BEC","CSD","PCM"}, 0)),
            _xlfn.TEXTBEFORE(J1388,"-"),
            "Other"
        )
    ),
"Add")</f>
        <v>PCM</v>
      </c>
      <c r="B1388" s="10" t="str">
        <f t="shared" si="22"/>
        <v>0116</v>
      </c>
      <c r="C1388" s="10" t="str">
        <f>_xlfn.LET(
    _xlpm.val, IF(Datadetails[[#This Row],[Activity]]="D02","C20",Datadetails[[#This Row],[Activity]]),
    IF(ISNUMBER(MATCH(_xlpm.val,{"D04","C30","c40","C20"},0)), _xlpm.val, "Other")
)</f>
        <v>C40</v>
      </c>
      <c r="D1388" s="10" t="str">
        <f>IFERROR(VLOOKUP(Datadetails[[#This Row],[Taskcode]],Dashboard!A:A,1,FALSE),"00 Err Missing")</f>
        <v>0116</v>
      </c>
      <c r="E1388" s="79">
        <v>45846</v>
      </c>
      <c r="F1388" s="80" t="s">
        <v>323</v>
      </c>
      <c r="G1388" s="60" t="s">
        <v>40</v>
      </c>
      <c r="H1388" s="80" t="s">
        <v>283</v>
      </c>
      <c r="I1388" s="80" t="s">
        <v>341</v>
      </c>
      <c r="J1388" s="80" t="s">
        <v>429</v>
      </c>
      <c r="K1388" s="80" t="s">
        <v>346</v>
      </c>
      <c r="L1388" s="80" t="s">
        <v>344</v>
      </c>
      <c r="M1388" s="81">
        <v>1</v>
      </c>
      <c r="N1388" s="82">
        <v>60</v>
      </c>
    </row>
    <row r="1389" spans="1:14" x14ac:dyDescent="0.25">
      <c r="A1389" s="10" t="str">
        <f>_xlfn.IFNA(
    IF(J1389=
        "PCB-0001",
        "CSS",
        IF(
            ISNUMBER(MATCH(_xlfn.TEXTBEFORE(J1389,"-"), {"CSS","CSN","PCB","PCF","BEC","CSD","PCM"}, 0)),
            _xlfn.TEXTBEFORE(J1389,"-"),
            "Other"
        )
    ),
"Add")</f>
        <v>PCB</v>
      </c>
      <c r="B1389" s="10" t="str">
        <f t="shared" si="22"/>
        <v>0030</v>
      </c>
      <c r="C1389" s="10" t="str">
        <f>_xlfn.LET(
    _xlpm.val, IF(Datadetails[[#This Row],[Activity]]="D02","C20",Datadetails[[#This Row],[Activity]]),
    IF(ISNUMBER(MATCH(_xlpm.val,{"D04","C30","c40","C20"},0)), _xlpm.val, "Other")
)</f>
        <v>C30</v>
      </c>
      <c r="D1389" s="10" t="str">
        <f>IFERROR(VLOOKUP(Datadetails[[#This Row],[Taskcode]],Dashboard!A:A,1,FALSE),"00 Err Missing")</f>
        <v>0030</v>
      </c>
      <c r="E1389" s="79">
        <v>45846</v>
      </c>
      <c r="F1389" s="80" t="s">
        <v>329</v>
      </c>
      <c r="G1389" s="60" t="s">
        <v>40</v>
      </c>
      <c r="H1389" s="80" t="s">
        <v>197</v>
      </c>
      <c r="I1389" s="80" t="s">
        <v>34</v>
      </c>
      <c r="J1389" s="80" t="s">
        <v>366</v>
      </c>
      <c r="K1389" s="80" t="s">
        <v>347</v>
      </c>
      <c r="L1389" s="80" t="s">
        <v>343</v>
      </c>
      <c r="M1389" s="81">
        <v>0.17</v>
      </c>
      <c r="N1389" s="82">
        <v>12.750000000000002</v>
      </c>
    </row>
    <row r="1390" spans="1:14" x14ac:dyDescent="0.25">
      <c r="A1390" s="10" t="str">
        <f>_xlfn.IFNA(
    IF(J1390=
        "PCB-0001",
        "CSS",
        IF(
            ISNUMBER(MATCH(_xlfn.TEXTBEFORE(J1390,"-"), {"CSS","CSN","PCB","PCF","BEC","CSD","PCM"}, 0)),
            _xlfn.TEXTBEFORE(J1390,"-"),
            "Other"
        )
    ),
"Add")</f>
        <v>PCB</v>
      </c>
      <c r="B1390" s="10" t="str">
        <f t="shared" si="22"/>
        <v>0039</v>
      </c>
      <c r="C1390" s="10" t="str">
        <f>_xlfn.LET(
    _xlpm.val, IF(Datadetails[[#This Row],[Activity]]="D02","C20",Datadetails[[#This Row],[Activity]]),
    IF(ISNUMBER(MATCH(_xlpm.val,{"D04","C30","c40","C20"},0)), _xlpm.val, "Other")
)</f>
        <v>C30</v>
      </c>
      <c r="D1390" s="10" t="str">
        <f>IFERROR(VLOOKUP(Datadetails[[#This Row],[Taskcode]],Dashboard!A:A,1,FALSE),"00 Err Missing")</f>
        <v>0039</v>
      </c>
      <c r="E1390" s="79">
        <v>45846</v>
      </c>
      <c r="F1390" s="80" t="s">
        <v>329</v>
      </c>
      <c r="G1390" s="60" t="s">
        <v>40</v>
      </c>
      <c r="H1390" s="80" t="s">
        <v>206</v>
      </c>
      <c r="I1390" s="80" t="s">
        <v>34</v>
      </c>
      <c r="J1390" s="80" t="s">
        <v>367</v>
      </c>
      <c r="K1390" s="80" t="s">
        <v>347</v>
      </c>
      <c r="L1390" s="80" t="s">
        <v>343</v>
      </c>
      <c r="M1390" s="81">
        <v>0.08</v>
      </c>
      <c r="N1390" s="82">
        <v>6</v>
      </c>
    </row>
    <row r="1391" spans="1:14" x14ac:dyDescent="0.25">
      <c r="A1391" s="10" t="str">
        <f>_xlfn.IFNA(
    IF(J1391=
        "PCB-0001",
        "CSS",
        IF(
            ISNUMBER(MATCH(_xlfn.TEXTBEFORE(J1391,"-"), {"CSS","CSN","PCB","PCF","BEC","CSD","PCM"}, 0)),
            _xlfn.TEXTBEFORE(J1391,"-"),
            "Other"
        )
    ),
"Add")</f>
        <v>PCB</v>
      </c>
      <c r="B1391" s="10" t="str">
        <f t="shared" si="22"/>
        <v>0054</v>
      </c>
      <c r="C1391" s="10" t="str">
        <f>_xlfn.LET(
    _xlpm.val, IF(Datadetails[[#This Row],[Activity]]="D02","C20",Datadetails[[#This Row],[Activity]]),
    IF(ISNUMBER(MATCH(_xlpm.val,{"D04","C30","c40","C20"},0)), _xlpm.val, "Other")
)</f>
        <v>C30</v>
      </c>
      <c r="D1391" s="10" t="str">
        <f>IFERROR(VLOOKUP(Datadetails[[#This Row],[Taskcode]],Dashboard!A:A,1,FALSE),"00 Err Missing")</f>
        <v>0054</v>
      </c>
      <c r="E1391" s="79">
        <v>45846</v>
      </c>
      <c r="F1391" s="80" t="s">
        <v>329</v>
      </c>
      <c r="G1391" s="60" t="s">
        <v>40</v>
      </c>
      <c r="H1391" s="80" t="s">
        <v>221</v>
      </c>
      <c r="I1391" s="80" t="s">
        <v>34</v>
      </c>
      <c r="J1391" s="80" t="s">
        <v>369</v>
      </c>
      <c r="K1391" s="80" t="s">
        <v>347</v>
      </c>
      <c r="L1391" s="80" t="s">
        <v>343</v>
      </c>
      <c r="M1391" s="81">
        <v>0.17</v>
      </c>
      <c r="N1391" s="82">
        <v>12.750000000000002</v>
      </c>
    </row>
    <row r="1392" spans="1:14" x14ac:dyDescent="0.25">
      <c r="A1392" s="10" t="str">
        <f>_xlfn.IFNA(
    IF(J1392=
        "PCB-0001",
        "CSS",
        IF(
            ISNUMBER(MATCH(_xlfn.TEXTBEFORE(J1392,"-"), {"CSS","CSN","PCB","PCF","BEC","CSD","PCM"}, 0)),
            _xlfn.TEXTBEFORE(J1392,"-"),
            "Other"
        )
    ),
"Add")</f>
        <v>PCB</v>
      </c>
      <c r="B1392" s="10" t="str">
        <f t="shared" si="22"/>
        <v>0123</v>
      </c>
      <c r="C1392" s="10" t="str">
        <f>_xlfn.LET(
    _xlpm.val, IF(Datadetails[[#This Row],[Activity]]="D02","C20",Datadetails[[#This Row],[Activity]]),
    IF(ISNUMBER(MATCH(_xlpm.val,{"D04","C30","c40","C20"},0)), _xlpm.val, "Other")
)</f>
        <v>C30</v>
      </c>
      <c r="D1392" s="10" t="str">
        <f>IFERROR(VLOOKUP(Datadetails[[#This Row],[Taskcode]],Dashboard!A:A,1,FALSE),"00 Err Missing")</f>
        <v>0123</v>
      </c>
      <c r="E1392" s="79">
        <v>45846</v>
      </c>
      <c r="F1392" s="80" t="s">
        <v>325</v>
      </c>
      <c r="G1392" s="60" t="s">
        <v>40</v>
      </c>
      <c r="H1392" s="80" t="s">
        <v>290</v>
      </c>
      <c r="I1392" s="80" t="s">
        <v>34</v>
      </c>
      <c r="J1392" s="80" t="s">
        <v>428</v>
      </c>
      <c r="K1392" s="80" t="s">
        <v>347</v>
      </c>
      <c r="L1392" s="80" t="s">
        <v>343</v>
      </c>
      <c r="M1392" s="81">
        <v>0.25</v>
      </c>
      <c r="N1392" s="82">
        <v>18.75</v>
      </c>
    </row>
    <row r="1393" spans="1:14" x14ac:dyDescent="0.25">
      <c r="A1393" s="10" t="str">
        <f>_xlfn.IFNA(
    IF(J1393=
        "PCB-0001",
        "CSS",
        IF(
            ISNUMBER(MATCH(_xlfn.TEXTBEFORE(J1393,"-"), {"CSS","CSN","PCB","PCF","BEC","CSD","PCM"}, 0)),
            _xlfn.TEXTBEFORE(J1393,"-"),
            "Other"
        )
    ),
"Add")</f>
        <v>PCB</v>
      </c>
      <c r="B1393" s="10" t="str">
        <f t="shared" si="22"/>
        <v>0121</v>
      </c>
      <c r="C1393" s="10" t="str">
        <f>_xlfn.LET(
    _xlpm.val, IF(Datadetails[[#This Row],[Activity]]="D02","C20",Datadetails[[#This Row],[Activity]]),
    IF(ISNUMBER(MATCH(_xlpm.val,{"D04","C30","c40","C20"},0)), _xlpm.val, "Other")
)</f>
        <v>C30</v>
      </c>
      <c r="D1393" s="10" t="str">
        <f>IFERROR(VLOOKUP(Datadetails[[#This Row],[Taskcode]],Dashboard!A:A,1,FALSE),"00 Err Missing")</f>
        <v>0121</v>
      </c>
      <c r="E1393" s="79">
        <v>45846</v>
      </c>
      <c r="F1393" s="80" t="s">
        <v>329</v>
      </c>
      <c r="G1393" s="60" t="s">
        <v>40</v>
      </c>
      <c r="H1393" s="80" t="s">
        <v>288</v>
      </c>
      <c r="I1393" s="80" t="s">
        <v>34</v>
      </c>
      <c r="J1393" s="80" t="s">
        <v>405</v>
      </c>
      <c r="K1393" s="80" t="s">
        <v>347</v>
      </c>
      <c r="L1393" s="80" t="s">
        <v>343</v>
      </c>
      <c r="M1393" s="81">
        <v>0.08</v>
      </c>
      <c r="N1393" s="82">
        <v>6</v>
      </c>
    </row>
    <row r="1394" spans="1:14" x14ac:dyDescent="0.25">
      <c r="A1394" s="10" t="str">
        <f>_xlfn.IFNA(
    IF(J1394=
        "PCB-0001",
        "CSS",
        IF(
            ISNUMBER(MATCH(_xlfn.TEXTBEFORE(J1394,"-"), {"CSS","CSN","PCB","PCF","BEC","CSD","PCM"}, 0)),
            _xlfn.TEXTBEFORE(J1394,"-"),
            "Other"
        )
    ),
"Add")</f>
        <v>PCB</v>
      </c>
      <c r="B1394" s="10" t="str">
        <f t="shared" si="22"/>
        <v>0126</v>
      </c>
      <c r="C1394" s="10" t="str">
        <f>_xlfn.LET(
    _xlpm.val, IF(Datadetails[[#This Row],[Activity]]="D02","C20",Datadetails[[#This Row],[Activity]]),
    IF(ISNUMBER(MATCH(_xlpm.val,{"D04","C30","c40","C20"},0)), _xlpm.val, "Other")
)</f>
        <v>C30</v>
      </c>
      <c r="D1394" s="10" t="str">
        <f>IFERROR(VLOOKUP(Datadetails[[#This Row],[Taskcode]],Dashboard!A:A,1,FALSE),"00 Err Missing")</f>
        <v>0126</v>
      </c>
      <c r="E1394" s="79">
        <v>45846</v>
      </c>
      <c r="F1394" s="80" t="s">
        <v>329</v>
      </c>
      <c r="G1394" s="60" t="s">
        <v>40</v>
      </c>
      <c r="H1394" s="80" t="s">
        <v>293</v>
      </c>
      <c r="I1394" s="80" t="s">
        <v>34</v>
      </c>
      <c r="J1394" s="80" t="s">
        <v>376</v>
      </c>
      <c r="K1394" s="80" t="s">
        <v>347</v>
      </c>
      <c r="L1394" s="80" t="s">
        <v>343</v>
      </c>
      <c r="M1394" s="81">
        <v>0.17</v>
      </c>
      <c r="N1394" s="82">
        <v>12.750000000000002</v>
      </c>
    </row>
    <row r="1395" spans="1:14" x14ac:dyDescent="0.25">
      <c r="A1395" s="10" t="str">
        <f>_xlfn.IFNA(
    IF(J1395=
        "PCB-0001",
        "CSS",
        IF(
            ISNUMBER(MATCH(_xlfn.TEXTBEFORE(J1395,"-"), {"CSS","CSN","PCB","PCF","BEC","CSD","PCM"}, 0)),
            _xlfn.TEXTBEFORE(J1395,"-"),
            "Other"
        )
    ),
"Add")</f>
        <v>PCB</v>
      </c>
      <c r="B1395" s="10" t="str">
        <f t="shared" si="22"/>
        <v>0129</v>
      </c>
      <c r="C1395" s="10" t="str">
        <f>_xlfn.LET(
    _xlpm.val, IF(Datadetails[[#This Row],[Activity]]="D02","C20",Datadetails[[#This Row],[Activity]]),
    IF(ISNUMBER(MATCH(_xlpm.val,{"D04","C30","c40","C20"},0)), _xlpm.val, "Other")
)</f>
        <v>C30</v>
      </c>
      <c r="D1395" s="10" t="str">
        <f>IFERROR(VLOOKUP(Datadetails[[#This Row],[Taskcode]],Dashboard!A:A,1,FALSE),"00 Err Missing")</f>
        <v>0129</v>
      </c>
      <c r="E1395" s="79">
        <v>45846</v>
      </c>
      <c r="F1395" s="80" t="s">
        <v>329</v>
      </c>
      <c r="G1395" s="60" t="s">
        <v>40</v>
      </c>
      <c r="H1395" s="80" t="s">
        <v>296</v>
      </c>
      <c r="I1395" s="80" t="s">
        <v>34</v>
      </c>
      <c r="J1395" s="80" t="s">
        <v>411</v>
      </c>
      <c r="K1395" s="80" t="s">
        <v>347</v>
      </c>
      <c r="L1395" s="80" t="s">
        <v>343</v>
      </c>
      <c r="M1395" s="81">
        <v>0.17</v>
      </c>
      <c r="N1395" s="82">
        <v>12.750000000000002</v>
      </c>
    </row>
    <row r="1396" spans="1:14" x14ac:dyDescent="0.25">
      <c r="A1396" s="10" t="str">
        <f>_xlfn.IFNA(
    IF(J1396=
        "PCB-0001",
        "CSS",
        IF(
            ISNUMBER(MATCH(_xlfn.TEXTBEFORE(J1396,"-"), {"CSS","CSN","PCB","PCF","BEC","CSD","PCM"}, 0)),
            _xlfn.TEXTBEFORE(J1396,"-"),
            "Other"
        )
    ),
"Add")</f>
        <v>PCB</v>
      </c>
      <c r="B1396" s="10" t="str">
        <f t="shared" si="22"/>
        <v>0097</v>
      </c>
      <c r="C1396" s="10" t="str">
        <f>_xlfn.LET(
    _xlpm.val, IF(Datadetails[[#This Row],[Activity]]="D02","C20",Datadetails[[#This Row],[Activity]]),
    IF(ISNUMBER(MATCH(_xlpm.val,{"D04","C30","c40","C20"},0)), _xlpm.val, "Other")
)</f>
        <v>C30</v>
      </c>
      <c r="D1396" s="10" t="str">
        <f>IFERROR(VLOOKUP(Datadetails[[#This Row],[Taskcode]],Dashboard!A:A,1,FALSE),"00 Err Missing")</f>
        <v>0097</v>
      </c>
      <c r="E1396" s="79">
        <v>45846</v>
      </c>
      <c r="F1396" s="80" t="s">
        <v>325</v>
      </c>
      <c r="G1396" s="60" t="s">
        <v>40</v>
      </c>
      <c r="H1396" s="80" t="s">
        <v>264</v>
      </c>
      <c r="I1396" s="80" t="s">
        <v>34</v>
      </c>
      <c r="J1396" s="80" t="s">
        <v>384</v>
      </c>
      <c r="K1396" s="80" t="s">
        <v>347</v>
      </c>
      <c r="L1396" s="80" t="s">
        <v>343</v>
      </c>
      <c r="M1396" s="81">
        <v>0.17</v>
      </c>
      <c r="N1396" s="82">
        <v>12.750000000000002</v>
      </c>
    </row>
    <row r="1397" spans="1:14" x14ac:dyDescent="0.25">
      <c r="A1397" s="10" t="str">
        <f>_xlfn.IFNA(
    IF(J1397=
        "PCB-0001",
        "CSS",
        IF(
            ISNUMBER(MATCH(_xlfn.TEXTBEFORE(J1397,"-"), {"CSS","CSN","PCB","PCF","BEC","CSD","PCM"}, 0)),
            _xlfn.TEXTBEFORE(J1397,"-"),
            "Other"
        )
    ),
"Add")</f>
        <v>PCB</v>
      </c>
      <c r="B1397" s="10" t="str">
        <f t="shared" si="22"/>
        <v>0080</v>
      </c>
      <c r="C1397" s="10" t="str">
        <f>_xlfn.LET(
    _xlpm.val, IF(Datadetails[[#This Row],[Activity]]="D02","C20",Datadetails[[#This Row],[Activity]]),
    IF(ISNUMBER(MATCH(_xlpm.val,{"D04","C30","c40","C20"},0)), _xlpm.val, "Other")
)</f>
        <v>C30</v>
      </c>
      <c r="D1397" s="10" t="str">
        <f>IFERROR(VLOOKUP(Datadetails[[#This Row],[Taskcode]],Dashboard!A:A,1,FALSE),"00 Err Missing")</f>
        <v>0080</v>
      </c>
      <c r="E1397" s="79">
        <v>45846</v>
      </c>
      <c r="F1397" s="80" t="s">
        <v>329</v>
      </c>
      <c r="G1397" s="60" t="s">
        <v>40</v>
      </c>
      <c r="H1397" s="80" t="s">
        <v>247</v>
      </c>
      <c r="I1397" s="80" t="s">
        <v>34</v>
      </c>
      <c r="J1397" s="80" t="s">
        <v>375</v>
      </c>
      <c r="K1397" s="80" t="s">
        <v>347</v>
      </c>
      <c r="L1397" s="80" t="s">
        <v>343</v>
      </c>
      <c r="M1397" s="81">
        <v>0.17</v>
      </c>
      <c r="N1397" s="82">
        <v>12.750000000000002</v>
      </c>
    </row>
    <row r="1398" spans="1:14" x14ac:dyDescent="0.25">
      <c r="A1398" s="10" t="str">
        <f>_xlfn.IFNA(
    IF(J1398=
        "PCB-0001",
        "CSS",
        IF(
            ISNUMBER(MATCH(_xlfn.TEXTBEFORE(J1398,"-"), {"CSS","CSN","PCB","PCF","BEC","CSD","PCM"}, 0)),
            _xlfn.TEXTBEFORE(J1398,"-"),
            "Other"
        )
    ),
"Add")</f>
        <v>PCB</v>
      </c>
      <c r="B1398" s="10" t="str">
        <f t="shared" si="22"/>
        <v>0111</v>
      </c>
      <c r="C1398" s="10" t="str">
        <f>_xlfn.LET(
    _xlpm.val, IF(Datadetails[[#This Row],[Activity]]="D02","C20",Datadetails[[#This Row],[Activity]]),
    IF(ISNUMBER(MATCH(_xlpm.val,{"D04","C30","c40","C20"},0)), _xlpm.val, "Other")
)</f>
        <v>C30</v>
      </c>
      <c r="D1398" s="10" t="str">
        <f>IFERROR(VLOOKUP(Datadetails[[#This Row],[Taskcode]],Dashboard!A:A,1,FALSE),"00 Err Missing")</f>
        <v>0111</v>
      </c>
      <c r="E1398" s="79">
        <v>45846</v>
      </c>
      <c r="F1398" s="80" t="s">
        <v>325</v>
      </c>
      <c r="G1398" s="60" t="s">
        <v>40</v>
      </c>
      <c r="H1398" s="80" t="s">
        <v>278</v>
      </c>
      <c r="I1398" s="80" t="s">
        <v>34</v>
      </c>
      <c r="J1398" s="80" t="s">
        <v>452</v>
      </c>
      <c r="K1398" s="80" t="s">
        <v>347</v>
      </c>
      <c r="L1398" s="80" t="s">
        <v>343</v>
      </c>
      <c r="M1398" s="81">
        <v>0.17</v>
      </c>
      <c r="N1398" s="82">
        <v>12.750000000000002</v>
      </c>
    </row>
    <row r="1399" spans="1:14" x14ac:dyDescent="0.25">
      <c r="A1399" s="10" t="str">
        <f>_xlfn.IFNA(
    IF(J1399=
        "PCB-0001",
        "CSS",
        IF(
            ISNUMBER(MATCH(_xlfn.TEXTBEFORE(J1399,"-"), {"CSS","CSN","PCB","PCF","BEC","CSD","PCM"}, 0)),
            _xlfn.TEXTBEFORE(J1399,"-"),
            "Other"
        )
    ),
"Add")</f>
        <v>PCB</v>
      </c>
      <c r="B1399" s="10" t="str">
        <f t="shared" si="22"/>
        <v>0128</v>
      </c>
      <c r="C1399" s="10" t="str">
        <f>_xlfn.LET(
    _xlpm.val, IF(Datadetails[[#This Row],[Activity]]="D02","C20",Datadetails[[#This Row],[Activity]]),
    IF(ISNUMBER(MATCH(_xlpm.val,{"D04","C30","c40","C20"},0)), _xlpm.val, "Other")
)</f>
        <v>C40</v>
      </c>
      <c r="D1399" s="10" t="str">
        <f>IFERROR(VLOOKUP(Datadetails[[#This Row],[Taskcode]],Dashboard!A:A,1,FALSE),"00 Err Missing")</f>
        <v>0128</v>
      </c>
      <c r="E1399" s="79">
        <v>45846</v>
      </c>
      <c r="F1399" s="80" t="s">
        <v>329</v>
      </c>
      <c r="G1399" s="60" t="s">
        <v>40</v>
      </c>
      <c r="H1399" s="80" t="s">
        <v>295</v>
      </c>
      <c r="I1399" s="80" t="s">
        <v>341</v>
      </c>
      <c r="J1399" s="80" t="s">
        <v>379</v>
      </c>
      <c r="K1399" s="80" t="s">
        <v>347</v>
      </c>
      <c r="L1399" s="80" t="s">
        <v>344</v>
      </c>
      <c r="M1399" s="81">
        <v>2.58</v>
      </c>
      <c r="N1399" s="82">
        <v>193.5</v>
      </c>
    </row>
    <row r="1400" spans="1:14" x14ac:dyDescent="0.25">
      <c r="A1400" s="10" t="str">
        <f>_xlfn.IFNA(
    IF(J1400=
        "PCB-0001",
        "CSS",
        IF(
            ISNUMBER(MATCH(_xlfn.TEXTBEFORE(J1400,"-"), {"CSS","CSN","PCB","PCF","BEC","CSD","PCM"}, 0)),
            _xlfn.TEXTBEFORE(J1400,"-"),
            "Other"
        )
    ),
"Add")</f>
        <v>PCF</v>
      </c>
      <c r="B1400" s="10" t="str">
        <f t="shared" si="22"/>
        <v>0040</v>
      </c>
      <c r="C1400" s="10" t="str">
        <f>_xlfn.LET(
    _xlpm.val, IF(Datadetails[[#This Row],[Activity]]="D02","C20",Datadetails[[#This Row],[Activity]]),
    IF(ISNUMBER(MATCH(_xlpm.val,{"D04","C30","c40","C20"},0)), _xlpm.val, "Other")
)</f>
        <v>C20</v>
      </c>
      <c r="D1400" s="10" t="str">
        <f>IFERROR(VLOOKUP(Datadetails[[#This Row],[Taskcode]],Dashboard!A:A,1,FALSE),"00 Err Missing")</f>
        <v>0040</v>
      </c>
      <c r="E1400" s="79">
        <v>45846</v>
      </c>
      <c r="F1400" s="80" t="s">
        <v>326</v>
      </c>
      <c r="G1400" s="60" t="s">
        <v>40</v>
      </c>
      <c r="H1400" s="80" t="s">
        <v>207</v>
      </c>
      <c r="I1400" s="80" t="s">
        <v>36</v>
      </c>
      <c r="J1400" s="80" t="s">
        <v>417</v>
      </c>
      <c r="K1400" s="80" t="s">
        <v>348</v>
      </c>
      <c r="L1400" s="80" t="s">
        <v>342</v>
      </c>
      <c r="M1400" s="81">
        <v>0.92</v>
      </c>
      <c r="N1400" s="82">
        <v>55.2</v>
      </c>
    </row>
    <row r="1401" spans="1:14" x14ac:dyDescent="0.25">
      <c r="A1401" s="10" t="str">
        <f>_xlfn.IFNA(
    IF(J1401=
        "PCB-0001",
        "CSS",
        IF(
            ISNUMBER(MATCH(_xlfn.TEXTBEFORE(J1401,"-"), {"CSS","CSN","PCB","PCF","BEC","CSD","PCM"}, 0)),
            _xlfn.TEXTBEFORE(J1401,"-"),
            "Other"
        )
    ),
"Add")</f>
        <v>BEC</v>
      </c>
      <c r="B1401" s="10" t="str">
        <f t="shared" si="22"/>
        <v>0001</v>
      </c>
      <c r="C1401" s="10" t="str">
        <f>_xlfn.LET(
    _xlpm.val, IF(Datadetails[[#This Row],[Activity]]="D02","C20",Datadetails[[#This Row],[Activity]]),
    IF(ISNUMBER(MATCH(_xlpm.val,{"D04","C30","c40","C20"},0)), _xlpm.val, "Other")
)</f>
        <v>D04</v>
      </c>
      <c r="D1401" s="10" t="str">
        <f>IFERROR(VLOOKUP(Datadetails[[#This Row],[Taskcode]],Dashboard!A:A,1,FALSE),"00 Err Missing")</f>
        <v>0001</v>
      </c>
      <c r="E1401" s="79">
        <v>45846</v>
      </c>
      <c r="F1401" s="80" t="s">
        <v>332</v>
      </c>
      <c r="G1401" s="60" t="s">
        <v>40</v>
      </c>
      <c r="H1401" s="80" t="s">
        <v>314</v>
      </c>
      <c r="I1401" s="80" t="s">
        <v>35</v>
      </c>
      <c r="J1401" s="80" t="s">
        <v>359</v>
      </c>
      <c r="K1401" s="80" t="s">
        <v>339</v>
      </c>
      <c r="L1401" s="80" t="s">
        <v>352</v>
      </c>
      <c r="M1401" s="81">
        <v>8.67</v>
      </c>
      <c r="N1401" s="82">
        <v>346.8</v>
      </c>
    </row>
    <row r="1402" spans="1:14" x14ac:dyDescent="0.25">
      <c r="A1402" s="10" t="str">
        <f>_xlfn.IFNA(
    IF(J1402=
        "PCB-0001",
        "CSS",
        IF(
            ISNUMBER(MATCH(_xlfn.TEXTBEFORE(J1402,"-"), {"CSS","CSN","PCB","PCF","BEC","CSD","PCM"}, 0)),
            _xlfn.TEXTBEFORE(J1402,"-"),
            "Other"
        )
    ),
"Add")</f>
        <v>BEC</v>
      </c>
      <c r="B1402" s="10" t="str">
        <f t="shared" si="22"/>
        <v>0001</v>
      </c>
      <c r="C1402" s="10" t="str">
        <f>_xlfn.LET(
    _xlpm.val, IF(Datadetails[[#This Row],[Activity]]="D02","C20",Datadetails[[#This Row],[Activity]]),
    IF(ISNUMBER(MATCH(_xlpm.val,{"D04","C30","c40","C20"},0)), _xlpm.val, "Other")
)</f>
        <v>D04</v>
      </c>
      <c r="D1402" s="10" t="str">
        <f>IFERROR(VLOOKUP(Datadetails[[#This Row],[Taskcode]],Dashboard!A:A,1,FALSE),"00 Err Missing")</f>
        <v>0001</v>
      </c>
      <c r="E1402" s="79">
        <v>45846</v>
      </c>
      <c r="F1402" s="80" t="s">
        <v>324</v>
      </c>
      <c r="G1402" s="60" t="s">
        <v>40</v>
      </c>
      <c r="H1402" s="80" t="s">
        <v>314</v>
      </c>
      <c r="I1402" s="80" t="s">
        <v>35</v>
      </c>
      <c r="J1402" s="80" t="s">
        <v>359</v>
      </c>
      <c r="K1402" s="80" t="s">
        <v>339</v>
      </c>
      <c r="L1402" s="80" t="s">
        <v>352</v>
      </c>
      <c r="M1402" s="81">
        <v>5.5</v>
      </c>
      <c r="N1402" s="82">
        <v>412.5</v>
      </c>
    </row>
    <row r="1403" spans="1:14" x14ac:dyDescent="0.25">
      <c r="A1403" s="10" t="str">
        <f>_xlfn.IFNA(
    IF(J1403=
        "PCB-0001",
        "CSS",
        IF(
            ISNUMBER(MATCH(_xlfn.TEXTBEFORE(J1403,"-"), {"CSS","CSN","PCB","PCF","BEC","CSD","PCM"}, 0)),
            _xlfn.TEXTBEFORE(J1403,"-"),
            "Other"
        )
    ),
"Add")</f>
        <v>PCB</v>
      </c>
      <c r="B1403" s="10" t="str">
        <f t="shared" si="22"/>
        <v>0103</v>
      </c>
      <c r="C1403" s="10" t="str">
        <f>_xlfn.LET(
    _xlpm.val, IF(Datadetails[[#This Row],[Activity]]="D02","C20",Datadetails[[#This Row],[Activity]]),
    IF(ISNUMBER(MATCH(_xlpm.val,{"D04","C30","c40","C20"},0)), _xlpm.val, "Other")
)</f>
        <v>C30</v>
      </c>
      <c r="D1403" s="10" t="str">
        <f>IFERROR(VLOOKUP(Datadetails[[#This Row],[Taskcode]],Dashboard!A:A,1,FALSE),"00 Err Missing")</f>
        <v>0103</v>
      </c>
      <c r="E1403" s="79">
        <v>45847</v>
      </c>
      <c r="F1403" s="80" t="s">
        <v>329</v>
      </c>
      <c r="G1403" s="60" t="s">
        <v>40</v>
      </c>
      <c r="H1403" s="80" t="s">
        <v>270</v>
      </c>
      <c r="I1403" s="80" t="s">
        <v>34</v>
      </c>
      <c r="J1403" s="80" t="s">
        <v>360</v>
      </c>
      <c r="K1403" s="80" t="s">
        <v>347</v>
      </c>
      <c r="L1403" s="80" t="s">
        <v>343</v>
      </c>
      <c r="M1403" s="81">
        <v>0.08</v>
      </c>
      <c r="N1403" s="82">
        <v>6</v>
      </c>
    </row>
    <row r="1404" spans="1:14" x14ac:dyDescent="0.25">
      <c r="A1404" s="10" t="str">
        <f>_xlfn.IFNA(
    IF(J1404=
        "PCB-0001",
        "CSS",
        IF(
            ISNUMBER(MATCH(_xlfn.TEXTBEFORE(J1404,"-"), {"CSS","CSN","PCB","PCF","BEC","CSD","PCM"}, 0)),
            _xlfn.TEXTBEFORE(J1404,"-"),
            "Other"
        )
    ),
"Add")</f>
        <v>CSN</v>
      </c>
      <c r="B1404" s="10" t="str">
        <f t="shared" si="22"/>
        <v>0001</v>
      </c>
      <c r="C1404" s="10" t="str">
        <f>_xlfn.LET(
    _xlpm.val, IF(Datadetails[[#This Row],[Activity]]="D02","C20",Datadetails[[#This Row],[Activity]]),
    IF(ISNUMBER(MATCH(_xlpm.val,{"D04","C30","c40","C20"},0)), _xlpm.val, "Other")
)</f>
        <v>D04</v>
      </c>
      <c r="D1404" s="10" t="str">
        <f>IFERROR(VLOOKUP(Datadetails[[#This Row],[Taskcode]],Dashboard!A:A,1,FALSE),"00 Err Missing")</f>
        <v>0001</v>
      </c>
      <c r="E1404" s="79">
        <v>45847</v>
      </c>
      <c r="F1404" s="80" t="s">
        <v>331</v>
      </c>
      <c r="G1404" s="60" t="s">
        <v>40</v>
      </c>
      <c r="H1404" s="80" t="s">
        <v>316</v>
      </c>
      <c r="I1404" s="80" t="s">
        <v>35</v>
      </c>
      <c r="J1404" s="80" t="s">
        <v>338</v>
      </c>
      <c r="K1404" s="80" t="s">
        <v>337</v>
      </c>
      <c r="L1404" s="80" t="s">
        <v>352</v>
      </c>
      <c r="M1404" s="81">
        <v>3</v>
      </c>
      <c r="N1404" s="82">
        <v>96</v>
      </c>
    </row>
    <row r="1405" spans="1:14" x14ac:dyDescent="0.25">
      <c r="A1405" s="10" t="str">
        <f>_xlfn.IFNA(
    IF(J1405=
        "PCB-0001",
        "CSS",
        IF(
            ISNUMBER(MATCH(_xlfn.TEXTBEFORE(J1405,"-"), {"CSS","CSN","PCB","PCF","BEC","CSD","PCM"}, 0)),
            _xlfn.TEXTBEFORE(J1405,"-"),
            "Other"
        )
    ),
"Add")</f>
        <v>CSN</v>
      </c>
      <c r="B1405" s="10" t="str">
        <f t="shared" si="22"/>
        <v>0001</v>
      </c>
      <c r="C1405" s="10" t="str">
        <f>_xlfn.LET(
    _xlpm.val, IF(Datadetails[[#This Row],[Activity]]="D02","C20",Datadetails[[#This Row],[Activity]]),
    IF(ISNUMBER(MATCH(_xlpm.val,{"D04","C30","c40","C20"},0)), _xlpm.val, "Other")
)</f>
        <v>D04</v>
      </c>
      <c r="D1405" s="10" t="str">
        <f>IFERROR(VLOOKUP(Datadetails[[#This Row],[Taskcode]],Dashboard!A:A,1,FALSE),"00 Err Missing")</f>
        <v>0001</v>
      </c>
      <c r="E1405" s="79">
        <v>45847</v>
      </c>
      <c r="F1405" s="80" t="s">
        <v>329</v>
      </c>
      <c r="G1405" s="60" t="s">
        <v>40</v>
      </c>
      <c r="H1405" s="80" t="s">
        <v>316</v>
      </c>
      <c r="I1405" s="80" t="s">
        <v>35</v>
      </c>
      <c r="J1405" s="80" t="s">
        <v>338</v>
      </c>
      <c r="K1405" s="80" t="s">
        <v>337</v>
      </c>
      <c r="L1405" s="80" t="s">
        <v>352</v>
      </c>
      <c r="M1405" s="81">
        <v>1</v>
      </c>
      <c r="N1405" s="82">
        <v>75</v>
      </c>
    </row>
    <row r="1406" spans="1:14" x14ac:dyDescent="0.25">
      <c r="A1406" s="10" t="str">
        <f>_xlfn.IFNA(
    IF(J1406=
        "PCB-0001",
        "CSS",
        IF(
            ISNUMBER(MATCH(_xlfn.TEXTBEFORE(J1406,"-"), {"CSS","CSN","PCB","PCF","BEC","CSD","PCM"}, 0)),
            _xlfn.TEXTBEFORE(J1406,"-"),
            "Other"
        )
    ),
"Add")</f>
        <v>CSD</v>
      </c>
      <c r="B1406" s="10" t="str">
        <f t="shared" si="22"/>
        <v>0001</v>
      </c>
      <c r="C1406" s="10" t="str">
        <f>_xlfn.LET(
    _xlpm.val, IF(Datadetails[[#This Row],[Activity]]="D02","C20",Datadetails[[#This Row],[Activity]]),
    IF(ISNUMBER(MATCH(_xlpm.val,{"D04","C30","c40","C20"},0)), _xlpm.val, "Other")
)</f>
        <v>D04</v>
      </c>
      <c r="D1406" s="10" t="str">
        <f>IFERROR(VLOOKUP(Datadetails[[#This Row],[Taskcode]],Dashboard!A:A,1,FALSE),"00 Err Missing")</f>
        <v>0001</v>
      </c>
      <c r="E1406" s="79">
        <v>45847</v>
      </c>
      <c r="F1406" s="80" t="s">
        <v>327</v>
      </c>
      <c r="G1406" s="60" t="s">
        <v>40</v>
      </c>
      <c r="H1406" s="80" t="s">
        <v>320</v>
      </c>
      <c r="I1406" s="80" t="s">
        <v>35</v>
      </c>
      <c r="J1406" s="80" t="s">
        <v>322</v>
      </c>
      <c r="K1406" s="80" t="s">
        <v>319</v>
      </c>
      <c r="L1406" s="80" t="s">
        <v>352</v>
      </c>
      <c r="M1406" s="81">
        <v>7.25</v>
      </c>
      <c r="N1406" s="82">
        <v>232</v>
      </c>
    </row>
    <row r="1407" spans="1:14" x14ac:dyDescent="0.25">
      <c r="A1407" s="10" t="str">
        <f>_xlfn.IFNA(
    IF(J1407=
        "PCB-0001",
        "CSS",
        IF(
            ISNUMBER(MATCH(_xlfn.TEXTBEFORE(J1407,"-"), {"CSS","CSN","PCB","PCF","BEC","CSD","PCM"}, 0)),
            _xlfn.TEXTBEFORE(J1407,"-"),
            "Other"
        )
    ),
"Add")</f>
        <v>CSD</v>
      </c>
      <c r="B1407" s="10" t="str">
        <f t="shared" si="22"/>
        <v>0001</v>
      </c>
      <c r="C1407" s="10" t="str">
        <f>_xlfn.LET(
    _xlpm.val, IF(Datadetails[[#This Row],[Activity]]="D02","C20",Datadetails[[#This Row],[Activity]]),
    IF(ISNUMBER(MATCH(_xlpm.val,{"D04","C30","c40","C20"},0)), _xlpm.val, "Other")
)</f>
        <v>D04</v>
      </c>
      <c r="D1407" s="10" t="str">
        <f>IFERROR(VLOOKUP(Datadetails[[#This Row],[Taskcode]],Dashboard!A:A,1,FALSE),"00 Err Missing")</f>
        <v>0001</v>
      </c>
      <c r="E1407" s="79">
        <v>45847</v>
      </c>
      <c r="F1407" s="80" t="s">
        <v>333</v>
      </c>
      <c r="G1407" s="60" t="s">
        <v>40</v>
      </c>
      <c r="H1407" s="80" t="s">
        <v>320</v>
      </c>
      <c r="I1407" s="80" t="s">
        <v>35</v>
      </c>
      <c r="J1407" s="80" t="s">
        <v>322</v>
      </c>
      <c r="K1407" s="80" t="s">
        <v>319</v>
      </c>
      <c r="L1407" s="80" t="s">
        <v>352</v>
      </c>
      <c r="M1407" s="81">
        <v>7.43</v>
      </c>
      <c r="N1407" s="82">
        <v>237.76</v>
      </c>
    </row>
    <row r="1408" spans="1:14" x14ac:dyDescent="0.25">
      <c r="A1408" s="10" t="str">
        <f>_xlfn.IFNA(
    IF(J1408=
        "PCB-0001",
        "CSS",
        IF(
            ISNUMBER(MATCH(_xlfn.TEXTBEFORE(J1408,"-"), {"CSS","CSN","PCB","PCF","BEC","CSD","PCM"}, 0)),
            _xlfn.TEXTBEFORE(J1408,"-"),
            "Other"
        )
    ),
"Add")</f>
        <v>PCB</v>
      </c>
      <c r="B1408" s="10" t="str">
        <f t="shared" si="22"/>
        <v>0031</v>
      </c>
      <c r="C1408" s="10" t="str">
        <f>_xlfn.LET(
    _xlpm.val, IF(Datadetails[[#This Row],[Activity]]="D02","C20",Datadetails[[#This Row],[Activity]]),
    IF(ISNUMBER(MATCH(_xlpm.val,{"D04","C30","c40","C20"},0)), _xlpm.val, "Other")
)</f>
        <v>C20</v>
      </c>
      <c r="D1408" s="10" t="str">
        <f>IFERROR(VLOOKUP(Datadetails[[#This Row],[Taskcode]],Dashboard!A:A,1,FALSE),"00 Err Missing")</f>
        <v>0031</v>
      </c>
      <c r="E1408" s="79">
        <v>45847</v>
      </c>
      <c r="F1408" s="80" t="s">
        <v>325</v>
      </c>
      <c r="G1408" s="60" t="s">
        <v>40</v>
      </c>
      <c r="H1408" s="80" t="s">
        <v>198</v>
      </c>
      <c r="I1408" s="80" t="s">
        <v>36</v>
      </c>
      <c r="J1408" s="80" t="s">
        <v>413</v>
      </c>
      <c r="K1408" s="80" t="s">
        <v>347</v>
      </c>
      <c r="L1408" s="80" t="s">
        <v>342</v>
      </c>
      <c r="M1408" s="81">
        <v>0.25</v>
      </c>
      <c r="N1408" s="82">
        <v>18.75</v>
      </c>
    </row>
    <row r="1409" spans="1:14" x14ac:dyDescent="0.25">
      <c r="A1409" s="10" t="str">
        <f>_xlfn.IFNA(
    IF(J1409=
        "PCB-0001",
        "CSS",
        IF(
            ISNUMBER(MATCH(_xlfn.TEXTBEFORE(J1409,"-"), {"CSS","CSN","PCB","PCF","BEC","CSD","PCM"}, 0)),
            _xlfn.TEXTBEFORE(J1409,"-"),
            "Other"
        )
    ),
"Add")</f>
        <v>PCB</v>
      </c>
      <c r="B1409" s="10" t="str">
        <f t="shared" si="22"/>
        <v>0134</v>
      </c>
      <c r="C1409" s="10" t="str">
        <f>_xlfn.LET(
    _xlpm.val, IF(Datadetails[[#This Row],[Activity]]="D02","C20",Datadetails[[#This Row],[Activity]]),
    IF(ISNUMBER(MATCH(_xlpm.val,{"D04","C30","c40","C20"},0)), _xlpm.val, "Other")
)</f>
        <v>C30</v>
      </c>
      <c r="D1409" s="10" t="str">
        <f>IFERROR(VLOOKUP(Datadetails[[#This Row],[Taskcode]],Dashboard!A:A,1,FALSE),"00 Err Missing")</f>
        <v>0134</v>
      </c>
      <c r="E1409" s="79">
        <v>45847</v>
      </c>
      <c r="F1409" s="80" t="s">
        <v>329</v>
      </c>
      <c r="G1409" s="60" t="s">
        <v>40</v>
      </c>
      <c r="H1409" s="80" t="s">
        <v>301</v>
      </c>
      <c r="I1409" s="80" t="s">
        <v>34</v>
      </c>
      <c r="J1409" s="80" t="s">
        <v>371</v>
      </c>
      <c r="K1409" s="80" t="s">
        <v>347</v>
      </c>
      <c r="L1409" s="80" t="s">
        <v>343</v>
      </c>
      <c r="M1409" s="81">
        <v>0.17</v>
      </c>
      <c r="N1409" s="82">
        <v>12.750000000000002</v>
      </c>
    </row>
    <row r="1410" spans="1:14" x14ac:dyDescent="0.25">
      <c r="A1410" s="10" t="str">
        <f>_xlfn.IFNA(
    IF(J1410=
        "PCB-0001",
        "CSS",
        IF(
            ISNUMBER(MATCH(_xlfn.TEXTBEFORE(J1410,"-"), {"CSS","CSN","PCB","PCF","BEC","CSD","PCM"}, 0)),
            _xlfn.TEXTBEFORE(J1410,"-"),
            "Other"
        )
    ),
"Add")</f>
        <v>PCB</v>
      </c>
      <c r="B1410" s="10" t="str">
        <f t="shared" si="22"/>
        <v>0071</v>
      </c>
      <c r="C1410" s="10" t="str">
        <f>_xlfn.LET(
    _xlpm.val, IF(Datadetails[[#This Row],[Activity]]="D02","C20",Datadetails[[#This Row],[Activity]]),
    IF(ISNUMBER(MATCH(_xlpm.val,{"D04","C30","c40","C20"},0)), _xlpm.val, "Other")
)</f>
        <v>C30</v>
      </c>
      <c r="D1410" s="10" t="str">
        <f>IFERROR(VLOOKUP(Datadetails[[#This Row],[Taskcode]],Dashboard!A:A,1,FALSE),"00 Err Missing")</f>
        <v>0071</v>
      </c>
      <c r="E1410" s="79">
        <v>45847</v>
      </c>
      <c r="F1410" s="80" t="s">
        <v>329</v>
      </c>
      <c r="G1410" s="60" t="s">
        <v>40</v>
      </c>
      <c r="H1410" s="80" t="s">
        <v>238</v>
      </c>
      <c r="I1410" s="80" t="s">
        <v>34</v>
      </c>
      <c r="J1410" s="80" t="s">
        <v>374</v>
      </c>
      <c r="K1410" s="80" t="s">
        <v>347</v>
      </c>
      <c r="L1410" s="80" t="s">
        <v>343</v>
      </c>
      <c r="M1410" s="81">
        <v>0.17</v>
      </c>
      <c r="N1410" s="82">
        <v>12.750000000000002</v>
      </c>
    </row>
    <row r="1411" spans="1:14" x14ac:dyDescent="0.25">
      <c r="A1411" s="10" t="str">
        <f>_xlfn.IFNA(
    IF(J1411=
        "PCB-0001",
        "CSS",
        IF(
            ISNUMBER(MATCH(_xlfn.TEXTBEFORE(J1411,"-"), {"CSS","CSN","PCB","PCF","BEC","CSD","PCM"}, 0)),
            _xlfn.TEXTBEFORE(J1411,"-"),
            "Other"
        )
    ),
"Add")</f>
        <v>PCB</v>
      </c>
      <c r="B1411" s="10" t="str">
        <f t="shared" si="22"/>
        <v>0104</v>
      </c>
      <c r="C1411" s="10" t="str">
        <f>_xlfn.LET(
    _xlpm.val, IF(Datadetails[[#This Row],[Activity]]="D02","C20",Datadetails[[#This Row],[Activity]]),
    IF(ISNUMBER(MATCH(_xlpm.val,{"D04","C30","c40","C20"},0)), _xlpm.val, "Other")
)</f>
        <v>C30</v>
      </c>
      <c r="D1411" s="10" t="str">
        <f>IFERROR(VLOOKUP(Datadetails[[#This Row],[Taskcode]],Dashboard!A:A,1,FALSE),"00 Err Missing")</f>
        <v>0104</v>
      </c>
      <c r="E1411" s="79">
        <v>45847</v>
      </c>
      <c r="F1411" s="80" t="s">
        <v>325</v>
      </c>
      <c r="G1411" s="60" t="s">
        <v>40</v>
      </c>
      <c r="H1411" s="80" t="s">
        <v>271</v>
      </c>
      <c r="I1411" s="80" t="s">
        <v>34</v>
      </c>
      <c r="J1411" s="80" t="s">
        <v>363</v>
      </c>
      <c r="K1411" s="80" t="s">
        <v>347</v>
      </c>
      <c r="L1411" s="80" t="s">
        <v>343</v>
      </c>
      <c r="M1411" s="81">
        <v>0.33</v>
      </c>
      <c r="N1411" s="82">
        <v>24.75</v>
      </c>
    </row>
    <row r="1412" spans="1:14" x14ac:dyDescent="0.25">
      <c r="A1412" s="10" t="str">
        <f>_xlfn.IFNA(
    IF(J1412=
        "PCB-0001",
        "CSS",
        IF(
            ISNUMBER(MATCH(_xlfn.TEXTBEFORE(J1412,"-"), {"CSS","CSN","PCB","PCF","BEC","CSD","PCM"}, 0)),
            _xlfn.TEXTBEFORE(J1412,"-"),
            "Other"
        )
    ),
"Add")</f>
        <v>PCB</v>
      </c>
      <c r="B1412" s="10" t="str">
        <f t="shared" ref="B1412:B1475" si="23">_xlfn.IFNA(_xlfn.TEXTAFTER(J1412,"-"),"Data to C2")</f>
        <v>0123</v>
      </c>
      <c r="C1412" s="10" t="str">
        <f>_xlfn.LET(
    _xlpm.val, IF(Datadetails[[#This Row],[Activity]]="D02","C20",Datadetails[[#This Row],[Activity]]),
    IF(ISNUMBER(MATCH(_xlpm.val,{"D04","C30","c40","C20"},0)), _xlpm.val, "Other")
)</f>
        <v>C30</v>
      </c>
      <c r="D1412" s="10" t="str">
        <f>IFERROR(VLOOKUP(Datadetails[[#This Row],[Taskcode]],Dashboard!A:A,1,FALSE),"00 Err Missing")</f>
        <v>0123</v>
      </c>
      <c r="E1412" s="79">
        <v>45847</v>
      </c>
      <c r="F1412" s="80" t="s">
        <v>325</v>
      </c>
      <c r="G1412" s="60" t="s">
        <v>40</v>
      </c>
      <c r="H1412" s="80" t="s">
        <v>290</v>
      </c>
      <c r="I1412" s="80" t="s">
        <v>34</v>
      </c>
      <c r="J1412" s="80" t="s">
        <v>428</v>
      </c>
      <c r="K1412" s="80" t="s">
        <v>347</v>
      </c>
      <c r="L1412" s="80" t="s">
        <v>343</v>
      </c>
      <c r="M1412" s="81">
        <v>0.17</v>
      </c>
      <c r="N1412" s="82">
        <v>12.750000000000002</v>
      </c>
    </row>
    <row r="1413" spans="1:14" x14ac:dyDescent="0.25">
      <c r="A1413" s="10" t="str">
        <f>_xlfn.IFNA(
    IF(J1413=
        "PCB-0001",
        "CSS",
        IF(
            ISNUMBER(MATCH(_xlfn.TEXTBEFORE(J1413,"-"), {"CSS","CSN","PCB","PCF","BEC","CSD","PCM"}, 0)),
            _xlfn.TEXTBEFORE(J1413,"-"),
            "Other"
        )
    ),
"Add")</f>
        <v>PCB</v>
      </c>
      <c r="B1413" s="10" t="str">
        <f t="shared" si="23"/>
        <v>0120</v>
      </c>
      <c r="C1413" s="10" t="str">
        <f>_xlfn.LET(
    _xlpm.val, IF(Datadetails[[#This Row],[Activity]]="D02","C20",Datadetails[[#This Row],[Activity]]),
    IF(ISNUMBER(MATCH(_xlpm.val,{"D04","C30","c40","C20"},0)), _xlpm.val, "Other")
)</f>
        <v>C30</v>
      </c>
      <c r="D1413" s="10" t="str">
        <f>IFERROR(VLOOKUP(Datadetails[[#This Row],[Taskcode]],Dashboard!A:A,1,FALSE),"00 Err Missing")</f>
        <v>0120</v>
      </c>
      <c r="E1413" s="79">
        <v>45847</v>
      </c>
      <c r="F1413" s="80" t="s">
        <v>325</v>
      </c>
      <c r="G1413" s="60" t="s">
        <v>40</v>
      </c>
      <c r="H1413" s="80" t="s">
        <v>287</v>
      </c>
      <c r="I1413" s="80" t="s">
        <v>34</v>
      </c>
      <c r="J1413" s="80" t="s">
        <v>378</v>
      </c>
      <c r="K1413" s="80" t="s">
        <v>347</v>
      </c>
      <c r="L1413" s="80" t="s">
        <v>343</v>
      </c>
      <c r="M1413" s="81">
        <v>0.25</v>
      </c>
      <c r="N1413" s="82">
        <v>18.75</v>
      </c>
    </row>
    <row r="1414" spans="1:14" x14ac:dyDescent="0.25">
      <c r="A1414" s="10" t="str">
        <f>_xlfn.IFNA(
    IF(J1414=
        "PCB-0001",
        "CSS",
        IF(
            ISNUMBER(MATCH(_xlfn.TEXTBEFORE(J1414,"-"), {"CSS","CSN","PCB","PCF","BEC","CSD","PCM"}, 0)),
            _xlfn.TEXTBEFORE(J1414,"-"),
            "Other"
        )
    ),
"Add")</f>
        <v>PCB</v>
      </c>
      <c r="B1414" s="10" t="str">
        <f t="shared" si="23"/>
        <v>0128</v>
      </c>
      <c r="C1414" s="10" t="str">
        <f>_xlfn.LET(
    _xlpm.val, IF(Datadetails[[#This Row],[Activity]]="D02","C20",Datadetails[[#This Row],[Activity]]),
    IF(ISNUMBER(MATCH(_xlpm.val,{"D04","C30","c40","C20"},0)), _xlpm.val, "Other")
)</f>
        <v>C30</v>
      </c>
      <c r="D1414" s="10" t="str">
        <f>IFERROR(VLOOKUP(Datadetails[[#This Row],[Taskcode]],Dashboard!A:A,1,FALSE),"00 Err Missing")</f>
        <v>0128</v>
      </c>
      <c r="E1414" s="79">
        <v>45847</v>
      </c>
      <c r="F1414" s="80" t="s">
        <v>329</v>
      </c>
      <c r="G1414" s="60" t="s">
        <v>40</v>
      </c>
      <c r="H1414" s="80" t="s">
        <v>295</v>
      </c>
      <c r="I1414" s="80" t="s">
        <v>34</v>
      </c>
      <c r="J1414" s="80" t="s">
        <v>379</v>
      </c>
      <c r="K1414" s="80" t="s">
        <v>347</v>
      </c>
      <c r="L1414" s="80" t="s">
        <v>343</v>
      </c>
      <c r="M1414" s="81">
        <v>0.17</v>
      </c>
      <c r="N1414" s="82">
        <v>12.750000000000002</v>
      </c>
    </row>
    <row r="1415" spans="1:14" x14ac:dyDescent="0.25">
      <c r="A1415" s="10" t="str">
        <f>_xlfn.IFNA(
    IF(J1415=
        "PCB-0001",
        "CSS",
        IF(
            ISNUMBER(MATCH(_xlfn.TEXTBEFORE(J1415,"-"), {"CSS","CSN","PCB","PCF","BEC","CSD","PCM"}, 0)),
            _xlfn.TEXTBEFORE(J1415,"-"),
            "Other"
        )
    ),
"Add")</f>
        <v>PCB</v>
      </c>
      <c r="B1415" s="10" t="str">
        <f t="shared" si="23"/>
        <v>0138</v>
      </c>
      <c r="C1415" s="10" t="str">
        <f>_xlfn.LET(
    _xlpm.val, IF(Datadetails[[#This Row],[Activity]]="D02","C20",Datadetails[[#This Row],[Activity]]),
    IF(ISNUMBER(MATCH(_xlpm.val,{"D04","C30","c40","C20"},0)), _xlpm.val, "Other")
)</f>
        <v>C30</v>
      </c>
      <c r="D1415" s="10" t="str">
        <f>IFERROR(VLOOKUP(Datadetails[[#This Row],[Taskcode]],Dashboard!A:A,1,FALSE),"00 Err Missing")</f>
        <v>0138</v>
      </c>
      <c r="E1415" s="79">
        <v>45847</v>
      </c>
      <c r="F1415" s="80" t="s">
        <v>325</v>
      </c>
      <c r="G1415" s="60" t="s">
        <v>40</v>
      </c>
      <c r="H1415" s="80" t="s">
        <v>305</v>
      </c>
      <c r="I1415" s="80" t="s">
        <v>34</v>
      </c>
      <c r="J1415" s="80" t="s">
        <v>382</v>
      </c>
      <c r="K1415" s="80" t="s">
        <v>347</v>
      </c>
      <c r="L1415" s="80" t="s">
        <v>343</v>
      </c>
      <c r="M1415" s="81">
        <v>0.33</v>
      </c>
      <c r="N1415" s="82">
        <v>24.75</v>
      </c>
    </row>
    <row r="1416" spans="1:14" x14ac:dyDescent="0.25">
      <c r="A1416" s="10" t="str">
        <f>_xlfn.IFNA(
    IF(J1416=
        "PCB-0001",
        "CSS",
        IF(
            ISNUMBER(MATCH(_xlfn.TEXTBEFORE(J1416,"-"), {"CSS","CSN","PCB","PCF","BEC","CSD","PCM"}, 0)),
            _xlfn.TEXTBEFORE(J1416,"-"),
            "Other"
        )
    ),
"Add")</f>
        <v>PCB</v>
      </c>
      <c r="B1416" s="10" t="str">
        <f t="shared" si="23"/>
        <v>0132</v>
      </c>
      <c r="C1416" s="10" t="str">
        <f>_xlfn.LET(
    _xlpm.val, IF(Datadetails[[#This Row],[Activity]]="D02","C20",Datadetails[[#This Row],[Activity]]),
    IF(ISNUMBER(MATCH(_xlpm.val,{"D04","C30","c40","C20"},0)), _xlpm.val, "Other")
)</f>
        <v>C20</v>
      </c>
      <c r="D1416" s="10" t="str">
        <f>IFERROR(VLOOKUP(Datadetails[[#This Row],[Taskcode]],Dashboard!A:A,1,FALSE),"00 Err Missing")</f>
        <v>0132</v>
      </c>
      <c r="E1416" s="79">
        <v>45847</v>
      </c>
      <c r="F1416" s="80" t="s">
        <v>329</v>
      </c>
      <c r="G1416" s="60" t="s">
        <v>40</v>
      </c>
      <c r="H1416" s="80" t="s">
        <v>299</v>
      </c>
      <c r="I1416" s="80" t="s">
        <v>312</v>
      </c>
      <c r="J1416" s="80" t="s">
        <v>455</v>
      </c>
      <c r="K1416" s="80" t="s">
        <v>347</v>
      </c>
      <c r="L1416" s="80" t="s">
        <v>350</v>
      </c>
      <c r="M1416" s="81">
        <v>2.33</v>
      </c>
      <c r="N1416" s="82">
        <v>174.75</v>
      </c>
    </row>
    <row r="1417" spans="1:14" x14ac:dyDescent="0.25">
      <c r="A1417" s="10" t="str">
        <f>_xlfn.IFNA(
    IF(J1417=
        "PCB-0001",
        "CSS",
        IF(
            ISNUMBER(MATCH(_xlfn.TEXTBEFORE(J1417,"-"), {"CSS","CSN","PCB","PCF","BEC","CSD","PCM"}, 0)),
            _xlfn.TEXTBEFORE(J1417,"-"),
            "Other"
        )
    ),
"Add")</f>
        <v>PCF</v>
      </c>
      <c r="B1417" s="10" t="str">
        <f t="shared" si="23"/>
        <v>0021</v>
      </c>
      <c r="C1417" s="10" t="str">
        <f>_xlfn.LET(
    _xlpm.val, IF(Datadetails[[#This Row],[Activity]]="D02","C20",Datadetails[[#This Row],[Activity]]),
    IF(ISNUMBER(MATCH(_xlpm.val,{"D04","C30","c40","C20"},0)), _xlpm.val, "Other")
)</f>
        <v>C20</v>
      </c>
      <c r="D1417" s="10" t="str">
        <f>IFERROR(VLOOKUP(Datadetails[[#This Row],[Taskcode]],Dashboard!A:A,1,FALSE),"00 Err Missing")</f>
        <v>0021</v>
      </c>
      <c r="E1417" s="79">
        <v>45847</v>
      </c>
      <c r="F1417" s="80" t="s">
        <v>326</v>
      </c>
      <c r="G1417" s="60" t="s">
        <v>40</v>
      </c>
      <c r="H1417" s="80" t="s">
        <v>188</v>
      </c>
      <c r="I1417" s="80" t="s">
        <v>36</v>
      </c>
      <c r="J1417" s="80" t="s">
        <v>356</v>
      </c>
      <c r="K1417" s="80" t="s">
        <v>348</v>
      </c>
      <c r="L1417" s="80" t="s">
        <v>342</v>
      </c>
      <c r="M1417" s="81">
        <v>1</v>
      </c>
      <c r="N1417" s="82">
        <v>60</v>
      </c>
    </row>
    <row r="1418" spans="1:14" x14ac:dyDescent="0.25">
      <c r="A1418" s="10" t="str">
        <f>_xlfn.IFNA(
    IF(J1418=
        "PCB-0001",
        "CSS",
        IF(
            ISNUMBER(MATCH(_xlfn.TEXTBEFORE(J1418,"-"), {"CSS","CSN","PCB","PCF","BEC","CSD","PCM"}, 0)),
            _xlfn.TEXTBEFORE(J1418,"-"),
            "Other"
        )
    ),
"Add")</f>
        <v>PCF</v>
      </c>
      <c r="B1418" s="10" t="str">
        <f t="shared" si="23"/>
        <v>0060</v>
      </c>
      <c r="C1418" s="10" t="str">
        <f>_xlfn.LET(
    _xlpm.val, IF(Datadetails[[#This Row],[Activity]]="D02","C20",Datadetails[[#This Row],[Activity]]),
    IF(ISNUMBER(MATCH(_xlpm.val,{"D04","C30","c40","C20"},0)), _xlpm.val, "Other")
)</f>
        <v>C20</v>
      </c>
      <c r="D1418" s="10" t="str">
        <f>IFERROR(VLOOKUP(Datadetails[[#This Row],[Taskcode]],Dashboard!A:A,1,FALSE),"00 Err Missing")</f>
        <v>0060</v>
      </c>
      <c r="E1418" s="79">
        <v>45847</v>
      </c>
      <c r="F1418" s="80" t="s">
        <v>326</v>
      </c>
      <c r="G1418" s="60" t="s">
        <v>40</v>
      </c>
      <c r="H1418" s="80" t="s">
        <v>227</v>
      </c>
      <c r="I1418" s="80" t="s">
        <v>36</v>
      </c>
      <c r="J1418" s="80" t="s">
        <v>453</v>
      </c>
      <c r="K1418" s="80" t="s">
        <v>348</v>
      </c>
      <c r="L1418" s="80" t="s">
        <v>342</v>
      </c>
      <c r="M1418" s="81">
        <v>1</v>
      </c>
      <c r="N1418" s="82">
        <v>60</v>
      </c>
    </row>
    <row r="1419" spans="1:14" x14ac:dyDescent="0.25">
      <c r="A1419" s="10" t="str">
        <f>_xlfn.IFNA(
    IF(J1419=
        "PCB-0001",
        "CSS",
        IF(
            ISNUMBER(MATCH(_xlfn.TEXTBEFORE(J1419,"-"), {"CSS","CSN","PCB","PCF","BEC","CSD","PCM"}, 0)),
            _xlfn.TEXTBEFORE(J1419,"-"),
            "Other"
        )
    ),
"Add")</f>
        <v>PCF</v>
      </c>
      <c r="B1419" s="10" t="str">
        <f t="shared" si="23"/>
        <v>0069</v>
      </c>
      <c r="C1419" s="10" t="str">
        <f>_xlfn.LET(
    _xlpm.val, IF(Datadetails[[#This Row],[Activity]]="D02","C20",Datadetails[[#This Row],[Activity]]),
    IF(ISNUMBER(MATCH(_xlpm.val,{"D04","C30","c40","C20"},0)), _xlpm.val, "Other")
)</f>
        <v>C20</v>
      </c>
      <c r="D1419" s="10" t="str">
        <f>IFERROR(VLOOKUP(Datadetails[[#This Row],[Taskcode]],Dashboard!A:A,1,FALSE),"00 Err Missing")</f>
        <v>0069</v>
      </c>
      <c r="E1419" s="79">
        <v>45847</v>
      </c>
      <c r="F1419" s="80" t="s">
        <v>326</v>
      </c>
      <c r="G1419" s="60" t="s">
        <v>40</v>
      </c>
      <c r="H1419" s="80" t="s">
        <v>236</v>
      </c>
      <c r="I1419" s="80" t="s">
        <v>36</v>
      </c>
      <c r="J1419" s="80" t="s">
        <v>357</v>
      </c>
      <c r="K1419" s="80" t="s">
        <v>348</v>
      </c>
      <c r="L1419" s="80" t="s">
        <v>342</v>
      </c>
      <c r="M1419" s="81">
        <v>1</v>
      </c>
      <c r="N1419" s="82">
        <v>60</v>
      </c>
    </row>
    <row r="1420" spans="1:14" x14ac:dyDescent="0.25">
      <c r="A1420" s="10" t="str">
        <f>_xlfn.IFNA(
    IF(J1420=
        "PCB-0001",
        "CSS",
        IF(
            ISNUMBER(MATCH(_xlfn.TEXTBEFORE(J1420,"-"), {"CSS","CSN","PCB","PCF","BEC","CSD","PCM"}, 0)),
            _xlfn.TEXTBEFORE(J1420,"-"),
            "Other"
        )
    ),
"Add")</f>
        <v>BEC</v>
      </c>
      <c r="B1420" s="10" t="str">
        <f t="shared" si="23"/>
        <v>0001</v>
      </c>
      <c r="C1420" s="10" t="str">
        <f>_xlfn.LET(
    _xlpm.val, IF(Datadetails[[#This Row],[Activity]]="D02","C20",Datadetails[[#This Row],[Activity]]),
    IF(ISNUMBER(MATCH(_xlpm.val,{"D04","C30","c40","C20"},0)), _xlpm.val, "Other")
)</f>
        <v>D04</v>
      </c>
      <c r="D1420" s="10" t="str">
        <f>IFERROR(VLOOKUP(Datadetails[[#This Row],[Taskcode]],Dashboard!A:A,1,FALSE),"00 Err Missing")</f>
        <v>0001</v>
      </c>
      <c r="E1420" s="79">
        <v>45847</v>
      </c>
      <c r="F1420" s="80" t="s">
        <v>332</v>
      </c>
      <c r="G1420" s="60" t="s">
        <v>40</v>
      </c>
      <c r="H1420" s="80" t="s">
        <v>314</v>
      </c>
      <c r="I1420" s="80" t="s">
        <v>35</v>
      </c>
      <c r="J1420" s="80" t="s">
        <v>359</v>
      </c>
      <c r="K1420" s="80" t="s">
        <v>339</v>
      </c>
      <c r="L1420" s="80" t="s">
        <v>352</v>
      </c>
      <c r="M1420" s="81">
        <v>8.17</v>
      </c>
      <c r="N1420" s="82">
        <v>326.8</v>
      </c>
    </row>
    <row r="1421" spans="1:14" x14ac:dyDescent="0.25">
      <c r="A1421" s="10" t="str">
        <f>_xlfn.IFNA(
    IF(J1421=
        "PCB-0001",
        "CSS",
        IF(
            ISNUMBER(MATCH(_xlfn.TEXTBEFORE(J1421,"-"), {"CSS","CSN","PCB","PCF","BEC","CSD","PCM"}, 0)),
            _xlfn.TEXTBEFORE(J1421,"-"),
            "Other"
        )
    ),
"Add")</f>
        <v>BEC</v>
      </c>
      <c r="B1421" s="10" t="str">
        <f t="shared" si="23"/>
        <v>0001</v>
      </c>
      <c r="C1421" s="10" t="str">
        <f>_xlfn.LET(
    _xlpm.val, IF(Datadetails[[#This Row],[Activity]]="D02","C20",Datadetails[[#This Row],[Activity]]),
    IF(ISNUMBER(MATCH(_xlpm.val,{"D04","C30","c40","C20"},0)), _xlpm.val, "Other")
)</f>
        <v>D04</v>
      </c>
      <c r="D1421" s="10" t="str">
        <f>IFERROR(VLOOKUP(Datadetails[[#This Row],[Taskcode]],Dashboard!A:A,1,FALSE),"00 Err Missing")</f>
        <v>0001</v>
      </c>
      <c r="E1421" s="79">
        <v>45847</v>
      </c>
      <c r="F1421" s="80" t="s">
        <v>324</v>
      </c>
      <c r="G1421" s="60" t="s">
        <v>40</v>
      </c>
      <c r="H1421" s="80" t="s">
        <v>314</v>
      </c>
      <c r="I1421" s="80" t="s">
        <v>35</v>
      </c>
      <c r="J1421" s="80" t="s">
        <v>359</v>
      </c>
      <c r="K1421" s="80" t="s">
        <v>339</v>
      </c>
      <c r="L1421" s="80" t="s">
        <v>352</v>
      </c>
      <c r="M1421" s="81">
        <v>5.75</v>
      </c>
      <c r="N1421" s="82">
        <v>431.25</v>
      </c>
    </row>
    <row r="1422" spans="1:14" x14ac:dyDescent="0.25">
      <c r="A1422" s="10" t="str">
        <f>_xlfn.IFNA(
    IF(J1422=
        "PCB-0001",
        "CSS",
        IF(
            ISNUMBER(MATCH(_xlfn.TEXTBEFORE(J1422,"-"), {"CSS","CSN","PCB","PCF","BEC","CSD","PCM"}, 0)),
            _xlfn.TEXTBEFORE(J1422,"-"),
            "Other"
        )
    ),
"Add")</f>
        <v>PCB</v>
      </c>
      <c r="B1422" s="10" t="str">
        <f t="shared" si="23"/>
        <v>0104</v>
      </c>
      <c r="C1422" s="10" t="str">
        <f>_xlfn.LET(
    _xlpm.val, IF(Datadetails[[#This Row],[Activity]]="D02","C20",Datadetails[[#This Row],[Activity]]),
    IF(ISNUMBER(MATCH(_xlpm.val,{"D04","C30","c40","C20"},0)), _xlpm.val, "Other")
)</f>
        <v>C40</v>
      </c>
      <c r="D1422" s="10" t="str">
        <f>IFERROR(VLOOKUP(Datadetails[[#This Row],[Taskcode]],Dashboard!A:A,1,FALSE),"00 Err Missing")</f>
        <v>0104</v>
      </c>
      <c r="E1422" s="79">
        <v>45848</v>
      </c>
      <c r="F1422" s="80" t="s">
        <v>325</v>
      </c>
      <c r="G1422" s="60" t="s">
        <v>40</v>
      </c>
      <c r="H1422" s="80" t="s">
        <v>271</v>
      </c>
      <c r="I1422" s="80" t="s">
        <v>341</v>
      </c>
      <c r="J1422" s="80" t="s">
        <v>363</v>
      </c>
      <c r="K1422" s="80" t="s">
        <v>347</v>
      </c>
      <c r="L1422" s="80" t="s">
        <v>344</v>
      </c>
      <c r="M1422" s="81">
        <v>0.92</v>
      </c>
      <c r="N1422" s="82">
        <v>69</v>
      </c>
    </row>
    <row r="1423" spans="1:14" x14ac:dyDescent="0.25">
      <c r="A1423" s="10" t="str">
        <f>_xlfn.IFNA(
    IF(J1423=
        "PCB-0001",
        "CSS",
        IF(
            ISNUMBER(MATCH(_xlfn.TEXTBEFORE(J1423,"-"), {"CSS","CSN","PCB","PCF","BEC","CSD","PCM"}, 0)),
            _xlfn.TEXTBEFORE(J1423,"-"),
            "Other"
        )
    ),
"Add")</f>
        <v>PCB</v>
      </c>
      <c r="B1423" s="10" t="str">
        <f t="shared" si="23"/>
        <v>0062</v>
      </c>
      <c r="C1423" s="10" t="str">
        <f>_xlfn.LET(
    _xlpm.val, IF(Datadetails[[#This Row],[Activity]]="D02","C20",Datadetails[[#This Row],[Activity]]),
    IF(ISNUMBER(MATCH(_xlpm.val,{"D04","C30","c40","C20"},0)), _xlpm.val, "Other")
)</f>
        <v>C40</v>
      </c>
      <c r="D1423" s="10" t="str">
        <f>IFERROR(VLOOKUP(Datadetails[[#This Row],[Taskcode]],Dashboard!A:A,1,FALSE),"00 Err Missing")</f>
        <v>0062</v>
      </c>
      <c r="E1423" s="79">
        <v>45848</v>
      </c>
      <c r="F1423" s="80" t="s">
        <v>329</v>
      </c>
      <c r="G1423" s="60" t="s">
        <v>40</v>
      </c>
      <c r="H1423" s="80" t="s">
        <v>229</v>
      </c>
      <c r="I1423" s="80" t="s">
        <v>341</v>
      </c>
      <c r="J1423" s="80" t="s">
        <v>373</v>
      </c>
      <c r="K1423" s="80" t="s">
        <v>347</v>
      </c>
      <c r="L1423" s="80" t="s">
        <v>344</v>
      </c>
      <c r="M1423" s="81">
        <v>2</v>
      </c>
      <c r="N1423" s="82">
        <v>150</v>
      </c>
    </row>
    <row r="1424" spans="1:14" x14ac:dyDescent="0.25">
      <c r="A1424" s="10" t="str">
        <f>_xlfn.IFNA(
    IF(J1424=
        "PCB-0001",
        "CSS",
        IF(
            ISNUMBER(MATCH(_xlfn.TEXTBEFORE(J1424,"-"), {"CSS","CSN","PCB","PCF","BEC","CSD","PCM"}, 0)),
            _xlfn.TEXTBEFORE(J1424,"-"),
            "Other"
        )
    ),
"Add")</f>
        <v>PCB</v>
      </c>
      <c r="B1424" s="10" t="str">
        <f t="shared" si="23"/>
        <v>0136</v>
      </c>
      <c r="C1424" s="10" t="str">
        <f>_xlfn.LET(
    _xlpm.val, IF(Datadetails[[#This Row],[Activity]]="D02","C20",Datadetails[[#This Row],[Activity]]),
    IF(ISNUMBER(MATCH(_xlpm.val,{"D04","C30","c40","C20"},0)), _xlpm.val, "Other")
)</f>
        <v>C40</v>
      </c>
      <c r="D1424" s="10" t="str">
        <f>IFERROR(VLOOKUP(Datadetails[[#This Row],[Taskcode]],Dashboard!A:A,1,FALSE),"00 Err Missing")</f>
        <v>0136</v>
      </c>
      <c r="E1424" s="79">
        <v>45848</v>
      </c>
      <c r="F1424" s="80" t="s">
        <v>329</v>
      </c>
      <c r="G1424" s="60" t="s">
        <v>40</v>
      </c>
      <c r="H1424" s="80" t="s">
        <v>303</v>
      </c>
      <c r="I1424" s="80" t="s">
        <v>341</v>
      </c>
      <c r="J1424" s="80" t="s">
        <v>400</v>
      </c>
      <c r="K1424" s="80" t="s">
        <v>347</v>
      </c>
      <c r="L1424" s="80" t="s">
        <v>344</v>
      </c>
      <c r="M1424" s="81">
        <v>2</v>
      </c>
      <c r="N1424" s="82">
        <v>150</v>
      </c>
    </row>
    <row r="1425" spans="1:14" x14ac:dyDescent="0.25">
      <c r="A1425" s="10" t="str">
        <f>_xlfn.IFNA(
    IF(J1425=
        "PCB-0001",
        "CSS",
        IF(
            ISNUMBER(MATCH(_xlfn.TEXTBEFORE(J1425,"-"), {"CSS","CSN","PCB","PCF","BEC","CSD","PCM"}, 0)),
            _xlfn.TEXTBEFORE(J1425,"-"),
            "Other"
        )
    ),
"Add")</f>
        <v>PCB</v>
      </c>
      <c r="B1425" s="10" t="str">
        <f t="shared" si="23"/>
        <v>0105</v>
      </c>
      <c r="C1425" s="10" t="str">
        <f>_xlfn.LET(
    _xlpm.val, IF(Datadetails[[#This Row],[Activity]]="D02","C20",Datadetails[[#This Row],[Activity]]),
    IF(ISNUMBER(MATCH(_xlpm.val,{"D04","C30","c40","C20"},0)), _xlpm.val, "Other")
)</f>
        <v>C40</v>
      </c>
      <c r="D1425" s="10" t="str">
        <f>IFERROR(VLOOKUP(Datadetails[[#This Row],[Taskcode]],Dashboard!A:A,1,FALSE),"00 Err Missing")</f>
        <v>0105</v>
      </c>
      <c r="E1425" s="79">
        <v>45848</v>
      </c>
      <c r="F1425" s="80" t="s">
        <v>329</v>
      </c>
      <c r="G1425" s="60" t="s">
        <v>40</v>
      </c>
      <c r="H1425" s="80" t="s">
        <v>272</v>
      </c>
      <c r="I1425" s="80" t="s">
        <v>341</v>
      </c>
      <c r="J1425" s="80" t="s">
        <v>362</v>
      </c>
      <c r="K1425" s="80" t="s">
        <v>347</v>
      </c>
      <c r="L1425" s="80" t="s">
        <v>344</v>
      </c>
      <c r="M1425" s="81">
        <v>2</v>
      </c>
      <c r="N1425" s="82">
        <v>150</v>
      </c>
    </row>
    <row r="1426" spans="1:14" x14ac:dyDescent="0.25">
      <c r="A1426" s="10" t="str">
        <f>_xlfn.IFNA(
    IF(J1426=
        "PCB-0001",
        "CSS",
        IF(
            ISNUMBER(MATCH(_xlfn.TEXTBEFORE(J1426,"-"), {"CSS","CSN","PCB","PCF","BEC","CSD","PCM"}, 0)),
            _xlfn.TEXTBEFORE(J1426,"-"),
            "Other"
        )
    ),
"Add")</f>
        <v>PCM</v>
      </c>
      <c r="B1426" s="10" t="str">
        <f t="shared" si="23"/>
        <v>0033</v>
      </c>
      <c r="C1426" s="10" t="str">
        <f>_xlfn.LET(
    _xlpm.val, IF(Datadetails[[#This Row],[Activity]]="D02","C20",Datadetails[[#This Row],[Activity]]),
    IF(ISNUMBER(MATCH(_xlpm.val,{"D04","C30","c40","C20"},0)), _xlpm.val, "Other")
)</f>
        <v>C20</v>
      </c>
      <c r="D1426" s="10" t="str">
        <f>IFERROR(VLOOKUP(Datadetails[[#This Row],[Taskcode]],Dashboard!A:A,1,FALSE),"00 Err Missing")</f>
        <v>0033</v>
      </c>
      <c r="E1426" s="79">
        <v>45848</v>
      </c>
      <c r="F1426" s="80" t="s">
        <v>323</v>
      </c>
      <c r="G1426" s="60" t="s">
        <v>40</v>
      </c>
      <c r="H1426" s="80" t="s">
        <v>200</v>
      </c>
      <c r="I1426" s="80" t="s">
        <v>36</v>
      </c>
      <c r="J1426" s="80" t="s">
        <v>391</v>
      </c>
      <c r="K1426" s="80" t="s">
        <v>346</v>
      </c>
      <c r="L1426" s="80" t="s">
        <v>342</v>
      </c>
      <c r="M1426" s="81">
        <v>0.33</v>
      </c>
      <c r="N1426" s="82">
        <v>19.8</v>
      </c>
    </row>
    <row r="1427" spans="1:14" x14ac:dyDescent="0.25">
      <c r="A1427" s="10" t="str">
        <f>_xlfn.IFNA(
    IF(J1427=
        "PCB-0001",
        "CSS",
        IF(
            ISNUMBER(MATCH(_xlfn.TEXTBEFORE(J1427,"-"), {"CSS","CSN","PCB","PCF","BEC","CSD","PCM"}, 0)),
            _xlfn.TEXTBEFORE(J1427,"-"),
            "Other"
        )
    ),
"Add")</f>
        <v>PCM</v>
      </c>
      <c r="B1427" s="10" t="str">
        <f t="shared" si="23"/>
        <v>0041</v>
      </c>
      <c r="C1427" s="10" t="str">
        <f>_xlfn.LET(
    _xlpm.val, IF(Datadetails[[#This Row],[Activity]]="D02","C20",Datadetails[[#This Row],[Activity]]),
    IF(ISNUMBER(MATCH(_xlpm.val,{"D04","C30","c40","C20"},0)), _xlpm.val, "Other")
)</f>
        <v>C20</v>
      </c>
      <c r="D1427" s="10" t="str">
        <f>IFERROR(VLOOKUP(Datadetails[[#This Row],[Taskcode]],Dashboard!A:A,1,FALSE),"00 Err Missing")</f>
        <v>0041</v>
      </c>
      <c r="E1427" s="79">
        <v>45848</v>
      </c>
      <c r="F1427" s="80" t="s">
        <v>323</v>
      </c>
      <c r="G1427" s="60" t="s">
        <v>40</v>
      </c>
      <c r="H1427" s="80" t="s">
        <v>208</v>
      </c>
      <c r="I1427" s="80" t="s">
        <v>36</v>
      </c>
      <c r="J1427" s="80" t="s">
        <v>456</v>
      </c>
      <c r="K1427" s="80" t="s">
        <v>346</v>
      </c>
      <c r="L1427" s="80" t="s">
        <v>342</v>
      </c>
      <c r="M1427" s="81">
        <v>0.33</v>
      </c>
      <c r="N1427" s="82">
        <v>19.8</v>
      </c>
    </row>
    <row r="1428" spans="1:14" x14ac:dyDescent="0.25">
      <c r="A1428" s="10" t="str">
        <f>_xlfn.IFNA(
    IF(J1428=
        "PCB-0001",
        "CSS",
        IF(
            ISNUMBER(MATCH(_xlfn.TEXTBEFORE(J1428,"-"), {"CSS","CSN","PCB","PCF","BEC","CSD","PCM"}, 0)),
            _xlfn.TEXTBEFORE(J1428,"-"),
            "Other"
        )
    ),
"Add")</f>
        <v>CSN</v>
      </c>
      <c r="B1428" s="10" t="str">
        <f t="shared" si="23"/>
        <v>0001</v>
      </c>
      <c r="C1428" s="10" t="str">
        <f>_xlfn.LET(
    _xlpm.val, IF(Datadetails[[#This Row],[Activity]]="D02","C20",Datadetails[[#This Row],[Activity]]),
    IF(ISNUMBER(MATCH(_xlpm.val,{"D04","C30","c40","C20"},0)), _xlpm.val, "Other")
)</f>
        <v>D04</v>
      </c>
      <c r="D1428" s="10" t="str">
        <f>IFERROR(VLOOKUP(Datadetails[[#This Row],[Taskcode]],Dashboard!A:A,1,FALSE),"00 Err Missing")</f>
        <v>0001</v>
      </c>
      <c r="E1428" s="79">
        <v>45848</v>
      </c>
      <c r="F1428" s="80" t="s">
        <v>329</v>
      </c>
      <c r="G1428" s="60" t="s">
        <v>40</v>
      </c>
      <c r="H1428" s="80" t="s">
        <v>316</v>
      </c>
      <c r="I1428" s="80" t="s">
        <v>35</v>
      </c>
      <c r="J1428" s="80" t="s">
        <v>338</v>
      </c>
      <c r="K1428" s="80" t="s">
        <v>337</v>
      </c>
      <c r="L1428" s="80" t="s">
        <v>352</v>
      </c>
      <c r="M1428" s="81">
        <v>1.33</v>
      </c>
      <c r="N1428" s="82">
        <v>99.75</v>
      </c>
    </row>
    <row r="1429" spans="1:14" x14ac:dyDescent="0.25">
      <c r="A1429" s="10" t="str">
        <f>_xlfn.IFNA(
    IF(J1429=
        "PCB-0001",
        "CSS",
        IF(
            ISNUMBER(MATCH(_xlfn.TEXTBEFORE(J1429,"-"), {"CSS","CSN","PCB","PCF","BEC","CSD","PCM"}, 0)),
            _xlfn.TEXTBEFORE(J1429,"-"),
            "Other"
        )
    ),
"Add")</f>
        <v>CSD</v>
      </c>
      <c r="B1429" s="10" t="str">
        <f t="shared" si="23"/>
        <v>0001</v>
      </c>
      <c r="C1429" s="10" t="str">
        <f>_xlfn.LET(
    _xlpm.val, IF(Datadetails[[#This Row],[Activity]]="D02","C20",Datadetails[[#This Row],[Activity]]),
    IF(ISNUMBER(MATCH(_xlpm.val,{"D04","C30","c40","C20"},0)), _xlpm.val, "Other")
)</f>
        <v>D04</v>
      </c>
      <c r="D1429" s="10" t="str">
        <f>IFERROR(VLOOKUP(Datadetails[[#This Row],[Taskcode]],Dashboard!A:A,1,FALSE),"00 Err Missing")</f>
        <v>0001</v>
      </c>
      <c r="E1429" s="79">
        <v>45848</v>
      </c>
      <c r="F1429" s="80" t="s">
        <v>327</v>
      </c>
      <c r="G1429" s="60" t="s">
        <v>40</v>
      </c>
      <c r="H1429" s="80" t="s">
        <v>320</v>
      </c>
      <c r="I1429" s="80" t="s">
        <v>35</v>
      </c>
      <c r="J1429" s="80" t="s">
        <v>322</v>
      </c>
      <c r="K1429" s="80" t="s">
        <v>319</v>
      </c>
      <c r="L1429" s="80" t="s">
        <v>352</v>
      </c>
      <c r="M1429" s="81">
        <v>7.25</v>
      </c>
      <c r="N1429" s="82">
        <v>232</v>
      </c>
    </row>
    <row r="1430" spans="1:14" x14ac:dyDescent="0.25">
      <c r="A1430" s="10" t="str">
        <f>_xlfn.IFNA(
    IF(J1430=
        "PCB-0001",
        "CSS",
        IF(
            ISNUMBER(MATCH(_xlfn.TEXTBEFORE(J1430,"-"), {"CSS","CSN","PCB","PCF","BEC","CSD","PCM"}, 0)),
            _xlfn.TEXTBEFORE(J1430,"-"),
            "Other"
        )
    ),
"Add")</f>
        <v>CSD</v>
      </c>
      <c r="B1430" s="10" t="str">
        <f t="shared" si="23"/>
        <v>0001</v>
      </c>
      <c r="C1430" s="10" t="str">
        <f>_xlfn.LET(
    _xlpm.val, IF(Datadetails[[#This Row],[Activity]]="D02","C20",Datadetails[[#This Row],[Activity]]),
    IF(ISNUMBER(MATCH(_xlpm.val,{"D04","C30","c40","C20"},0)), _xlpm.val, "Other")
)</f>
        <v>D04</v>
      </c>
      <c r="D1430" s="10" t="str">
        <f>IFERROR(VLOOKUP(Datadetails[[#This Row],[Taskcode]],Dashboard!A:A,1,FALSE),"00 Err Missing")</f>
        <v>0001</v>
      </c>
      <c r="E1430" s="79">
        <v>45848</v>
      </c>
      <c r="F1430" s="80" t="s">
        <v>333</v>
      </c>
      <c r="G1430" s="60" t="s">
        <v>40</v>
      </c>
      <c r="H1430" s="80" t="s">
        <v>320</v>
      </c>
      <c r="I1430" s="80" t="s">
        <v>35</v>
      </c>
      <c r="J1430" s="80" t="s">
        <v>322</v>
      </c>
      <c r="K1430" s="80" t="s">
        <v>319</v>
      </c>
      <c r="L1430" s="80" t="s">
        <v>352</v>
      </c>
      <c r="M1430" s="81">
        <v>7.77</v>
      </c>
      <c r="N1430" s="82">
        <v>248.64</v>
      </c>
    </row>
    <row r="1431" spans="1:14" x14ac:dyDescent="0.25">
      <c r="A1431" s="10" t="str">
        <f>_xlfn.IFNA(
    IF(J1431=
        "PCB-0001",
        "CSS",
        IF(
            ISNUMBER(MATCH(_xlfn.TEXTBEFORE(J1431,"-"), {"CSS","CSN","PCB","PCF","BEC","CSD","PCM"}, 0)),
            _xlfn.TEXTBEFORE(J1431,"-"),
            "Other"
        )
    ),
"Add")</f>
        <v>PCB</v>
      </c>
      <c r="B1431" s="10" t="str">
        <f t="shared" si="23"/>
        <v>0028</v>
      </c>
      <c r="C1431" s="10" t="str">
        <f>_xlfn.LET(
    _xlpm.val, IF(Datadetails[[#This Row],[Activity]]="D02","C20",Datadetails[[#This Row],[Activity]]),
    IF(ISNUMBER(MATCH(_xlpm.val,{"D04","C30","c40","C20"},0)), _xlpm.val, "Other")
)</f>
        <v>C30</v>
      </c>
      <c r="D1431" s="10" t="str">
        <f>IFERROR(VLOOKUP(Datadetails[[#This Row],[Taskcode]],Dashboard!A:A,1,FALSE),"00 Err Missing")</f>
        <v>0028</v>
      </c>
      <c r="E1431" s="79">
        <v>45848</v>
      </c>
      <c r="F1431" s="80" t="s">
        <v>330</v>
      </c>
      <c r="G1431" s="60" t="s">
        <v>40</v>
      </c>
      <c r="H1431" s="80" t="s">
        <v>195</v>
      </c>
      <c r="I1431" s="80" t="s">
        <v>34</v>
      </c>
      <c r="J1431" s="80" t="s">
        <v>449</v>
      </c>
      <c r="K1431" s="80" t="s">
        <v>347</v>
      </c>
      <c r="L1431" s="80" t="s">
        <v>343</v>
      </c>
      <c r="M1431" s="81">
        <v>0.33</v>
      </c>
      <c r="N1431" s="82">
        <v>19.8</v>
      </c>
    </row>
    <row r="1432" spans="1:14" x14ac:dyDescent="0.25">
      <c r="A1432" s="10" t="str">
        <f>_xlfn.IFNA(
    IF(J1432=
        "PCB-0001",
        "CSS",
        IF(
            ISNUMBER(MATCH(_xlfn.TEXTBEFORE(J1432,"-"), {"CSS","CSN","PCB","PCF","BEC","CSD","PCM"}, 0)),
            _xlfn.TEXTBEFORE(J1432,"-"),
            "Other"
        )
    ),
"Add")</f>
        <v>PCB</v>
      </c>
      <c r="B1432" s="10" t="str">
        <f t="shared" si="23"/>
        <v>0032</v>
      </c>
      <c r="C1432" s="10" t="str">
        <f>_xlfn.LET(
    _xlpm.val, IF(Datadetails[[#This Row],[Activity]]="D02","C20",Datadetails[[#This Row],[Activity]]),
    IF(ISNUMBER(MATCH(_xlpm.val,{"D04","C30","c40","C20"},0)), _xlpm.val, "Other")
)</f>
        <v>C30</v>
      </c>
      <c r="D1432" s="10" t="str">
        <f>IFERROR(VLOOKUP(Datadetails[[#This Row],[Taskcode]],Dashboard!A:A,1,FALSE),"00 Err Missing")</f>
        <v>0032</v>
      </c>
      <c r="E1432" s="79">
        <v>45848</v>
      </c>
      <c r="F1432" s="80" t="s">
        <v>330</v>
      </c>
      <c r="G1432" s="60" t="s">
        <v>40</v>
      </c>
      <c r="H1432" s="80" t="s">
        <v>199</v>
      </c>
      <c r="I1432" s="80" t="s">
        <v>34</v>
      </c>
      <c r="J1432" s="80" t="s">
        <v>414</v>
      </c>
      <c r="K1432" s="80" t="s">
        <v>347</v>
      </c>
      <c r="L1432" s="80" t="s">
        <v>343</v>
      </c>
      <c r="M1432" s="81">
        <v>0.5</v>
      </c>
      <c r="N1432" s="82">
        <v>30</v>
      </c>
    </row>
    <row r="1433" spans="1:14" x14ac:dyDescent="0.25">
      <c r="A1433" s="10" t="str">
        <f>_xlfn.IFNA(
    IF(J1433=
        "PCB-0001",
        "CSS",
        IF(
            ISNUMBER(MATCH(_xlfn.TEXTBEFORE(J1433,"-"), {"CSS","CSN","PCB","PCF","BEC","CSD","PCM"}, 0)),
            _xlfn.TEXTBEFORE(J1433,"-"),
            "Other"
        )
    ),
"Add")</f>
        <v>PCB</v>
      </c>
      <c r="B1433" s="10" t="str">
        <f t="shared" si="23"/>
        <v>0062</v>
      </c>
      <c r="C1433" s="10" t="str">
        <f>_xlfn.LET(
    _xlpm.val, IF(Datadetails[[#This Row],[Activity]]="D02","C20",Datadetails[[#This Row],[Activity]]),
    IF(ISNUMBER(MATCH(_xlpm.val,{"D04","C30","c40","C20"},0)), _xlpm.val, "Other")
)</f>
        <v>C30</v>
      </c>
      <c r="D1433" s="10" t="str">
        <f>IFERROR(VLOOKUP(Datadetails[[#This Row],[Taskcode]],Dashboard!A:A,1,FALSE),"00 Err Missing")</f>
        <v>0062</v>
      </c>
      <c r="E1433" s="79">
        <v>45848</v>
      </c>
      <c r="F1433" s="80" t="s">
        <v>329</v>
      </c>
      <c r="G1433" s="60" t="s">
        <v>40</v>
      </c>
      <c r="H1433" s="80" t="s">
        <v>229</v>
      </c>
      <c r="I1433" s="80" t="s">
        <v>34</v>
      </c>
      <c r="J1433" s="80" t="s">
        <v>373</v>
      </c>
      <c r="K1433" s="80" t="s">
        <v>347</v>
      </c>
      <c r="L1433" s="80" t="s">
        <v>343</v>
      </c>
      <c r="M1433" s="81">
        <v>0.17</v>
      </c>
      <c r="N1433" s="82">
        <v>12.750000000000002</v>
      </c>
    </row>
    <row r="1434" spans="1:14" x14ac:dyDescent="0.25">
      <c r="A1434" s="10" t="str">
        <f>_xlfn.IFNA(
    IF(J1434=
        "PCB-0001",
        "CSS",
        IF(
            ISNUMBER(MATCH(_xlfn.TEXTBEFORE(J1434,"-"), {"CSS","CSN","PCB","PCF","BEC","CSD","PCM"}, 0)),
            _xlfn.TEXTBEFORE(J1434,"-"),
            "Other"
        )
    ),
"Add")</f>
        <v>PCB</v>
      </c>
      <c r="B1434" s="10" t="str">
        <f t="shared" si="23"/>
        <v>0058</v>
      </c>
      <c r="C1434" s="10" t="str">
        <f>_xlfn.LET(
    _xlpm.val, IF(Datadetails[[#This Row],[Activity]]="D02","C20",Datadetails[[#This Row],[Activity]]),
    IF(ISNUMBER(MATCH(_xlpm.val,{"D04","C30","c40","C20"},0)), _xlpm.val, "Other")
)</f>
        <v>C30</v>
      </c>
      <c r="D1434" s="10" t="str">
        <f>IFERROR(VLOOKUP(Datadetails[[#This Row],[Taskcode]],Dashboard!A:A,1,FALSE),"00 Err Missing")</f>
        <v>0058</v>
      </c>
      <c r="E1434" s="79">
        <v>45848</v>
      </c>
      <c r="F1434" s="80" t="s">
        <v>330</v>
      </c>
      <c r="G1434" s="60" t="s">
        <v>40</v>
      </c>
      <c r="H1434" s="80" t="s">
        <v>225</v>
      </c>
      <c r="I1434" s="80" t="s">
        <v>34</v>
      </c>
      <c r="J1434" s="80" t="s">
        <v>365</v>
      </c>
      <c r="K1434" s="80" t="s">
        <v>347</v>
      </c>
      <c r="L1434" s="80" t="s">
        <v>343</v>
      </c>
      <c r="M1434" s="81">
        <v>0.33</v>
      </c>
      <c r="N1434" s="82">
        <v>19.8</v>
      </c>
    </row>
    <row r="1435" spans="1:14" x14ac:dyDescent="0.25">
      <c r="A1435" s="10" t="str">
        <f>_xlfn.IFNA(
    IF(J1435=
        "PCB-0001",
        "CSS",
        IF(
            ISNUMBER(MATCH(_xlfn.TEXTBEFORE(J1435,"-"), {"CSS","CSN","PCB","PCF","BEC","CSD","PCM"}, 0)),
            _xlfn.TEXTBEFORE(J1435,"-"),
            "Other"
        )
    ),
"Add")</f>
        <v>PCB</v>
      </c>
      <c r="B1435" s="10" t="str">
        <f t="shared" si="23"/>
        <v>0057</v>
      </c>
      <c r="C1435" s="10" t="str">
        <f>_xlfn.LET(
    _xlpm.val, IF(Datadetails[[#This Row],[Activity]]="D02","C20",Datadetails[[#This Row],[Activity]]),
    IF(ISNUMBER(MATCH(_xlpm.val,{"D04","C30","c40","C20"},0)), _xlpm.val, "Other")
)</f>
        <v>C30</v>
      </c>
      <c r="D1435" s="10" t="str">
        <f>IFERROR(VLOOKUP(Datadetails[[#This Row],[Taskcode]],Dashboard!A:A,1,FALSE),"00 Err Missing")</f>
        <v>0057</v>
      </c>
      <c r="E1435" s="79">
        <v>45848</v>
      </c>
      <c r="F1435" s="80" t="s">
        <v>325</v>
      </c>
      <c r="G1435" s="60" t="s">
        <v>40</v>
      </c>
      <c r="H1435" s="80" t="s">
        <v>224</v>
      </c>
      <c r="I1435" s="80" t="s">
        <v>34</v>
      </c>
      <c r="J1435" s="80" t="s">
        <v>423</v>
      </c>
      <c r="K1435" s="80" t="s">
        <v>347</v>
      </c>
      <c r="L1435" s="80" t="s">
        <v>343</v>
      </c>
      <c r="M1435" s="81">
        <v>0.17</v>
      </c>
      <c r="N1435" s="82">
        <v>12.750000000000002</v>
      </c>
    </row>
    <row r="1436" spans="1:14" x14ac:dyDescent="0.25">
      <c r="A1436" s="10" t="str">
        <f>_xlfn.IFNA(
    IF(J1436=
        "PCB-0001",
        "CSS",
        IF(
            ISNUMBER(MATCH(_xlfn.TEXTBEFORE(J1436,"-"), {"CSS","CSN","PCB","PCF","BEC","CSD","PCM"}, 0)),
            _xlfn.TEXTBEFORE(J1436,"-"),
            "Other"
        )
    ),
"Add")</f>
        <v>PCB</v>
      </c>
      <c r="B1436" s="10" t="str">
        <f t="shared" si="23"/>
        <v>0104</v>
      </c>
      <c r="C1436" s="10" t="str">
        <f>_xlfn.LET(
    _xlpm.val, IF(Datadetails[[#This Row],[Activity]]="D02","C20",Datadetails[[#This Row],[Activity]]),
    IF(ISNUMBER(MATCH(_xlpm.val,{"D04","C30","c40","C20"},0)), _xlpm.val, "Other")
)</f>
        <v>C30</v>
      </c>
      <c r="D1436" s="10" t="str">
        <f>IFERROR(VLOOKUP(Datadetails[[#This Row],[Taskcode]],Dashboard!A:A,1,FALSE),"00 Err Missing")</f>
        <v>0104</v>
      </c>
      <c r="E1436" s="79">
        <v>45848</v>
      </c>
      <c r="F1436" s="80" t="s">
        <v>325</v>
      </c>
      <c r="G1436" s="60" t="s">
        <v>40</v>
      </c>
      <c r="H1436" s="80" t="s">
        <v>271</v>
      </c>
      <c r="I1436" s="80" t="s">
        <v>34</v>
      </c>
      <c r="J1436" s="80" t="s">
        <v>363</v>
      </c>
      <c r="K1436" s="80" t="s">
        <v>347</v>
      </c>
      <c r="L1436" s="80" t="s">
        <v>343</v>
      </c>
      <c r="M1436" s="81">
        <v>0.33</v>
      </c>
      <c r="N1436" s="82">
        <v>24.75</v>
      </c>
    </row>
    <row r="1437" spans="1:14" x14ac:dyDescent="0.25">
      <c r="A1437" s="10" t="str">
        <f>_xlfn.IFNA(
    IF(J1437=
        "PCB-0001",
        "CSS",
        IF(
            ISNUMBER(MATCH(_xlfn.TEXTBEFORE(J1437,"-"), {"CSS","CSN","PCB","PCF","BEC","CSD","PCM"}, 0)),
            _xlfn.TEXTBEFORE(J1437,"-"),
            "Other"
        )
    ),
"Add")</f>
        <v>PCB</v>
      </c>
      <c r="B1437" s="10" t="str">
        <f t="shared" si="23"/>
        <v>0087</v>
      </c>
      <c r="C1437" s="10" t="str">
        <f>_xlfn.LET(
    _xlpm.val, IF(Datadetails[[#This Row],[Activity]]="D02","C20",Datadetails[[#This Row],[Activity]]),
    IF(ISNUMBER(MATCH(_xlpm.val,{"D04","C30","c40","C20"},0)), _xlpm.val, "Other")
)</f>
        <v>C30</v>
      </c>
      <c r="D1437" s="10" t="str">
        <f>IFERROR(VLOOKUP(Datadetails[[#This Row],[Taskcode]],Dashboard!A:A,1,FALSE),"00 Err Missing")</f>
        <v>0087</v>
      </c>
      <c r="E1437" s="79">
        <v>45848</v>
      </c>
      <c r="F1437" s="80" t="s">
        <v>325</v>
      </c>
      <c r="G1437" s="60" t="s">
        <v>40</v>
      </c>
      <c r="H1437" s="80" t="s">
        <v>254</v>
      </c>
      <c r="I1437" s="80" t="s">
        <v>34</v>
      </c>
      <c r="J1437" s="80" t="s">
        <v>441</v>
      </c>
      <c r="K1437" s="80" t="s">
        <v>347</v>
      </c>
      <c r="L1437" s="80" t="s">
        <v>343</v>
      </c>
      <c r="M1437" s="81">
        <v>0.17</v>
      </c>
      <c r="N1437" s="82">
        <v>12.750000000000002</v>
      </c>
    </row>
    <row r="1438" spans="1:14" x14ac:dyDescent="0.25">
      <c r="A1438" s="10" t="str">
        <f>_xlfn.IFNA(
    IF(J1438=
        "PCB-0001",
        "CSS",
        IF(
            ISNUMBER(MATCH(_xlfn.TEXTBEFORE(J1438,"-"), {"CSS","CSN","PCB","PCF","BEC","CSD","PCM"}, 0)),
            _xlfn.TEXTBEFORE(J1438,"-"),
            "Other"
        )
    ),
"Add")</f>
        <v>PCB</v>
      </c>
      <c r="B1438" s="10" t="str">
        <f t="shared" si="23"/>
        <v>0097</v>
      </c>
      <c r="C1438" s="10" t="str">
        <f>_xlfn.LET(
    _xlpm.val, IF(Datadetails[[#This Row],[Activity]]="D02","C20",Datadetails[[#This Row],[Activity]]),
    IF(ISNUMBER(MATCH(_xlpm.val,{"D04","C30","c40","C20"},0)), _xlpm.val, "Other")
)</f>
        <v>C30</v>
      </c>
      <c r="D1438" s="10" t="str">
        <f>IFERROR(VLOOKUP(Datadetails[[#This Row],[Taskcode]],Dashboard!A:A,1,FALSE),"00 Err Missing")</f>
        <v>0097</v>
      </c>
      <c r="E1438" s="79">
        <v>45848</v>
      </c>
      <c r="F1438" s="80" t="s">
        <v>325</v>
      </c>
      <c r="G1438" s="60" t="s">
        <v>40</v>
      </c>
      <c r="H1438" s="80" t="s">
        <v>264</v>
      </c>
      <c r="I1438" s="80" t="s">
        <v>34</v>
      </c>
      <c r="J1438" s="80" t="s">
        <v>384</v>
      </c>
      <c r="K1438" s="80" t="s">
        <v>347</v>
      </c>
      <c r="L1438" s="80" t="s">
        <v>343</v>
      </c>
      <c r="M1438" s="81">
        <v>0.25</v>
      </c>
      <c r="N1438" s="82">
        <v>18.75</v>
      </c>
    </row>
    <row r="1439" spans="1:14" x14ac:dyDescent="0.25">
      <c r="A1439" s="10" t="str">
        <f>_xlfn.IFNA(
    IF(J1439=
        "PCB-0001",
        "CSS",
        IF(
            ISNUMBER(MATCH(_xlfn.TEXTBEFORE(J1439,"-"), {"CSS","CSN","PCB","PCF","BEC","CSD","PCM"}, 0)),
            _xlfn.TEXTBEFORE(J1439,"-"),
            "Other"
        )
    ),
"Add")</f>
        <v>PCB</v>
      </c>
      <c r="B1439" s="10" t="str">
        <f t="shared" si="23"/>
        <v>0082</v>
      </c>
      <c r="C1439" s="10" t="str">
        <f>_xlfn.LET(
    _xlpm.val, IF(Datadetails[[#This Row],[Activity]]="D02","C20",Datadetails[[#This Row],[Activity]]),
    IF(ISNUMBER(MATCH(_xlpm.val,{"D04","C30","c40","C20"},0)), _xlpm.val, "Other")
)</f>
        <v>C30</v>
      </c>
      <c r="D1439" s="10" t="str">
        <f>IFERROR(VLOOKUP(Datadetails[[#This Row],[Taskcode]],Dashboard!A:A,1,FALSE),"00 Err Missing")</f>
        <v>0082</v>
      </c>
      <c r="E1439" s="79">
        <v>45848</v>
      </c>
      <c r="F1439" s="80" t="s">
        <v>325</v>
      </c>
      <c r="G1439" s="60" t="s">
        <v>40</v>
      </c>
      <c r="H1439" s="80" t="s">
        <v>249</v>
      </c>
      <c r="I1439" s="80" t="s">
        <v>34</v>
      </c>
      <c r="J1439" s="80" t="s">
        <v>409</v>
      </c>
      <c r="K1439" s="80" t="s">
        <v>347</v>
      </c>
      <c r="L1439" s="80" t="s">
        <v>343</v>
      </c>
      <c r="M1439" s="81">
        <v>0.17</v>
      </c>
      <c r="N1439" s="82">
        <v>12.750000000000002</v>
      </c>
    </row>
    <row r="1440" spans="1:14" x14ac:dyDescent="0.25">
      <c r="A1440" s="10" t="str">
        <f>_xlfn.IFNA(
    IF(J1440=
        "PCB-0001",
        "CSS",
        IF(
            ISNUMBER(MATCH(_xlfn.TEXTBEFORE(J1440,"-"), {"CSS","CSN","PCB","PCF","BEC","CSD","PCM"}, 0)),
            _xlfn.TEXTBEFORE(J1440,"-"),
            "Other"
        )
    ),
"Add")</f>
        <v>PCB</v>
      </c>
      <c r="B1440" s="10" t="str">
        <f t="shared" si="23"/>
        <v>0063</v>
      </c>
      <c r="C1440" s="10" t="str">
        <f>_xlfn.LET(
    _xlpm.val, IF(Datadetails[[#This Row],[Activity]]="D02","C20",Datadetails[[#This Row],[Activity]]),
    IF(ISNUMBER(MATCH(_xlpm.val,{"D04","C30","c40","C20"},0)), _xlpm.val, "Other")
)</f>
        <v>C30</v>
      </c>
      <c r="D1440" s="10" t="str">
        <f>IFERROR(VLOOKUP(Datadetails[[#This Row],[Taskcode]],Dashboard!A:A,1,FALSE),"00 Err Missing")</f>
        <v>0063</v>
      </c>
      <c r="E1440" s="79">
        <v>45848</v>
      </c>
      <c r="F1440" s="80" t="s">
        <v>329</v>
      </c>
      <c r="G1440" s="60" t="s">
        <v>40</v>
      </c>
      <c r="H1440" s="80" t="s">
        <v>230</v>
      </c>
      <c r="I1440" s="80" t="s">
        <v>34</v>
      </c>
      <c r="J1440" s="80" t="s">
        <v>410</v>
      </c>
      <c r="K1440" s="80" t="s">
        <v>347</v>
      </c>
      <c r="L1440" s="80" t="s">
        <v>343</v>
      </c>
      <c r="M1440" s="81">
        <v>0.33</v>
      </c>
      <c r="N1440" s="82">
        <v>24.75</v>
      </c>
    </row>
    <row r="1441" spans="1:14" x14ac:dyDescent="0.25">
      <c r="A1441" s="10" t="str">
        <f>_xlfn.IFNA(
    IF(J1441=
        "PCB-0001",
        "CSS",
        IF(
            ISNUMBER(MATCH(_xlfn.TEXTBEFORE(J1441,"-"), {"CSS","CSN","PCB","PCF","BEC","CSD","PCM"}, 0)),
            _xlfn.TEXTBEFORE(J1441,"-"),
            "Other"
        )
    ),
"Add")</f>
        <v>PCB</v>
      </c>
      <c r="B1441" s="10" t="str">
        <f t="shared" si="23"/>
        <v>0101</v>
      </c>
      <c r="C1441" s="10" t="str">
        <f>_xlfn.LET(
    _xlpm.val, IF(Datadetails[[#This Row],[Activity]]="D02","C20",Datadetails[[#This Row],[Activity]]),
    IF(ISNUMBER(MATCH(_xlpm.val,{"D04","C30","c40","C20"},0)), _xlpm.val, "Other")
)</f>
        <v>C30</v>
      </c>
      <c r="D1441" s="10" t="str">
        <f>IFERROR(VLOOKUP(Datadetails[[#This Row],[Taskcode]],Dashboard!A:A,1,FALSE),"00 Err Missing")</f>
        <v>0101</v>
      </c>
      <c r="E1441" s="79">
        <v>45848</v>
      </c>
      <c r="F1441" s="80" t="s">
        <v>329</v>
      </c>
      <c r="G1441" s="60" t="s">
        <v>40</v>
      </c>
      <c r="H1441" s="80" t="s">
        <v>268</v>
      </c>
      <c r="I1441" s="80" t="s">
        <v>34</v>
      </c>
      <c r="J1441" s="80" t="s">
        <v>386</v>
      </c>
      <c r="K1441" s="80" t="s">
        <v>347</v>
      </c>
      <c r="L1441" s="80" t="s">
        <v>343</v>
      </c>
      <c r="M1441" s="81">
        <v>0.17</v>
      </c>
      <c r="N1441" s="82">
        <v>12.750000000000002</v>
      </c>
    </row>
    <row r="1442" spans="1:14" x14ac:dyDescent="0.25">
      <c r="A1442" s="10" t="str">
        <f>_xlfn.IFNA(
    IF(J1442=
        "PCB-0001",
        "CSS",
        IF(
            ISNUMBER(MATCH(_xlfn.TEXTBEFORE(J1442,"-"), {"CSS","CSN","PCB","PCF","BEC","CSD","PCM"}, 0)),
            _xlfn.TEXTBEFORE(J1442,"-"),
            "Other"
        )
    ),
"Add")</f>
        <v>PCB</v>
      </c>
      <c r="B1442" s="10" t="str">
        <f t="shared" si="23"/>
        <v>0124</v>
      </c>
      <c r="C1442" s="10" t="str">
        <f>_xlfn.LET(
    _xlpm.val, IF(Datadetails[[#This Row],[Activity]]="D02","C20",Datadetails[[#This Row],[Activity]]),
    IF(ISNUMBER(MATCH(_xlpm.val,{"D04","C30","c40","C20"},0)), _xlpm.val, "Other")
)</f>
        <v>C40</v>
      </c>
      <c r="D1442" s="10" t="str">
        <f>IFERROR(VLOOKUP(Datadetails[[#This Row],[Taskcode]],Dashboard!A:A,1,FALSE),"00 Err Missing")</f>
        <v>0124</v>
      </c>
      <c r="E1442" s="79">
        <v>45848</v>
      </c>
      <c r="F1442" s="80" t="s">
        <v>325</v>
      </c>
      <c r="G1442" s="60" t="s">
        <v>40</v>
      </c>
      <c r="H1442" s="80" t="s">
        <v>291</v>
      </c>
      <c r="I1442" s="80" t="s">
        <v>341</v>
      </c>
      <c r="J1442" s="80" t="s">
        <v>412</v>
      </c>
      <c r="K1442" s="80" t="s">
        <v>347</v>
      </c>
      <c r="L1442" s="80" t="s">
        <v>344</v>
      </c>
      <c r="M1442" s="81">
        <v>1.17</v>
      </c>
      <c r="N1442" s="82">
        <v>87.75</v>
      </c>
    </row>
    <row r="1443" spans="1:14" x14ac:dyDescent="0.25">
      <c r="A1443" s="10" t="str">
        <f>_xlfn.IFNA(
    IF(J1443=
        "PCB-0001",
        "CSS",
        IF(
            ISNUMBER(MATCH(_xlfn.TEXTBEFORE(J1443,"-"), {"CSS","CSN","PCB","PCF","BEC","CSD","PCM"}, 0)),
            _xlfn.TEXTBEFORE(J1443,"-"),
            "Other"
        )
    ),
"Add")</f>
        <v>PCF</v>
      </c>
      <c r="B1443" s="10" t="str">
        <f t="shared" si="23"/>
        <v>0060</v>
      </c>
      <c r="C1443" s="10" t="str">
        <f>_xlfn.LET(
    _xlpm.val, IF(Datadetails[[#This Row],[Activity]]="D02","C20",Datadetails[[#This Row],[Activity]]),
    IF(ISNUMBER(MATCH(_xlpm.val,{"D04","C30","c40","C20"},0)), _xlpm.val, "Other")
)</f>
        <v>C20</v>
      </c>
      <c r="D1443" s="10" t="str">
        <f>IFERROR(VLOOKUP(Datadetails[[#This Row],[Taskcode]],Dashboard!A:A,1,FALSE),"00 Err Missing")</f>
        <v>0060</v>
      </c>
      <c r="E1443" s="79">
        <v>45848</v>
      </c>
      <c r="F1443" s="80" t="s">
        <v>326</v>
      </c>
      <c r="G1443" s="60" t="s">
        <v>40</v>
      </c>
      <c r="H1443" s="80" t="s">
        <v>227</v>
      </c>
      <c r="I1443" s="80" t="s">
        <v>36</v>
      </c>
      <c r="J1443" s="80" t="s">
        <v>453</v>
      </c>
      <c r="K1443" s="80" t="s">
        <v>348</v>
      </c>
      <c r="L1443" s="80" t="s">
        <v>342</v>
      </c>
      <c r="M1443" s="81">
        <v>0.57999999999999996</v>
      </c>
      <c r="N1443" s="82">
        <v>34.799999999999997</v>
      </c>
    </row>
    <row r="1444" spans="1:14" x14ac:dyDescent="0.25">
      <c r="A1444" s="10" t="str">
        <f>_xlfn.IFNA(
    IF(J1444=
        "PCB-0001",
        "CSS",
        IF(
            ISNUMBER(MATCH(_xlfn.TEXTBEFORE(J1444,"-"), {"CSS","CSN","PCB","PCF","BEC","CSD","PCM"}, 0)),
            _xlfn.TEXTBEFORE(J1444,"-"),
            "Other"
        )
    ),
"Add")</f>
        <v>PCF</v>
      </c>
      <c r="B1444" s="10" t="str">
        <f t="shared" si="23"/>
        <v>0040</v>
      </c>
      <c r="C1444" s="10" t="str">
        <f>_xlfn.LET(
    _xlpm.val, IF(Datadetails[[#This Row],[Activity]]="D02","C20",Datadetails[[#This Row],[Activity]]),
    IF(ISNUMBER(MATCH(_xlpm.val,{"D04","C30","c40","C20"},0)), _xlpm.val, "Other")
)</f>
        <v>C30</v>
      </c>
      <c r="D1444" s="10" t="str">
        <f>IFERROR(VLOOKUP(Datadetails[[#This Row],[Taskcode]],Dashboard!A:A,1,FALSE),"00 Err Missing")</f>
        <v>0040</v>
      </c>
      <c r="E1444" s="79">
        <v>45848</v>
      </c>
      <c r="F1444" s="80" t="s">
        <v>326</v>
      </c>
      <c r="G1444" s="60" t="s">
        <v>40</v>
      </c>
      <c r="H1444" s="80" t="s">
        <v>207</v>
      </c>
      <c r="I1444" s="80" t="s">
        <v>34</v>
      </c>
      <c r="J1444" s="80" t="s">
        <v>417</v>
      </c>
      <c r="K1444" s="80" t="s">
        <v>348</v>
      </c>
      <c r="L1444" s="80" t="s">
        <v>343</v>
      </c>
      <c r="M1444" s="81">
        <v>1</v>
      </c>
      <c r="N1444" s="82">
        <v>60</v>
      </c>
    </row>
    <row r="1445" spans="1:14" x14ac:dyDescent="0.25">
      <c r="A1445" s="10" t="str">
        <f>_xlfn.IFNA(
    IF(J1445=
        "PCB-0001",
        "CSS",
        IF(
            ISNUMBER(MATCH(_xlfn.TEXTBEFORE(J1445,"-"), {"CSS","CSN","PCB","PCF","BEC","CSD","PCM"}, 0)),
            _xlfn.TEXTBEFORE(J1445,"-"),
            "Other"
        )
    ),
"Add")</f>
        <v>PCF</v>
      </c>
      <c r="B1445" s="10" t="str">
        <f t="shared" si="23"/>
        <v>0098</v>
      </c>
      <c r="C1445" s="10" t="str">
        <f>_xlfn.LET(
    _xlpm.val, IF(Datadetails[[#This Row],[Activity]]="D02","C20",Datadetails[[#This Row],[Activity]]),
    IF(ISNUMBER(MATCH(_xlpm.val,{"D04","C30","c40","C20"},0)), _xlpm.val, "Other")
)</f>
        <v>C30</v>
      </c>
      <c r="D1445" s="10" t="str">
        <f>IFERROR(VLOOKUP(Datadetails[[#This Row],[Taskcode]],Dashboard!A:A,1,FALSE),"00 Err Missing")</f>
        <v>0098</v>
      </c>
      <c r="E1445" s="79">
        <v>45848</v>
      </c>
      <c r="F1445" s="80" t="s">
        <v>326</v>
      </c>
      <c r="G1445" s="60" t="s">
        <v>40</v>
      </c>
      <c r="H1445" s="80" t="s">
        <v>265</v>
      </c>
      <c r="I1445" s="80" t="s">
        <v>34</v>
      </c>
      <c r="J1445" s="80" t="s">
        <v>358</v>
      </c>
      <c r="K1445" s="80" t="s">
        <v>348</v>
      </c>
      <c r="L1445" s="80" t="s">
        <v>343</v>
      </c>
      <c r="M1445" s="81">
        <v>1</v>
      </c>
      <c r="N1445" s="82">
        <v>60</v>
      </c>
    </row>
    <row r="1446" spans="1:14" x14ac:dyDescent="0.25">
      <c r="A1446" s="10" t="str">
        <f>_xlfn.IFNA(
    IF(J1446=
        "PCB-0001",
        "CSS",
        IF(
            ISNUMBER(MATCH(_xlfn.TEXTBEFORE(J1446,"-"), {"CSS","CSN","PCB","PCF","BEC","CSD","PCM"}, 0)),
            _xlfn.TEXTBEFORE(J1446,"-"),
            "Other"
        )
    ),
"Add")</f>
        <v>BEC</v>
      </c>
      <c r="B1446" s="10" t="str">
        <f t="shared" si="23"/>
        <v>0001</v>
      </c>
      <c r="C1446" s="10" t="str">
        <f>_xlfn.LET(
    _xlpm.val, IF(Datadetails[[#This Row],[Activity]]="D02","C20",Datadetails[[#This Row],[Activity]]),
    IF(ISNUMBER(MATCH(_xlpm.val,{"D04","C30","c40","C20"},0)), _xlpm.val, "Other")
)</f>
        <v>D04</v>
      </c>
      <c r="D1446" s="10" t="str">
        <f>IFERROR(VLOOKUP(Datadetails[[#This Row],[Taskcode]],Dashboard!A:A,1,FALSE),"00 Err Missing")</f>
        <v>0001</v>
      </c>
      <c r="E1446" s="79">
        <v>45848</v>
      </c>
      <c r="F1446" s="80" t="s">
        <v>332</v>
      </c>
      <c r="G1446" s="60" t="s">
        <v>40</v>
      </c>
      <c r="H1446" s="80" t="s">
        <v>314</v>
      </c>
      <c r="I1446" s="80" t="s">
        <v>35</v>
      </c>
      <c r="J1446" s="80" t="s">
        <v>359</v>
      </c>
      <c r="K1446" s="80" t="s">
        <v>339</v>
      </c>
      <c r="L1446" s="80" t="s">
        <v>352</v>
      </c>
      <c r="M1446" s="81">
        <v>7.67</v>
      </c>
      <c r="N1446" s="82">
        <v>306.8</v>
      </c>
    </row>
    <row r="1447" spans="1:14" x14ac:dyDescent="0.25">
      <c r="A1447" s="10" t="str">
        <f>_xlfn.IFNA(
    IF(J1447=
        "PCB-0001",
        "CSS",
        IF(
            ISNUMBER(MATCH(_xlfn.TEXTBEFORE(J1447,"-"), {"CSS","CSN","PCB","PCF","BEC","CSD","PCM"}, 0)),
            _xlfn.TEXTBEFORE(J1447,"-"),
            "Other"
        )
    ),
"Add")</f>
        <v>BEC</v>
      </c>
      <c r="B1447" s="10" t="str">
        <f t="shared" si="23"/>
        <v>0001</v>
      </c>
      <c r="C1447" s="10" t="str">
        <f>_xlfn.LET(
    _xlpm.val, IF(Datadetails[[#This Row],[Activity]]="D02","C20",Datadetails[[#This Row],[Activity]]),
    IF(ISNUMBER(MATCH(_xlpm.val,{"D04","C30","c40","C20"},0)), _xlpm.val, "Other")
)</f>
        <v>D04</v>
      </c>
      <c r="D1447" s="10" t="str">
        <f>IFERROR(VLOOKUP(Datadetails[[#This Row],[Taskcode]],Dashboard!A:A,1,FALSE),"00 Err Missing")</f>
        <v>0001</v>
      </c>
      <c r="E1447" s="79">
        <v>45848</v>
      </c>
      <c r="F1447" s="80" t="s">
        <v>324</v>
      </c>
      <c r="G1447" s="60" t="s">
        <v>40</v>
      </c>
      <c r="H1447" s="80" t="s">
        <v>314</v>
      </c>
      <c r="I1447" s="80" t="s">
        <v>35</v>
      </c>
      <c r="J1447" s="80" t="s">
        <v>359</v>
      </c>
      <c r="K1447" s="80" t="s">
        <v>339</v>
      </c>
      <c r="L1447" s="80" t="s">
        <v>352</v>
      </c>
      <c r="M1447" s="81">
        <v>6</v>
      </c>
      <c r="N1447" s="82">
        <v>450</v>
      </c>
    </row>
    <row r="1448" spans="1:14" x14ac:dyDescent="0.25">
      <c r="A1448" s="10" t="str">
        <f>_xlfn.IFNA(
    IF(J1448=
        "PCB-0001",
        "CSS",
        IF(
            ISNUMBER(MATCH(_xlfn.TEXTBEFORE(J1448,"-"), {"CSS","CSN","PCB","PCF","BEC","CSD","PCM"}, 0)),
            _xlfn.TEXTBEFORE(J1448,"-"),
            "Other"
        )
    ),
"Add")</f>
        <v>PCB</v>
      </c>
      <c r="B1448" s="10" t="str">
        <f t="shared" si="23"/>
        <v>0137</v>
      </c>
      <c r="C1448" s="10" t="str">
        <f>_xlfn.LET(
    _xlpm.val, IF(Datadetails[[#This Row],[Activity]]="D02","C20",Datadetails[[#This Row],[Activity]]),
    IF(ISNUMBER(MATCH(_xlpm.val,{"D04","C30","c40","C20"},0)), _xlpm.val, "Other")
)</f>
        <v>C40</v>
      </c>
      <c r="D1448" s="10" t="str">
        <f>IFERROR(VLOOKUP(Datadetails[[#This Row],[Taskcode]],Dashboard!A:A,1,FALSE),"00 Err Missing")</f>
        <v>0137</v>
      </c>
      <c r="E1448" s="79">
        <v>45849</v>
      </c>
      <c r="F1448" s="80" t="s">
        <v>325</v>
      </c>
      <c r="G1448" s="60" t="s">
        <v>40</v>
      </c>
      <c r="H1448" s="80" t="s">
        <v>304</v>
      </c>
      <c r="I1448" s="80" t="s">
        <v>341</v>
      </c>
      <c r="J1448" s="80" t="s">
        <v>372</v>
      </c>
      <c r="K1448" s="80" t="s">
        <v>347</v>
      </c>
      <c r="L1448" s="80" t="s">
        <v>344</v>
      </c>
      <c r="M1448" s="81">
        <v>0.92</v>
      </c>
      <c r="N1448" s="82">
        <v>69</v>
      </c>
    </row>
    <row r="1449" spans="1:14" x14ac:dyDescent="0.25">
      <c r="A1449" s="10" t="str">
        <f>_xlfn.IFNA(
    IF(J1449=
        "PCB-0001",
        "CSS",
        IF(
            ISNUMBER(MATCH(_xlfn.TEXTBEFORE(J1449,"-"), {"CSS","CSN","PCB","PCF","BEC","CSD","PCM"}, 0)),
            _xlfn.TEXTBEFORE(J1449,"-"),
            "Other"
        )
    ),
"Add")</f>
        <v>PCB</v>
      </c>
      <c r="B1449" s="10" t="str">
        <f t="shared" si="23"/>
        <v>0105</v>
      </c>
      <c r="C1449" s="10" t="str">
        <f>_xlfn.LET(
    _xlpm.val, IF(Datadetails[[#This Row],[Activity]]="D02","C20",Datadetails[[#This Row],[Activity]]),
    IF(ISNUMBER(MATCH(_xlpm.val,{"D04","C30","c40","C20"},0)), _xlpm.val, "Other")
)</f>
        <v>C40</v>
      </c>
      <c r="D1449" s="10" t="str">
        <f>IFERROR(VLOOKUP(Datadetails[[#This Row],[Taskcode]],Dashboard!A:A,1,FALSE),"00 Err Missing")</f>
        <v>0105</v>
      </c>
      <c r="E1449" s="79">
        <v>45849</v>
      </c>
      <c r="F1449" s="80" t="s">
        <v>329</v>
      </c>
      <c r="G1449" s="60" t="s">
        <v>40</v>
      </c>
      <c r="H1449" s="80" t="s">
        <v>272</v>
      </c>
      <c r="I1449" s="80" t="s">
        <v>341</v>
      </c>
      <c r="J1449" s="80" t="s">
        <v>362</v>
      </c>
      <c r="K1449" s="80" t="s">
        <v>347</v>
      </c>
      <c r="L1449" s="80" t="s">
        <v>344</v>
      </c>
      <c r="M1449" s="81">
        <v>0.17</v>
      </c>
      <c r="N1449" s="82">
        <v>12.750000000000002</v>
      </c>
    </row>
    <row r="1450" spans="1:14" x14ac:dyDescent="0.25">
      <c r="A1450" s="10" t="str">
        <f>_xlfn.IFNA(
    IF(J1450=
        "PCB-0001",
        "CSS",
        IF(
            ISNUMBER(MATCH(_xlfn.TEXTBEFORE(J1450,"-"), {"CSS","CSN","PCB","PCF","BEC","CSD","PCM"}, 0)),
            _xlfn.TEXTBEFORE(J1450,"-"),
            "Other"
        )
    ),
"Add")</f>
        <v>PCM</v>
      </c>
      <c r="B1450" s="10" t="str">
        <f t="shared" si="23"/>
        <v>0033</v>
      </c>
      <c r="C1450" s="10" t="str">
        <f>_xlfn.LET(
    _xlpm.val, IF(Datadetails[[#This Row],[Activity]]="D02","C20",Datadetails[[#This Row],[Activity]]),
    IF(ISNUMBER(MATCH(_xlpm.val,{"D04","C30","c40","C20"},0)), _xlpm.val, "Other")
)</f>
        <v>C20</v>
      </c>
      <c r="D1450" s="10" t="str">
        <f>IFERROR(VLOOKUP(Datadetails[[#This Row],[Taskcode]],Dashboard!A:A,1,FALSE),"00 Err Missing")</f>
        <v>0033</v>
      </c>
      <c r="E1450" s="79">
        <v>45849</v>
      </c>
      <c r="F1450" s="80" t="s">
        <v>323</v>
      </c>
      <c r="G1450" s="60" t="s">
        <v>40</v>
      </c>
      <c r="H1450" s="80" t="s">
        <v>200</v>
      </c>
      <c r="I1450" s="80" t="s">
        <v>36</v>
      </c>
      <c r="J1450" s="80" t="s">
        <v>391</v>
      </c>
      <c r="K1450" s="80" t="s">
        <v>346</v>
      </c>
      <c r="L1450" s="80" t="s">
        <v>342</v>
      </c>
      <c r="M1450" s="81">
        <v>0.17</v>
      </c>
      <c r="N1450" s="82">
        <v>10.200000000000001</v>
      </c>
    </row>
    <row r="1451" spans="1:14" x14ac:dyDescent="0.25">
      <c r="A1451" s="10" t="str">
        <f>_xlfn.IFNA(
    IF(J1451=
        "PCB-0001",
        "CSS",
        IF(
            ISNUMBER(MATCH(_xlfn.TEXTBEFORE(J1451,"-"), {"CSS","CSN","PCB","PCF","BEC","CSD","PCM"}, 0)),
            _xlfn.TEXTBEFORE(J1451,"-"),
            "Other"
        )
    ),
"Add")</f>
        <v>PCM</v>
      </c>
      <c r="B1451" s="10" t="str">
        <f t="shared" si="23"/>
        <v>0041</v>
      </c>
      <c r="C1451" s="10" t="str">
        <f>_xlfn.LET(
    _xlpm.val, IF(Datadetails[[#This Row],[Activity]]="D02","C20",Datadetails[[#This Row],[Activity]]),
    IF(ISNUMBER(MATCH(_xlpm.val,{"D04","C30","c40","C20"},0)), _xlpm.val, "Other")
)</f>
        <v>C20</v>
      </c>
      <c r="D1451" s="10" t="str">
        <f>IFERROR(VLOOKUP(Datadetails[[#This Row],[Taskcode]],Dashboard!A:A,1,FALSE),"00 Err Missing")</f>
        <v>0041</v>
      </c>
      <c r="E1451" s="79">
        <v>45849</v>
      </c>
      <c r="F1451" s="80" t="s">
        <v>323</v>
      </c>
      <c r="G1451" s="60" t="s">
        <v>40</v>
      </c>
      <c r="H1451" s="80" t="s">
        <v>208</v>
      </c>
      <c r="I1451" s="80" t="s">
        <v>36</v>
      </c>
      <c r="J1451" s="80" t="s">
        <v>456</v>
      </c>
      <c r="K1451" s="80" t="s">
        <v>346</v>
      </c>
      <c r="L1451" s="80" t="s">
        <v>342</v>
      </c>
      <c r="M1451" s="81">
        <v>0.33</v>
      </c>
      <c r="N1451" s="82">
        <v>19.8</v>
      </c>
    </row>
    <row r="1452" spans="1:14" x14ac:dyDescent="0.25">
      <c r="A1452" s="10" t="str">
        <f>_xlfn.IFNA(
    IF(J1452=
        "PCB-0001",
        "CSS",
        IF(
            ISNUMBER(MATCH(_xlfn.TEXTBEFORE(J1452,"-"), {"CSS","CSN","PCB","PCF","BEC","CSD","PCM"}, 0)),
            _xlfn.TEXTBEFORE(J1452,"-"),
            "Other"
        )
    ),
"Add")</f>
        <v>CSN</v>
      </c>
      <c r="B1452" s="10" t="str">
        <f t="shared" si="23"/>
        <v>0001</v>
      </c>
      <c r="C1452" s="10" t="str">
        <f>_xlfn.LET(
    _xlpm.val, IF(Datadetails[[#This Row],[Activity]]="D02","C20",Datadetails[[#This Row],[Activity]]),
    IF(ISNUMBER(MATCH(_xlpm.val,{"D04","C30","c40","C20"},0)), _xlpm.val, "Other")
)</f>
        <v>D04</v>
      </c>
      <c r="D1452" s="10" t="str">
        <f>IFERROR(VLOOKUP(Datadetails[[#This Row],[Taskcode]],Dashboard!A:A,1,FALSE),"00 Err Missing")</f>
        <v>0001</v>
      </c>
      <c r="E1452" s="79">
        <v>45849</v>
      </c>
      <c r="F1452" s="80" t="s">
        <v>329</v>
      </c>
      <c r="G1452" s="60" t="s">
        <v>40</v>
      </c>
      <c r="H1452" s="80" t="s">
        <v>316</v>
      </c>
      <c r="I1452" s="80" t="s">
        <v>35</v>
      </c>
      <c r="J1452" s="80" t="s">
        <v>338</v>
      </c>
      <c r="K1452" s="80" t="s">
        <v>337</v>
      </c>
      <c r="L1452" s="80" t="s">
        <v>352</v>
      </c>
      <c r="M1452" s="81">
        <v>0.75</v>
      </c>
      <c r="N1452" s="82">
        <v>56.25</v>
      </c>
    </row>
    <row r="1453" spans="1:14" x14ac:dyDescent="0.25">
      <c r="A1453" s="10" t="str">
        <f>_xlfn.IFNA(
    IF(J1453=
        "PCB-0001",
        "CSS",
        IF(
            ISNUMBER(MATCH(_xlfn.TEXTBEFORE(J1453,"-"), {"CSS","CSN","PCB","PCF","BEC","CSD","PCM"}, 0)),
            _xlfn.TEXTBEFORE(J1453,"-"),
            "Other"
        )
    ),
"Add")</f>
        <v>CSD</v>
      </c>
      <c r="B1453" s="10" t="str">
        <f t="shared" si="23"/>
        <v>0001</v>
      </c>
      <c r="C1453" s="10" t="str">
        <f>_xlfn.LET(
    _xlpm.val, IF(Datadetails[[#This Row],[Activity]]="D02","C20",Datadetails[[#This Row],[Activity]]),
    IF(ISNUMBER(MATCH(_xlpm.val,{"D04","C30","c40","C20"},0)), _xlpm.val, "Other")
)</f>
        <v>D04</v>
      </c>
      <c r="D1453" s="10" t="str">
        <f>IFERROR(VLOOKUP(Datadetails[[#This Row],[Taskcode]],Dashboard!A:A,1,FALSE),"00 Err Missing")</f>
        <v>0001</v>
      </c>
      <c r="E1453" s="79">
        <v>45849</v>
      </c>
      <c r="F1453" s="80" t="s">
        <v>327</v>
      </c>
      <c r="G1453" s="60" t="s">
        <v>40</v>
      </c>
      <c r="H1453" s="80" t="s">
        <v>320</v>
      </c>
      <c r="I1453" s="80" t="s">
        <v>35</v>
      </c>
      <c r="J1453" s="80" t="s">
        <v>322</v>
      </c>
      <c r="K1453" s="80" t="s">
        <v>319</v>
      </c>
      <c r="L1453" s="80" t="s">
        <v>352</v>
      </c>
      <c r="M1453" s="81">
        <v>4</v>
      </c>
      <c r="N1453" s="82">
        <v>128</v>
      </c>
    </row>
    <row r="1454" spans="1:14" x14ac:dyDescent="0.25">
      <c r="A1454" s="10" t="str">
        <f>_xlfn.IFNA(
    IF(J1454=
        "PCB-0001",
        "CSS",
        IF(
            ISNUMBER(MATCH(_xlfn.TEXTBEFORE(J1454,"-"), {"CSS","CSN","PCB","PCF","BEC","CSD","PCM"}, 0)),
            _xlfn.TEXTBEFORE(J1454,"-"),
            "Other"
        )
    ),
"Add")</f>
        <v>CSD</v>
      </c>
      <c r="B1454" s="10" t="str">
        <f t="shared" si="23"/>
        <v>0001</v>
      </c>
      <c r="C1454" s="10" t="str">
        <f>_xlfn.LET(
    _xlpm.val, IF(Datadetails[[#This Row],[Activity]]="D02","C20",Datadetails[[#This Row],[Activity]]),
    IF(ISNUMBER(MATCH(_xlpm.val,{"D04","C30","c40","C20"},0)), _xlpm.val, "Other")
)</f>
        <v>D04</v>
      </c>
      <c r="D1454" s="10" t="str">
        <f>IFERROR(VLOOKUP(Datadetails[[#This Row],[Taskcode]],Dashboard!A:A,1,FALSE),"00 Err Missing")</f>
        <v>0001</v>
      </c>
      <c r="E1454" s="79">
        <v>45849</v>
      </c>
      <c r="F1454" s="80" t="s">
        <v>333</v>
      </c>
      <c r="G1454" s="60" t="s">
        <v>40</v>
      </c>
      <c r="H1454" s="80" t="s">
        <v>320</v>
      </c>
      <c r="I1454" s="80" t="s">
        <v>35</v>
      </c>
      <c r="J1454" s="80" t="s">
        <v>322</v>
      </c>
      <c r="K1454" s="80" t="s">
        <v>319</v>
      </c>
      <c r="L1454" s="80" t="s">
        <v>352</v>
      </c>
      <c r="M1454" s="81">
        <v>7.12</v>
      </c>
      <c r="N1454" s="82">
        <v>227.84</v>
      </c>
    </row>
    <row r="1455" spans="1:14" x14ac:dyDescent="0.25">
      <c r="A1455" s="10" t="str">
        <f>_xlfn.IFNA(
    IF(J1455=
        "PCB-0001",
        "CSS",
        IF(
            ISNUMBER(MATCH(_xlfn.TEXTBEFORE(J1455,"-"), {"CSS","CSN","PCB","PCF","BEC","CSD","PCM"}, 0)),
            _xlfn.TEXTBEFORE(J1455,"-"),
            "Other"
        )
    ),
"Add")</f>
        <v>PCM</v>
      </c>
      <c r="B1455" s="10" t="str">
        <f t="shared" si="23"/>
        <v>0118</v>
      </c>
      <c r="C1455" s="10" t="str">
        <f>_xlfn.LET(
    _xlpm.val, IF(Datadetails[[#This Row],[Activity]]="D02","C20",Datadetails[[#This Row],[Activity]]),
    IF(ISNUMBER(MATCH(_xlpm.val,{"D04","C30","c40","C20"},0)), _xlpm.val, "Other")
)</f>
        <v>C20</v>
      </c>
      <c r="D1455" s="10" t="str">
        <f>IFERROR(VLOOKUP(Datadetails[[#This Row],[Taskcode]],Dashboard!A:A,1,FALSE),"00 Err Missing")</f>
        <v>0118</v>
      </c>
      <c r="E1455" s="79">
        <v>45849</v>
      </c>
      <c r="F1455" s="80" t="s">
        <v>323</v>
      </c>
      <c r="G1455" s="60" t="s">
        <v>40</v>
      </c>
      <c r="H1455" s="80" t="s">
        <v>285</v>
      </c>
      <c r="I1455" s="80" t="s">
        <v>36</v>
      </c>
      <c r="J1455" s="80" t="s">
        <v>448</v>
      </c>
      <c r="K1455" s="80" t="s">
        <v>346</v>
      </c>
      <c r="L1455" s="80" t="s">
        <v>342</v>
      </c>
      <c r="M1455" s="81">
        <v>0.25</v>
      </c>
      <c r="N1455" s="82">
        <v>15</v>
      </c>
    </row>
    <row r="1456" spans="1:14" x14ac:dyDescent="0.25">
      <c r="A1456" s="10" t="str">
        <f>_xlfn.IFNA(
    IF(J1456=
        "PCB-0001",
        "CSS",
        IF(
            ISNUMBER(MATCH(_xlfn.TEXTBEFORE(J1456,"-"), {"CSS","CSN","PCB","PCF","BEC","CSD","PCM"}, 0)),
            _xlfn.TEXTBEFORE(J1456,"-"),
            "Other"
        )
    ),
"Add")</f>
        <v>PCM</v>
      </c>
      <c r="B1456" s="10" t="str">
        <f t="shared" si="23"/>
        <v>0114</v>
      </c>
      <c r="C1456" s="10" t="str">
        <f>_xlfn.LET(
    _xlpm.val, IF(Datadetails[[#This Row],[Activity]]="D02","C20",Datadetails[[#This Row],[Activity]]),
    IF(ISNUMBER(MATCH(_xlpm.val,{"D04","C30","c40","C20"},0)), _xlpm.val, "Other")
)</f>
        <v>C20</v>
      </c>
      <c r="D1456" s="10" t="str">
        <f>IFERROR(VLOOKUP(Datadetails[[#This Row],[Taskcode]],Dashboard!A:A,1,FALSE),"00 Err Missing")</f>
        <v>0114</v>
      </c>
      <c r="E1456" s="79">
        <v>45849</v>
      </c>
      <c r="F1456" s="80" t="s">
        <v>323</v>
      </c>
      <c r="G1456" s="60" t="s">
        <v>40</v>
      </c>
      <c r="H1456" s="80" t="s">
        <v>281</v>
      </c>
      <c r="I1456" s="80" t="s">
        <v>36</v>
      </c>
      <c r="J1456" s="80" t="s">
        <v>430</v>
      </c>
      <c r="K1456" s="80" t="s">
        <v>346</v>
      </c>
      <c r="L1456" s="80" t="s">
        <v>342</v>
      </c>
      <c r="M1456" s="81">
        <v>0.25</v>
      </c>
      <c r="N1456" s="82">
        <v>15</v>
      </c>
    </row>
    <row r="1457" spans="1:14" x14ac:dyDescent="0.25">
      <c r="A1457" s="10" t="str">
        <f>_xlfn.IFNA(
    IF(J1457=
        "PCB-0001",
        "CSS",
        IF(
            ISNUMBER(MATCH(_xlfn.TEXTBEFORE(J1457,"-"), {"CSS","CSN","PCB","PCF","BEC","CSD","PCM"}, 0)),
            _xlfn.TEXTBEFORE(J1457,"-"),
            "Other"
        )
    ),
"Add")</f>
        <v>PCB</v>
      </c>
      <c r="B1457" s="10" t="str">
        <f t="shared" si="23"/>
        <v>0019</v>
      </c>
      <c r="C1457" s="10" t="str">
        <f>_xlfn.LET(
    _xlpm.val, IF(Datadetails[[#This Row],[Activity]]="D02","C20",Datadetails[[#This Row],[Activity]]),
    IF(ISNUMBER(MATCH(_xlpm.val,{"D04","C30","c40","C20"},0)), _xlpm.val, "Other")
)</f>
        <v>C30</v>
      </c>
      <c r="D1457" s="10" t="str">
        <f>IFERROR(VLOOKUP(Datadetails[[#This Row],[Taskcode]],Dashboard!A:A,1,FALSE),"00 Err Missing")</f>
        <v>0019</v>
      </c>
      <c r="E1457" s="79">
        <v>45849</v>
      </c>
      <c r="F1457" s="80" t="s">
        <v>329</v>
      </c>
      <c r="G1457" s="60" t="s">
        <v>40</v>
      </c>
      <c r="H1457" s="80" t="s">
        <v>186</v>
      </c>
      <c r="I1457" s="80" t="s">
        <v>34</v>
      </c>
      <c r="J1457" s="80" t="s">
        <v>397</v>
      </c>
      <c r="K1457" s="80" t="s">
        <v>347</v>
      </c>
      <c r="L1457" s="80" t="s">
        <v>343</v>
      </c>
      <c r="M1457" s="81">
        <v>0.33</v>
      </c>
      <c r="N1457" s="82">
        <v>24.75</v>
      </c>
    </row>
    <row r="1458" spans="1:14" x14ac:dyDescent="0.25">
      <c r="A1458" s="10" t="str">
        <f>_xlfn.IFNA(
    IF(J1458=
        "PCB-0001",
        "CSS",
        IF(
            ISNUMBER(MATCH(_xlfn.TEXTBEFORE(J1458,"-"), {"CSS","CSN","PCB","PCF","BEC","CSD","PCM"}, 0)),
            _xlfn.TEXTBEFORE(J1458,"-"),
            "Other"
        )
    ),
"Add")</f>
        <v>PCB</v>
      </c>
      <c r="B1458" s="10" t="str">
        <f t="shared" si="23"/>
        <v>0028</v>
      </c>
      <c r="C1458" s="10" t="str">
        <f>_xlfn.LET(
    _xlpm.val, IF(Datadetails[[#This Row],[Activity]]="D02","C20",Datadetails[[#This Row],[Activity]]),
    IF(ISNUMBER(MATCH(_xlpm.val,{"D04","C30","c40","C20"},0)), _xlpm.val, "Other")
)</f>
        <v>C30</v>
      </c>
      <c r="D1458" s="10" t="str">
        <f>IFERROR(VLOOKUP(Datadetails[[#This Row],[Taskcode]],Dashboard!A:A,1,FALSE),"00 Err Missing")</f>
        <v>0028</v>
      </c>
      <c r="E1458" s="79">
        <v>45849</v>
      </c>
      <c r="F1458" s="80" t="s">
        <v>330</v>
      </c>
      <c r="G1458" s="60" t="s">
        <v>40</v>
      </c>
      <c r="H1458" s="80" t="s">
        <v>195</v>
      </c>
      <c r="I1458" s="80" t="s">
        <v>34</v>
      </c>
      <c r="J1458" s="80" t="s">
        <v>449</v>
      </c>
      <c r="K1458" s="80" t="s">
        <v>347</v>
      </c>
      <c r="L1458" s="80" t="s">
        <v>343</v>
      </c>
      <c r="M1458" s="81">
        <v>0.33</v>
      </c>
      <c r="N1458" s="82">
        <v>19.8</v>
      </c>
    </row>
    <row r="1459" spans="1:14" x14ac:dyDescent="0.25">
      <c r="A1459" s="10" t="str">
        <f>_xlfn.IFNA(
    IF(J1459=
        "PCB-0001",
        "CSS",
        IF(
            ISNUMBER(MATCH(_xlfn.TEXTBEFORE(J1459,"-"), {"CSS","CSN","PCB","PCF","BEC","CSD","PCM"}, 0)),
            _xlfn.TEXTBEFORE(J1459,"-"),
            "Other"
        )
    ),
"Add")</f>
        <v>PCB</v>
      </c>
      <c r="B1459" s="10" t="str">
        <f t="shared" si="23"/>
        <v>0030</v>
      </c>
      <c r="C1459" s="10" t="str">
        <f>_xlfn.LET(
    _xlpm.val, IF(Datadetails[[#This Row],[Activity]]="D02","C20",Datadetails[[#This Row],[Activity]]),
    IF(ISNUMBER(MATCH(_xlpm.val,{"D04","C30","c40","C20"},0)), _xlpm.val, "Other")
)</f>
        <v>C30</v>
      </c>
      <c r="D1459" s="10" t="str">
        <f>IFERROR(VLOOKUP(Datadetails[[#This Row],[Taskcode]],Dashboard!A:A,1,FALSE),"00 Err Missing")</f>
        <v>0030</v>
      </c>
      <c r="E1459" s="79">
        <v>45849</v>
      </c>
      <c r="F1459" s="80" t="s">
        <v>329</v>
      </c>
      <c r="G1459" s="60" t="s">
        <v>40</v>
      </c>
      <c r="H1459" s="80" t="s">
        <v>197</v>
      </c>
      <c r="I1459" s="80" t="s">
        <v>34</v>
      </c>
      <c r="J1459" s="80" t="s">
        <v>366</v>
      </c>
      <c r="K1459" s="80" t="s">
        <v>347</v>
      </c>
      <c r="L1459" s="80" t="s">
        <v>343</v>
      </c>
      <c r="M1459" s="81">
        <v>0.25</v>
      </c>
      <c r="N1459" s="82">
        <v>18.75</v>
      </c>
    </row>
    <row r="1460" spans="1:14" x14ac:dyDescent="0.25">
      <c r="A1460" s="10" t="str">
        <f>_xlfn.IFNA(
    IF(J1460=
        "PCB-0001",
        "CSS",
        IF(
            ISNUMBER(MATCH(_xlfn.TEXTBEFORE(J1460,"-"), {"CSS","CSN","PCB","PCF","BEC","CSD","PCM"}, 0)),
            _xlfn.TEXTBEFORE(J1460,"-"),
            "Other"
        )
    ),
"Add")</f>
        <v>PCB</v>
      </c>
      <c r="B1460" s="10" t="str">
        <f t="shared" si="23"/>
        <v>0032</v>
      </c>
      <c r="C1460" s="10" t="str">
        <f>_xlfn.LET(
    _xlpm.val, IF(Datadetails[[#This Row],[Activity]]="D02","C20",Datadetails[[#This Row],[Activity]]),
    IF(ISNUMBER(MATCH(_xlpm.val,{"D04","C30","c40","C20"},0)), _xlpm.val, "Other")
)</f>
        <v>C30</v>
      </c>
      <c r="D1460" s="10" t="str">
        <f>IFERROR(VLOOKUP(Datadetails[[#This Row],[Taskcode]],Dashboard!A:A,1,FALSE),"00 Err Missing")</f>
        <v>0032</v>
      </c>
      <c r="E1460" s="79">
        <v>45849</v>
      </c>
      <c r="F1460" s="80" t="s">
        <v>330</v>
      </c>
      <c r="G1460" s="60" t="s">
        <v>40</v>
      </c>
      <c r="H1460" s="80" t="s">
        <v>199</v>
      </c>
      <c r="I1460" s="80" t="s">
        <v>34</v>
      </c>
      <c r="J1460" s="80" t="s">
        <v>414</v>
      </c>
      <c r="K1460" s="80" t="s">
        <v>347</v>
      </c>
      <c r="L1460" s="80" t="s">
        <v>343</v>
      </c>
      <c r="M1460" s="81">
        <v>0.33</v>
      </c>
      <c r="N1460" s="82">
        <v>19.8</v>
      </c>
    </row>
    <row r="1461" spans="1:14" x14ac:dyDescent="0.25">
      <c r="A1461" s="10" t="str">
        <f>_xlfn.IFNA(
    IF(J1461=
        "PCB-0001",
        "CSS",
        IF(
            ISNUMBER(MATCH(_xlfn.TEXTBEFORE(J1461,"-"), {"CSS","CSN","PCB","PCF","BEC","CSD","PCM"}, 0)),
            _xlfn.TEXTBEFORE(J1461,"-"),
            "Other"
        )
    ),
"Add")</f>
        <v>PCB</v>
      </c>
      <c r="B1461" s="10" t="str">
        <f t="shared" si="23"/>
        <v>0014</v>
      </c>
      <c r="C1461" s="10" t="str">
        <f>_xlfn.LET(
    _xlpm.val, IF(Datadetails[[#This Row],[Activity]]="D02","C20",Datadetails[[#This Row],[Activity]]),
    IF(ISNUMBER(MATCH(_xlpm.val,{"D04","C30","c40","C20"},0)), _xlpm.val, "Other")
)</f>
        <v>C30</v>
      </c>
      <c r="D1461" s="10" t="str">
        <f>IFERROR(VLOOKUP(Datadetails[[#This Row],[Taskcode]],Dashboard!A:A,1,FALSE),"00 Err Missing")</f>
        <v>0014</v>
      </c>
      <c r="E1461" s="79">
        <v>45849</v>
      </c>
      <c r="F1461" s="80" t="s">
        <v>329</v>
      </c>
      <c r="G1461" s="60" t="s">
        <v>40</v>
      </c>
      <c r="H1461" s="80" t="s">
        <v>181</v>
      </c>
      <c r="I1461" s="80" t="s">
        <v>34</v>
      </c>
      <c r="J1461" s="80" t="s">
        <v>396</v>
      </c>
      <c r="K1461" s="80" t="s">
        <v>347</v>
      </c>
      <c r="L1461" s="80" t="s">
        <v>343</v>
      </c>
      <c r="M1461" s="81">
        <v>0.17</v>
      </c>
      <c r="N1461" s="82">
        <v>12.750000000000002</v>
      </c>
    </row>
    <row r="1462" spans="1:14" x14ac:dyDescent="0.25">
      <c r="A1462" s="10" t="str">
        <f>_xlfn.IFNA(
    IF(J1462=
        "PCB-0001",
        "CSS",
        IF(
            ISNUMBER(MATCH(_xlfn.TEXTBEFORE(J1462,"-"), {"CSS","CSN","PCB","PCF","BEC","CSD","PCM"}, 0)),
            _xlfn.TEXTBEFORE(J1462,"-"),
            "Other"
        )
    ),
"Add")</f>
        <v>PCB</v>
      </c>
      <c r="B1462" s="10" t="str">
        <f t="shared" si="23"/>
        <v>0048</v>
      </c>
      <c r="C1462" s="10" t="str">
        <f>_xlfn.LET(
    _xlpm.val, IF(Datadetails[[#This Row],[Activity]]="D02","C20",Datadetails[[#This Row],[Activity]]),
    IF(ISNUMBER(MATCH(_xlpm.val,{"D04","C30","c40","C20"},0)), _xlpm.val, "Other")
)</f>
        <v>C30</v>
      </c>
      <c r="D1462" s="10" t="str">
        <f>IFERROR(VLOOKUP(Datadetails[[#This Row],[Taskcode]],Dashboard!A:A,1,FALSE),"00 Err Missing")</f>
        <v>0048</v>
      </c>
      <c r="E1462" s="79">
        <v>45849</v>
      </c>
      <c r="F1462" s="80" t="s">
        <v>330</v>
      </c>
      <c r="G1462" s="60" t="s">
        <v>40</v>
      </c>
      <c r="H1462" s="80" t="s">
        <v>215</v>
      </c>
      <c r="I1462" s="80" t="s">
        <v>34</v>
      </c>
      <c r="J1462" s="80" t="s">
        <v>450</v>
      </c>
      <c r="K1462" s="80" t="s">
        <v>347</v>
      </c>
      <c r="L1462" s="80" t="s">
        <v>343</v>
      </c>
      <c r="M1462" s="81">
        <v>0.33</v>
      </c>
      <c r="N1462" s="82">
        <v>19.8</v>
      </c>
    </row>
    <row r="1463" spans="1:14" x14ac:dyDescent="0.25">
      <c r="A1463" s="10" t="str">
        <f>_xlfn.IFNA(
    IF(J1463=
        "PCB-0001",
        "CSS",
        IF(
            ISNUMBER(MATCH(_xlfn.TEXTBEFORE(J1463,"-"), {"CSS","CSN","PCB","PCF","BEC","CSD","PCM"}, 0)),
            _xlfn.TEXTBEFORE(J1463,"-"),
            "Other"
        )
    ),
"Add")</f>
        <v>PCB</v>
      </c>
      <c r="B1463" s="10" t="str">
        <f t="shared" si="23"/>
        <v>0135</v>
      </c>
      <c r="C1463" s="10" t="str">
        <f>_xlfn.LET(
    _xlpm.val, IF(Datadetails[[#This Row],[Activity]]="D02","C20",Datadetails[[#This Row],[Activity]]),
    IF(ISNUMBER(MATCH(_xlpm.val,{"D04","C30","c40","C20"},0)), _xlpm.val, "Other")
)</f>
        <v>C30</v>
      </c>
      <c r="D1463" s="10" t="str">
        <f>IFERROR(VLOOKUP(Datadetails[[#This Row],[Taskcode]],Dashboard!A:A,1,FALSE),"00 Err Missing")</f>
        <v>0135</v>
      </c>
      <c r="E1463" s="79">
        <v>45849</v>
      </c>
      <c r="F1463" s="80" t="s">
        <v>329</v>
      </c>
      <c r="G1463" s="60" t="s">
        <v>40</v>
      </c>
      <c r="H1463" s="80" t="s">
        <v>302</v>
      </c>
      <c r="I1463" s="80" t="s">
        <v>34</v>
      </c>
      <c r="J1463" s="80" t="s">
        <v>398</v>
      </c>
      <c r="K1463" s="80" t="s">
        <v>347</v>
      </c>
      <c r="L1463" s="80" t="s">
        <v>343</v>
      </c>
      <c r="M1463" s="81">
        <v>0.17</v>
      </c>
      <c r="N1463" s="82">
        <v>12.750000000000002</v>
      </c>
    </row>
    <row r="1464" spans="1:14" x14ac:dyDescent="0.25">
      <c r="A1464" s="10" t="str">
        <f>_xlfn.IFNA(
    IF(J1464=
        "PCB-0001",
        "CSS",
        IF(
            ISNUMBER(MATCH(_xlfn.TEXTBEFORE(J1464,"-"), {"CSS","CSN","PCB","PCF","BEC","CSD","PCM"}, 0)),
            _xlfn.TEXTBEFORE(J1464,"-"),
            "Other"
        )
    ),
"Add")</f>
        <v>PCB</v>
      </c>
      <c r="B1464" s="10" t="str">
        <f t="shared" si="23"/>
        <v>0134</v>
      </c>
      <c r="C1464" s="10" t="str">
        <f>_xlfn.LET(
    _xlpm.val, IF(Datadetails[[#This Row],[Activity]]="D02","C20",Datadetails[[#This Row],[Activity]]),
    IF(ISNUMBER(MATCH(_xlpm.val,{"D04","C30","c40","C20"},0)), _xlpm.val, "Other")
)</f>
        <v>C30</v>
      </c>
      <c r="D1464" s="10" t="str">
        <f>IFERROR(VLOOKUP(Datadetails[[#This Row],[Taskcode]],Dashboard!A:A,1,FALSE),"00 Err Missing")</f>
        <v>0134</v>
      </c>
      <c r="E1464" s="79">
        <v>45849</v>
      </c>
      <c r="F1464" s="80" t="s">
        <v>329</v>
      </c>
      <c r="G1464" s="60" t="s">
        <v>40</v>
      </c>
      <c r="H1464" s="80" t="s">
        <v>301</v>
      </c>
      <c r="I1464" s="80" t="s">
        <v>34</v>
      </c>
      <c r="J1464" s="80" t="s">
        <v>371</v>
      </c>
      <c r="K1464" s="80" t="s">
        <v>347</v>
      </c>
      <c r="L1464" s="80" t="s">
        <v>343</v>
      </c>
      <c r="M1464" s="81">
        <v>0.42</v>
      </c>
      <c r="N1464" s="82">
        <v>31.5</v>
      </c>
    </row>
    <row r="1465" spans="1:14" x14ac:dyDescent="0.25">
      <c r="A1465" s="10" t="str">
        <f>_xlfn.IFNA(
    IF(J1465=
        "PCB-0001",
        "CSS",
        IF(
            ISNUMBER(MATCH(_xlfn.TEXTBEFORE(J1465,"-"), {"CSS","CSN","PCB","PCF","BEC","CSD","PCM"}, 0)),
            _xlfn.TEXTBEFORE(J1465,"-"),
            "Other"
        )
    ),
"Add")</f>
        <v>PCB</v>
      </c>
      <c r="B1465" s="10" t="str">
        <f t="shared" si="23"/>
        <v>0137</v>
      </c>
      <c r="C1465" s="10" t="str">
        <f>_xlfn.LET(
    _xlpm.val, IF(Datadetails[[#This Row],[Activity]]="D02","C20",Datadetails[[#This Row],[Activity]]),
    IF(ISNUMBER(MATCH(_xlpm.val,{"D04","C30","c40","C20"},0)), _xlpm.val, "Other")
)</f>
        <v>C30</v>
      </c>
      <c r="D1465" s="10" t="str">
        <f>IFERROR(VLOOKUP(Datadetails[[#This Row],[Taskcode]],Dashboard!A:A,1,FALSE),"00 Err Missing")</f>
        <v>0137</v>
      </c>
      <c r="E1465" s="79">
        <v>45849</v>
      </c>
      <c r="F1465" s="80" t="s">
        <v>325</v>
      </c>
      <c r="G1465" s="60" t="s">
        <v>40</v>
      </c>
      <c r="H1465" s="80" t="s">
        <v>304</v>
      </c>
      <c r="I1465" s="80" t="s">
        <v>34</v>
      </c>
      <c r="J1465" s="80" t="s">
        <v>372</v>
      </c>
      <c r="K1465" s="80" t="s">
        <v>347</v>
      </c>
      <c r="L1465" s="80" t="s">
        <v>343</v>
      </c>
      <c r="M1465" s="81">
        <v>0.17</v>
      </c>
      <c r="N1465" s="82">
        <v>12.750000000000002</v>
      </c>
    </row>
    <row r="1466" spans="1:14" x14ac:dyDescent="0.25">
      <c r="A1466" s="10" t="str">
        <f>_xlfn.IFNA(
    IF(J1466=
        "PCB-0001",
        "CSS",
        IF(
            ISNUMBER(MATCH(_xlfn.TEXTBEFORE(J1466,"-"), {"CSS","CSN","PCB","PCF","BEC","CSD","PCM"}, 0)),
            _xlfn.TEXTBEFORE(J1466,"-"),
            "Other"
        )
    ),
"Add")</f>
        <v>PCB</v>
      </c>
      <c r="B1466" s="10" t="str">
        <f t="shared" si="23"/>
        <v>0062</v>
      </c>
      <c r="C1466" s="10" t="str">
        <f>_xlfn.LET(
    _xlpm.val, IF(Datadetails[[#This Row],[Activity]]="D02","C20",Datadetails[[#This Row],[Activity]]),
    IF(ISNUMBER(MATCH(_xlpm.val,{"D04","C30","c40","C20"},0)), _xlpm.val, "Other")
)</f>
        <v>C30</v>
      </c>
      <c r="D1466" s="10" t="str">
        <f>IFERROR(VLOOKUP(Datadetails[[#This Row],[Taskcode]],Dashboard!A:A,1,FALSE),"00 Err Missing")</f>
        <v>0062</v>
      </c>
      <c r="E1466" s="79">
        <v>45849</v>
      </c>
      <c r="F1466" s="80" t="s">
        <v>329</v>
      </c>
      <c r="G1466" s="60" t="s">
        <v>40</v>
      </c>
      <c r="H1466" s="80" t="s">
        <v>229</v>
      </c>
      <c r="I1466" s="80" t="s">
        <v>34</v>
      </c>
      <c r="J1466" s="80" t="s">
        <v>373</v>
      </c>
      <c r="K1466" s="80" t="s">
        <v>347</v>
      </c>
      <c r="L1466" s="80" t="s">
        <v>343</v>
      </c>
      <c r="M1466" s="81">
        <v>2</v>
      </c>
      <c r="N1466" s="82">
        <v>150</v>
      </c>
    </row>
    <row r="1467" spans="1:14" x14ac:dyDescent="0.25">
      <c r="A1467" s="10" t="str">
        <f>_xlfn.IFNA(
    IF(J1467=
        "PCB-0001",
        "CSS",
        IF(
            ISNUMBER(MATCH(_xlfn.TEXTBEFORE(J1467,"-"), {"CSS","CSN","PCB","PCF","BEC","CSD","PCM"}, 0)),
            _xlfn.TEXTBEFORE(J1467,"-"),
            "Other"
        )
    ),
"Add")</f>
        <v>PCB</v>
      </c>
      <c r="B1467" s="10" t="str">
        <f t="shared" si="23"/>
        <v>0058</v>
      </c>
      <c r="C1467" s="10" t="str">
        <f>_xlfn.LET(
    _xlpm.val, IF(Datadetails[[#This Row],[Activity]]="D02","C20",Datadetails[[#This Row],[Activity]]),
    IF(ISNUMBER(MATCH(_xlpm.val,{"D04","C30","c40","C20"},0)), _xlpm.val, "Other")
)</f>
        <v>C30</v>
      </c>
      <c r="D1467" s="10" t="str">
        <f>IFERROR(VLOOKUP(Datadetails[[#This Row],[Taskcode]],Dashboard!A:A,1,FALSE),"00 Err Missing")</f>
        <v>0058</v>
      </c>
      <c r="E1467" s="79">
        <v>45849</v>
      </c>
      <c r="F1467" s="80" t="s">
        <v>330</v>
      </c>
      <c r="G1467" s="60" t="s">
        <v>40</v>
      </c>
      <c r="H1467" s="80" t="s">
        <v>225</v>
      </c>
      <c r="I1467" s="80" t="s">
        <v>34</v>
      </c>
      <c r="J1467" s="80" t="s">
        <v>365</v>
      </c>
      <c r="K1467" s="80" t="s">
        <v>347</v>
      </c>
      <c r="L1467" s="80" t="s">
        <v>343</v>
      </c>
      <c r="M1467" s="81">
        <v>0.33</v>
      </c>
      <c r="N1467" s="82">
        <v>19.8</v>
      </c>
    </row>
    <row r="1468" spans="1:14" x14ac:dyDescent="0.25">
      <c r="A1468" s="10" t="str">
        <f>_xlfn.IFNA(
    IF(J1468=
        "PCB-0001",
        "CSS",
        IF(
            ISNUMBER(MATCH(_xlfn.TEXTBEFORE(J1468,"-"), {"CSS","CSN","PCB","PCF","BEC","CSD","PCM"}, 0)),
            _xlfn.TEXTBEFORE(J1468,"-"),
            "Other"
        )
    ),
"Add")</f>
        <v>PCB</v>
      </c>
      <c r="B1468" s="10" t="str">
        <f t="shared" si="23"/>
        <v>0136</v>
      </c>
      <c r="C1468" s="10" t="str">
        <f>_xlfn.LET(
    _xlpm.val, IF(Datadetails[[#This Row],[Activity]]="D02","C20",Datadetails[[#This Row],[Activity]]),
    IF(ISNUMBER(MATCH(_xlpm.val,{"D04","C30","c40","C20"},0)), _xlpm.val, "Other")
)</f>
        <v>C30</v>
      </c>
      <c r="D1468" s="10" t="str">
        <f>IFERROR(VLOOKUP(Datadetails[[#This Row],[Taskcode]],Dashboard!A:A,1,FALSE),"00 Err Missing")</f>
        <v>0136</v>
      </c>
      <c r="E1468" s="79">
        <v>45849</v>
      </c>
      <c r="F1468" s="80" t="s">
        <v>329</v>
      </c>
      <c r="G1468" s="60" t="s">
        <v>40</v>
      </c>
      <c r="H1468" s="80" t="s">
        <v>303</v>
      </c>
      <c r="I1468" s="80" t="s">
        <v>34</v>
      </c>
      <c r="J1468" s="80" t="s">
        <v>400</v>
      </c>
      <c r="K1468" s="80" t="s">
        <v>347</v>
      </c>
      <c r="L1468" s="80" t="s">
        <v>343</v>
      </c>
      <c r="M1468" s="81">
        <v>0.17</v>
      </c>
      <c r="N1468" s="82">
        <v>12.750000000000002</v>
      </c>
    </row>
    <row r="1469" spans="1:14" x14ac:dyDescent="0.25">
      <c r="A1469" s="10" t="str">
        <f>_xlfn.IFNA(
    IF(J1469=
        "PCB-0001",
        "CSS",
        IF(
            ISNUMBER(MATCH(_xlfn.TEXTBEFORE(J1469,"-"), {"CSS","CSN","PCB","PCF","BEC","CSD","PCM"}, 0)),
            _xlfn.TEXTBEFORE(J1469,"-"),
            "Other"
        )
    ),
"Add")</f>
        <v>PCB</v>
      </c>
      <c r="B1469" s="10" t="str">
        <f t="shared" si="23"/>
        <v>0082</v>
      </c>
      <c r="C1469" s="10" t="str">
        <f>_xlfn.LET(
    _xlpm.val, IF(Datadetails[[#This Row],[Activity]]="D02","C20",Datadetails[[#This Row],[Activity]]),
    IF(ISNUMBER(MATCH(_xlpm.val,{"D04","C30","c40","C20"},0)), _xlpm.val, "Other")
)</f>
        <v>C30</v>
      </c>
      <c r="D1469" s="10" t="str">
        <f>IFERROR(VLOOKUP(Datadetails[[#This Row],[Taskcode]],Dashboard!A:A,1,FALSE),"00 Err Missing")</f>
        <v>0082</v>
      </c>
      <c r="E1469" s="79">
        <v>45849</v>
      </c>
      <c r="F1469" s="80" t="s">
        <v>325</v>
      </c>
      <c r="G1469" s="60" t="s">
        <v>40</v>
      </c>
      <c r="H1469" s="80" t="s">
        <v>249</v>
      </c>
      <c r="I1469" s="80" t="s">
        <v>34</v>
      </c>
      <c r="J1469" s="80" t="s">
        <v>409</v>
      </c>
      <c r="K1469" s="80" t="s">
        <v>347</v>
      </c>
      <c r="L1469" s="80" t="s">
        <v>343</v>
      </c>
      <c r="M1469" s="81">
        <v>0.17</v>
      </c>
      <c r="N1469" s="82">
        <v>12.750000000000002</v>
      </c>
    </row>
    <row r="1470" spans="1:14" x14ac:dyDescent="0.25">
      <c r="A1470" s="10" t="str">
        <f>_xlfn.IFNA(
    IF(J1470=
        "PCB-0001",
        "CSS",
        IF(
            ISNUMBER(MATCH(_xlfn.TEXTBEFORE(J1470,"-"), {"CSS","CSN","PCB","PCF","BEC","CSD","PCM"}, 0)),
            _xlfn.TEXTBEFORE(J1470,"-"),
            "Other"
        )
    ),
"Add")</f>
        <v>PCB</v>
      </c>
      <c r="B1470" s="10" t="str">
        <f t="shared" si="23"/>
        <v>0080</v>
      </c>
      <c r="C1470" s="10" t="str">
        <f>_xlfn.LET(
    _xlpm.val, IF(Datadetails[[#This Row],[Activity]]="D02","C20",Datadetails[[#This Row],[Activity]]),
    IF(ISNUMBER(MATCH(_xlpm.val,{"D04","C30","c40","C20"},0)), _xlpm.val, "Other")
)</f>
        <v>C30</v>
      </c>
      <c r="D1470" s="10" t="str">
        <f>IFERROR(VLOOKUP(Datadetails[[#This Row],[Taskcode]],Dashboard!A:A,1,FALSE),"00 Err Missing")</f>
        <v>0080</v>
      </c>
      <c r="E1470" s="79">
        <v>45849</v>
      </c>
      <c r="F1470" s="80" t="s">
        <v>329</v>
      </c>
      <c r="G1470" s="60" t="s">
        <v>40</v>
      </c>
      <c r="H1470" s="80" t="s">
        <v>247</v>
      </c>
      <c r="I1470" s="80" t="s">
        <v>34</v>
      </c>
      <c r="J1470" s="80" t="s">
        <v>375</v>
      </c>
      <c r="K1470" s="80" t="s">
        <v>347</v>
      </c>
      <c r="L1470" s="80" t="s">
        <v>343</v>
      </c>
      <c r="M1470" s="81">
        <v>0.17</v>
      </c>
      <c r="N1470" s="82">
        <v>12.750000000000002</v>
      </c>
    </row>
    <row r="1471" spans="1:14" x14ac:dyDescent="0.25">
      <c r="A1471" s="10" t="str">
        <f>_xlfn.IFNA(
    IF(J1471=
        "PCB-0001",
        "CSS",
        IF(
            ISNUMBER(MATCH(_xlfn.TEXTBEFORE(J1471,"-"), {"CSS","CSN","PCB","PCF","BEC","CSD","PCM"}, 0)),
            _xlfn.TEXTBEFORE(J1471,"-"),
            "Other"
        )
    ),
"Add")</f>
        <v>PCB</v>
      </c>
      <c r="B1471" s="10" t="str">
        <f t="shared" si="23"/>
        <v>0111</v>
      </c>
      <c r="C1471" s="10" t="str">
        <f>_xlfn.LET(
    _xlpm.val, IF(Datadetails[[#This Row],[Activity]]="D02","C20",Datadetails[[#This Row],[Activity]]),
    IF(ISNUMBER(MATCH(_xlpm.val,{"D04","C30","c40","C20"},0)), _xlpm.val, "Other")
)</f>
        <v>C40</v>
      </c>
      <c r="D1471" s="10" t="str">
        <f>IFERROR(VLOOKUP(Datadetails[[#This Row],[Taskcode]],Dashboard!A:A,1,FALSE),"00 Err Missing")</f>
        <v>0111</v>
      </c>
      <c r="E1471" s="79">
        <v>45849</v>
      </c>
      <c r="F1471" s="80" t="s">
        <v>325</v>
      </c>
      <c r="G1471" s="60" t="s">
        <v>40</v>
      </c>
      <c r="H1471" s="80" t="s">
        <v>278</v>
      </c>
      <c r="I1471" s="80" t="s">
        <v>341</v>
      </c>
      <c r="J1471" s="80" t="s">
        <v>452</v>
      </c>
      <c r="K1471" s="80" t="s">
        <v>347</v>
      </c>
      <c r="L1471" s="80" t="s">
        <v>344</v>
      </c>
      <c r="M1471" s="81">
        <v>1.33</v>
      </c>
      <c r="N1471" s="82">
        <v>99.75</v>
      </c>
    </row>
    <row r="1472" spans="1:14" x14ac:dyDescent="0.25">
      <c r="A1472" s="10" t="str">
        <f>_xlfn.IFNA(
    IF(J1472=
        "PCB-0001",
        "CSS",
        IF(
            ISNUMBER(MATCH(_xlfn.TEXTBEFORE(J1472,"-"), {"CSS","CSN","PCB","PCF","BEC","CSD","PCM"}, 0)),
            _xlfn.TEXTBEFORE(J1472,"-"),
            "Other"
        )
    ),
"Add")</f>
        <v>PCB</v>
      </c>
      <c r="B1472" s="10" t="str">
        <f t="shared" si="23"/>
        <v>0110</v>
      </c>
      <c r="C1472" s="10" t="str">
        <f>_xlfn.LET(
    _xlpm.val, IF(Datadetails[[#This Row],[Activity]]="D02","C20",Datadetails[[#This Row],[Activity]]),
    IF(ISNUMBER(MATCH(_xlpm.val,{"D04","C30","c40","C20"},0)), _xlpm.val, "Other")
)</f>
        <v>C40</v>
      </c>
      <c r="D1472" s="10" t="str">
        <f>IFERROR(VLOOKUP(Datadetails[[#This Row],[Taskcode]],Dashboard!A:A,1,FALSE),"00 Err Missing")</f>
        <v>0110</v>
      </c>
      <c r="E1472" s="79">
        <v>45849</v>
      </c>
      <c r="F1472" s="80" t="s">
        <v>325</v>
      </c>
      <c r="G1472" s="60" t="s">
        <v>40</v>
      </c>
      <c r="H1472" s="80" t="s">
        <v>277</v>
      </c>
      <c r="I1472" s="80" t="s">
        <v>341</v>
      </c>
      <c r="J1472" s="80" t="s">
        <v>353</v>
      </c>
      <c r="K1472" s="80" t="s">
        <v>347</v>
      </c>
      <c r="L1472" s="80" t="s">
        <v>344</v>
      </c>
      <c r="M1472" s="81">
        <v>0.83</v>
      </c>
      <c r="N1472" s="82">
        <v>62.25</v>
      </c>
    </row>
    <row r="1473" spans="1:14" x14ac:dyDescent="0.25">
      <c r="A1473" s="10" t="str">
        <f>_xlfn.IFNA(
    IF(J1473=
        "PCB-0001",
        "CSS",
        IF(
            ISNUMBER(MATCH(_xlfn.TEXTBEFORE(J1473,"-"), {"CSS","CSN","PCB","PCF","BEC","CSD","PCM"}, 0)),
            _xlfn.TEXTBEFORE(J1473,"-"),
            "Other"
        )
    ),
"Add")</f>
        <v>PCB</v>
      </c>
      <c r="B1473" s="10" t="str">
        <f t="shared" si="23"/>
        <v>0085</v>
      </c>
      <c r="C1473" s="10" t="str">
        <f>_xlfn.LET(
    _xlpm.val, IF(Datadetails[[#This Row],[Activity]]="D02","C20",Datadetails[[#This Row],[Activity]]),
    IF(ISNUMBER(MATCH(_xlpm.val,{"D04","C30","c40","C20"},0)), _xlpm.val, "Other")
)</f>
        <v>C40</v>
      </c>
      <c r="D1473" s="10" t="str">
        <f>IFERROR(VLOOKUP(Datadetails[[#This Row],[Taskcode]],Dashboard!A:A,1,FALSE),"00 Err Missing")</f>
        <v>0085</v>
      </c>
      <c r="E1473" s="79">
        <v>45849</v>
      </c>
      <c r="F1473" s="80" t="s">
        <v>330</v>
      </c>
      <c r="G1473" s="60" t="s">
        <v>40</v>
      </c>
      <c r="H1473" s="80" t="s">
        <v>252</v>
      </c>
      <c r="I1473" s="80" t="s">
        <v>341</v>
      </c>
      <c r="J1473" s="80" t="s">
        <v>416</v>
      </c>
      <c r="K1473" s="80" t="s">
        <v>347</v>
      </c>
      <c r="L1473" s="80" t="s">
        <v>344</v>
      </c>
      <c r="M1473" s="81">
        <v>1</v>
      </c>
      <c r="N1473" s="82">
        <v>60</v>
      </c>
    </row>
    <row r="1474" spans="1:14" x14ac:dyDescent="0.25">
      <c r="A1474" s="10" t="str">
        <f>_xlfn.IFNA(
    IF(J1474=
        "PCB-0001",
        "CSS",
        IF(
            ISNUMBER(MATCH(_xlfn.TEXTBEFORE(J1474,"-"), {"CSS","CSN","PCB","PCF","BEC","CSD","PCM"}, 0)),
            _xlfn.TEXTBEFORE(J1474,"-"),
            "Other"
        )
    ),
"Add")</f>
        <v>PCB</v>
      </c>
      <c r="B1474" s="10" t="str">
        <f t="shared" si="23"/>
        <v>0138</v>
      </c>
      <c r="C1474" s="10" t="str">
        <f>_xlfn.LET(
    _xlpm.val, IF(Datadetails[[#This Row],[Activity]]="D02","C20",Datadetails[[#This Row],[Activity]]),
    IF(ISNUMBER(MATCH(_xlpm.val,{"D04","C30","c40","C20"},0)), _xlpm.val, "Other")
)</f>
        <v>C40</v>
      </c>
      <c r="D1474" s="10" t="str">
        <f>IFERROR(VLOOKUP(Datadetails[[#This Row],[Taskcode]],Dashboard!A:A,1,FALSE),"00 Err Missing")</f>
        <v>0138</v>
      </c>
      <c r="E1474" s="79">
        <v>45849</v>
      </c>
      <c r="F1474" s="80" t="s">
        <v>325</v>
      </c>
      <c r="G1474" s="60" t="s">
        <v>40</v>
      </c>
      <c r="H1474" s="80" t="s">
        <v>305</v>
      </c>
      <c r="I1474" s="80" t="s">
        <v>341</v>
      </c>
      <c r="J1474" s="80" t="s">
        <v>382</v>
      </c>
      <c r="K1474" s="80" t="s">
        <v>347</v>
      </c>
      <c r="L1474" s="80" t="s">
        <v>344</v>
      </c>
      <c r="M1474" s="81">
        <v>1.42</v>
      </c>
      <c r="N1474" s="82">
        <v>106.5</v>
      </c>
    </row>
    <row r="1475" spans="1:14" x14ac:dyDescent="0.25">
      <c r="A1475" s="10" t="str">
        <f>_xlfn.IFNA(
    IF(J1475=
        "PCB-0001",
        "CSS",
        IF(
            ISNUMBER(MATCH(_xlfn.TEXTBEFORE(J1475,"-"), {"CSS","CSN","PCB","PCF","BEC","CSD","PCM"}, 0)),
            _xlfn.TEXTBEFORE(J1475,"-"),
            "Other"
        )
    ),
"Add")</f>
        <v>PCB</v>
      </c>
      <c r="B1475" s="10" t="str">
        <f t="shared" si="23"/>
        <v>0123</v>
      </c>
      <c r="C1475" s="10" t="str">
        <f>_xlfn.LET(
    _xlpm.val, IF(Datadetails[[#This Row],[Activity]]="D02","C20",Datadetails[[#This Row],[Activity]]),
    IF(ISNUMBER(MATCH(_xlpm.val,{"D04","C30","c40","C20"},0)), _xlpm.val, "Other")
)</f>
        <v>C40</v>
      </c>
      <c r="D1475" s="10" t="str">
        <f>IFERROR(VLOOKUP(Datadetails[[#This Row],[Taskcode]],Dashboard!A:A,1,FALSE),"00 Err Missing")</f>
        <v>0123</v>
      </c>
      <c r="E1475" s="79">
        <v>45849</v>
      </c>
      <c r="F1475" s="80" t="s">
        <v>325</v>
      </c>
      <c r="G1475" s="60" t="s">
        <v>40</v>
      </c>
      <c r="H1475" s="80" t="s">
        <v>290</v>
      </c>
      <c r="I1475" s="80" t="s">
        <v>341</v>
      </c>
      <c r="J1475" s="80" t="s">
        <v>428</v>
      </c>
      <c r="K1475" s="80" t="s">
        <v>347</v>
      </c>
      <c r="L1475" s="80" t="s">
        <v>344</v>
      </c>
      <c r="M1475" s="81">
        <v>1.17</v>
      </c>
      <c r="N1475" s="82">
        <v>87.75</v>
      </c>
    </row>
    <row r="1476" spans="1:14" x14ac:dyDescent="0.25">
      <c r="A1476" s="10" t="str">
        <f>_xlfn.IFNA(
    IF(J1476=
        "PCB-0001",
        "CSS",
        IF(
            ISNUMBER(MATCH(_xlfn.TEXTBEFORE(J1476,"-"), {"CSS","CSN","PCB","PCF","BEC","CSD","PCM"}, 0)),
            _xlfn.TEXTBEFORE(J1476,"-"),
            "Other"
        )
    ),
"Add")</f>
        <v>PCB</v>
      </c>
      <c r="B1476" s="10" t="str">
        <f t="shared" ref="B1476:B1539" si="24">_xlfn.IFNA(_xlfn.TEXTAFTER(J1476,"-"),"Data to C2")</f>
        <v>0132</v>
      </c>
      <c r="C1476" s="10" t="str">
        <f>_xlfn.LET(
    _xlpm.val, IF(Datadetails[[#This Row],[Activity]]="D02","C20",Datadetails[[#This Row],[Activity]]),
    IF(ISNUMBER(MATCH(_xlpm.val,{"D04","C30","c40","C20"},0)), _xlpm.val, "Other")
)</f>
        <v>C20</v>
      </c>
      <c r="D1476" s="10" t="str">
        <f>IFERROR(VLOOKUP(Datadetails[[#This Row],[Taskcode]],Dashboard!A:A,1,FALSE),"00 Err Missing")</f>
        <v>0132</v>
      </c>
      <c r="E1476" s="79">
        <v>45849</v>
      </c>
      <c r="F1476" s="80" t="s">
        <v>329</v>
      </c>
      <c r="G1476" s="60" t="s">
        <v>40</v>
      </c>
      <c r="H1476" s="80" t="s">
        <v>299</v>
      </c>
      <c r="I1476" s="80" t="s">
        <v>312</v>
      </c>
      <c r="J1476" s="80" t="s">
        <v>455</v>
      </c>
      <c r="K1476" s="80" t="s">
        <v>347</v>
      </c>
      <c r="L1476" s="80" t="s">
        <v>350</v>
      </c>
      <c r="M1476" s="81">
        <v>1.25</v>
      </c>
      <c r="N1476" s="82">
        <v>93.75</v>
      </c>
    </row>
    <row r="1477" spans="1:14" x14ac:dyDescent="0.25">
      <c r="A1477" s="10" t="str">
        <f>_xlfn.IFNA(
    IF(J1477=
        "PCB-0001",
        "CSS",
        IF(
            ISNUMBER(MATCH(_xlfn.TEXTBEFORE(J1477,"-"), {"CSS","CSN","PCB","PCF","BEC","CSD","PCM"}, 0)),
            _xlfn.TEXTBEFORE(J1477,"-"),
            "Other"
        )
    ),
"Add")</f>
        <v>PCF</v>
      </c>
      <c r="B1477" s="10" t="str">
        <f t="shared" si="24"/>
        <v>0021</v>
      </c>
      <c r="C1477" s="10" t="str">
        <f>_xlfn.LET(
    _xlpm.val, IF(Datadetails[[#This Row],[Activity]]="D02","C20",Datadetails[[#This Row],[Activity]]),
    IF(ISNUMBER(MATCH(_xlpm.val,{"D04","C30","c40","C20"},0)), _xlpm.val, "Other")
)</f>
        <v>C20</v>
      </c>
      <c r="D1477" s="10" t="str">
        <f>IFERROR(VLOOKUP(Datadetails[[#This Row],[Taskcode]],Dashboard!A:A,1,FALSE),"00 Err Missing")</f>
        <v>0021</v>
      </c>
      <c r="E1477" s="79">
        <v>45849</v>
      </c>
      <c r="F1477" s="80" t="s">
        <v>326</v>
      </c>
      <c r="G1477" s="60" t="s">
        <v>40</v>
      </c>
      <c r="H1477" s="80" t="s">
        <v>188</v>
      </c>
      <c r="I1477" s="80" t="s">
        <v>36</v>
      </c>
      <c r="J1477" s="80" t="s">
        <v>356</v>
      </c>
      <c r="K1477" s="80" t="s">
        <v>348</v>
      </c>
      <c r="L1477" s="80" t="s">
        <v>342</v>
      </c>
      <c r="M1477" s="81">
        <v>0.5</v>
      </c>
      <c r="N1477" s="82">
        <v>30</v>
      </c>
    </row>
    <row r="1478" spans="1:14" x14ac:dyDescent="0.25">
      <c r="A1478" s="10" t="str">
        <f>_xlfn.IFNA(
    IF(J1478=
        "PCB-0001",
        "CSS",
        IF(
            ISNUMBER(MATCH(_xlfn.TEXTBEFORE(J1478,"-"), {"CSS","CSN","PCB","PCF","BEC","CSD","PCM"}, 0)),
            _xlfn.TEXTBEFORE(J1478,"-"),
            "Other"
        )
    ),
"Add")</f>
        <v>PCF</v>
      </c>
      <c r="B1478" s="10" t="str">
        <f t="shared" si="24"/>
        <v>0060</v>
      </c>
      <c r="C1478" s="10" t="str">
        <f>_xlfn.LET(
    _xlpm.val, IF(Datadetails[[#This Row],[Activity]]="D02","C20",Datadetails[[#This Row],[Activity]]),
    IF(ISNUMBER(MATCH(_xlpm.val,{"D04","C30","c40","C20"},0)), _xlpm.val, "Other")
)</f>
        <v>C20</v>
      </c>
      <c r="D1478" s="10" t="str">
        <f>IFERROR(VLOOKUP(Datadetails[[#This Row],[Taskcode]],Dashboard!A:A,1,FALSE),"00 Err Missing")</f>
        <v>0060</v>
      </c>
      <c r="E1478" s="79">
        <v>45849</v>
      </c>
      <c r="F1478" s="80" t="s">
        <v>326</v>
      </c>
      <c r="G1478" s="60" t="s">
        <v>40</v>
      </c>
      <c r="H1478" s="80" t="s">
        <v>227</v>
      </c>
      <c r="I1478" s="80" t="s">
        <v>36</v>
      </c>
      <c r="J1478" s="80" t="s">
        <v>453</v>
      </c>
      <c r="K1478" s="80" t="s">
        <v>348</v>
      </c>
      <c r="L1478" s="80" t="s">
        <v>342</v>
      </c>
      <c r="M1478" s="81">
        <v>1</v>
      </c>
      <c r="N1478" s="82">
        <v>60</v>
      </c>
    </row>
    <row r="1479" spans="1:14" x14ac:dyDescent="0.25">
      <c r="A1479" s="10" t="str">
        <f>_xlfn.IFNA(
    IF(J1479=
        "PCB-0001",
        "CSS",
        IF(
            ISNUMBER(MATCH(_xlfn.TEXTBEFORE(J1479,"-"), {"CSS","CSN","PCB","PCF","BEC","CSD","PCM"}, 0)),
            _xlfn.TEXTBEFORE(J1479,"-"),
            "Other"
        )
    ),
"Add")</f>
        <v>PCF</v>
      </c>
      <c r="B1479" s="10" t="str">
        <f t="shared" si="24"/>
        <v>0040</v>
      </c>
      <c r="C1479" s="10" t="str">
        <f>_xlfn.LET(
    _xlpm.val, IF(Datadetails[[#This Row],[Activity]]="D02","C20",Datadetails[[#This Row],[Activity]]),
    IF(ISNUMBER(MATCH(_xlpm.val,{"D04","C30","c40","C20"},0)), _xlpm.val, "Other")
)</f>
        <v>C20</v>
      </c>
      <c r="D1479" s="10" t="str">
        <f>IFERROR(VLOOKUP(Datadetails[[#This Row],[Taskcode]],Dashboard!A:A,1,FALSE),"00 Err Missing")</f>
        <v>0040</v>
      </c>
      <c r="E1479" s="79">
        <v>45849</v>
      </c>
      <c r="F1479" s="80" t="s">
        <v>326</v>
      </c>
      <c r="G1479" s="60" t="s">
        <v>40</v>
      </c>
      <c r="H1479" s="80" t="s">
        <v>207</v>
      </c>
      <c r="I1479" s="80" t="s">
        <v>36</v>
      </c>
      <c r="J1479" s="80" t="s">
        <v>417</v>
      </c>
      <c r="K1479" s="80" t="s">
        <v>348</v>
      </c>
      <c r="L1479" s="80" t="s">
        <v>342</v>
      </c>
      <c r="M1479" s="81">
        <v>1</v>
      </c>
      <c r="N1479" s="82">
        <v>60</v>
      </c>
    </row>
    <row r="1480" spans="1:14" x14ac:dyDescent="0.25">
      <c r="A1480" s="10" t="str">
        <f>_xlfn.IFNA(
    IF(J1480=
        "PCB-0001",
        "CSS",
        IF(
            ISNUMBER(MATCH(_xlfn.TEXTBEFORE(J1480,"-"), {"CSS","CSN","PCB","PCF","BEC","CSD","PCM"}, 0)),
            _xlfn.TEXTBEFORE(J1480,"-"),
            "Other"
        )
    ),
"Add")</f>
        <v>PCF</v>
      </c>
      <c r="B1480" s="10" t="str">
        <f t="shared" si="24"/>
        <v>0142</v>
      </c>
      <c r="C1480" s="10" t="str">
        <f>_xlfn.LET(
    _xlpm.val, IF(Datadetails[[#This Row],[Activity]]="D02","C20",Datadetails[[#This Row],[Activity]]),
    IF(ISNUMBER(MATCH(_xlpm.val,{"D04","C30","c40","C20"},0)), _xlpm.val, "Other")
)</f>
        <v>C20</v>
      </c>
      <c r="D1480" s="10" t="str">
        <f>IFERROR(VLOOKUP(Datadetails[[#This Row],[Taskcode]],Dashboard!A:A,1,FALSE),"00 Err Missing")</f>
        <v>0142</v>
      </c>
      <c r="E1480" s="79">
        <v>45849</v>
      </c>
      <c r="F1480" s="80" t="s">
        <v>326</v>
      </c>
      <c r="G1480" s="60" t="s">
        <v>40</v>
      </c>
      <c r="H1480" s="80" t="s">
        <v>309</v>
      </c>
      <c r="I1480" s="80" t="s">
        <v>36</v>
      </c>
      <c r="J1480" s="80" t="s">
        <v>454</v>
      </c>
      <c r="K1480" s="80" t="s">
        <v>348</v>
      </c>
      <c r="L1480" s="80" t="s">
        <v>342</v>
      </c>
      <c r="M1480" s="81">
        <v>1</v>
      </c>
      <c r="N1480" s="82">
        <v>60</v>
      </c>
    </row>
    <row r="1481" spans="1:14" x14ac:dyDescent="0.25">
      <c r="A1481" s="10" t="str">
        <f>_xlfn.IFNA(
    IF(J1481=
        "PCB-0001",
        "CSS",
        IF(
            ISNUMBER(MATCH(_xlfn.TEXTBEFORE(J1481,"-"), {"CSS","CSN","PCB","PCF","BEC","CSD","PCM"}, 0)),
            _xlfn.TEXTBEFORE(J1481,"-"),
            "Other"
        )
    ),
"Add")</f>
        <v>PCF</v>
      </c>
      <c r="B1481" s="10" t="str">
        <f t="shared" si="24"/>
        <v>0098</v>
      </c>
      <c r="C1481" s="10" t="str">
        <f>_xlfn.LET(
    _xlpm.val, IF(Datadetails[[#This Row],[Activity]]="D02","C20",Datadetails[[#This Row],[Activity]]),
    IF(ISNUMBER(MATCH(_xlpm.val,{"D04","C30","c40","C20"},0)), _xlpm.val, "Other")
)</f>
        <v>C30</v>
      </c>
      <c r="D1481" s="10" t="str">
        <f>IFERROR(VLOOKUP(Datadetails[[#This Row],[Taskcode]],Dashboard!A:A,1,FALSE),"00 Err Missing")</f>
        <v>0098</v>
      </c>
      <c r="E1481" s="79">
        <v>45849</v>
      </c>
      <c r="F1481" s="80" t="s">
        <v>326</v>
      </c>
      <c r="G1481" s="60" t="s">
        <v>40</v>
      </c>
      <c r="H1481" s="80" t="s">
        <v>265</v>
      </c>
      <c r="I1481" s="80" t="s">
        <v>34</v>
      </c>
      <c r="J1481" s="80" t="s">
        <v>358</v>
      </c>
      <c r="K1481" s="80" t="s">
        <v>348</v>
      </c>
      <c r="L1481" s="80" t="s">
        <v>343</v>
      </c>
      <c r="M1481" s="81">
        <v>1</v>
      </c>
      <c r="N1481" s="82">
        <v>60</v>
      </c>
    </row>
    <row r="1482" spans="1:14" x14ac:dyDescent="0.25">
      <c r="A1482" s="10" t="str">
        <f>_xlfn.IFNA(
    IF(J1482=
        "PCB-0001",
        "CSS",
        IF(
            ISNUMBER(MATCH(_xlfn.TEXTBEFORE(J1482,"-"), {"CSS","CSN","PCB","PCF","BEC","CSD","PCM"}, 0)),
            _xlfn.TEXTBEFORE(J1482,"-"),
            "Other"
        )
    ),
"Add")</f>
        <v>BEC</v>
      </c>
      <c r="B1482" s="10" t="str">
        <f t="shared" si="24"/>
        <v>0001</v>
      </c>
      <c r="C1482" s="10" t="str">
        <f>_xlfn.LET(
    _xlpm.val, IF(Datadetails[[#This Row],[Activity]]="D02","C20",Datadetails[[#This Row],[Activity]]),
    IF(ISNUMBER(MATCH(_xlpm.val,{"D04","C30","c40","C20"},0)), _xlpm.val, "Other")
)</f>
        <v>D04</v>
      </c>
      <c r="D1482" s="10" t="str">
        <f>IFERROR(VLOOKUP(Datadetails[[#This Row],[Taskcode]],Dashboard!A:A,1,FALSE),"00 Err Missing")</f>
        <v>0001</v>
      </c>
      <c r="E1482" s="79">
        <v>45849</v>
      </c>
      <c r="F1482" s="80" t="s">
        <v>332</v>
      </c>
      <c r="G1482" s="60" t="s">
        <v>40</v>
      </c>
      <c r="H1482" s="80" t="s">
        <v>314</v>
      </c>
      <c r="I1482" s="80" t="s">
        <v>35</v>
      </c>
      <c r="J1482" s="80" t="s">
        <v>359</v>
      </c>
      <c r="K1482" s="80" t="s">
        <v>339</v>
      </c>
      <c r="L1482" s="80" t="s">
        <v>352</v>
      </c>
      <c r="M1482" s="81">
        <v>7</v>
      </c>
      <c r="N1482" s="82">
        <v>280</v>
      </c>
    </row>
    <row r="1483" spans="1:14" x14ac:dyDescent="0.25">
      <c r="A1483" s="10" t="str">
        <f>_xlfn.IFNA(
    IF(J1483=
        "PCB-0001",
        "CSS",
        IF(
            ISNUMBER(MATCH(_xlfn.TEXTBEFORE(J1483,"-"), {"CSS","CSN","PCB","PCF","BEC","CSD","PCM"}, 0)),
            _xlfn.TEXTBEFORE(J1483,"-"),
            "Other"
        )
    ),
"Add")</f>
        <v>BEC</v>
      </c>
      <c r="B1483" s="10" t="str">
        <f t="shared" si="24"/>
        <v>0001</v>
      </c>
      <c r="C1483" s="10" t="str">
        <f>_xlfn.LET(
    _xlpm.val, IF(Datadetails[[#This Row],[Activity]]="D02","C20",Datadetails[[#This Row],[Activity]]),
    IF(ISNUMBER(MATCH(_xlpm.val,{"D04","C30","c40","C20"},0)), _xlpm.val, "Other")
)</f>
        <v>D04</v>
      </c>
      <c r="D1483" s="10" t="str">
        <f>IFERROR(VLOOKUP(Datadetails[[#This Row],[Taskcode]],Dashboard!A:A,1,FALSE),"00 Err Missing")</f>
        <v>0001</v>
      </c>
      <c r="E1483" s="79">
        <v>45849</v>
      </c>
      <c r="F1483" s="80" t="s">
        <v>324</v>
      </c>
      <c r="G1483" s="60" t="s">
        <v>40</v>
      </c>
      <c r="H1483" s="80" t="s">
        <v>314</v>
      </c>
      <c r="I1483" s="80" t="s">
        <v>35</v>
      </c>
      <c r="J1483" s="80" t="s">
        <v>359</v>
      </c>
      <c r="K1483" s="80" t="s">
        <v>339</v>
      </c>
      <c r="L1483" s="80" t="s">
        <v>352</v>
      </c>
      <c r="M1483" s="81">
        <v>4.75</v>
      </c>
      <c r="N1483" s="82">
        <v>356.25</v>
      </c>
    </row>
    <row r="1484" spans="1:14" x14ac:dyDescent="0.25">
      <c r="A1484" s="10" t="str">
        <f>_xlfn.IFNA(
    IF(J1484=
        "PCB-0001",
        "CSS",
        IF(
            ISNUMBER(MATCH(_xlfn.TEXTBEFORE(J1484,"-"), {"CSS","CSN","PCB","PCF","BEC","CSD","PCM"}, 0)),
            _xlfn.TEXTBEFORE(J1484,"-"),
            "Other"
        )
    ),
"Add")</f>
        <v>BEC</v>
      </c>
      <c r="B1484" s="10" t="str">
        <f t="shared" si="24"/>
        <v>0001</v>
      </c>
      <c r="C1484" s="10" t="str">
        <f>_xlfn.LET(
    _xlpm.val, IF(Datadetails[[#This Row],[Activity]]="D02","C20",Datadetails[[#This Row],[Activity]]),
    IF(ISNUMBER(MATCH(_xlpm.val,{"D04","C30","c40","C20"},0)), _xlpm.val, "Other")
)</f>
        <v>D04</v>
      </c>
      <c r="D1484" s="10" t="str">
        <f>IFERROR(VLOOKUP(Datadetails[[#This Row],[Taskcode]],Dashboard!A:A,1,FALSE),"00 Err Missing")</f>
        <v>0001</v>
      </c>
      <c r="E1484" s="79">
        <v>45850</v>
      </c>
      <c r="F1484" s="80" t="s">
        <v>332</v>
      </c>
      <c r="G1484" s="60" t="s">
        <v>40</v>
      </c>
      <c r="H1484" s="80" t="s">
        <v>314</v>
      </c>
      <c r="I1484" s="80" t="s">
        <v>35</v>
      </c>
      <c r="J1484" s="80" t="s">
        <v>359</v>
      </c>
      <c r="K1484" s="80" t="s">
        <v>339</v>
      </c>
      <c r="L1484" s="80" t="s">
        <v>352</v>
      </c>
      <c r="M1484" s="81">
        <v>3</v>
      </c>
      <c r="N1484" s="82">
        <v>120</v>
      </c>
    </row>
    <row r="1485" spans="1:14" x14ac:dyDescent="0.25">
      <c r="A1485" s="10" t="str">
        <f>_xlfn.IFNA(
    IF(J1485=
        "PCB-0001",
        "CSS",
        IF(
            ISNUMBER(MATCH(_xlfn.TEXTBEFORE(J1485,"-"), {"CSS","CSN","PCB","PCF","BEC","CSD","PCM"}, 0)),
            _xlfn.TEXTBEFORE(J1485,"-"),
            "Other"
        )
    ),
"Add")</f>
        <v>PCB</v>
      </c>
      <c r="B1485" s="10" t="str">
        <f t="shared" si="24"/>
        <v>0057</v>
      </c>
      <c r="C1485" s="10" t="str">
        <f>_xlfn.LET(
    _xlpm.val, IF(Datadetails[[#This Row],[Activity]]="D02","C20",Datadetails[[#This Row],[Activity]]),
    IF(ISNUMBER(MATCH(_xlpm.val,{"D04","C30","c40","C20"},0)), _xlpm.val, "Other")
)</f>
        <v>C40</v>
      </c>
      <c r="D1485" s="10" t="str">
        <f>IFERROR(VLOOKUP(Datadetails[[#This Row],[Taskcode]],Dashboard!A:A,1,FALSE),"00 Err Missing")</f>
        <v>0057</v>
      </c>
      <c r="E1485" s="79">
        <v>45852</v>
      </c>
      <c r="F1485" s="80" t="s">
        <v>325</v>
      </c>
      <c r="G1485" s="60" t="s">
        <v>40</v>
      </c>
      <c r="H1485" s="80" t="s">
        <v>224</v>
      </c>
      <c r="I1485" s="80" t="s">
        <v>341</v>
      </c>
      <c r="J1485" s="80" t="s">
        <v>423</v>
      </c>
      <c r="K1485" s="80" t="s">
        <v>347</v>
      </c>
      <c r="L1485" s="80" t="s">
        <v>344</v>
      </c>
      <c r="M1485" s="81">
        <v>1.58</v>
      </c>
      <c r="N1485" s="82">
        <v>118.5</v>
      </c>
    </row>
    <row r="1486" spans="1:14" x14ac:dyDescent="0.25">
      <c r="A1486" s="10" t="str">
        <f>_xlfn.IFNA(
    IF(J1486=
        "PCB-0001",
        "CSS",
        IF(
            ISNUMBER(MATCH(_xlfn.TEXTBEFORE(J1486,"-"), {"CSS","CSN","PCB","PCF","BEC","CSD","PCM"}, 0)),
            _xlfn.TEXTBEFORE(J1486,"-"),
            "Other"
        )
    ),
"Add")</f>
        <v>PCB</v>
      </c>
      <c r="B1486" s="10" t="str">
        <f t="shared" si="24"/>
        <v>0058</v>
      </c>
      <c r="C1486" s="10" t="str">
        <f>_xlfn.LET(
    _xlpm.val, IF(Datadetails[[#This Row],[Activity]]="D02","C20",Datadetails[[#This Row],[Activity]]),
    IF(ISNUMBER(MATCH(_xlpm.val,{"D04","C30","c40","C20"},0)), _xlpm.val, "Other")
)</f>
        <v>C40</v>
      </c>
      <c r="D1486" s="10" t="str">
        <f>IFERROR(VLOOKUP(Datadetails[[#This Row],[Taskcode]],Dashboard!A:A,1,FALSE),"00 Err Missing")</f>
        <v>0058</v>
      </c>
      <c r="E1486" s="79">
        <v>45852</v>
      </c>
      <c r="F1486" s="80" t="s">
        <v>330</v>
      </c>
      <c r="G1486" s="60" t="s">
        <v>40</v>
      </c>
      <c r="H1486" s="80" t="s">
        <v>225</v>
      </c>
      <c r="I1486" s="80" t="s">
        <v>341</v>
      </c>
      <c r="J1486" s="80" t="s">
        <v>365</v>
      </c>
      <c r="K1486" s="80" t="s">
        <v>347</v>
      </c>
      <c r="L1486" s="80" t="s">
        <v>344</v>
      </c>
      <c r="M1486" s="81">
        <v>2</v>
      </c>
      <c r="N1486" s="82">
        <v>120</v>
      </c>
    </row>
    <row r="1487" spans="1:14" x14ac:dyDescent="0.25">
      <c r="A1487" s="10" t="str">
        <f>_xlfn.IFNA(
    IF(J1487=
        "PCB-0001",
        "CSS",
        IF(
            ISNUMBER(MATCH(_xlfn.TEXTBEFORE(J1487,"-"), {"CSS","CSN","PCB","PCF","BEC","CSD","PCM"}, 0)),
            _xlfn.TEXTBEFORE(J1487,"-"),
            "Other"
        )
    ),
"Add")</f>
        <v>PCB</v>
      </c>
      <c r="B1487" s="10" t="str">
        <f t="shared" si="24"/>
        <v>0028</v>
      </c>
      <c r="C1487" s="10" t="str">
        <f>_xlfn.LET(
    _xlpm.val, IF(Datadetails[[#This Row],[Activity]]="D02","C20",Datadetails[[#This Row],[Activity]]),
    IF(ISNUMBER(MATCH(_xlpm.val,{"D04","C30","c40","C20"},0)), _xlpm.val, "Other")
)</f>
        <v>C40</v>
      </c>
      <c r="D1487" s="10" t="str">
        <f>IFERROR(VLOOKUP(Datadetails[[#This Row],[Taskcode]],Dashboard!A:A,1,FALSE),"00 Err Missing")</f>
        <v>0028</v>
      </c>
      <c r="E1487" s="79">
        <v>45852</v>
      </c>
      <c r="F1487" s="80" t="s">
        <v>330</v>
      </c>
      <c r="G1487" s="60" t="s">
        <v>40</v>
      </c>
      <c r="H1487" s="80" t="s">
        <v>195</v>
      </c>
      <c r="I1487" s="80" t="s">
        <v>341</v>
      </c>
      <c r="J1487" s="80" t="s">
        <v>449</v>
      </c>
      <c r="K1487" s="80" t="s">
        <v>347</v>
      </c>
      <c r="L1487" s="80" t="s">
        <v>344</v>
      </c>
      <c r="M1487" s="81">
        <v>1.5</v>
      </c>
      <c r="N1487" s="82">
        <v>90</v>
      </c>
    </row>
    <row r="1488" spans="1:14" x14ac:dyDescent="0.25">
      <c r="A1488" s="10" t="str">
        <f>_xlfn.IFNA(
    IF(J1488=
        "PCB-0001",
        "CSS",
        IF(
            ISNUMBER(MATCH(_xlfn.TEXTBEFORE(J1488,"-"), {"CSS","CSN","PCB","PCF","BEC","CSD","PCM"}, 0)),
            _xlfn.TEXTBEFORE(J1488,"-"),
            "Other"
        )
    ),
"Add")</f>
        <v>CSD</v>
      </c>
      <c r="B1488" s="10" t="str">
        <f t="shared" si="24"/>
        <v>0001</v>
      </c>
      <c r="C1488" s="10" t="str">
        <f>_xlfn.LET(
    _xlpm.val, IF(Datadetails[[#This Row],[Activity]]="D02","C20",Datadetails[[#This Row],[Activity]]),
    IF(ISNUMBER(MATCH(_xlpm.val,{"D04","C30","c40","C20"},0)), _xlpm.val, "Other")
)</f>
        <v>D04</v>
      </c>
      <c r="D1488" s="10" t="str">
        <f>IFERROR(VLOOKUP(Datadetails[[#This Row],[Taskcode]],Dashboard!A:A,1,FALSE),"00 Err Missing")</f>
        <v>0001</v>
      </c>
      <c r="E1488" s="79">
        <v>45852</v>
      </c>
      <c r="F1488" s="80" t="s">
        <v>333</v>
      </c>
      <c r="G1488" s="60" t="s">
        <v>40</v>
      </c>
      <c r="H1488" s="80" t="s">
        <v>320</v>
      </c>
      <c r="I1488" s="80" t="s">
        <v>35</v>
      </c>
      <c r="J1488" s="80" t="s">
        <v>322</v>
      </c>
      <c r="K1488" s="80" t="s">
        <v>319</v>
      </c>
      <c r="L1488" s="80" t="s">
        <v>352</v>
      </c>
      <c r="M1488" s="81">
        <v>7.58</v>
      </c>
      <c r="N1488" s="82">
        <v>242.56</v>
      </c>
    </row>
    <row r="1489" spans="1:14" x14ac:dyDescent="0.25">
      <c r="A1489" s="10" t="str">
        <f>_xlfn.IFNA(
    IF(J1489=
        "PCB-0001",
        "CSS",
        IF(
            ISNUMBER(MATCH(_xlfn.TEXTBEFORE(J1489,"-"), {"CSS","CSN","PCB","PCF","BEC","CSD","PCM"}, 0)),
            _xlfn.TEXTBEFORE(J1489,"-"),
            "Other"
        )
    ),
"Add")</f>
        <v>CSD</v>
      </c>
      <c r="B1489" s="10" t="str">
        <f t="shared" si="24"/>
        <v>0001</v>
      </c>
      <c r="C1489" s="10" t="str">
        <f>_xlfn.LET(
    _xlpm.val, IF(Datadetails[[#This Row],[Activity]]="D02","C20",Datadetails[[#This Row],[Activity]]),
    IF(ISNUMBER(MATCH(_xlpm.val,{"D04","C30","c40","C20"},0)), _xlpm.val, "Other")
)</f>
        <v>D04</v>
      </c>
      <c r="D1489" s="10" t="str">
        <f>IFERROR(VLOOKUP(Datadetails[[#This Row],[Taskcode]],Dashboard!A:A,1,FALSE),"00 Err Missing")</f>
        <v>0001</v>
      </c>
      <c r="E1489" s="79">
        <v>45852</v>
      </c>
      <c r="F1489" s="80" t="s">
        <v>327</v>
      </c>
      <c r="G1489" s="60" t="s">
        <v>40</v>
      </c>
      <c r="H1489" s="80" t="s">
        <v>320</v>
      </c>
      <c r="I1489" s="80" t="s">
        <v>35</v>
      </c>
      <c r="J1489" s="80" t="s">
        <v>322</v>
      </c>
      <c r="K1489" s="80" t="s">
        <v>319</v>
      </c>
      <c r="L1489" s="80" t="s">
        <v>352</v>
      </c>
      <c r="M1489" s="81">
        <v>7.42</v>
      </c>
      <c r="N1489" s="82">
        <v>237.44</v>
      </c>
    </row>
    <row r="1490" spans="1:14" x14ac:dyDescent="0.25">
      <c r="A1490" s="10" t="str">
        <f>_xlfn.IFNA(
    IF(J1490=
        "PCB-0001",
        "CSS",
        IF(
            ISNUMBER(MATCH(_xlfn.TEXTBEFORE(J1490,"-"), {"CSS","CSN","PCB","PCF","BEC","CSD","PCM"}, 0)),
            _xlfn.TEXTBEFORE(J1490,"-"),
            "Other"
        )
    ),
"Add")</f>
        <v>PCB</v>
      </c>
      <c r="B1490" s="10" t="str">
        <f t="shared" si="24"/>
        <v>0058</v>
      </c>
      <c r="C1490" s="10" t="str">
        <f>_xlfn.LET(
    _xlpm.val, IF(Datadetails[[#This Row],[Activity]]="D02","C20",Datadetails[[#This Row],[Activity]]),
    IF(ISNUMBER(MATCH(_xlpm.val,{"D04","C30","c40","C20"},0)), _xlpm.val, "Other")
)</f>
        <v>C20</v>
      </c>
      <c r="D1490" s="10" t="str">
        <f>IFERROR(VLOOKUP(Datadetails[[#This Row],[Taskcode]],Dashboard!A:A,1,FALSE),"00 Err Missing")</f>
        <v>0058</v>
      </c>
      <c r="E1490" s="79">
        <v>45852</v>
      </c>
      <c r="F1490" s="80" t="s">
        <v>330</v>
      </c>
      <c r="G1490" s="60" t="s">
        <v>40</v>
      </c>
      <c r="H1490" s="80" t="s">
        <v>225</v>
      </c>
      <c r="I1490" s="80" t="s">
        <v>36</v>
      </c>
      <c r="J1490" s="80" t="s">
        <v>365</v>
      </c>
      <c r="K1490" s="80" t="s">
        <v>347</v>
      </c>
      <c r="L1490" s="80" t="s">
        <v>342</v>
      </c>
      <c r="M1490" s="81">
        <v>0.25</v>
      </c>
      <c r="N1490" s="82">
        <v>15</v>
      </c>
    </row>
    <row r="1491" spans="1:14" x14ac:dyDescent="0.25">
      <c r="A1491" s="10" t="str">
        <f>_xlfn.IFNA(
    IF(J1491=
        "PCB-0001",
        "CSS",
        IF(
            ISNUMBER(MATCH(_xlfn.TEXTBEFORE(J1491,"-"), {"CSS","CSN","PCB","PCF","BEC","CSD","PCM"}, 0)),
            _xlfn.TEXTBEFORE(J1491,"-"),
            "Other"
        )
    ),
"Add")</f>
        <v>PCB</v>
      </c>
      <c r="B1491" s="10" t="str">
        <f t="shared" si="24"/>
        <v>0028</v>
      </c>
      <c r="C1491" s="10" t="str">
        <f>_xlfn.LET(
    _xlpm.val, IF(Datadetails[[#This Row],[Activity]]="D02","C20",Datadetails[[#This Row],[Activity]]),
    IF(ISNUMBER(MATCH(_xlpm.val,{"D04","C30","c40","C20"},0)), _xlpm.val, "Other")
)</f>
        <v>C30</v>
      </c>
      <c r="D1491" s="10" t="str">
        <f>IFERROR(VLOOKUP(Datadetails[[#This Row],[Taskcode]],Dashboard!A:A,1,FALSE),"00 Err Missing")</f>
        <v>0028</v>
      </c>
      <c r="E1491" s="79">
        <v>45852</v>
      </c>
      <c r="F1491" s="80" t="s">
        <v>330</v>
      </c>
      <c r="G1491" s="60" t="s">
        <v>40</v>
      </c>
      <c r="H1491" s="80" t="s">
        <v>195</v>
      </c>
      <c r="I1491" s="80" t="s">
        <v>34</v>
      </c>
      <c r="J1491" s="80" t="s">
        <v>449</v>
      </c>
      <c r="K1491" s="80" t="s">
        <v>347</v>
      </c>
      <c r="L1491" s="80" t="s">
        <v>343</v>
      </c>
      <c r="M1491" s="81">
        <v>0.25</v>
      </c>
      <c r="N1491" s="82">
        <v>15</v>
      </c>
    </row>
    <row r="1492" spans="1:14" x14ac:dyDescent="0.25">
      <c r="A1492" s="10" t="str">
        <f>_xlfn.IFNA(
    IF(J1492=
        "PCB-0001",
        "CSS",
        IF(
            ISNUMBER(MATCH(_xlfn.TEXTBEFORE(J1492,"-"), {"CSS","CSN","PCB","PCF","BEC","CSD","PCM"}, 0)),
            _xlfn.TEXTBEFORE(J1492,"-"),
            "Other"
        )
    ),
"Add")</f>
        <v>PCB</v>
      </c>
      <c r="B1492" s="10" t="str">
        <f t="shared" si="24"/>
        <v>0137</v>
      </c>
      <c r="C1492" s="10" t="str">
        <f>_xlfn.LET(
    _xlpm.val, IF(Datadetails[[#This Row],[Activity]]="D02","C20",Datadetails[[#This Row],[Activity]]),
    IF(ISNUMBER(MATCH(_xlpm.val,{"D04","C30","c40","C20"},0)), _xlpm.val, "Other")
)</f>
        <v>C30</v>
      </c>
      <c r="D1492" s="10" t="str">
        <f>IFERROR(VLOOKUP(Datadetails[[#This Row],[Taskcode]],Dashboard!A:A,1,FALSE),"00 Err Missing")</f>
        <v>0137</v>
      </c>
      <c r="E1492" s="79">
        <v>45852</v>
      </c>
      <c r="F1492" s="80" t="s">
        <v>325</v>
      </c>
      <c r="G1492" s="60" t="s">
        <v>40</v>
      </c>
      <c r="H1492" s="80" t="s">
        <v>304</v>
      </c>
      <c r="I1492" s="80" t="s">
        <v>34</v>
      </c>
      <c r="J1492" s="80" t="s">
        <v>372</v>
      </c>
      <c r="K1492" s="80" t="s">
        <v>347</v>
      </c>
      <c r="L1492" s="80" t="s">
        <v>343</v>
      </c>
      <c r="M1492" s="81">
        <v>0.17</v>
      </c>
      <c r="N1492" s="82">
        <v>12.750000000000002</v>
      </c>
    </row>
    <row r="1493" spans="1:14" x14ac:dyDescent="0.25">
      <c r="A1493" s="10" t="str">
        <f>_xlfn.IFNA(
    IF(J1493=
        "PCB-0001",
        "CSS",
        IF(
            ISNUMBER(MATCH(_xlfn.TEXTBEFORE(J1493,"-"), {"CSS","CSN","PCB","PCF","BEC","CSD","PCM"}, 0)),
            _xlfn.TEXTBEFORE(J1493,"-"),
            "Other"
        )
    ),
"Add")</f>
        <v>PCB</v>
      </c>
      <c r="B1493" s="10" t="str">
        <f t="shared" si="24"/>
        <v>0137</v>
      </c>
      <c r="C1493" s="10" t="str">
        <f>_xlfn.LET(
    _xlpm.val, IF(Datadetails[[#This Row],[Activity]]="D02","C20",Datadetails[[#This Row],[Activity]]),
    IF(ISNUMBER(MATCH(_xlpm.val,{"D04","C30","c40","C20"},0)), _xlpm.val, "Other")
)</f>
        <v>C30</v>
      </c>
      <c r="D1493" s="10" t="str">
        <f>IFERROR(VLOOKUP(Datadetails[[#This Row],[Taskcode]],Dashboard!A:A,1,FALSE),"00 Err Missing")</f>
        <v>0137</v>
      </c>
      <c r="E1493" s="79">
        <v>45852</v>
      </c>
      <c r="F1493" s="80" t="s">
        <v>325</v>
      </c>
      <c r="G1493" s="60" t="s">
        <v>40</v>
      </c>
      <c r="H1493" s="80" t="s">
        <v>304</v>
      </c>
      <c r="I1493" s="80" t="s">
        <v>34</v>
      </c>
      <c r="J1493" s="80" t="s">
        <v>372</v>
      </c>
      <c r="K1493" s="80" t="s">
        <v>347</v>
      </c>
      <c r="L1493" s="80" t="s">
        <v>343</v>
      </c>
      <c r="M1493" s="81">
        <v>0.17</v>
      </c>
      <c r="N1493" s="82">
        <v>12.750000000000002</v>
      </c>
    </row>
    <row r="1494" spans="1:14" x14ac:dyDescent="0.25">
      <c r="A1494" s="10" t="str">
        <f>_xlfn.IFNA(
    IF(J1494=
        "PCB-0001",
        "CSS",
        IF(
            ISNUMBER(MATCH(_xlfn.TEXTBEFORE(J1494,"-"), {"CSS","CSN","PCB","PCF","BEC","CSD","PCM"}, 0)),
            _xlfn.TEXTBEFORE(J1494,"-"),
            "Other"
        )
    ),
"Add")</f>
        <v>PCB</v>
      </c>
      <c r="B1494" s="10" t="str">
        <f t="shared" si="24"/>
        <v>0057</v>
      </c>
      <c r="C1494" s="10" t="str">
        <f>_xlfn.LET(
    _xlpm.val, IF(Datadetails[[#This Row],[Activity]]="D02","C20",Datadetails[[#This Row],[Activity]]),
    IF(ISNUMBER(MATCH(_xlpm.val,{"D04","C30","c40","C20"},0)), _xlpm.val, "Other")
)</f>
        <v>C30</v>
      </c>
      <c r="D1494" s="10" t="str">
        <f>IFERROR(VLOOKUP(Datadetails[[#This Row],[Taskcode]],Dashboard!A:A,1,FALSE),"00 Err Missing")</f>
        <v>0057</v>
      </c>
      <c r="E1494" s="79">
        <v>45852</v>
      </c>
      <c r="F1494" s="80" t="s">
        <v>325</v>
      </c>
      <c r="G1494" s="60" t="s">
        <v>40</v>
      </c>
      <c r="H1494" s="80" t="s">
        <v>224</v>
      </c>
      <c r="I1494" s="80" t="s">
        <v>34</v>
      </c>
      <c r="J1494" s="80" t="s">
        <v>423</v>
      </c>
      <c r="K1494" s="80" t="s">
        <v>347</v>
      </c>
      <c r="L1494" s="80" t="s">
        <v>343</v>
      </c>
      <c r="M1494" s="81">
        <v>0.17</v>
      </c>
      <c r="N1494" s="82">
        <v>12.750000000000002</v>
      </c>
    </row>
    <row r="1495" spans="1:14" x14ac:dyDescent="0.25">
      <c r="A1495" s="10" t="str">
        <f>_xlfn.IFNA(
    IF(J1495=
        "PCB-0001",
        "CSS",
        IF(
            ISNUMBER(MATCH(_xlfn.TEXTBEFORE(J1495,"-"), {"CSS","CSN","PCB","PCF","BEC","CSD","PCM"}, 0)),
            _xlfn.TEXTBEFORE(J1495,"-"),
            "Other"
        )
    ),
"Add")</f>
        <v>PCB</v>
      </c>
      <c r="B1495" s="10" t="str">
        <f t="shared" si="24"/>
        <v>0123</v>
      </c>
      <c r="C1495" s="10" t="str">
        <f>_xlfn.LET(
    _xlpm.val, IF(Datadetails[[#This Row],[Activity]]="D02","C20",Datadetails[[#This Row],[Activity]]),
    IF(ISNUMBER(MATCH(_xlpm.val,{"D04","C30","c40","C20"},0)), _xlpm.val, "Other")
)</f>
        <v>C30</v>
      </c>
      <c r="D1495" s="10" t="str">
        <f>IFERROR(VLOOKUP(Datadetails[[#This Row],[Taskcode]],Dashboard!A:A,1,FALSE),"00 Err Missing")</f>
        <v>0123</v>
      </c>
      <c r="E1495" s="79">
        <v>45852</v>
      </c>
      <c r="F1495" s="80" t="s">
        <v>325</v>
      </c>
      <c r="G1495" s="60" t="s">
        <v>40</v>
      </c>
      <c r="H1495" s="80" t="s">
        <v>290</v>
      </c>
      <c r="I1495" s="80" t="s">
        <v>34</v>
      </c>
      <c r="J1495" s="80" t="s">
        <v>428</v>
      </c>
      <c r="K1495" s="80" t="s">
        <v>347</v>
      </c>
      <c r="L1495" s="80" t="s">
        <v>343</v>
      </c>
      <c r="M1495" s="81">
        <v>0.17</v>
      </c>
      <c r="N1495" s="82">
        <v>12.750000000000002</v>
      </c>
    </row>
    <row r="1496" spans="1:14" x14ac:dyDescent="0.25">
      <c r="A1496" s="10" t="str">
        <f>_xlfn.IFNA(
    IF(J1496=
        "PCB-0001",
        "CSS",
        IF(
            ISNUMBER(MATCH(_xlfn.TEXTBEFORE(J1496,"-"), {"CSS","CSN","PCB","PCF","BEC","CSD","PCM"}, 0)),
            _xlfn.TEXTBEFORE(J1496,"-"),
            "Other"
        )
    ),
"Add")</f>
        <v>PCB</v>
      </c>
      <c r="B1496" s="10" t="str">
        <f t="shared" si="24"/>
        <v>0087</v>
      </c>
      <c r="C1496" s="10" t="str">
        <f>_xlfn.LET(
    _xlpm.val, IF(Datadetails[[#This Row],[Activity]]="D02","C20",Datadetails[[#This Row],[Activity]]),
    IF(ISNUMBER(MATCH(_xlpm.val,{"D04","C30","c40","C20"},0)), _xlpm.val, "Other")
)</f>
        <v>C30</v>
      </c>
      <c r="D1496" s="10" t="str">
        <f>IFERROR(VLOOKUP(Datadetails[[#This Row],[Taskcode]],Dashboard!A:A,1,FALSE),"00 Err Missing")</f>
        <v>0087</v>
      </c>
      <c r="E1496" s="79">
        <v>45852</v>
      </c>
      <c r="F1496" s="80" t="s">
        <v>325</v>
      </c>
      <c r="G1496" s="60" t="s">
        <v>40</v>
      </c>
      <c r="H1496" s="80" t="s">
        <v>254</v>
      </c>
      <c r="I1496" s="80" t="s">
        <v>34</v>
      </c>
      <c r="J1496" s="80" t="s">
        <v>441</v>
      </c>
      <c r="K1496" s="80" t="s">
        <v>347</v>
      </c>
      <c r="L1496" s="80" t="s">
        <v>343</v>
      </c>
      <c r="M1496" s="81">
        <v>0.17</v>
      </c>
      <c r="N1496" s="82">
        <v>12.750000000000002</v>
      </c>
    </row>
    <row r="1497" spans="1:14" x14ac:dyDescent="0.25">
      <c r="A1497" s="10" t="str">
        <f>_xlfn.IFNA(
    IF(J1497=
        "PCB-0001",
        "CSS",
        IF(
            ISNUMBER(MATCH(_xlfn.TEXTBEFORE(J1497,"-"), {"CSS","CSN","PCB","PCF","BEC","CSD","PCM"}, 0)),
            _xlfn.TEXTBEFORE(J1497,"-"),
            "Other"
        )
    ),
"Add")</f>
        <v>PCB</v>
      </c>
      <c r="B1497" s="10" t="str">
        <f t="shared" si="24"/>
        <v>0082</v>
      </c>
      <c r="C1497" s="10" t="str">
        <f>_xlfn.LET(
    _xlpm.val, IF(Datadetails[[#This Row],[Activity]]="D02","C20",Datadetails[[#This Row],[Activity]]),
    IF(ISNUMBER(MATCH(_xlpm.val,{"D04","C30","c40","C20"},0)), _xlpm.val, "Other")
)</f>
        <v>C30</v>
      </c>
      <c r="D1497" s="10" t="str">
        <f>IFERROR(VLOOKUP(Datadetails[[#This Row],[Taskcode]],Dashboard!A:A,1,FALSE),"00 Err Missing")</f>
        <v>0082</v>
      </c>
      <c r="E1497" s="79">
        <v>45852</v>
      </c>
      <c r="F1497" s="80" t="s">
        <v>325</v>
      </c>
      <c r="G1497" s="60" t="s">
        <v>40</v>
      </c>
      <c r="H1497" s="80" t="s">
        <v>249</v>
      </c>
      <c r="I1497" s="80" t="s">
        <v>34</v>
      </c>
      <c r="J1497" s="80" t="s">
        <v>409</v>
      </c>
      <c r="K1497" s="80" t="s">
        <v>347</v>
      </c>
      <c r="L1497" s="80" t="s">
        <v>343</v>
      </c>
      <c r="M1497" s="81">
        <v>0.25</v>
      </c>
      <c r="N1497" s="82">
        <v>18.75</v>
      </c>
    </row>
    <row r="1498" spans="1:14" x14ac:dyDescent="0.25">
      <c r="A1498" s="10" t="str">
        <f>_xlfn.IFNA(
    IF(J1498=
        "PCB-0001",
        "CSS",
        IF(
            ISNUMBER(MATCH(_xlfn.TEXTBEFORE(J1498,"-"), {"CSS","CSN","PCB","PCF","BEC","CSD","PCM"}, 0)),
            _xlfn.TEXTBEFORE(J1498,"-"),
            "Other"
        )
    ),
"Add")</f>
        <v>PCB</v>
      </c>
      <c r="B1498" s="10" t="str">
        <f t="shared" si="24"/>
        <v>0111</v>
      </c>
      <c r="C1498" s="10" t="str">
        <f>_xlfn.LET(
    _xlpm.val, IF(Datadetails[[#This Row],[Activity]]="D02","C20",Datadetails[[#This Row],[Activity]]),
    IF(ISNUMBER(MATCH(_xlpm.val,{"D04","C30","c40","C20"},0)), _xlpm.val, "Other")
)</f>
        <v>C30</v>
      </c>
      <c r="D1498" s="10" t="str">
        <f>IFERROR(VLOOKUP(Datadetails[[#This Row],[Taskcode]],Dashboard!A:A,1,FALSE),"00 Err Missing")</f>
        <v>0111</v>
      </c>
      <c r="E1498" s="79">
        <v>45852</v>
      </c>
      <c r="F1498" s="80" t="s">
        <v>325</v>
      </c>
      <c r="G1498" s="60" t="s">
        <v>40</v>
      </c>
      <c r="H1498" s="80" t="s">
        <v>278</v>
      </c>
      <c r="I1498" s="80" t="s">
        <v>34</v>
      </c>
      <c r="J1498" s="80" t="s">
        <v>452</v>
      </c>
      <c r="K1498" s="80" t="s">
        <v>347</v>
      </c>
      <c r="L1498" s="80" t="s">
        <v>343</v>
      </c>
      <c r="M1498" s="81">
        <v>0.17</v>
      </c>
      <c r="N1498" s="82">
        <v>12.750000000000002</v>
      </c>
    </row>
    <row r="1499" spans="1:14" x14ac:dyDescent="0.25">
      <c r="A1499" s="10" t="str">
        <f>_xlfn.IFNA(
    IF(J1499=
        "PCB-0001",
        "CSS",
        IF(
            ISNUMBER(MATCH(_xlfn.TEXTBEFORE(J1499,"-"), {"CSS","CSN","PCB","PCF","BEC","CSD","PCM"}, 0)),
            _xlfn.TEXTBEFORE(J1499,"-"),
            "Other"
        )
    ),
"Add")</f>
        <v>PCB</v>
      </c>
      <c r="B1499" s="10" t="str">
        <f t="shared" si="24"/>
        <v>0110</v>
      </c>
      <c r="C1499" s="10" t="str">
        <f>_xlfn.LET(
    _xlpm.val, IF(Datadetails[[#This Row],[Activity]]="D02","C20",Datadetails[[#This Row],[Activity]]),
    IF(ISNUMBER(MATCH(_xlpm.val,{"D04","C30","c40","C20"},0)), _xlpm.val, "Other")
)</f>
        <v>C30</v>
      </c>
      <c r="D1499" s="10" t="str">
        <f>IFERROR(VLOOKUP(Datadetails[[#This Row],[Taskcode]],Dashboard!A:A,1,FALSE),"00 Err Missing")</f>
        <v>0110</v>
      </c>
      <c r="E1499" s="79">
        <v>45852</v>
      </c>
      <c r="F1499" s="80" t="s">
        <v>325</v>
      </c>
      <c r="G1499" s="60" t="s">
        <v>40</v>
      </c>
      <c r="H1499" s="80" t="s">
        <v>277</v>
      </c>
      <c r="I1499" s="80" t="s">
        <v>34</v>
      </c>
      <c r="J1499" s="80" t="s">
        <v>353</v>
      </c>
      <c r="K1499" s="80" t="s">
        <v>347</v>
      </c>
      <c r="L1499" s="80" t="s">
        <v>343</v>
      </c>
      <c r="M1499" s="81">
        <v>0.17</v>
      </c>
      <c r="N1499" s="82">
        <v>12.750000000000002</v>
      </c>
    </row>
    <row r="1500" spans="1:14" x14ac:dyDescent="0.25">
      <c r="A1500" s="10" t="str">
        <f>_xlfn.IFNA(
    IF(J1500=
        "PCB-0001",
        "CSS",
        IF(
            ISNUMBER(MATCH(_xlfn.TEXTBEFORE(J1500,"-"), {"CSS","CSN","PCB","PCF","BEC","CSD","PCM"}, 0)),
            _xlfn.TEXTBEFORE(J1500,"-"),
            "Other"
        )
    ),
"Add")</f>
        <v>PCB</v>
      </c>
      <c r="B1500" s="10" t="str">
        <f t="shared" si="24"/>
        <v>0087</v>
      </c>
      <c r="C1500" s="10" t="str">
        <f>_xlfn.LET(
    _xlpm.val, IF(Datadetails[[#This Row],[Activity]]="D02","C20",Datadetails[[#This Row],[Activity]]),
    IF(ISNUMBER(MATCH(_xlpm.val,{"D04","C30","c40","C20"},0)), _xlpm.val, "Other")
)</f>
        <v>C40</v>
      </c>
      <c r="D1500" s="10" t="str">
        <f>IFERROR(VLOOKUP(Datadetails[[#This Row],[Taskcode]],Dashboard!A:A,1,FALSE),"00 Err Missing")</f>
        <v>0087</v>
      </c>
      <c r="E1500" s="79">
        <v>45852</v>
      </c>
      <c r="F1500" s="80" t="s">
        <v>325</v>
      </c>
      <c r="G1500" s="60" t="s">
        <v>40</v>
      </c>
      <c r="H1500" s="80" t="s">
        <v>254</v>
      </c>
      <c r="I1500" s="80" t="s">
        <v>341</v>
      </c>
      <c r="J1500" s="80" t="s">
        <v>441</v>
      </c>
      <c r="K1500" s="80" t="s">
        <v>347</v>
      </c>
      <c r="L1500" s="80" t="s">
        <v>344</v>
      </c>
      <c r="M1500" s="81">
        <v>1.58</v>
      </c>
      <c r="N1500" s="82">
        <v>118.5</v>
      </c>
    </row>
    <row r="1501" spans="1:14" x14ac:dyDescent="0.25">
      <c r="A1501" s="10" t="str">
        <f>_xlfn.IFNA(
    IF(J1501=
        "PCB-0001",
        "CSS",
        IF(
            ISNUMBER(MATCH(_xlfn.TEXTBEFORE(J1501,"-"), {"CSS","CSN","PCB","PCF","BEC","CSD","PCM"}, 0)),
            _xlfn.TEXTBEFORE(J1501,"-"),
            "Other"
        )
    ),
"Add")</f>
        <v>BEC</v>
      </c>
      <c r="B1501" s="10" t="str">
        <f t="shared" si="24"/>
        <v>0001</v>
      </c>
      <c r="C1501" s="10" t="str">
        <f>_xlfn.LET(
    _xlpm.val, IF(Datadetails[[#This Row],[Activity]]="D02","C20",Datadetails[[#This Row],[Activity]]),
    IF(ISNUMBER(MATCH(_xlpm.val,{"D04","C30","c40","C20"},0)), _xlpm.val, "Other")
)</f>
        <v>D04</v>
      </c>
      <c r="D1501" s="10" t="str">
        <f>IFERROR(VLOOKUP(Datadetails[[#This Row],[Taskcode]],Dashboard!A:A,1,FALSE),"00 Err Missing")</f>
        <v>0001</v>
      </c>
      <c r="E1501" s="79">
        <v>45852</v>
      </c>
      <c r="F1501" s="80" t="s">
        <v>332</v>
      </c>
      <c r="G1501" s="60" t="s">
        <v>40</v>
      </c>
      <c r="H1501" s="80" t="s">
        <v>314</v>
      </c>
      <c r="I1501" s="80" t="s">
        <v>35</v>
      </c>
      <c r="J1501" s="80" t="s">
        <v>359</v>
      </c>
      <c r="K1501" s="80" t="s">
        <v>339</v>
      </c>
      <c r="L1501" s="80" t="s">
        <v>352</v>
      </c>
      <c r="M1501" s="81">
        <v>8.17</v>
      </c>
      <c r="N1501" s="82">
        <v>326.8</v>
      </c>
    </row>
    <row r="1502" spans="1:14" x14ac:dyDescent="0.25">
      <c r="A1502" s="10" t="str">
        <f>_xlfn.IFNA(
    IF(J1502=
        "PCB-0001",
        "CSS",
        IF(
            ISNUMBER(MATCH(_xlfn.TEXTBEFORE(J1502,"-"), {"CSS","CSN","PCB","PCF","BEC","CSD","PCM"}, 0)),
            _xlfn.TEXTBEFORE(J1502,"-"),
            "Other"
        )
    ),
"Add")</f>
        <v>BEC</v>
      </c>
      <c r="B1502" s="10" t="str">
        <f t="shared" si="24"/>
        <v>0001</v>
      </c>
      <c r="C1502" s="10" t="str">
        <f>_xlfn.LET(
    _xlpm.val, IF(Datadetails[[#This Row],[Activity]]="D02","C20",Datadetails[[#This Row],[Activity]]),
    IF(ISNUMBER(MATCH(_xlpm.val,{"D04","C30","c40","C20"},0)), _xlpm.val, "Other")
)</f>
        <v>D04</v>
      </c>
      <c r="D1502" s="10" t="str">
        <f>IFERROR(VLOOKUP(Datadetails[[#This Row],[Taskcode]],Dashboard!A:A,1,FALSE),"00 Err Missing")</f>
        <v>0001</v>
      </c>
      <c r="E1502" s="79">
        <v>45852</v>
      </c>
      <c r="F1502" s="80" t="s">
        <v>324</v>
      </c>
      <c r="G1502" s="60" t="s">
        <v>40</v>
      </c>
      <c r="H1502" s="80" t="s">
        <v>314</v>
      </c>
      <c r="I1502" s="80" t="s">
        <v>35</v>
      </c>
      <c r="J1502" s="80" t="s">
        <v>359</v>
      </c>
      <c r="K1502" s="80" t="s">
        <v>339</v>
      </c>
      <c r="L1502" s="80" t="s">
        <v>352</v>
      </c>
      <c r="M1502" s="81">
        <v>6.25</v>
      </c>
      <c r="N1502" s="82">
        <v>468.75</v>
      </c>
    </row>
    <row r="1503" spans="1:14" x14ac:dyDescent="0.25">
      <c r="A1503" s="10" t="str">
        <f>_xlfn.IFNA(
    IF(J1503=
        "PCB-0001",
        "CSS",
        IF(
            ISNUMBER(MATCH(_xlfn.TEXTBEFORE(J1503,"-"), {"CSS","CSN","PCB","PCF","BEC","CSD","PCM"}, 0)),
            _xlfn.TEXTBEFORE(J1503,"-"),
            "Other"
        )
    ),
"Add")</f>
        <v>PCB</v>
      </c>
      <c r="B1503" s="10" t="str">
        <f t="shared" si="24"/>
        <v>0039</v>
      </c>
      <c r="C1503" s="10" t="str">
        <f>_xlfn.LET(
    _xlpm.val, IF(Datadetails[[#This Row],[Activity]]="D02","C20",Datadetails[[#This Row],[Activity]]),
    IF(ISNUMBER(MATCH(_xlpm.val,{"D04","C30","c40","C20"},0)), _xlpm.val, "Other")
)</f>
        <v>C40</v>
      </c>
      <c r="D1503" s="10" t="str">
        <f>IFERROR(VLOOKUP(Datadetails[[#This Row],[Taskcode]],Dashboard!A:A,1,FALSE),"00 Err Missing")</f>
        <v>0039</v>
      </c>
      <c r="E1503" s="79">
        <v>45853</v>
      </c>
      <c r="F1503" s="80" t="s">
        <v>329</v>
      </c>
      <c r="G1503" s="60" t="s">
        <v>40</v>
      </c>
      <c r="H1503" s="80" t="s">
        <v>206</v>
      </c>
      <c r="I1503" s="80" t="s">
        <v>341</v>
      </c>
      <c r="J1503" s="80" t="s">
        <v>367</v>
      </c>
      <c r="K1503" s="80" t="s">
        <v>347</v>
      </c>
      <c r="L1503" s="80" t="s">
        <v>344</v>
      </c>
      <c r="M1503" s="81">
        <v>1.5</v>
      </c>
      <c r="N1503" s="82">
        <v>112.5</v>
      </c>
    </row>
    <row r="1504" spans="1:14" x14ac:dyDescent="0.25">
      <c r="A1504" s="10" t="str">
        <f>_xlfn.IFNA(
    IF(J1504=
        "PCB-0001",
        "CSS",
        IF(
            ISNUMBER(MATCH(_xlfn.TEXTBEFORE(J1504,"-"), {"CSS","CSN","PCB","PCF","BEC","CSD","PCM"}, 0)),
            _xlfn.TEXTBEFORE(J1504,"-"),
            "Other"
        )
    ),
"Add")</f>
        <v>PCB</v>
      </c>
      <c r="B1504" s="10" t="str">
        <f t="shared" si="24"/>
        <v>0019</v>
      </c>
      <c r="C1504" s="10" t="str">
        <f>_xlfn.LET(
    _xlpm.val, IF(Datadetails[[#This Row],[Activity]]="D02","C20",Datadetails[[#This Row],[Activity]]),
    IF(ISNUMBER(MATCH(_xlpm.val,{"D04","C30","c40","C20"},0)), _xlpm.val, "Other")
)</f>
        <v>C40</v>
      </c>
      <c r="D1504" s="10" t="str">
        <f>IFERROR(VLOOKUP(Datadetails[[#This Row],[Taskcode]],Dashboard!A:A,1,FALSE),"00 Err Missing")</f>
        <v>0019</v>
      </c>
      <c r="E1504" s="79">
        <v>45853</v>
      </c>
      <c r="F1504" s="80" t="s">
        <v>329</v>
      </c>
      <c r="G1504" s="60" t="s">
        <v>40</v>
      </c>
      <c r="H1504" s="80" t="s">
        <v>186</v>
      </c>
      <c r="I1504" s="80" t="s">
        <v>341</v>
      </c>
      <c r="J1504" s="80" t="s">
        <v>397</v>
      </c>
      <c r="K1504" s="80" t="s">
        <v>347</v>
      </c>
      <c r="L1504" s="80" t="s">
        <v>344</v>
      </c>
      <c r="M1504" s="81">
        <v>1.5</v>
      </c>
      <c r="N1504" s="82">
        <v>112.5</v>
      </c>
    </row>
    <row r="1505" spans="1:14" x14ac:dyDescent="0.25">
      <c r="A1505" s="10" t="str">
        <f>_xlfn.IFNA(
    IF(J1505=
        "PCB-0001",
        "CSS",
        IF(
            ISNUMBER(MATCH(_xlfn.TEXTBEFORE(J1505,"-"), {"CSS","CSN","PCB","PCF","BEC","CSD","PCM"}, 0)),
            _xlfn.TEXTBEFORE(J1505,"-"),
            "Other"
        )
    ),
"Add")</f>
        <v>CSN</v>
      </c>
      <c r="B1505" s="10" t="str">
        <f t="shared" si="24"/>
        <v>0001</v>
      </c>
      <c r="C1505" s="10" t="str">
        <f>_xlfn.LET(
    _xlpm.val, IF(Datadetails[[#This Row],[Activity]]="D02","C20",Datadetails[[#This Row],[Activity]]),
    IF(ISNUMBER(MATCH(_xlpm.val,{"D04","C30","c40","C20"},0)), _xlpm.val, "Other")
)</f>
        <v>D04</v>
      </c>
      <c r="D1505" s="10" t="str">
        <f>IFERROR(VLOOKUP(Datadetails[[#This Row],[Taskcode]],Dashboard!A:A,1,FALSE),"00 Err Missing")</f>
        <v>0001</v>
      </c>
      <c r="E1505" s="79">
        <v>45853</v>
      </c>
      <c r="F1505" s="80" t="s">
        <v>329</v>
      </c>
      <c r="G1505" s="60" t="s">
        <v>40</v>
      </c>
      <c r="H1505" s="80" t="s">
        <v>316</v>
      </c>
      <c r="I1505" s="80" t="s">
        <v>35</v>
      </c>
      <c r="J1505" s="80" t="s">
        <v>338</v>
      </c>
      <c r="K1505" s="80" t="s">
        <v>337</v>
      </c>
      <c r="L1505" s="80" t="s">
        <v>352</v>
      </c>
      <c r="M1505" s="81">
        <v>1</v>
      </c>
      <c r="N1505" s="82">
        <v>75</v>
      </c>
    </row>
    <row r="1506" spans="1:14" x14ac:dyDescent="0.25">
      <c r="A1506" s="10" t="str">
        <f>_xlfn.IFNA(
    IF(J1506=
        "PCB-0001",
        "CSS",
        IF(
            ISNUMBER(MATCH(_xlfn.TEXTBEFORE(J1506,"-"), {"CSS","CSN","PCB","PCF","BEC","CSD","PCM"}, 0)),
            _xlfn.TEXTBEFORE(J1506,"-"),
            "Other"
        )
    ),
"Add")</f>
        <v>CSD</v>
      </c>
      <c r="B1506" s="10" t="str">
        <f t="shared" si="24"/>
        <v>0001</v>
      </c>
      <c r="C1506" s="10" t="str">
        <f>_xlfn.LET(
    _xlpm.val, IF(Datadetails[[#This Row],[Activity]]="D02","C20",Datadetails[[#This Row],[Activity]]),
    IF(ISNUMBER(MATCH(_xlpm.val,{"D04","C30","c40","C20"},0)), _xlpm.val, "Other")
)</f>
        <v>D04</v>
      </c>
      <c r="D1506" s="10" t="str">
        <f>IFERROR(VLOOKUP(Datadetails[[#This Row],[Taskcode]],Dashboard!A:A,1,FALSE),"00 Err Missing")</f>
        <v>0001</v>
      </c>
      <c r="E1506" s="79">
        <v>45853</v>
      </c>
      <c r="F1506" s="80" t="s">
        <v>327</v>
      </c>
      <c r="G1506" s="60" t="s">
        <v>40</v>
      </c>
      <c r="H1506" s="80" t="s">
        <v>320</v>
      </c>
      <c r="I1506" s="80" t="s">
        <v>35</v>
      </c>
      <c r="J1506" s="80" t="s">
        <v>322</v>
      </c>
      <c r="K1506" s="80" t="s">
        <v>319</v>
      </c>
      <c r="L1506" s="80" t="s">
        <v>352</v>
      </c>
      <c r="M1506" s="81">
        <v>8.58</v>
      </c>
      <c r="N1506" s="82">
        <v>274.56</v>
      </c>
    </row>
    <row r="1507" spans="1:14" x14ac:dyDescent="0.25">
      <c r="A1507" s="10" t="str">
        <f>_xlfn.IFNA(
    IF(J1507=
        "PCB-0001",
        "CSS",
        IF(
            ISNUMBER(MATCH(_xlfn.TEXTBEFORE(J1507,"-"), {"CSS","CSN","PCB","PCF","BEC","CSD","PCM"}, 0)),
            _xlfn.TEXTBEFORE(J1507,"-"),
            "Other"
        )
    ),
"Add")</f>
        <v>PCM</v>
      </c>
      <c r="B1507" s="10" t="str">
        <f t="shared" si="24"/>
        <v>0100</v>
      </c>
      <c r="C1507" s="10" t="str">
        <f>_xlfn.LET(
    _xlpm.val, IF(Datadetails[[#This Row],[Activity]]="D02","C20",Datadetails[[#This Row],[Activity]]),
    IF(ISNUMBER(MATCH(_xlpm.val,{"D04","C30","c40","C20"},0)), _xlpm.val, "Other")
)</f>
        <v>C20</v>
      </c>
      <c r="D1507" s="10" t="str">
        <f>IFERROR(VLOOKUP(Datadetails[[#This Row],[Taskcode]],Dashboard!A:A,1,FALSE),"00 Err Missing")</f>
        <v>0100</v>
      </c>
      <c r="E1507" s="79">
        <v>45853</v>
      </c>
      <c r="F1507" s="80" t="s">
        <v>323</v>
      </c>
      <c r="G1507" s="60" t="s">
        <v>40</v>
      </c>
      <c r="H1507" s="80" t="s">
        <v>267</v>
      </c>
      <c r="I1507" s="80" t="s">
        <v>36</v>
      </c>
      <c r="J1507" s="80" t="s">
        <v>436</v>
      </c>
      <c r="K1507" s="80" t="s">
        <v>346</v>
      </c>
      <c r="L1507" s="80" t="s">
        <v>342</v>
      </c>
      <c r="M1507" s="81">
        <v>0.25</v>
      </c>
      <c r="N1507" s="82">
        <v>15</v>
      </c>
    </row>
    <row r="1508" spans="1:14" x14ac:dyDescent="0.25">
      <c r="A1508" s="10" t="str">
        <f>_xlfn.IFNA(
    IF(J1508=
        "PCB-0001",
        "CSS",
        IF(
            ISNUMBER(MATCH(_xlfn.TEXTBEFORE(J1508,"-"), {"CSS","CSN","PCB","PCF","BEC","CSD","PCM"}, 0)),
            _xlfn.TEXTBEFORE(J1508,"-"),
            "Other"
        )
    ),
"Add")</f>
        <v>PCB</v>
      </c>
      <c r="B1508" s="10" t="str">
        <f t="shared" si="24"/>
        <v>0030</v>
      </c>
      <c r="C1508" s="10" t="str">
        <f>_xlfn.LET(
    _xlpm.val, IF(Datadetails[[#This Row],[Activity]]="D02","C20",Datadetails[[#This Row],[Activity]]),
    IF(ISNUMBER(MATCH(_xlpm.val,{"D04","C30","c40","C20"},0)), _xlpm.val, "Other")
)</f>
        <v>C30</v>
      </c>
      <c r="D1508" s="10" t="str">
        <f>IFERROR(VLOOKUP(Datadetails[[#This Row],[Taskcode]],Dashboard!A:A,1,FALSE),"00 Err Missing")</f>
        <v>0030</v>
      </c>
      <c r="E1508" s="79">
        <v>45853</v>
      </c>
      <c r="F1508" s="80" t="s">
        <v>329</v>
      </c>
      <c r="G1508" s="60" t="s">
        <v>40</v>
      </c>
      <c r="H1508" s="80" t="s">
        <v>197</v>
      </c>
      <c r="I1508" s="80" t="s">
        <v>34</v>
      </c>
      <c r="J1508" s="80" t="s">
        <v>366</v>
      </c>
      <c r="K1508" s="80" t="s">
        <v>347</v>
      </c>
      <c r="L1508" s="80" t="s">
        <v>343</v>
      </c>
      <c r="M1508" s="81">
        <v>0.08</v>
      </c>
      <c r="N1508" s="82">
        <v>6</v>
      </c>
    </row>
    <row r="1509" spans="1:14" x14ac:dyDescent="0.25">
      <c r="A1509" s="10" t="str">
        <f>_xlfn.IFNA(
    IF(J1509=
        "PCB-0001",
        "CSS",
        IF(
            ISNUMBER(MATCH(_xlfn.TEXTBEFORE(J1509,"-"), {"CSS","CSN","PCB","PCF","BEC","CSD","PCM"}, 0)),
            _xlfn.TEXTBEFORE(J1509,"-"),
            "Other"
        )
    ),
"Add")</f>
        <v>PCB</v>
      </c>
      <c r="B1509" s="10" t="str">
        <f t="shared" si="24"/>
        <v>0082</v>
      </c>
      <c r="C1509" s="10" t="str">
        <f>_xlfn.LET(
    _xlpm.val, IF(Datadetails[[#This Row],[Activity]]="D02","C20",Datadetails[[#This Row],[Activity]]),
    IF(ISNUMBER(MATCH(_xlpm.val,{"D04","C30","c40","C20"},0)), _xlpm.val, "Other")
)</f>
        <v>C30</v>
      </c>
      <c r="D1509" s="10" t="str">
        <f>IFERROR(VLOOKUP(Datadetails[[#This Row],[Taskcode]],Dashboard!A:A,1,FALSE),"00 Err Missing")</f>
        <v>0082</v>
      </c>
      <c r="E1509" s="79">
        <v>45853</v>
      </c>
      <c r="F1509" s="80" t="s">
        <v>325</v>
      </c>
      <c r="G1509" s="60" t="s">
        <v>40</v>
      </c>
      <c r="H1509" s="80" t="s">
        <v>249</v>
      </c>
      <c r="I1509" s="80" t="s">
        <v>34</v>
      </c>
      <c r="J1509" s="80" t="s">
        <v>409</v>
      </c>
      <c r="K1509" s="80" t="s">
        <v>347</v>
      </c>
      <c r="L1509" s="80" t="s">
        <v>343</v>
      </c>
      <c r="M1509" s="81">
        <v>0.33</v>
      </c>
      <c r="N1509" s="82">
        <v>24.75</v>
      </c>
    </row>
    <row r="1510" spans="1:14" x14ac:dyDescent="0.25">
      <c r="A1510" s="10" t="str">
        <f>_xlfn.IFNA(
    IF(J1510=
        "PCB-0001",
        "CSS",
        IF(
            ISNUMBER(MATCH(_xlfn.TEXTBEFORE(J1510,"-"), {"CSS","CSN","PCB","PCF","BEC","CSD","PCM"}, 0)),
            _xlfn.TEXTBEFORE(J1510,"-"),
            "Other"
        )
    ),
"Add")</f>
        <v>PCB</v>
      </c>
      <c r="B1510" s="10" t="str">
        <f t="shared" si="24"/>
        <v>0080</v>
      </c>
      <c r="C1510" s="10" t="str">
        <f>_xlfn.LET(
    _xlpm.val, IF(Datadetails[[#This Row],[Activity]]="D02","C20",Datadetails[[#This Row],[Activity]]),
    IF(ISNUMBER(MATCH(_xlpm.val,{"D04","C30","c40","C20"},0)), _xlpm.val, "Other")
)</f>
        <v>C30</v>
      </c>
      <c r="D1510" s="10" t="str">
        <f>IFERROR(VLOOKUP(Datadetails[[#This Row],[Taskcode]],Dashboard!A:A,1,FALSE),"00 Err Missing")</f>
        <v>0080</v>
      </c>
      <c r="E1510" s="79">
        <v>45853</v>
      </c>
      <c r="F1510" s="80" t="s">
        <v>329</v>
      </c>
      <c r="G1510" s="60" t="s">
        <v>40</v>
      </c>
      <c r="H1510" s="80" t="s">
        <v>247</v>
      </c>
      <c r="I1510" s="80" t="s">
        <v>34</v>
      </c>
      <c r="J1510" s="80" t="s">
        <v>375</v>
      </c>
      <c r="K1510" s="80" t="s">
        <v>347</v>
      </c>
      <c r="L1510" s="80" t="s">
        <v>343</v>
      </c>
      <c r="M1510" s="81">
        <v>0.25</v>
      </c>
      <c r="N1510" s="82">
        <v>18.75</v>
      </c>
    </row>
    <row r="1511" spans="1:14" x14ac:dyDescent="0.25">
      <c r="A1511" s="10" t="str">
        <f>_xlfn.IFNA(
    IF(J1511=
        "PCB-0001",
        "CSS",
        IF(
            ISNUMBER(MATCH(_xlfn.TEXTBEFORE(J1511,"-"), {"CSS","CSN","PCB","PCF","BEC","CSD","PCM"}, 0)),
            _xlfn.TEXTBEFORE(J1511,"-"),
            "Other"
        )
    ),
"Add")</f>
        <v>PCB</v>
      </c>
      <c r="B1511" s="10" t="str">
        <f t="shared" si="24"/>
        <v>0063</v>
      </c>
      <c r="C1511" s="10" t="str">
        <f>_xlfn.LET(
    _xlpm.val, IF(Datadetails[[#This Row],[Activity]]="D02","C20",Datadetails[[#This Row],[Activity]]),
    IF(ISNUMBER(MATCH(_xlpm.val,{"D04","C30","c40","C20"},0)), _xlpm.val, "Other")
)</f>
        <v>C30</v>
      </c>
      <c r="D1511" s="10" t="str">
        <f>IFERROR(VLOOKUP(Datadetails[[#This Row],[Taskcode]],Dashboard!A:A,1,FALSE),"00 Err Missing")</f>
        <v>0063</v>
      </c>
      <c r="E1511" s="79">
        <v>45853</v>
      </c>
      <c r="F1511" s="80" t="s">
        <v>329</v>
      </c>
      <c r="G1511" s="60" t="s">
        <v>40</v>
      </c>
      <c r="H1511" s="80" t="s">
        <v>230</v>
      </c>
      <c r="I1511" s="80" t="s">
        <v>34</v>
      </c>
      <c r="J1511" s="80" t="s">
        <v>410</v>
      </c>
      <c r="K1511" s="80" t="s">
        <v>347</v>
      </c>
      <c r="L1511" s="80" t="s">
        <v>343</v>
      </c>
      <c r="M1511" s="81">
        <v>0.25</v>
      </c>
      <c r="N1511" s="82">
        <v>18.75</v>
      </c>
    </row>
    <row r="1512" spans="1:14" x14ac:dyDescent="0.25">
      <c r="A1512" s="10" t="str">
        <f>_xlfn.IFNA(
    IF(J1512=
        "PCB-0001",
        "CSS",
        IF(
            ISNUMBER(MATCH(_xlfn.TEXTBEFORE(J1512,"-"), {"CSS","CSN","PCB","PCF","BEC","CSD","PCM"}, 0)),
            _xlfn.TEXTBEFORE(J1512,"-"),
            "Other"
        )
    ),
"Add")</f>
        <v>PCF</v>
      </c>
      <c r="B1512" s="10" t="str">
        <f t="shared" si="24"/>
        <v>0067</v>
      </c>
      <c r="C1512" s="10" t="str">
        <f>_xlfn.LET(
    _xlpm.val, IF(Datadetails[[#This Row],[Activity]]="D02","C20",Datadetails[[#This Row],[Activity]]),
    IF(ISNUMBER(MATCH(_xlpm.val,{"D04","C30","c40","C20"},0)), _xlpm.val, "Other")
)</f>
        <v>C30</v>
      </c>
      <c r="D1512" s="10" t="str">
        <f>IFERROR(VLOOKUP(Datadetails[[#This Row],[Taskcode]],Dashboard!A:A,1,FALSE),"00 Err Missing")</f>
        <v>0067</v>
      </c>
      <c r="E1512" s="79">
        <v>45853</v>
      </c>
      <c r="F1512" s="80" t="s">
        <v>326</v>
      </c>
      <c r="G1512" s="60" t="s">
        <v>40</v>
      </c>
      <c r="H1512" s="80" t="s">
        <v>234</v>
      </c>
      <c r="I1512" s="80" t="s">
        <v>34</v>
      </c>
      <c r="J1512" s="80" t="s">
        <v>389</v>
      </c>
      <c r="K1512" s="80" t="s">
        <v>348</v>
      </c>
      <c r="L1512" s="80" t="s">
        <v>343</v>
      </c>
      <c r="M1512" s="81">
        <v>0.75</v>
      </c>
      <c r="N1512" s="82">
        <v>45</v>
      </c>
    </row>
    <row r="1513" spans="1:14" x14ac:dyDescent="0.25">
      <c r="A1513" s="10" t="str">
        <f>_xlfn.IFNA(
    IF(J1513=
        "PCB-0001",
        "CSS",
        IF(
            ISNUMBER(MATCH(_xlfn.TEXTBEFORE(J1513,"-"), {"CSS","CSN","PCB","PCF","BEC","CSD","PCM"}, 0)),
            _xlfn.TEXTBEFORE(J1513,"-"),
            "Other"
        )
    ),
"Add")</f>
        <v>PCF</v>
      </c>
      <c r="B1513" s="10" t="str">
        <f t="shared" si="24"/>
        <v>0142</v>
      </c>
      <c r="C1513" s="10" t="str">
        <f>_xlfn.LET(
    _xlpm.val, IF(Datadetails[[#This Row],[Activity]]="D02","C20",Datadetails[[#This Row],[Activity]]),
    IF(ISNUMBER(MATCH(_xlpm.val,{"D04","C30","c40","C20"},0)), _xlpm.val, "Other")
)</f>
        <v>C30</v>
      </c>
      <c r="D1513" s="10" t="str">
        <f>IFERROR(VLOOKUP(Datadetails[[#This Row],[Taskcode]],Dashboard!A:A,1,FALSE),"00 Err Missing")</f>
        <v>0142</v>
      </c>
      <c r="E1513" s="79">
        <v>45853</v>
      </c>
      <c r="F1513" s="80" t="s">
        <v>326</v>
      </c>
      <c r="G1513" s="60" t="s">
        <v>40</v>
      </c>
      <c r="H1513" s="80" t="s">
        <v>309</v>
      </c>
      <c r="I1513" s="80" t="s">
        <v>34</v>
      </c>
      <c r="J1513" s="80" t="s">
        <v>454</v>
      </c>
      <c r="K1513" s="80" t="s">
        <v>348</v>
      </c>
      <c r="L1513" s="80" t="s">
        <v>343</v>
      </c>
      <c r="M1513" s="81">
        <v>0.83</v>
      </c>
      <c r="N1513" s="82">
        <v>49.8</v>
      </c>
    </row>
    <row r="1514" spans="1:14" x14ac:dyDescent="0.25">
      <c r="A1514" s="10" t="str">
        <f>_xlfn.IFNA(
    IF(J1514=
        "PCB-0001",
        "CSS",
        IF(
            ISNUMBER(MATCH(_xlfn.TEXTBEFORE(J1514,"-"), {"CSS","CSN","PCB","PCF","BEC","CSD","PCM"}, 0)),
            _xlfn.TEXTBEFORE(J1514,"-"),
            "Other"
        )
    ),
"Add")</f>
        <v>BEC</v>
      </c>
      <c r="B1514" s="10" t="str">
        <f t="shared" si="24"/>
        <v>0001</v>
      </c>
      <c r="C1514" s="10" t="str">
        <f>_xlfn.LET(
    _xlpm.val, IF(Datadetails[[#This Row],[Activity]]="D02","C20",Datadetails[[#This Row],[Activity]]),
    IF(ISNUMBER(MATCH(_xlpm.val,{"D04","C30","c40","C20"},0)), _xlpm.val, "Other")
)</f>
        <v>D04</v>
      </c>
      <c r="D1514" s="10" t="str">
        <f>IFERROR(VLOOKUP(Datadetails[[#This Row],[Taskcode]],Dashboard!A:A,1,FALSE),"00 Err Missing")</f>
        <v>0001</v>
      </c>
      <c r="E1514" s="79">
        <v>45853</v>
      </c>
      <c r="F1514" s="80" t="s">
        <v>332</v>
      </c>
      <c r="G1514" s="60" t="s">
        <v>40</v>
      </c>
      <c r="H1514" s="80" t="s">
        <v>314</v>
      </c>
      <c r="I1514" s="80" t="s">
        <v>35</v>
      </c>
      <c r="J1514" s="80" t="s">
        <v>359</v>
      </c>
      <c r="K1514" s="80" t="s">
        <v>339</v>
      </c>
      <c r="L1514" s="80" t="s">
        <v>352</v>
      </c>
      <c r="M1514" s="81">
        <v>7.83</v>
      </c>
      <c r="N1514" s="82">
        <v>313.2</v>
      </c>
    </row>
    <row r="1515" spans="1:14" x14ac:dyDescent="0.25">
      <c r="A1515" s="10" t="str">
        <f>_xlfn.IFNA(
    IF(J1515=
        "PCB-0001",
        "CSS",
        IF(
            ISNUMBER(MATCH(_xlfn.TEXTBEFORE(J1515,"-"), {"CSS","CSN","PCB","PCF","BEC","CSD","PCM"}, 0)),
            _xlfn.TEXTBEFORE(J1515,"-"),
            "Other"
        )
    ),
"Add")</f>
        <v>BEC</v>
      </c>
      <c r="B1515" s="10" t="str">
        <f t="shared" si="24"/>
        <v>0001</v>
      </c>
      <c r="C1515" s="10" t="str">
        <f>_xlfn.LET(
    _xlpm.val, IF(Datadetails[[#This Row],[Activity]]="D02","C20",Datadetails[[#This Row],[Activity]]),
    IF(ISNUMBER(MATCH(_xlpm.val,{"D04","C30","c40","C20"},0)), _xlpm.val, "Other")
)</f>
        <v>D04</v>
      </c>
      <c r="D1515" s="10" t="str">
        <f>IFERROR(VLOOKUP(Datadetails[[#This Row],[Taskcode]],Dashboard!A:A,1,FALSE),"00 Err Missing")</f>
        <v>0001</v>
      </c>
      <c r="E1515" s="79">
        <v>45853</v>
      </c>
      <c r="F1515" s="80" t="s">
        <v>324</v>
      </c>
      <c r="G1515" s="60" t="s">
        <v>40</v>
      </c>
      <c r="H1515" s="80" t="s">
        <v>314</v>
      </c>
      <c r="I1515" s="80" t="s">
        <v>35</v>
      </c>
      <c r="J1515" s="80" t="s">
        <v>359</v>
      </c>
      <c r="K1515" s="80" t="s">
        <v>339</v>
      </c>
      <c r="L1515" s="80" t="s">
        <v>352</v>
      </c>
      <c r="M1515" s="81">
        <v>5.5</v>
      </c>
      <c r="N1515" s="82">
        <v>412.5</v>
      </c>
    </row>
    <row r="1516" spans="1:14" x14ac:dyDescent="0.25">
      <c r="A1516" s="10" t="str">
        <f>_xlfn.IFNA(
    IF(J1516=
        "PCB-0001",
        "CSS",
        IF(
            ISNUMBER(MATCH(_xlfn.TEXTBEFORE(J1516,"-"), {"CSS","CSN","PCB","PCF","BEC","CSD","PCM"}, 0)),
            _xlfn.TEXTBEFORE(J1516,"-"),
            "Other"
        )
    ),
"Add")</f>
        <v>PCB</v>
      </c>
      <c r="B1516" s="10" t="str">
        <f t="shared" si="24"/>
        <v>0103</v>
      </c>
      <c r="C1516" s="10" t="str">
        <f>_xlfn.LET(
    _xlpm.val, IF(Datadetails[[#This Row],[Activity]]="D02","C20",Datadetails[[#This Row],[Activity]]),
    IF(ISNUMBER(MATCH(_xlpm.val,{"D04","C30","c40","C20"},0)), _xlpm.val, "Other")
)</f>
        <v>C30</v>
      </c>
      <c r="D1516" s="10" t="str">
        <f>IFERROR(VLOOKUP(Datadetails[[#This Row],[Taskcode]],Dashboard!A:A,1,FALSE),"00 Err Missing")</f>
        <v>0103</v>
      </c>
      <c r="E1516" s="79">
        <v>45854</v>
      </c>
      <c r="F1516" s="80" t="s">
        <v>329</v>
      </c>
      <c r="G1516" s="60" t="s">
        <v>40</v>
      </c>
      <c r="H1516" s="80" t="s">
        <v>270</v>
      </c>
      <c r="I1516" s="80" t="s">
        <v>34</v>
      </c>
      <c r="J1516" s="80" t="s">
        <v>360</v>
      </c>
      <c r="K1516" s="80" t="s">
        <v>347</v>
      </c>
      <c r="L1516" s="80" t="s">
        <v>343</v>
      </c>
      <c r="M1516" s="81">
        <v>0.08</v>
      </c>
      <c r="N1516" s="82">
        <v>6</v>
      </c>
    </row>
    <row r="1517" spans="1:14" x14ac:dyDescent="0.25">
      <c r="A1517" s="10" t="str">
        <f>_xlfn.IFNA(
    IF(J1517=
        "PCB-0001",
        "CSS",
        IF(
            ISNUMBER(MATCH(_xlfn.TEXTBEFORE(J1517,"-"), {"CSS","CSN","PCB","PCF","BEC","CSD","PCM"}, 0)),
            _xlfn.TEXTBEFORE(J1517,"-"),
            "Other"
        )
    ),
"Add")</f>
        <v>PCB</v>
      </c>
      <c r="B1517" s="10" t="str">
        <f t="shared" si="24"/>
        <v>0032</v>
      </c>
      <c r="C1517" s="10" t="str">
        <f>_xlfn.LET(
    _xlpm.val, IF(Datadetails[[#This Row],[Activity]]="D02","C20",Datadetails[[#This Row],[Activity]]),
    IF(ISNUMBER(MATCH(_xlpm.val,{"D04","C30","c40","C20"},0)), _xlpm.val, "Other")
)</f>
        <v>C40</v>
      </c>
      <c r="D1517" s="10" t="str">
        <f>IFERROR(VLOOKUP(Datadetails[[#This Row],[Taskcode]],Dashboard!A:A,1,FALSE),"00 Err Missing")</f>
        <v>0032</v>
      </c>
      <c r="E1517" s="79">
        <v>45854</v>
      </c>
      <c r="F1517" s="80" t="s">
        <v>330</v>
      </c>
      <c r="G1517" s="60" t="s">
        <v>40</v>
      </c>
      <c r="H1517" s="80" t="s">
        <v>199</v>
      </c>
      <c r="I1517" s="80" t="s">
        <v>341</v>
      </c>
      <c r="J1517" s="80" t="s">
        <v>414</v>
      </c>
      <c r="K1517" s="80" t="s">
        <v>347</v>
      </c>
      <c r="L1517" s="80" t="s">
        <v>344</v>
      </c>
      <c r="M1517" s="81">
        <v>0.5</v>
      </c>
      <c r="N1517" s="82">
        <v>30</v>
      </c>
    </row>
    <row r="1518" spans="1:14" x14ac:dyDescent="0.25">
      <c r="A1518" s="10" t="str">
        <f>_xlfn.IFNA(
    IF(J1518=
        "PCB-0001",
        "CSS",
        IF(
            ISNUMBER(MATCH(_xlfn.TEXTBEFORE(J1518,"-"), {"CSS","CSN","PCB","PCF","BEC","CSD","PCM"}, 0)),
            _xlfn.TEXTBEFORE(J1518,"-"),
            "Other"
        )
    ),
"Add")</f>
        <v>PCB</v>
      </c>
      <c r="B1518" s="10" t="str">
        <f t="shared" si="24"/>
        <v>0031</v>
      </c>
      <c r="C1518" s="10" t="str">
        <f>_xlfn.LET(
    _xlpm.val, IF(Datadetails[[#This Row],[Activity]]="D02","C20",Datadetails[[#This Row],[Activity]]),
    IF(ISNUMBER(MATCH(_xlpm.val,{"D04","C30","c40","C20"},0)), _xlpm.val, "Other")
)</f>
        <v>C40</v>
      </c>
      <c r="D1518" s="10" t="str">
        <f>IFERROR(VLOOKUP(Datadetails[[#This Row],[Taskcode]],Dashboard!A:A,1,FALSE),"00 Err Missing")</f>
        <v>0031</v>
      </c>
      <c r="E1518" s="79">
        <v>45854</v>
      </c>
      <c r="F1518" s="80" t="s">
        <v>325</v>
      </c>
      <c r="G1518" s="60" t="s">
        <v>40</v>
      </c>
      <c r="H1518" s="80" t="s">
        <v>198</v>
      </c>
      <c r="I1518" s="80" t="s">
        <v>341</v>
      </c>
      <c r="J1518" s="80" t="s">
        <v>413</v>
      </c>
      <c r="K1518" s="80" t="s">
        <v>347</v>
      </c>
      <c r="L1518" s="80" t="s">
        <v>344</v>
      </c>
      <c r="M1518" s="81">
        <v>1.08</v>
      </c>
      <c r="N1518" s="82">
        <v>81</v>
      </c>
    </row>
    <row r="1519" spans="1:14" x14ac:dyDescent="0.25">
      <c r="A1519" s="10" t="str">
        <f>_xlfn.IFNA(
    IF(J1519=
        "PCB-0001",
        "CSS",
        IF(
            ISNUMBER(MATCH(_xlfn.TEXTBEFORE(J1519,"-"), {"CSS","CSN","PCB","PCF","BEC","CSD","PCM"}, 0)),
            _xlfn.TEXTBEFORE(J1519,"-"),
            "Other"
        )
    ),
"Add")</f>
        <v>CSN</v>
      </c>
      <c r="B1519" s="10" t="str">
        <f t="shared" si="24"/>
        <v>0001</v>
      </c>
      <c r="C1519" s="10" t="str">
        <f>_xlfn.LET(
    _xlpm.val, IF(Datadetails[[#This Row],[Activity]]="D02","C20",Datadetails[[#This Row],[Activity]]),
    IF(ISNUMBER(MATCH(_xlpm.val,{"D04","C30","c40","C20"},0)), _xlpm.val, "Other")
)</f>
        <v>D04</v>
      </c>
      <c r="D1519" s="10" t="str">
        <f>IFERROR(VLOOKUP(Datadetails[[#This Row],[Taskcode]],Dashboard!A:A,1,FALSE),"00 Err Missing")</f>
        <v>0001</v>
      </c>
      <c r="E1519" s="79">
        <v>45854</v>
      </c>
      <c r="F1519" s="80" t="s">
        <v>329</v>
      </c>
      <c r="G1519" s="60" t="s">
        <v>40</v>
      </c>
      <c r="H1519" s="80" t="s">
        <v>316</v>
      </c>
      <c r="I1519" s="80" t="s">
        <v>35</v>
      </c>
      <c r="J1519" s="80" t="s">
        <v>338</v>
      </c>
      <c r="K1519" s="80" t="s">
        <v>337</v>
      </c>
      <c r="L1519" s="80" t="s">
        <v>352</v>
      </c>
      <c r="M1519" s="81">
        <v>1.5</v>
      </c>
      <c r="N1519" s="82">
        <v>112.5</v>
      </c>
    </row>
    <row r="1520" spans="1:14" x14ac:dyDescent="0.25">
      <c r="A1520" s="10" t="str">
        <f>_xlfn.IFNA(
    IF(J1520=
        "PCB-0001",
        "CSS",
        IF(
            ISNUMBER(MATCH(_xlfn.TEXTBEFORE(J1520,"-"), {"CSS","CSN","PCB","PCF","BEC","CSD","PCM"}, 0)),
            _xlfn.TEXTBEFORE(J1520,"-"),
            "Other"
        )
    ),
"Add")</f>
        <v>CSD</v>
      </c>
      <c r="B1520" s="10" t="str">
        <f t="shared" si="24"/>
        <v>0001</v>
      </c>
      <c r="C1520" s="10" t="str">
        <f>_xlfn.LET(
    _xlpm.val, IF(Datadetails[[#This Row],[Activity]]="D02","C20",Datadetails[[#This Row],[Activity]]),
    IF(ISNUMBER(MATCH(_xlpm.val,{"D04","C30","c40","C20"},0)), _xlpm.val, "Other")
)</f>
        <v>D04</v>
      </c>
      <c r="D1520" s="10" t="str">
        <f>IFERROR(VLOOKUP(Datadetails[[#This Row],[Taskcode]],Dashboard!A:A,1,FALSE),"00 Err Missing")</f>
        <v>0001</v>
      </c>
      <c r="E1520" s="79">
        <v>45854</v>
      </c>
      <c r="F1520" s="80" t="s">
        <v>333</v>
      </c>
      <c r="G1520" s="60" t="s">
        <v>40</v>
      </c>
      <c r="H1520" s="80" t="s">
        <v>320</v>
      </c>
      <c r="I1520" s="80" t="s">
        <v>35</v>
      </c>
      <c r="J1520" s="80" t="s">
        <v>322</v>
      </c>
      <c r="K1520" s="80" t="s">
        <v>319</v>
      </c>
      <c r="L1520" s="80" t="s">
        <v>352</v>
      </c>
      <c r="M1520" s="81">
        <v>7.77</v>
      </c>
      <c r="N1520" s="82">
        <v>248.64</v>
      </c>
    </row>
    <row r="1521" spans="1:14" x14ac:dyDescent="0.25">
      <c r="A1521" s="10" t="str">
        <f>_xlfn.IFNA(
    IF(J1521=
        "PCB-0001",
        "CSS",
        IF(
            ISNUMBER(MATCH(_xlfn.TEXTBEFORE(J1521,"-"), {"CSS","CSN","PCB","PCF","BEC","CSD","PCM"}, 0)),
            _xlfn.TEXTBEFORE(J1521,"-"),
            "Other"
        )
    ),
"Add")</f>
        <v>CSD</v>
      </c>
      <c r="B1521" s="10" t="str">
        <f t="shared" si="24"/>
        <v>0001</v>
      </c>
      <c r="C1521" s="10" t="str">
        <f>_xlfn.LET(
    _xlpm.val, IF(Datadetails[[#This Row],[Activity]]="D02","C20",Datadetails[[#This Row],[Activity]]),
    IF(ISNUMBER(MATCH(_xlpm.val,{"D04","C30","c40","C20"},0)), _xlpm.val, "Other")
)</f>
        <v>D04</v>
      </c>
      <c r="D1521" s="10" t="str">
        <f>IFERROR(VLOOKUP(Datadetails[[#This Row],[Taskcode]],Dashboard!A:A,1,FALSE),"00 Err Missing")</f>
        <v>0001</v>
      </c>
      <c r="E1521" s="79">
        <v>45854</v>
      </c>
      <c r="F1521" s="80" t="s">
        <v>327</v>
      </c>
      <c r="G1521" s="60" t="s">
        <v>40</v>
      </c>
      <c r="H1521" s="80" t="s">
        <v>320</v>
      </c>
      <c r="I1521" s="80" t="s">
        <v>35</v>
      </c>
      <c r="J1521" s="80" t="s">
        <v>322</v>
      </c>
      <c r="K1521" s="80" t="s">
        <v>319</v>
      </c>
      <c r="L1521" s="80" t="s">
        <v>352</v>
      </c>
      <c r="M1521" s="81">
        <v>7.42</v>
      </c>
      <c r="N1521" s="82">
        <v>237.44</v>
      </c>
    </row>
    <row r="1522" spans="1:14" x14ac:dyDescent="0.25">
      <c r="A1522" s="10" t="str">
        <f>_xlfn.IFNA(
    IF(J1522=
        "PCB-0001",
        "CSS",
        IF(
            ISNUMBER(MATCH(_xlfn.TEXTBEFORE(J1522,"-"), {"CSS","CSN","PCB","PCF","BEC","CSD","PCM"}, 0)),
            _xlfn.TEXTBEFORE(J1522,"-"),
            "Other"
        )
    ),
"Add")</f>
        <v>PCM</v>
      </c>
      <c r="B1522" s="10" t="str">
        <f t="shared" si="24"/>
        <v>0100</v>
      </c>
      <c r="C1522" s="10" t="str">
        <f>_xlfn.LET(
    _xlpm.val, IF(Datadetails[[#This Row],[Activity]]="D02","C20",Datadetails[[#This Row],[Activity]]),
    IF(ISNUMBER(MATCH(_xlpm.val,{"D04","C30","c40","C20"},0)), _xlpm.val, "Other")
)</f>
        <v>C20</v>
      </c>
      <c r="D1522" s="10" t="str">
        <f>IFERROR(VLOOKUP(Datadetails[[#This Row],[Taskcode]],Dashboard!A:A,1,FALSE),"00 Err Missing")</f>
        <v>0100</v>
      </c>
      <c r="E1522" s="79">
        <v>45854</v>
      </c>
      <c r="F1522" s="80" t="s">
        <v>323</v>
      </c>
      <c r="G1522" s="60" t="s">
        <v>40</v>
      </c>
      <c r="H1522" s="80" t="s">
        <v>267</v>
      </c>
      <c r="I1522" s="80" t="s">
        <v>36</v>
      </c>
      <c r="J1522" s="80" t="s">
        <v>436</v>
      </c>
      <c r="K1522" s="80" t="s">
        <v>346</v>
      </c>
      <c r="L1522" s="80" t="s">
        <v>342</v>
      </c>
      <c r="M1522" s="81">
        <v>0.25</v>
      </c>
      <c r="N1522" s="82">
        <v>15</v>
      </c>
    </row>
    <row r="1523" spans="1:14" x14ac:dyDescent="0.25">
      <c r="A1523" s="10" t="str">
        <f>_xlfn.IFNA(
    IF(J1523=
        "PCB-0001",
        "CSS",
        IF(
            ISNUMBER(MATCH(_xlfn.TEXTBEFORE(J1523,"-"), {"CSS","CSN","PCB","PCF","BEC","CSD","PCM"}, 0)),
            _xlfn.TEXTBEFORE(J1523,"-"),
            "Other"
        )
    ),
"Add")</f>
        <v>PCB</v>
      </c>
      <c r="B1523" s="10" t="str">
        <f t="shared" si="24"/>
        <v>0031</v>
      </c>
      <c r="C1523" s="10" t="str">
        <f>_xlfn.LET(
    _xlpm.val, IF(Datadetails[[#This Row],[Activity]]="D02","C20",Datadetails[[#This Row],[Activity]]),
    IF(ISNUMBER(MATCH(_xlpm.val,{"D04","C30","c40","C20"},0)), _xlpm.val, "Other")
)</f>
        <v>C20</v>
      </c>
      <c r="D1523" s="10" t="str">
        <f>IFERROR(VLOOKUP(Datadetails[[#This Row],[Taskcode]],Dashboard!A:A,1,FALSE),"00 Err Missing")</f>
        <v>0031</v>
      </c>
      <c r="E1523" s="79">
        <v>45854</v>
      </c>
      <c r="F1523" s="80" t="s">
        <v>325</v>
      </c>
      <c r="G1523" s="60" t="s">
        <v>40</v>
      </c>
      <c r="H1523" s="80" t="s">
        <v>198</v>
      </c>
      <c r="I1523" s="80" t="s">
        <v>36</v>
      </c>
      <c r="J1523" s="80" t="s">
        <v>413</v>
      </c>
      <c r="K1523" s="80" t="s">
        <v>347</v>
      </c>
      <c r="L1523" s="80" t="s">
        <v>342</v>
      </c>
      <c r="M1523" s="81">
        <v>0.42</v>
      </c>
      <c r="N1523" s="82">
        <v>31.5</v>
      </c>
    </row>
    <row r="1524" spans="1:14" x14ac:dyDescent="0.25">
      <c r="A1524" s="10" t="str">
        <f>_xlfn.IFNA(
    IF(J1524=
        "PCB-0001",
        "CSS",
        IF(
            ISNUMBER(MATCH(_xlfn.TEXTBEFORE(J1524,"-"), {"CSS","CSN","PCB","PCF","BEC","CSD","PCM"}, 0)),
            _xlfn.TEXTBEFORE(J1524,"-"),
            "Other"
        )
    ),
"Add")</f>
        <v>PCB</v>
      </c>
      <c r="B1524" s="10" t="str">
        <f t="shared" si="24"/>
        <v>0030</v>
      </c>
      <c r="C1524" s="10" t="str">
        <f>_xlfn.LET(
    _xlpm.val, IF(Datadetails[[#This Row],[Activity]]="D02","C20",Datadetails[[#This Row],[Activity]]),
    IF(ISNUMBER(MATCH(_xlpm.val,{"D04","C30","c40","C20"},0)), _xlpm.val, "Other")
)</f>
        <v>C30</v>
      </c>
      <c r="D1524" s="10" t="str">
        <f>IFERROR(VLOOKUP(Datadetails[[#This Row],[Taskcode]],Dashboard!A:A,1,FALSE),"00 Err Missing")</f>
        <v>0030</v>
      </c>
      <c r="E1524" s="79">
        <v>45854</v>
      </c>
      <c r="F1524" s="80" t="s">
        <v>329</v>
      </c>
      <c r="G1524" s="60" t="s">
        <v>40</v>
      </c>
      <c r="H1524" s="80" t="s">
        <v>197</v>
      </c>
      <c r="I1524" s="80" t="s">
        <v>34</v>
      </c>
      <c r="J1524" s="80" t="s">
        <v>366</v>
      </c>
      <c r="K1524" s="80" t="s">
        <v>347</v>
      </c>
      <c r="L1524" s="80" t="s">
        <v>343</v>
      </c>
      <c r="M1524" s="81">
        <v>2</v>
      </c>
      <c r="N1524" s="82">
        <v>150</v>
      </c>
    </row>
    <row r="1525" spans="1:14" x14ac:dyDescent="0.25">
      <c r="A1525" s="10" t="str">
        <f>_xlfn.IFNA(
    IF(J1525=
        "PCB-0001",
        "CSS",
        IF(
            ISNUMBER(MATCH(_xlfn.TEXTBEFORE(J1525,"-"), {"CSS","CSN","PCB","PCF","BEC","CSD","PCM"}, 0)),
            _xlfn.TEXTBEFORE(J1525,"-"),
            "Other"
        )
    ),
"Add")</f>
        <v>PCB</v>
      </c>
      <c r="B1525" s="10" t="str">
        <f t="shared" si="24"/>
        <v>0039</v>
      </c>
      <c r="C1525" s="10" t="str">
        <f>_xlfn.LET(
    _xlpm.val, IF(Datadetails[[#This Row],[Activity]]="D02","C20",Datadetails[[#This Row],[Activity]]),
    IF(ISNUMBER(MATCH(_xlpm.val,{"D04","C30","c40","C20"},0)), _xlpm.val, "Other")
)</f>
        <v>C30</v>
      </c>
      <c r="D1525" s="10" t="str">
        <f>IFERROR(VLOOKUP(Datadetails[[#This Row],[Taskcode]],Dashboard!A:A,1,FALSE),"00 Err Missing")</f>
        <v>0039</v>
      </c>
      <c r="E1525" s="79">
        <v>45854</v>
      </c>
      <c r="F1525" s="80" t="s">
        <v>329</v>
      </c>
      <c r="G1525" s="60" t="s">
        <v>40</v>
      </c>
      <c r="H1525" s="80" t="s">
        <v>206</v>
      </c>
      <c r="I1525" s="80" t="s">
        <v>34</v>
      </c>
      <c r="J1525" s="80" t="s">
        <v>367</v>
      </c>
      <c r="K1525" s="80" t="s">
        <v>347</v>
      </c>
      <c r="L1525" s="80" t="s">
        <v>343</v>
      </c>
      <c r="M1525" s="81">
        <v>0.57999999999999996</v>
      </c>
      <c r="N1525" s="82">
        <v>43.5</v>
      </c>
    </row>
    <row r="1526" spans="1:14" x14ac:dyDescent="0.25">
      <c r="A1526" s="10" t="str">
        <f>_xlfn.IFNA(
    IF(J1526=
        "PCB-0001",
        "CSS",
        IF(
            ISNUMBER(MATCH(_xlfn.TEXTBEFORE(J1526,"-"), {"CSS","CSN","PCB","PCF","BEC","CSD","PCM"}, 0)),
            _xlfn.TEXTBEFORE(J1526,"-"),
            "Other"
        )
    ),
"Add")</f>
        <v>PCB</v>
      </c>
      <c r="B1526" s="10" t="str">
        <f t="shared" si="24"/>
        <v>0135</v>
      </c>
      <c r="C1526" s="10" t="str">
        <f>_xlfn.LET(
    _xlpm.val, IF(Datadetails[[#This Row],[Activity]]="D02","C20",Datadetails[[#This Row],[Activity]]),
    IF(ISNUMBER(MATCH(_xlpm.val,{"D04","C30","c40","C20"},0)), _xlpm.val, "Other")
)</f>
        <v>C30</v>
      </c>
      <c r="D1526" s="10" t="str">
        <f>IFERROR(VLOOKUP(Datadetails[[#This Row],[Taskcode]],Dashboard!A:A,1,FALSE),"00 Err Missing")</f>
        <v>0135</v>
      </c>
      <c r="E1526" s="79">
        <v>45854</v>
      </c>
      <c r="F1526" s="80" t="s">
        <v>329</v>
      </c>
      <c r="G1526" s="60" t="s">
        <v>40</v>
      </c>
      <c r="H1526" s="80" t="s">
        <v>302</v>
      </c>
      <c r="I1526" s="80" t="s">
        <v>34</v>
      </c>
      <c r="J1526" s="80" t="s">
        <v>398</v>
      </c>
      <c r="K1526" s="80" t="s">
        <v>347</v>
      </c>
      <c r="L1526" s="80" t="s">
        <v>343</v>
      </c>
      <c r="M1526" s="81">
        <v>0.5</v>
      </c>
      <c r="N1526" s="82">
        <v>37.5</v>
      </c>
    </row>
    <row r="1527" spans="1:14" x14ac:dyDescent="0.25">
      <c r="A1527" s="10" t="str">
        <f>_xlfn.IFNA(
    IF(J1527=
        "PCB-0001",
        "CSS",
        IF(
            ISNUMBER(MATCH(_xlfn.TEXTBEFORE(J1527,"-"), {"CSS","CSN","PCB","PCF","BEC","CSD","PCM"}, 0)),
            _xlfn.TEXTBEFORE(J1527,"-"),
            "Other"
        )
    ),
"Add")</f>
        <v>PCB</v>
      </c>
      <c r="B1527" s="10" t="str">
        <f t="shared" si="24"/>
        <v>0062</v>
      </c>
      <c r="C1527" s="10" t="str">
        <f>_xlfn.LET(
    _xlpm.val, IF(Datadetails[[#This Row],[Activity]]="D02","C20",Datadetails[[#This Row],[Activity]]),
    IF(ISNUMBER(MATCH(_xlpm.val,{"D04","C30","c40","C20"},0)), _xlpm.val, "Other")
)</f>
        <v>C30</v>
      </c>
      <c r="D1527" s="10" t="str">
        <f>IFERROR(VLOOKUP(Datadetails[[#This Row],[Taskcode]],Dashboard!A:A,1,FALSE),"00 Err Missing")</f>
        <v>0062</v>
      </c>
      <c r="E1527" s="79">
        <v>45854</v>
      </c>
      <c r="F1527" s="80" t="s">
        <v>329</v>
      </c>
      <c r="G1527" s="60" t="s">
        <v>40</v>
      </c>
      <c r="H1527" s="80" t="s">
        <v>229</v>
      </c>
      <c r="I1527" s="80" t="s">
        <v>34</v>
      </c>
      <c r="J1527" s="80" t="s">
        <v>373</v>
      </c>
      <c r="K1527" s="80" t="s">
        <v>347</v>
      </c>
      <c r="L1527" s="80" t="s">
        <v>343</v>
      </c>
      <c r="M1527" s="81">
        <v>0.5</v>
      </c>
      <c r="N1527" s="82">
        <v>37.5</v>
      </c>
    </row>
    <row r="1528" spans="1:14" x14ac:dyDescent="0.25">
      <c r="A1528" s="10" t="str">
        <f>_xlfn.IFNA(
    IF(J1528=
        "PCB-0001",
        "CSS",
        IF(
            ISNUMBER(MATCH(_xlfn.TEXTBEFORE(J1528,"-"), {"CSS","CSN","PCB","PCF","BEC","CSD","PCM"}, 0)),
            _xlfn.TEXTBEFORE(J1528,"-"),
            "Other"
        )
    ),
"Add")</f>
        <v>PCB</v>
      </c>
      <c r="B1528" s="10" t="str">
        <f t="shared" si="24"/>
        <v>0136</v>
      </c>
      <c r="C1528" s="10" t="str">
        <f>_xlfn.LET(
    _xlpm.val, IF(Datadetails[[#This Row],[Activity]]="D02","C20",Datadetails[[#This Row],[Activity]]),
    IF(ISNUMBER(MATCH(_xlpm.val,{"D04","C30","c40","C20"},0)), _xlpm.val, "Other")
)</f>
        <v>C30</v>
      </c>
      <c r="D1528" s="10" t="str">
        <f>IFERROR(VLOOKUP(Datadetails[[#This Row],[Taskcode]],Dashboard!A:A,1,FALSE),"00 Err Missing")</f>
        <v>0136</v>
      </c>
      <c r="E1528" s="79">
        <v>45854</v>
      </c>
      <c r="F1528" s="80" t="s">
        <v>329</v>
      </c>
      <c r="G1528" s="60" t="s">
        <v>40</v>
      </c>
      <c r="H1528" s="80" t="s">
        <v>303</v>
      </c>
      <c r="I1528" s="80" t="s">
        <v>34</v>
      </c>
      <c r="J1528" s="80" t="s">
        <v>400</v>
      </c>
      <c r="K1528" s="80" t="s">
        <v>347</v>
      </c>
      <c r="L1528" s="80" t="s">
        <v>343</v>
      </c>
      <c r="M1528" s="81">
        <v>0.5</v>
      </c>
      <c r="N1528" s="82">
        <v>37.5</v>
      </c>
    </row>
    <row r="1529" spans="1:14" x14ac:dyDescent="0.25">
      <c r="A1529" s="10" t="str">
        <f>_xlfn.IFNA(
    IF(J1529=
        "PCB-0001",
        "CSS",
        IF(
            ISNUMBER(MATCH(_xlfn.TEXTBEFORE(J1529,"-"), {"CSS","CSN","PCB","PCF","BEC","CSD","PCM"}, 0)),
            _xlfn.TEXTBEFORE(J1529,"-"),
            "Other"
        )
    ),
"Add")</f>
        <v>PCB</v>
      </c>
      <c r="B1529" s="10" t="str">
        <f t="shared" si="24"/>
        <v>0071</v>
      </c>
      <c r="C1529" s="10" t="str">
        <f>_xlfn.LET(
    _xlpm.val, IF(Datadetails[[#This Row],[Activity]]="D02","C20",Datadetails[[#This Row],[Activity]]),
    IF(ISNUMBER(MATCH(_xlpm.val,{"D04","C30","c40","C20"},0)), _xlpm.val, "Other")
)</f>
        <v>C30</v>
      </c>
      <c r="D1529" s="10" t="str">
        <f>IFERROR(VLOOKUP(Datadetails[[#This Row],[Taskcode]],Dashboard!A:A,1,FALSE),"00 Err Missing")</f>
        <v>0071</v>
      </c>
      <c r="E1529" s="79">
        <v>45854</v>
      </c>
      <c r="F1529" s="80" t="s">
        <v>329</v>
      </c>
      <c r="G1529" s="60" t="s">
        <v>40</v>
      </c>
      <c r="H1529" s="80" t="s">
        <v>238</v>
      </c>
      <c r="I1529" s="80" t="s">
        <v>34</v>
      </c>
      <c r="J1529" s="80" t="s">
        <v>374</v>
      </c>
      <c r="K1529" s="80" t="s">
        <v>347</v>
      </c>
      <c r="L1529" s="80" t="s">
        <v>343</v>
      </c>
      <c r="M1529" s="81">
        <v>0.17</v>
      </c>
      <c r="N1529" s="82">
        <v>12.750000000000002</v>
      </c>
    </row>
    <row r="1530" spans="1:14" x14ac:dyDescent="0.25">
      <c r="A1530" s="10" t="str">
        <f>_xlfn.IFNA(
    IF(J1530=
        "PCB-0001",
        "CSS",
        IF(
            ISNUMBER(MATCH(_xlfn.TEXTBEFORE(J1530,"-"), {"CSS","CSN","PCB","PCF","BEC","CSD","PCM"}, 0)),
            _xlfn.TEXTBEFORE(J1530,"-"),
            "Other"
        )
    ),
"Add")</f>
        <v>PCB</v>
      </c>
      <c r="B1530" s="10" t="str">
        <f t="shared" si="24"/>
        <v>0075</v>
      </c>
      <c r="C1530" s="10" t="str">
        <f>_xlfn.LET(
    _xlpm.val, IF(Datadetails[[#This Row],[Activity]]="D02","C20",Datadetails[[#This Row],[Activity]]),
    IF(ISNUMBER(MATCH(_xlpm.val,{"D04","C30","c40","C20"},0)), _xlpm.val, "Other")
)</f>
        <v>C30</v>
      </c>
      <c r="D1530" s="10" t="str">
        <f>IFERROR(VLOOKUP(Datadetails[[#This Row],[Taskcode]],Dashboard!A:A,1,FALSE),"00 Err Missing")</f>
        <v>0075</v>
      </c>
      <c r="E1530" s="79">
        <v>45854</v>
      </c>
      <c r="F1530" s="80" t="s">
        <v>329</v>
      </c>
      <c r="G1530" s="60" t="s">
        <v>40</v>
      </c>
      <c r="H1530" s="80" t="s">
        <v>242</v>
      </c>
      <c r="I1530" s="80" t="s">
        <v>34</v>
      </c>
      <c r="J1530" s="80" t="s">
        <v>404</v>
      </c>
      <c r="K1530" s="80" t="s">
        <v>347</v>
      </c>
      <c r="L1530" s="80" t="s">
        <v>343</v>
      </c>
      <c r="M1530" s="81">
        <v>0.17</v>
      </c>
      <c r="N1530" s="82">
        <v>12.750000000000002</v>
      </c>
    </row>
    <row r="1531" spans="1:14" x14ac:dyDescent="0.25">
      <c r="A1531" s="10" t="str">
        <f>_xlfn.IFNA(
    IF(J1531=
        "PCB-0001",
        "CSS",
        IF(
            ISNUMBER(MATCH(_xlfn.TEXTBEFORE(J1531,"-"), {"CSS","CSN","PCB","PCF","BEC","CSD","PCM"}, 0)),
            _xlfn.TEXTBEFORE(J1531,"-"),
            "Other"
        )
    ),
"Add")</f>
        <v>PCB</v>
      </c>
      <c r="B1531" s="10" t="str">
        <f t="shared" si="24"/>
        <v>0092</v>
      </c>
      <c r="C1531" s="10" t="str">
        <f>_xlfn.LET(
    _xlpm.val, IF(Datadetails[[#This Row],[Activity]]="D02","C20",Datadetails[[#This Row],[Activity]]),
    IF(ISNUMBER(MATCH(_xlpm.val,{"D04","C30","c40","C20"},0)), _xlpm.val, "Other")
)</f>
        <v>C30</v>
      </c>
      <c r="D1531" s="10" t="str">
        <f>IFERROR(VLOOKUP(Datadetails[[#This Row],[Taskcode]],Dashboard!A:A,1,FALSE),"00 Err Missing")</f>
        <v>0092</v>
      </c>
      <c r="E1531" s="79">
        <v>45854</v>
      </c>
      <c r="F1531" s="80" t="s">
        <v>329</v>
      </c>
      <c r="G1531" s="60" t="s">
        <v>40</v>
      </c>
      <c r="H1531" s="80" t="s">
        <v>259</v>
      </c>
      <c r="I1531" s="80" t="s">
        <v>34</v>
      </c>
      <c r="J1531" s="80" t="s">
        <v>407</v>
      </c>
      <c r="K1531" s="80" t="s">
        <v>347</v>
      </c>
      <c r="L1531" s="80" t="s">
        <v>343</v>
      </c>
      <c r="M1531" s="81">
        <v>0.08</v>
      </c>
      <c r="N1531" s="82">
        <v>6</v>
      </c>
    </row>
    <row r="1532" spans="1:14" x14ac:dyDescent="0.25">
      <c r="A1532" s="10" t="str">
        <f>_xlfn.IFNA(
    IF(J1532=
        "PCB-0001",
        "CSS",
        IF(
            ISNUMBER(MATCH(_xlfn.TEXTBEFORE(J1532,"-"), {"CSS","CSN","PCB","PCF","BEC","CSD","PCM"}, 0)),
            _xlfn.TEXTBEFORE(J1532,"-"),
            "Other"
        )
    ),
"Add")</f>
        <v>PCB</v>
      </c>
      <c r="B1532" s="10" t="str">
        <f t="shared" si="24"/>
        <v>0080</v>
      </c>
      <c r="C1532" s="10" t="str">
        <f>_xlfn.LET(
    _xlpm.val, IF(Datadetails[[#This Row],[Activity]]="D02","C20",Datadetails[[#This Row],[Activity]]),
    IF(ISNUMBER(MATCH(_xlpm.val,{"D04","C30","c40","C20"},0)), _xlpm.val, "Other")
)</f>
        <v>C30</v>
      </c>
      <c r="D1532" s="10" t="str">
        <f>IFERROR(VLOOKUP(Datadetails[[#This Row],[Taskcode]],Dashboard!A:A,1,FALSE),"00 Err Missing")</f>
        <v>0080</v>
      </c>
      <c r="E1532" s="79">
        <v>45854</v>
      </c>
      <c r="F1532" s="80" t="s">
        <v>329</v>
      </c>
      <c r="G1532" s="60" t="s">
        <v>40</v>
      </c>
      <c r="H1532" s="80" t="s">
        <v>247</v>
      </c>
      <c r="I1532" s="80" t="s">
        <v>34</v>
      </c>
      <c r="J1532" s="80" t="s">
        <v>375</v>
      </c>
      <c r="K1532" s="80" t="s">
        <v>347</v>
      </c>
      <c r="L1532" s="80" t="s">
        <v>343</v>
      </c>
      <c r="M1532" s="81">
        <v>1</v>
      </c>
      <c r="N1532" s="82">
        <v>75</v>
      </c>
    </row>
    <row r="1533" spans="1:14" x14ac:dyDescent="0.25">
      <c r="A1533" s="10" t="str">
        <f>_xlfn.IFNA(
    IF(J1533=
        "PCB-0001",
        "CSS",
        IF(
            ISNUMBER(MATCH(_xlfn.TEXTBEFORE(J1533,"-"), {"CSS","CSN","PCB","PCF","BEC","CSD","PCM"}, 0)),
            _xlfn.TEXTBEFORE(J1533,"-"),
            "Other"
        )
    ),
"Add")</f>
        <v>PCB</v>
      </c>
      <c r="B1533" s="10" t="str">
        <f t="shared" si="24"/>
        <v>0132</v>
      </c>
      <c r="C1533" s="10" t="str">
        <f>_xlfn.LET(
    _xlpm.val, IF(Datadetails[[#This Row],[Activity]]="D02","C20",Datadetails[[#This Row],[Activity]]),
    IF(ISNUMBER(MATCH(_xlpm.val,{"D04","C30","c40","C20"},0)), _xlpm.val, "Other")
)</f>
        <v>C20</v>
      </c>
      <c r="D1533" s="10" t="str">
        <f>IFERROR(VLOOKUP(Datadetails[[#This Row],[Taskcode]],Dashboard!A:A,1,FALSE),"00 Err Missing")</f>
        <v>0132</v>
      </c>
      <c r="E1533" s="79">
        <v>45854</v>
      </c>
      <c r="F1533" s="80" t="s">
        <v>329</v>
      </c>
      <c r="G1533" s="60" t="s">
        <v>40</v>
      </c>
      <c r="H1533" s="80" t="s">
        <v>299</v>
      </c>
      <c r="I1533" s="80" t="s">
        <v>312</v>
      </c>
      <c r="J1533" s="80" t="s">
        <v>455</v>
      </c>
      <c r="K1533" s="80" t="s">
        <v>347</v>
      </c>
      <c r="L1533" s="80" t="s">
        <v>350</v>
      </c>
      <c r="M1533" s="81">
        <v>1</v>
      </c>
      <c r="N1533" s="82">
        <v>75</v>
      </c>
    </row>
    <row r="1534" spans="1:14" x14ac:dyDescent="0.25">
      <c r="A1534" s="10" t="str">
        <f>_xlfn.IFNA(
    IF(J1534=
        "PCB-0001",
        "CSS",
        IF(
            ISNUMBER(MATCH(_xlfn.TEXTBEFORE(J1534,"-"), {"CSS","CSN","PCB","PCF","BEC","CSD","PCM"}, 0)),
            _xlfn.TEXTBEFORE(J1534,"-"),
            "Other"
        )
    ),
"Add")</f>
        <v>PCF</v>
      </c>
      <c r="B1534" s="10" t="str">
        <f t="shared" si="24"/>
        <v>0008</v>
      </c>
      <c r="C1534" s="10" t="str">
        <f>_xlfn.LET(
    _xlpm.val, IF(Datadetails[[#This Row],[Activity]]="D02","C20",Datadetails[[#This Row],[Activity]]),
    IF(ISNUMBER(MATCH(_xlpm.val,{"D04","C30","c40","C20"},0)), _xlpm.val, "Other")
)</f>
        <v>C20</v>
      </c>
      <c r="D1534" s="10" t="str">
        <f>IFERROR(VLOOKUP(Datadetails[[#This Row],[Taskcode]],Dashboard!A:A,1,FALSE),"00 Err Missing")</f>
        <v>0008</v>
      </c>
      <c r="E1534" s="79">
        <v>45854</v>
      </c>
      <c r="F1534" s="80" t="s">
        <v>326</v>
      </c>
      <c r="G1534" s="60" t="s">
        <v>40</v>
      </c>
      <c r="H1534" s="80" t="s">
        <v>175</v>
      </c>
      <c r="I1534" s="80" t="s">
        <v>36</v>
      </c>
      <c r="J1534" s="80" t="s">
        <v>388</v>
      </c>
      <c r="K1534" s="80" t="s">
        <v>348</v>
      </c>
      <c r="L1534" s="80" t="s">
        <v>342</v>
      </c>
      <c r="M1534" s="81">
        <v>0.33</v>
      </c>
      <c r="N1534" s="82">
        <v>19.8</v>
      </c>
    </row>
    <row r="1535" spans="1:14" x14ac:dyDescent="0.25">
      <c r="A1535" s="10" t="str">
        <f>_xlfn.IFNA(
    IF(J1535=
        "PCB-0001",
        "CSS",
        IF(
            ISNUMBER(MATCH(_xlfn.TEXTBEFORE(J1535,"-"), {"CSS","CSN","PCB","PCF","BEC","CSD","PCM"}, 0)),
            _xlfn.TEXTBEFORE(J1535,"-"),
            "Other"
        )
    ),
"Add")</f>
        <v>PCF</v>
      </c>
      <c r="B1535" s="10" t="str">
        <f t="shared" si="24"/>
        <v>0060</v>
      </c>
      <c r="C1535" s="10" t="str">
        <f>_xlfn.LET(
    _xlpm.val, IF(Datadetails[[#This Row],[Activity]]="D02","C20",Datadetails[[#This Row],[Activity]]),
    IF(ISNUMBER(MATCH(_xlpm.val,{"D04","C30","c40","C20"},0)), _xlpm.val, "Other")
)</f>
        <v>C20</v>
      </c>
      <c r="D1535" s="10" t="str">
        <f>IFERROR(VLOOKUP(Datadetails[[#This Row],[Taskcode]],Dashboard!A:A,1,FALSE),"00 Err Missing")</f>
        <v>0060</v>
      </c>
      <c r="E1535" s="79">
        <v>45854</v>
      </c>
      <c r="F1535" s="80" t="s">
        <v>326</v>
      </c>
      <c r="G1535" s="60" t="s">
        <v>40</v>
      </c>
      <c r="H1535" s="80" t="s">
        <v>227</v>
      </c>
      <c r="I1535" s="80" t="s">
        <v>36</v>
      </c>
      <c r="J1535" s="80" t="s">
        <v>453</v>
      </c>
      <c r="K1535" s="80" t="s">
        <v>348</v>
      </c>
      <c r="L1535" s="80" t="s">
        <v>342</v>
      </c>
      <c r="M1535" s="81">
        <v>0.33</v>
      </c>
      <c r="N1535" s="82">
        <v>19.8</v>
      </c>
    </row>
    <row r="1536" spans="1:14" x14ac:dyDescent="0.25">
      <c r="A1536" s="10" t="str">
        <f>_xlfn.IFNA(
    IF(J1536=
        "PCB-0001",
        "CSS",
        IF(
            ISNUMBER(MATCH(_xlfn.TEXTBEFORE(J1536,"-"), {"CSS","CSN","PCB","PCF","BEC","CSD","PCM"}, 0)),
            _xlfn.TEXTBEFORE(J1536,"-"),
            "Other"
        )
    ),
"Add")</f>
        <v>PCF</v>
      </c>
      <c r="B1536" s="10" t="str">
        <f t="shared" si="24"/>
        <v>0142</v>
      </c>
      <c r="C1536" s="10" t="str">
        <f>_xlfn.LET(
    _xlpm.val, IF(Datadetails[[#This Row],[Activity]]="D02","C20",Datadetails[[#This Row],[Activity]]),
    IF(ISNUMBER(MATCH(_xlpm.val,{"D04","C30","c40","C20"},0)), _xlpm.val, "Other")
)</f>
        <v>C20</v>
      </c>
      <c r="D1536" s="10" t="str">
        <f>IFERROR(VLOOKUP(Datadetails[[#This Row],[Taskcode]],Dashboard!A:A,1,FALSE),"00 Err Missing")</f>
        <v>0142</v>
      </c>
      <c r="E1536" s="79">
        <v>45854</v>
      </c>
      <c r="F1536" s="80" t="s">
        <v>326</v>
      </c>
      <c r="G1536" s="60" t="s">
        <v>40</v>
      </c>
      <c r="H1536" s="80" t="s">
        <v>309</v>
      </c>
      <c r="I1536" s="80" t="s">
        <v>36</v>
      </c>
      <c r="J1536" s="80" t="s">
        <v>454</v>
      </c>
      <c r="K1536" s="80" t="s">
        <v>348</v>
      </c>
      <c r="L1536" s="80" t="s">
        <v>342</v>
      </c>
      <c r="M1536" s="81">
        <v>0.42</v>
      </c>
      <c r="N1536" s="82">
        <v>25.2</v>
      </c>
    </row>
    <row r="1537" spans="1:14" x14ac:dyDescent="0.25">
      <c r="A1537" s="10" t="str">
        <f>_xlfn.IFNA(
    IF(J1537=
        "PCB-0001",
        "CSS",
        IF(
            ISNUMBER(MATCH(_xlfn.TEXTBEFORE(J1537,"-"), {"CSS","CSN","PCB","PCF","BEC","CSD","PCM"}, 0)),
            _xlfn.TEXTBEFORE(J1537,"-"),
            "Other"
        )
    ),
"Add")</f>
        <v>BEC</v>
      </c>
      <c r="B1537" s="10" t="str">
        <f t="shared" si="24"/>
        <v>0001</v>
      </c>
      <c r="C1537" s="10" t="str">
        <f>_xlfn.LET(
    _xlpm.val, IF(Datadetails[[#This Row],[Activity]]="D02","C20",Datadetails[[#This Row],[Activity]]),
    IF(ISNUMBER(MATCH(_xlpm.val,{"D04","C30","c40","C20"},0)), _xlpm.val, "Other")
)</f>
        <v>D04</v>
      </c>
      <c r="D1537" s="10" t="str">
        <f>IFERROR(VLOOKUP(Datadetails[[#This Row],[Taskcode]],Dashboard!A:A,1,FALSE),"00 Err Missing")</f>
        <v>0001</v>
      </c>
      <c r="E1537" s="79">
        <v>45854</v>
      </c>
      <c r="F1537" s="80" t="s">
        <v>332</v>
      </c>
      <c r="G1537" s="60" t="s">
        <v>40</v>
      </c>
      <c r="H1537" s="80" t="s">
        <v>314</v>
      </c>
      <c r="I1537" s="80" t="s">
        <v>35</v>
      </c>
      <c r="J1537" s="80" t="s">
        <v>359</v>
      </c>
      <c r="K1537" s="80" t="s">
        <v>339</v>
      </c>
      <c r="L1537" s="80" t="s">
        <v>352</v>
      </c>
      <c r="M1537" s="81">
        <v>7.33</v>
      </c>
      <c r="N1537" s="82">
        <v>293.2</v>
      </c>
    </row>
    <row r="1538" spans="1:14" x14ac:dyDescent="0.25">
      <c r="A1538" s="10" t="str">
        <f>_xlfn.IFNA(
    IF(J1538=
        "PCB-0001",
        "CSS",
        IF(
            ISNUMBER(MATCH(_xlfn.TEXTBEFORE(J1538,"-"), {"CSS","CSN","PCB","PCF","BEC","CSD","PCM"}, 0)),
            _xlfn.TEXTBEFORE(J1538,"-"),
            "Other"
        )
    ),
"Add")</f>
        <v>BEC</v>
      </c>
      <c r="B1538" s="10" t="str">
        <f t="shared" si="24"/>
        <v>0001</v>
      </c>
      <c r="C1538" s="10" t="str">
        <f>_xlfn.LET(
    _xlpm.val, IF(Datadetails[[#This Row],[Activity]]="D02","C20",Datadetails[[#This Row],[Activity]]),
    IF(ISNUMBER(MATCH(_xlpm.val,{"D04","C30","c40","C20"},0)), _xlpm.val, "Other")
)</f>
        <v>D04</v>
      </c>
      <c r="D1538" s="10" t="str">
        <f>IFERROR(VLOOKUP(Datadetails[[#This Row],[Taskcode]],Dashboard!A:A,1,FALSE),"00 Err Missing")</f>
        <v>0001</v>
      </c>
      <c r="E1538" s="79">
        <v>45854</v>
      </c>
      <c r="F1538" s="80" t="s">
        <v>324</v>
      </c>
      <c r="G1538" s="60" t="s">
        <v>40</v>
      </c>
      <c r="H1538" s="80" t="s">
        <v>314</v>
      </c>
      <c r="I1538" s="80" t="s">
        <v>35</v>
      </c>
      <c r="J1538" s="80" t="s">
        <v>359</v>
      </c>
      <c r="K1538" s="80" t="s">
        <v>339</v>
      </c>
      <c r="L1538" s="80" t="s">
        <v>352</v>
      </c>
      <c r="M1538" s="81">
        <v>6</v>
      </c>
      <c r="N1538" s="82">
        <v>450</v>
      </c>
    </row>
    <row r="1539" spans="1:14" x14ac:dyDescent="0.25">
      <c r="A1539" s="10" t="str">
        <f>_xlfn.IFNA(
    IF(J1539=
        "PCB-0001",
        "CSS",
        IF(
            ISNUMBER(MATCH(_xlfn.TEXTBEFORE(J1539,"-"), {"CSS","CSN","PCB","PCF","BEC","CSD","PCM"}, 0)),
            _xlfn.TEXTBEFORE(J1539,"-"),
            "Other"
        )
    ),
"Add")</f>
        <v>PCM</v>
      </c>
      <c r="B1539" s="10" t="str">
        <f t="shared" si="24"/>
        <v>0035</v>
      </c>
      <c r="C1539" s="10" t="str">
        <f>_xlfn.LET(
    _xlpm.val, IF(Datadetails[[#This Row],[Activity]]="D02","C20",Datadetails[[#This Row],[Activity]]),
    IF(ISNUMBER(MATCH(_xlpm.val,{"D04","C30","c40","C20"},0)), _xlpm.val, "Other")
)</f>
        <v>C20</v>
      </c>
      <c r="D1539" s="10" t="str">
        <f>IFERROR(VLOOKUP(Datadetails[[#This Row],[Taskcode]],Dashboard!A:A,1,FALSE),"00 Err Missing")</f>
        <v>0035</v>
      </c>
      <c r="E1539" s="79">
        <v>45855</v>
      </c>
      <c r="F1539" s="80" t="s">
        <v>323</v>
      </c>
      <c r="G1539" s="60" t="s">
        <v>40</v>
      </c>
      <c r="H1539" s="80" t="s">
        <v>202</v>
      </c>
      <c r="I1539" s="80" t="s">
        <v>36</v>
      </c>
      <c r="J1539" s="80" t="s">
        <v>431</v>
      </c>
      <c r="K1539" s="80" t="s">
        <v>346</v>
      </c>
      <c r="L1539" s="80" t="s">
        <v>342</v>
      </c>
      <c r="M1539" s="81">
        <v>0.25</v>
      </c>
      <c r="N1539" s="82">
        <v>15</v>
      </c>
    </row>
    <row r="1540" spans="1:14" x14ac:dyDescent="0.25">
      <c r="A1540" s="10" t="str">
        <f>_xlfn.IFNA(
    IF(J1540=
        "PCB-0001",
        "CSS",
        IF(
            ISNUMBER(MATCH(_xlfn.TEXTBEFORE(J1540,"-"), {"CSS","CSN","PCB","PCF","BEC","CSD","PCM"}, 0)),
            _xlfn.TEXTBEFORE(J1540,"-"),
            "Other"
        )
    ),
"Add")</f>
        <v>CSN</v>
      </c>
      <c r="B1540" s="10" t="str">
        <f t="shared" ref="B1540:B1603" si="25">_xlfn.IFNA(_xlfn.TEXTAFTER(J1540,"-"),"Data to C2")</f>
        <v>0001</v>
      </c>
      <c r="C1540" s="10" t="str">
        <f>_xlfn.LET(
    _xlpm.val, IF(Datadetails[[#This Row],[Activity]]="D02","C20",Datadetails[[#This Row],[Activity]]),
    IF(ISNUMBER(MATCH(_xlpm.val,{"D04","C30","c40","C20"},0)), _xlpm.val, "Other")
)</f>
        <v>D04</v>
      </c>
      <c r="D1540" s="10" t="str">
        <f>IFERROR(VLOOKUP(Datadetails[[#This Row],[Taskcode]],Dashboard!A:A,1,FALSE),"00 Err Missing")</f>
        <v>0001</v>
      </c>
      <c r="E1540" s="79">
        <v>45855</v>
      </c>
      <c r="F1540" s="80" t="s">
        <v>329</v>
      </c>
      <c r="G1540" s="60" t="s">
        <v>40</v>
      </c>
      <c r="H1540" s="80" t="s">
        <v>316</v>
      </c>
      <c r="I1540" s="80" t="s">
        <v>35</v>
      </c>
      <c r="J1540" s="80" t="s">
        <v>338</v>
      </c>
      <c r="K1540" s="80" t="s">
        <v>337</v>
      </c>
      <c r="L1540" s="80" t="s">
        <v>352</v>
      </c>
      <c r="M1540" s="81">
        <v>0.75</v>
      </c>
      <c r="N1540" s="82">
        <v>56.25</v>
      </c>
    </row>
    <row r="1541" spans="1:14" x14ac:dyDescent="0.25">
      <c r="A1541" s="10" t="str">
        <f>_xlfn.IFNA(
    IF(J1541=
        "PCB-0001",
        "CSS",
        IF(
            ISNUMBER(MATCH(_xlfn.TEXTBEFORE(J1541,"-"), {"CSS","CSN","PCB","PCF","BEC","CSD","PCM"}, 0)),
            _xlfn.TEXTBEFORE(J1541,"-"),
            "Other"
        )
    ),
"Add")</f>
        <v>CSD</v>
      </c>
      <c r="B1541" s="10" t="str">
        <f t="shared" si="25"/>
        <v>0001</v>
      </c>
      <c r="C1541" s="10" t="str">
        <f>_xlfn.LET(
    _xlpm.val, IF(Datadetails[[#This Row],[Activity]]="D02","C20",Datadetails[[#This Row],[Activity]]),
    IF(ISNUMBER(MATCH(_xlpm.val,{"D04","C30","c40","C20"},0)), _xlpm.val, "Other")
)</f>
        <v>D04</v>
      </c>
      <c r="D1541" s="10" t="str">
        <f>IFERROR(VLOOKUP(Datadetails[[#This Row],[Taskcode]],Dashboard!A:A,1,FALSE),"00 Err Missing")</f>
        <v>0001</v>
      </c>
      <c r="E1541" s="79">
        <v>45855</v>
      </c>
      <c r="F1541" s="80" t="s">
        <v>333</v>
      </c>
      <c r="G1541" s="60" t="s">
        <v>40</v>
      </c>
      <c r="H1541" s="80" t="s">
        <v>320</v>
      </c>
      <c r="I1541" s="80" t="s">
        <v>35</v>
      </c>
      <c r="J1541" s="80" t="s">
        <v>322</v>
      </c>
      <c r="K1541" s="80" t="s">
        <v>319</v>
      </c>
      <c r="L1541" s="80" t="s">
        <v>352</v>
      </c>
      <c r="M1541" s="81">
        <v>7.28</v>
      </c>
      <c r="N1541" s="82">
        <v>232.96</v>
      </c>
    </row>
    <row r="1542" spans="1:14" x14ac:dyDescent="0.25">
      <c r="A1542" s="10" t="str">
        <f>_xlfn.IFNA(
    IF(J1542=
        "PCB-0001",
        "CSS",
        IF(
            ISNUMBER(MATCH(_xlfn.TEXTBEFORE(J1542,"-"), {"CSS","CSN","PCB","PCF","BEC","CSD","PCM"}, 0)),
            _xlfn.TEXTBEFORE(J1542,"-"),
            "Other"
        )
    ),
"Add")</f>
        <v>CSD</v>
      </c>
      <c r="B1542" s="10" t="str">
        <f t="shared" si="25"/>
        <v>0001</v>
      </c>
      <c r="C1542" s="10" t="str">
        <f>_xlfn.LET(
    _xlpm.val, IF(Datadetails[[#This Row],[Activity]]="D02","C20",Datadetails[[#This Row],[Activity]]),
    IF(ISNUMBER(MATCH(_xlpm.val,{"D04","C30","c40","C20"},0)), _xlpm.val, "Other")
)</f>
        <v>D04</v>
      </c>
      <c r="D1542" s="10" t="str">
        <f>IFERROR(VLOOKUP(Datadetails[[#This Row],[Taskcode]],Dashboard!A:A,1,FALSE),"00 Err Missing")</f>
        <v>0001</v>
      </c>
      <c r="E1542" s="79">
        <v>45855</v>
      </c>
      <c r="F1542" s="80" t="s">
        <v>327</v>
      </c>
      <c r="G1542" s="60" t="s">
        <v>40</v>
      </c>
      <c r="H1542" s="80" t="s">
        <v>320</v>
      </c>
      <c r="I1542" s="80" t="s">
        <v>35</v>
      </c>
      <c r="J1542" s="80" t="s">
        <v>322</v>
      </c>
      <c r="K1542" s="80" t="s">
        <v>319</v>
      </c>
      <c r="L1542" s="80" t="s">
        <v>352</v>
      </c>
      <c r="M1542" s="81">
        <v>7</v>
      </c>
      <c r="N1542" s="82">
        <v>224</v>
      </c>
    </row>
    <row r="1543" spans="1:14" x14ac:dyDescent="0.25">
      <c r="A1543" s="10" t="str">
        <f>_xlfn.IFNA(
    IF(J1543=
        "PCB-0001",
        "CSS",
        IF(
            ISNUMBER(MATCH(_xlfn.TEXTBEFORE(J1543,"-"), {"CSS","CSN","PCB","PCF","BEC","CSD","PCM"}, 0)),
            _xlfn.TEXTBEFORE(J1543,"-"),
            "Other"
        )
    ),
"Add")</f>
        <v>PCM</v>
      </c>
      <c r="B1543" s="10" t="str">
        <f t="shared" si="25"/>
        <v>0116</v>
      </c>
      <c r="C1543" s="10" t="str">
        <f>_xlfn.LET(
    _xlpm.val, IF(Datadetails[[#This Row],[Activity]]="D02","C20",Datadetails[[#This Row],[Activity]]),
    IF(ISNUMBER(MATCH(_xlpm.val,{"D04","C30","c40","C20"},0)), _xlpm.val, "Other")
)</f>
        <v>C20</v>
      </c>
      <c r="D1543" s="10" t="str">
        <f>IFERROR(VLOOKUP(Datadetails[[#This Row],[Taskcode]],Dashboard!A:A,1,FALSE),"00 Err Missing")</f>
        <v>0116</v>
      </c>
      <c r="E1543" s="79">
        <v>45855</v>
      </c>
      <c r="F1543" s="80" t="s">
        <v>323</v>
      </c>
      <c r="G1543" s="60" t="s">
        <v>40</v>
      </c>
      <c r="H1543" s="80" t="s">
        <v>283</v>
      </c>
      <c r="I1543" s="80" t="s">
        <v>36</v>
      </c>
      <c r="J1543" s="80" t="s">
        <v>429</v>
      </c>
      <c r="K1543" s="80" t="s">
        <v>346</v>
      </c>
      <c r="L1543" s="80" t="s">
        <v>342</v>
      </c>
      <c r="M1543" s="81">
        <v>0.5</v>
      </c>
      <c r="N1543" s="82">
        <v>30</v>
      </c>
    </row>
    <row r="1544" spans="1:14" x14ac:dyDescent="0.25">
      <c r="A1544" s="10" t="str">
        <f>_xlfn.IFNA(
    IF(J1544=
        "PCB-0001",
        "CSS",
        IF(
            ISNUMBER(MATCH(_xlfn.TEXTBEFORE(J1544,"-"), {"CSS","CSN","PCB","PCF","BEC","CSD","PCM"}, 0)),
            _xlfn.TEXTBEFORE(J1544,"-"),
            "Other"
        )
    ),
"Add")</f>
        <v>PCM</v>
      </c>
      <c r="B1544" s="10" t="str">
        <f t="shared" si="25"/>
        <v>0099</v>
      </c>
      <c r="C1544" s="10" t="str">
        <f>_xlfn.LET(
    _xlpm.val, IF(Datadetails[[#This Row],[Activity]]="D02","C20",Datadetails[[#This Row],[Activity]]),
    IF(ISNUMBER(MATCH(_xlpm.val,{"D04","C30","c40","C20"},0)), _xlpm.val, "Other")
)</f>
        <v>C20</v>
      </c>
      <c r="D1544" s="10" t="str">
        <f>IFERROR(VLOOKUP(Datadetails[[#This Row],[Taskcode]],Dashboard!A:A,1,FALSE),"00 Err Missing")</f>
        <v>0099</v>
      </c>
      <c r="E1544" s="79">
        <v>45855</v>
      </c>
      <c r="F1544" s="80" t="s">
        <v>323</v>
      </c>
      <c r="G1544" s="60" t="s">
        <v>40</v>
      </c>
      <c r="H1544" s="80" t="s">
        <v>266</v>
      </c>
      <c r="I1544" s="80" t="s">
        <v>36</v>
      </c>
      <c r="J1544" s="80" t="s">
        <v>394</v>
      </c>
      <c r="K1544" s="80" t="s">
        <v>346</v>
      </c>
      <c r="L1544" s="80" t="s">
        <v>342</v>
      </c>
      <c r="M1544" s="81">
        <v>0.25</v>
      </c>
      <c r="N1544" s="82">
        <v>15</v>
      </c>
    </row>
    <row r="1545" spans="1:14" x14ac:dyDescent="0.25">
      <c r="A1545" s="10" t="str">
        <f>_xlfn.IFNA(
    IF(J1545=
        "PCB-0001",
        "CSS",
        IF(
            ISNUMBER(MATCH(_xlfn.TEXTBEFORE(J1545,"-"), {"CSS","CSN","PCB","PCF","BEC","CSD","PCM"}, 0)),
            _xlfn.TEXTBEFORE(J1545,"-"),
            "Other"
        )
    ),
"Add")</f>
        <v>PCM</v>
      </c>
      <c r="B1545" s="10" t="str">
        <f t="shared" si="25"/>
        <v>0114</v>
      </c>
      <c r="C1545" s="10" t="str">
        <f>_xlfn.LET(
    _xlpm.val, IF(Datadetails[[#This Row],[Activity]]="D02","C20",Datadetails[[#This Row],[Activity]]),
    IF(ISNUMBER(MATCH(_xlpm.val,{"D04","C30","c40","C20"},0)), _xlpm.val, "Other")
)</f>
        <v>C20</v>
      </c>
      <c r="D1545" s="10" t="str">
        <f>IFERROR(VLOOKUP(Datadetails[[#This Row],[Taskcode]],Dashboard!A:A,1,FALSE),"00 Err Missing")</f>
        <v>0114</v>
      </c>
      <c r="E1545" s="79">
        <v>45855</v>
      </c>
      <c r="F1545" s="80" t="s">
        <v>323</v>
      </c>
      <c r="G1545" s="60" t="s">
        <v>40</v>
      </c>
      <c r="H1545" s="80" t="s">
        <v>281</v>
      </c>
      <c r="I1545" s="80" t="s">
        <v>36</v>
      </c>
      <c r="J1545" s="80" t="s">
        <v>430</v>
      </c>
      <c r="K1545" s="80" t="s">
        <v>346</v>
      </c>
      <c r="L1545" s="80" t="s">
        <v>342</v>
      </c>
      <c r="M1545" s="81">
        <v>0.5</v>
      </c>
      <c r="N1545" s="82">
        <v>30</v>
      </c>
    </row>
    <row r="1546" spans="1:14" x14ac:dyDescent="0.25">
      <c r="A1546" s="10" t="str">
        <f>_xlfn.IFNA(
    IF(J1546=
        "PCB-0001",
        "CSS",
        IF(
            ISNUMBER(MATCH(_xlfn.TEXTBEFORE(J1546,"-"), {"CSS","CSN","PCB","PCF","BEC","CSD","PCM"}, 0)),
            _xlfn.TEXTBEFORE(J1546,"-"),
            "Other"
        )
    ),
"Add")</f>
        <v>PCB</v>
      </c>
      <c r="B1546" s="10" t="str">
        <f t="shared" si="25"/>
        <v>0019</v>
      </c>
      <c r="C1546" s="10" t="str">
        <f>_xlfn.LET(
    _xlpm.val, IF(Datadetails[[#This Row],[Activity]]="D02","C20",Datadetails[[#This Row],[Activity]]),
    IF(ISNUMBER(MATCH(_xlpm.val,{"D04","C30","c40","C20"},0)), _xlpm.val, "Other")
)</f>
        <v>C30</v>
      </c>
      <c r="D1546" s="10" t="str">
        <f>IFERROR(VLOOKUP(Datadetails[[#This Row],[Taskcode]],Dashboard!A:A,1,FALSE),"00 Err Missing")</f>
        <v>0019</v>
      </c>
      <c r="E1546" s="79">
        <v>45855</v>
      </c>
      <c r="F1546" s="80" t="s">
        <v>329</v>
      </c>
      <c r="G1546" s="60" t="s">
        <v>40</v>
      </c>
      <c r="H1546" s="80" t="s">
        <v>186</v>
      </c>
      <c r="I1546" s="80" t="s">
        <v>34</v>
      </c>
      <c r="J1546" s="80" t="s">
        <v>397</v>
      </c>
      <c r="K1546" s="80" t="s">
        <v>347</v>
      </c>
      <c r="L1546" s="80" t="s">
        <v>343</v>
      </c>
      <c r="M1546" s="81">
        <v>0.5</v>
      </c>
      <c r="N1546" s="82">
        <v>37.5</v>
      </c>
    </row>
    <row r="1547" spans="1:14" x14ac:dyDescent="0.25">
      <c r="A1547" s="10" t="str">
        <f>_xlfn.IFNA(
    IF(J1547=
        "PCB-0001",
        "CSS",
        IF(
            ISNUMBER(MATCH(_xlfn.TEXTBEFORE(J1547,"-"), {"CSS","CSN","PCB","PCF","BEC","CSD","PCM"}, 0)),
            _xlfn.TEXTBEFORE(J1547,"-"),
            "Other"
        )
    ),
"Add")</f>
        <v>PCB</v>
      </c>
      <c r="B1547" s="10" t="str">
        <f t="shared" si="25"/>
        <v>0030</v>
      </c>
      <c r="C1547" s="10" t="str">
        <f>_xlfn.LET(
    _xlpm.val, IF(Datadetails[[#This Row],[Activity]]="D02","C20",Datadetails[[#This Row],[Activity]]),
    IF(ISNUMBER(MATCH(_xlpm.val,{"D04","C30","c40","C20"},0)), _xlpm.val, "Other")
)</f>
        <v>C30</v>
      </c>
      <c r="D1547" s="10" t="str">
        <f>IFERROR(VLOOKUP(Datadetails[[#This Row],[Taskcode]],Dashboard!A:A,1,FALSE),"00 Err Missing")</f>
        <v>0030</v>
      </c>
      <c r="E1547" s="79">
        <v>45855</v>
      </c>
      <c r="F1547" s="80" t="s">
        <v>329</v>
      </c>
      <c r="G1547" s="60" t="s">
        <v>40</v>
      </c>
      <c r="H1547" s="80" t="s">
        <v>197</v>
      </c>
      <c r="I1547" s="80" t="s">
        <v>34</v>
      </c>
      <c r="J1547" s="80" t="s">
        <v>366</v>
      </c>
      <c r="K1547" s="80" t="s">
        <v>347</v>
      </c>
      <c r="L1547" s="80" t="s">
        <v>343</v>
      </c>
      <c r="M1547" s="81">
        <v>0.33</v>
      </c>
      <c r="N1547" s="82">
        <v>24.75</v>
      </c>
    </row>
    <row r="1548" spans="1:14" x14ac:dyDescent="0.25">
      <c r="A1548" s="10" t="str">
        <f>_xlfn.IFNA(
    IF(J1548=
        "PCB-0001",
        "CSS",
        IF(
            ISNUMBER(MATCH(_xlfn.TEXTBEFORE(J1548,"-"), {"CSS","CSN","PCB","PCF","BEC","CSD","PCM"}, 0)),
            _xlfn.TEXTBEFORE(J1548,"-"),
            "Other"
        )
    ),
"Add")</f>
        <v>PCB</v>
      </c>
      <c r="B1548" s="10" t="str">
        <f t="shared" si="25"/>
        <v>0031</v>
      </c>
      <c r="C1548" s="10" t="str">
        <f>_xlfn.LET(
    _xlpm.val, IF(Datadetails[[#This Row],[Activity]]="D02","C20",Datadetails[[#This Row],[Activity]]),
    IF(ISNUMBER(MATCH(_xlpm.val,{"D04","C30","c40","C20"},0)), _xlpm.val, "Other")
)</f>
        <v>C20</v>
      </c>
      <c r="D1548" s="10" t="str">
        <f>IFERROR(VLOOKUP(Datadetails[[#This Row],[Taskcode]],Dashboard!A:A,1,FALSE),"00 Err Missing")</f>
        <v>0031</v>
      </c>
      <c r="E1548" s="79">
        <v>45855</v>
      </c>
      <c r="F1548" s="80" t="s">
        <v>325</v>
      </c>
      <c r="G1548" s="60" t="s">
        <v>40</v>
      </c>
      <c r="H1548" s="80" t="s">
        <v>198</v>
      </c>
      <c r="I1548" s="80" t="s">
        <v>36</v>
      </c>
      <c r="J1548" s="80" t="s">
        <v>413</v>
      </c>
      <c r="K1548" s="80" t="s">
        <v>347</v>
      </c>
      <c r="L1548" s="80" t="s">
        <v>342</v>
      </c>
      <c r="M1548" s="81">
        <v>0.17</v>
      </c>
      <c r="N1548" s="82">
        <v>12.750000000000002</v>
      </c>
    </row>
    <row r="1549" spans="1:14" x14ac:dyDescent="0.25">
      <c r="A1549" s="10" t="str">
        <f>_xlfn.IFNA(
    IF(J1549=
        "PCB-0001",
        "CSS",
        IF(
            ISNUMBER(MATCH(_xlfn.TEXTBEFORE(J1549,"-"), {"CSS","CSN","PCB","PCF","BEC","CSD","PCM"}, 0)),
            _xlfn.TEXTBEFORE(J1549,"-"),
            "Other"
        )
    ),
"Add")</f>
        <v>PCB</v>
      </c>
      <c r="B1549" s="10" t="str">
        <f t="shared" si="25"/>
        <v>0137</v>
      </c>
      <c r="C1549" s="10" t="str">
        <f>_xlfn.LET(
    _xlpm.val, IF(Datadetails[[#This Row],[Activity]]="D02","C20",Datadetails[[#This Row],[Activity]]),
    IF(ISNUMBER(MATCH(_xlpm.val,{"D04","C30","c40","C20"},0)), _xlpm.val, "Other")
)</f>
        <v>C30</v>
      </c>
      <c r="D1549" s="10" t="str">
        <f>IFERROR(VLOOKUP(Datadetails[[#This Row],[Taskcode]],Dashboard!A:A,1,FALSE),"00 Err Missing")</f>
        <v>0137</v>
      </c>
      <c r="E1549" s="79">
        <v>45855</v>
      </c>
      <c r="F1549" s="80" t="s">
        <v>325</v>
      </c>
      <c r="G1549" s="60" t="s">
        <v>40</v>
      </c>
      <c r="H1549" s="80" t="s">
        <v>304</v>
      </c>
      <c r="I1549" s="80" t="s">
        <v>34</v>
      </c>
      <c r="J1549" s="80" t="s">
        <v>372</v>
      </c>
      <c r="K1549" s="80" t="s">
        <v>347</v>
      </c>
      <c r="L1549" s="80" t="s">
        <v>343</v>
      </c>
      <c r="M1549" s="81">
        <v>0.17</v>
      </c>
      <c r="N1549" s="82">
        <v>12.750000000000002</v>
      </c>
    </row>
    <row r="1550" spans="1:14" x14ac:dyDescent="0.25">
      <c r="A1550" s="10" t="str">
        <f>_xlfn.IFNA(
    IF(J1550=
        "PCB-0001",
        "CSS",
        IF(
            ISNUMBER(MATCH(_xlfn.TEXTBEFORE(J1550,"-"), {"CSS","CSN","PCB","PCF","BEC","CSD","PCM"}, 0)),
            _xlfn.TEXTBEFORE(J1550,"-"),
            "Other"
        )
    ),
"Add")</f>
        <v>PCB</v>
      </c>
      <c r="B1550" s="10" t="str">
        <f t="shared" si="25"/>
        <v>0062</v>
      </c>
      <c r="C1550" s="10" t="str">
        <f>_xlfn.LET(
    _xlpm.val, IF(Datadetails[[#This Row],[Activity]]="D02","C20",Datadetails[[#This Row],[Activity]]),
    IF(ISNUMBER(MATCH(_xlpm.val,{"D04","C30","c40","C20"},0)), _xlpm.val, "Other")
)</f>
        <v>C30</v>
      </c>
      <c r="D1550" s="10" t="str">
        <f>IFERROR(VLOOKUP(Datadetails[[#This Row],[Taskcode]],Dashboard!A:A,1,FALSE),"00 Err Missing")</f>
        <v>0062</v>
      </c>
      <c r="E1550" s="79">
        <v>45855</v>
      </c>
      <c r="F1550" s="80" t="s">
        <v>329</v>
      </c>
      <c r="G1550" s="60" t="s">
        <v>40</v>
      </c>
      <c r="H1550" s="80" t="s">
        <v>229</v>
      </c>
      <c r="I1550" s="80" t="s">
        <v>34</v>
      </c>
      <c r="J1550" s="80" t="s">
        <v>373</v>
      </c>
      <c r="K1550" s="80" t="s">
        <v>347</v>
      </c>
      <c r="L1550" s="80" t="s">
        <v>343</v>
      </c>
      <c r="M1550" s="81">
        <v>0.33</v>
      </c>
      <c r="N1550" s="82">
        <v>24.75</v>
      </c>
    </row>
    <row r="1551" spans="1:14" x14ac:dyDescent="0.25">
      <c r="A1551" s="10" t="str">
        <f>_xlfn.IFNA(
    IF(J1551=
        "PCB-0001",
        "CSS",
        IF(
            ISNUMBER(MATCH(_xlfn.TEXTBEFORE(J1551,"-"), {"CSS","CSN","PCB","PCF","BEC","CSD","PCM"}, 0)),
            _xlfn.TEXTBEFORE(J1551,"-"),
            "Other"
        )
    ),
"Add")</f>
        <v>PCB</v>
      </c>
      <c r="B1551" s="10" t="str">
        <f t="shared" si="25"/>
        <v>0120</v>
      </c>
      <c r="C1551" s="10" t="str">
        <f>_xlfn.LET(
    _xlpm.val, IF(Datadetails[[#This Row],[Activity]]="D02","C20",Datadetails[[#This Row],[Activity]]),
    IF(ISNUMBER(MATCH(_xlpm.val,{"D04","C30","c40","C20"},0)), _xlpm.val, "Other")
)</f>
        <v>C30</v>
      </c>
      <c r="D1551" s="10" t="str">
        <f>IFERROR(VLOOKUP(Datadetails[[#This Row],[Taskcode]],Dashboard!A:A,1,FALSE),"00 Err Missing")</f>
        <v>0120</v>
      </c>
      <c r="E1551" s="79">
        <v>45855</v>
      </c>
      <c r="F1551" s="80" t="s">
        <v>325</v>
      </c>
      <c r="G1551" s="60" t="s">
        <v>40</v>
      </c>
      <c r="H1551" s="80" t="s">
        <v>287</v>
      </c>
      <c r="I1551" s="80" t="s">
        <v>34</v>
      </c>
      <c r="J1551" s="80" t="s">
        <v>378</v>
      </c>
      <c r="K1551" s="80" t="s">
        <v>347</v>
      </c>
      <c r="L1551" s="80" t="s">
        <v>343</v>
      </c>
      <c r="M1551" s="81">
        <v>0.17</v>
      </c>
      <c r="N1551" s="82">
        <v>12.750000000000002</v>
      </c>
    </row>
    <row r="1552" spans="1:14" x14ac:dyDescent="0.25">
      <c r="A1552" s="10" t="str">
        <f>_xlfn.IFNA(
    IF(J1552=
        "PCB-0001",
        "CSS",
        IF(
            ISNUMBER(MATCH(_xlfn.TEXTBEFORE(J1552,"-"), {"CSS","CSN","PCB","PCF","BEC","CSD","PCM"}, 0)),
            _xlfn.TEXTBEFORE(J1552,"-"),
            "Other"
        )
    ),
"Add")</f>
        <v>PCB</v>
      </c>
      <c r="B1552" s="10" t="str">
        <f t="shared" si="25"/>
        <v>0110</v>
      </c>
      <c r="C1552" s="10" t="str">
        <f>_xlfn.LET(
    _xlpm.val, IF(Datadetails[[#This Row],[Activity]]="D02","C20",Datadetails[[#This Row],[Activity]]),
    IF(ISNUMBER(MATCH(_xlpm.val,{"D04","C30","c40","C20"},0)), _xlpm.val, "Other")
)</f>
        <v>C30</v>
      </c>
      <c r="D1552" s="10" t="str">
        <f>IFERROR(VLOOKUP(Datadetails[[#This Row],[Taskcode]],Dashboard!A:A,1,FALSE),"00 Err Missing")</f>
        <v>0110</v>
      </c>
      <c r="E1552" s="79">
        <v>45855</v>
      </c>
      <c r="F1552" s="80" t="s">
        <v>325</v>
      </c>
      <c r="G1552" s="60" t="s">
        <v>40</v>
      </c>
      <c r="H1552" s="80" t="s">
        <v>277</v>
      </c>
      <c r="I1552" s="80" t="s">
        <v>34</v>
      </c>
      <c r="J1552" s="80" t="s">
        <v>353</v>
      </c>
      <c r="K1552" s="80" t="s">
        <v>347</v>
      </c>
      <c r="L1552" s="80" t="s">
        <v>343</v>
      </c>
      <c r="M1552" s="81">
        <v>0.17</v>
      </c>
      <c r="N1552" s="82">
        <v>12.750000000000002</v>
      </c>
    </row>
    <row r="1553" spans="1:14" x14ac:dyDescent="0.25">
      <c r="A1553" s="10" t="str">
        <f>_xlfn.IFNA(
    IF(J1553=
        "PCB-0001",
        "CSS",
        IF(
            ISNUMBER(MATCH(_xlfn.TEXTBEFORE(J1553,"-"), {"CSS","CSN","PCB","PCF","BEC","CSD","PCM"}, 0)),
            _xlfn.TEXTBEFORE(J1553,"-"),
            "Other"
        )
    ),
"Add")</f>
        <v>PCB</v>
      </c>
      <c r="B1553" s="10" t="str">
        <f t="shared" si="25"/>
        <v>0063</v>
      </c>
      <c r="C1553" s="10" t="str">
        <f>_xlfn.LET(
    _xlpm.val, IF(Datadetails[[#This Row],[Activity]]="D02","C20",Datadetails[[#This Row],[Activity]]),
    IF(ISNUMBER(MATCH(_xlpm.val,{"D04","C30","c40","C20"},0)), _xlpm.val, "Other")
)</f>
        <v>C30</v>
      </c>
      <c r="D1553" s="10" t="str">
        <f>IFERROR(VLOOKUP(Datadetails[[#This Row],[Taskcode]],Dashboard!A:A,1,FALSE),"00 Err Missing")</f>
        <v>0063</v>
      </c>
      <c r="E1553" s="79">
        <v>45855</v>
      </c>
      <c r="F1553" s="80" t="s">
        <v>329</v>
      </c>
      <c r="G1553" s="60" t="s">
        <v>40</v>
      </c>
      <c r="H1553" s="80" t="s">
        <v>230</v>
      </c>
      <c r="I1553" s="80" t="s">
        <v>34</v>
      </c>
      <c r="J1553" s="80" t="s">
        <v>410</v>
      </c>
      <c r="K1553" s="80" t="s">
        <v>347</v>
      </c>
      <c r="L1553" s="80" t="s">
        <v>343</v>
      </c>
      <c r="M1553" s="81">
        <v>0.5</v>
      </c>
      <c r="N1553" s="82">
        <v>37.5</v>
      </c>
    </row>
    <row r="1554" spans="1:14" x14ac:dyDescent="0.25">
      <c r="A1554" s="10" t="str">
        <f>_xlfn.IFNA(
    IF(J1554=
        "PCB-0001",
        "CSS",
        IF(
            ISNUMBER(MATCH(_xlfn.TEXTBEFORE(J1554,"-"), {"CSS","CSN","PCB","PCF","BEC","CSD","PCM"}, 0)),
            _xlfn.TEXTBEFORE(J1554,"-"),
            "Other"
        )
    ),
"Add")</f>
        <v>PCB</v>
      </c>
      <c r="B1554" s="10" t="str">
        <f t="shared" si="25"/>
        <v>0105</v>
      </c>
      <c r="C1554" s="10" t="str">
        <f>_xlfn.LET(
    _xlpm.val, IF(Datadetails[[#This Row],[Activity]]="D02","C20",Datadetails[[#This Row],[Activity]]),
    IF(ISNUMBER(MATCH(_xlpm.val,{"D04","C30","c40","C20"},0)), _xlpm.val, "Other")
)</f>
        <v>C30</v>
      </c>
      <c r="D1554" s="10" t="str">
        <f>IFERROR(VLOOKUP(Datadetails[[#This Row],[Taskcode]],Dashboard!A:A,1,FALSE),"00 Err Missing")</f>
        <v>0105</v>
      </c>
      <c r="E1554" s="79">
        <v>45855</v>
      </c>
      <c r="F1554" s="80" t="s">
        <v>329</v>
      </c>
      <c r="G1554" s="60" t="s">
        <v>40</v>
      </c>
      <c r="H1554" s="80" t="s">
        <v>272</v>
      </c>
      <c r="I1554" s="80" t="s">
        <v>34</v>
      </c>
      <c r="J1554" s="80" t="s">
        <v>362</v>
      </c>
      <c r="K1554" s="80" t="s">
        <v>347</v>
      </c>
      <c r="L1554" s="80" t="s">
        <v>343</v>
      </c>
      <c r="M1554" s="81">
        <v>0.25</v>
      </c>
      <c r="N1554" s="82">
        <v>18.75</v>
      </c>
    </row>
    <row r="1555" spans="1:14" x14ac:dyDescent="0.25">
      <c r="A1555" s="10" t="str">
        <f>_xlfn.IFNA(
    IF(J1555=
        "PCB-0001",
        "CSS",
        IF(
            ISNUMBER(MATCH(_xlfn.TEXTBEFORE(J1555,"-"), {"CSS","CSN","PCB","PCF","BEC","CSD","PCM"}, 0)),
            _xlfn.TEXTBEFORE(J1555,"-"),
            "Other"
        )
    ),
"Add")</f>
        <v>PCB</v>
      </c>
      <c r="B1555" s="10" t="str">
        <f t="shared" si="25"/>
        <v>0063</v>
      </c>
      <c r="C1555" s="10" t="str">
        <f>_xlfn.LET(
    _xlpm.val, IF(Datadetails[[#This Row],[Activity]]="D02","C20",Datadetails[[#This Row],[Activity]]),
    IF(ISNUMBER(MATCH(_xlpm.val,{"D04","C30","c40","C20"},0)), _xlpm.val, "Other")
)</f>
        <v>C40</v>
      </c>
      <c r="D1555" s="10" t="str">
        <f>IFERROR(VLOOKUP(Datadetails[[#This Row],[Taskcode]],Dashboard!A:A,1,FALSE),"00 Err Missing")</f>
        <v>0063</v>
      </c>
      <c r="E1555" s="79">
        <v>45855</v>
      </c>
      <c r="F1555" s="80" t="s">
        <v>329</v>
      </c>
      <c r="G1555" s="60" t="s">
        <v>40</v>
      </c>
      <c r="H1555" s="80" t="s">
        <v>230</v>
      </c>
      <c r="I1555" s="80" t="s">
        <v>341</v>
      </c>
      <c r="J1555" s="80" t="s">
        <v>410</v>
      </c>
      <c r="K1555" s="80" t="s">
        <v>347</v>
      </c>
      <c r="L1555" s="80" t="s">
        <v>344</v>
      </c>
      <c r="M1555" s="81">
        <v>2</v>
      </c>
      <c r="N1555" s="82">
        <v>150</v>
      </c>
    </row>
    <row r="1556" spans="1:14" x14ac:dyDescent="0.25">
      <c r="A1556" s="10" t="str">
        <f>_xlfn.IFNA(
    IF(J1556=
        "PCB-0001",
        "CSS",
        IF(
            ISNUMBER(MATCH(_xlfn.TEXTBEFORE(J1556,"-"), {"CSS","CSN","PCB","PCF","BEC","CSD","PCM"}, 0)),
            _xlfn.TEXTBEFORE(J1556,"-"),
            "Other"
        )
    ),
"Add")</f>
        <v>PCB</v>
      </c>
      <c r="B1556" s="10" t="str">
        <f t="shared" si="25"/>
        <v>0132</v>
      </c>
      <c r="C1556" s="10" t="str">
        <f>_xlfn.LET(
    _xlpm.val, IF(Datadetails[[#This Row],[Activity]]="D02","C20",Datadetails[[#This Row],[Activity]]),
    IF(ISNUMBER(MATCH(_xlpm.val,{"D04","C30","c40","C20"},0)), _xlpm.val, "Other")
)</f>
        <v>C20</v>
      </c>
      <c r="D1556" s="10" t="str">
        <f>IFERROR(VLOOKUP(Datadetails[[#This Row],[Taskcode]],Dashboard!A:A,1,FALSE),"00 Err Missing")</f>
        <v>0132</v>
      </c>
      <c r="E1556" s="79">
        <v>45855</v>
      </c>
      <c r="F1556" s="80" t="s">
        <v>329</v>
      </c>
      <c r="G1556" s="60" t="s">
        <v>40</v>
      </c>
      <c r="H1556" s="80" t="s">
        <v>299</v>
      </c>
      <c r="I1556" s="80" t="s">
        <v>312</v>
      </c>
      <c r="J1556" s="80" t="s">
        <v>455</v>
      </c>
      <c r="K1556" s="80" t="s">
        <v>347</v>
      </c>
      <c r="L1556" s="80" t="s">
        <v>350</v>
      </c>
      <c r="M1556" s="81">
        <v>2</v>
      </c>
      <c r="N1556" s="82">
        <v>150</v>
      </c>
    </row>
    <row r="1557" spans="1:14" x14ac:dyDescent="0.25">
      <c r="A1557" s="10" t="str">
        <f>_xlfn.IFNA(
    IF(J1557=
        "PCB-0001",
        "CSS",
        IF(
            ISNUMBER(MATCH(_xlfn.TEXTBEFORE(J1557,"-"), {"CSS","CSN","PCB","PCF","BEC","CSD","PCM"}, 0)),
            _xlfn.TEXTBEFORE(J1557,"-"),
            "Other"
        )
    ),
"Add")</f>
        <v>PCF</v>
      </c>
      <c r="B1557" s="10" t="str">
        <f t="shared" si="25"/>
        <v>0133</v>
      </c>
      <c r="C1557" s="10" t="str">
        <f>_xlfn.LET(
    _xlpm.val, IF(Datadetails[[#This Row],[Activity]]="D02","C20",Datadetails[[#This Row],[Activity]]),
    IF(ISNUMBER(MATCH(_xlpm.val,{"D04","C30","c40","C20"},0)), _xlpm.val, "Other")
)</f>
        <v>C20</v>
      </c>
      <c r="D1557" s="10" t="str">
        <f>IFERROR(VLOOKUP(Datadetails[[#This Row],[Taskcode]],Dashboard!A:A,1,FALSE),"00 Err Missing")</f>
        <v>0133</v>
      </c>
      <c r="E1557" s="79">
        <v>45855</v>
      </c>
      <c r="F1557" s="80" t="s">
        <v>326</v>
      </c>
      <c r="G1557" s="60" t="s">
        <v>40</v>
      </c>
      <c r="H1557" s="80" t="s">
        <v>300</v>
      </c>
      <c r="I1557" s="80" t="s">
        <v>36</v>
      </c>
      <c r="J1557" s="80" t="s">
        <v>464</v>
      </c>
      <c r="K1557" s="80" t="s">
        <v>348</v>
      </c>
      <c r="L1557" s="80" t="s">
        <v>342</v>
      </c>
      <c r="M1557" s="81">
        <v>0.5</v>
      </c>
      <c r="N1557" s="82">
        <v>30</v>
      </c>
    </row>
    <row r="1558" spans="1:14" x14ac:dyDescent="0.25">
      <c r="A1558" s="10" t="str">
        <f>_xlfn.IFNA(
    IF(J1558=
        "PCB-0001",
        "CSS",
        IF(
            ISNUMBER(MATCH(_xlfn.TEXTBEFORE(J1558,"-"), {"CSS","CSN","PCB","PCF","BEC","CSD","PCM"}, 0)),
            _xlfn.TEXTBEFORE(J1558,"-"),
            "Other"
        )
    ),
"Add")</f>
        <v>PCF</v>
      </c>
      <c r="B1558" s="10" t="str">
        <f t="shared" si="25"/>
        <v>0133</v>
      </c>
      <c r="C1558" s="10" t="str">
        <f>_xlfn.LET(
    _xlpm.val, IF(Datadetails[[#This Row],[Activity]]="D02","C20",Datadetails[[#This Row],[Activity]]),
    IF(ISNUMBER(MATCH(_xlpm.val,{"D04","C30","c40","C20"},0)), _xlpm.val, "Other")
)</f>
        <v>C40</v>
      </c>
      <c r="D1558" s="10" t="str">
        <f>IFERROR(VLOOKUP(Datadetails[[#This Row],[Taskcode]],Dashboard!A:A,1,FALSE),"00 Err Missing")</f>
        <v>0133</v>
      </c>
      <c r="E1558" s="79">
        <v>45855</v>
      </c>
      <c r="F1558" s="80" t="s">
        <v>326</v>
      </c>
      <c r="G1558" s="60" t="s">
        <v>40</v>
      </c>
      <c r="H1558" s="80" t="s">
        <v>300</v>
      </c>
      <c r="I1558" s="80" t="s">
        <v>341</v>
      </c>
      <c r="J1558" s="80" t="s">
        <v>464</v>
      </c>
      <c r="K1558" s="80" t="s">
        <v>348</v>
      </c>
      <c r="L1558" s="80" t="s">
        <v>344</v>
      </c>
      <c r="M1558" s="81">
        <v>2.5</v>
      </c>
      <c r="N1558" s="82">
        <v>150</v>
      </c>
    </row>
    <row r="1559" spans="1:14" x14ac:dyDescent="0.25">
      <c r="A1559" s="10" t="str">
        <f>_xlfn.IFNA(
    IF(J1559=
        "PCB-0001",
        "CSS",
        IF(
            ISNUMBER(MATCH(_xlfn.TEXTBEFORE(J1559,"-"), {"CSS","CSN","PCB","PCF","BEC","CSD","PCM"}, 0)),
            _xlfn.TEXTBEFORE(J1559,"-"),
            "Other"
        )
    ),
"Add")</f>
        <v>BEC</v>
      </c>
      <c r="B1559" s="10" t="str">
        <f t="shared" si="25"/>
        <v>0001</v>
      </c>
      <c r="C1559" s="10" t="str">
        <f>_xlfn.LET(
    _xlpm.val, IF(Datadetails[[#This Row],[Activity]]="D02","C20",Datadetails[[#This Row],[Activity]]),
    IF(ISNUMBER(MATCH(_xlpm.val,{"D04","C30","c40","C20"},0)), _xlpm.val, "Other")
)</f>
        <v>D04</v>
      </c>
      <c r="D1559" s="10" t="str">
        <f>IFERROR(VLOOKUP(Datadetails[[#This Row],[Taskcode]],Dashboard!A:A,1,FALSE),"00 Err Missing")</f>
        <v>0001</v>
      </c>
      <c r="E1559" s="79">
        <v>45855</v>
      </c>
      <c r="F1559" s="80" t="s">
        <v>332</v>
      </c>
      <c r="G1559" s="60" t="s">
        <v>40</v>
      </c>
      <c r="H1559" s="80" t="s">
        <v>314</v>
      </c>
      <c r="I1559" s="80" t="s">
        <v>35</v>
      </c>
      <c r="J1559" s="80" t="s">
        <v>359</v>
      </c>
      <c r="K1559" s="80" t="s">
        <v>339</v>
      </c>
      <c r="L1559" s="80" t="s">
        <v>352</v>
      </c>
      <c r="M1559" s="81">
        <v>8.83</v>
      </c>
      <c r="N1559" s="82">
        <v>353.2</v>
      </c>
    </row>
    <row r="1560" spans="1:14" x14ac:dyDescent="0.25">
      <c r="A1560" s="10" t="str">
        <f>_xlfn.IFNA(
    IF(J1560=
        "PCB-0001",
        "CSS",
        IF(
            ISNUMBER(MATCH(_xlfn.TEXTBEFORE(J1560,"-"), {"CSS","CSN","PCB","PCF","BEC","CSD","PCM"}, 0)),
            _xlfn.TEXTBEFORE(J1560,"-"),
            "Other"
        )
    ),
"Add")</f>
        <v>BEC</v>
      </c>
      <c r="B1560" s="10" t="str">
        <f t="shared" si="25"/>
        <v>0001</v>
      </c>
      <c r="C1560" s="10" t="str">
        <f>_xlfn.LET(
    _xlpm.val, IF(Datadetails[[#This Row],[Activity]]="D02","C20",Datadetails[[#This Row],[Activity]]),
    IF(ISNUMBER(MATCH(_xlpm.val,{"D04","C30","c40","C20"},0)), _xlpm.val, "Other")
)</f>
        <v>D04</v>
      </c>
      <c r="D1560" s="10" t="str">
        <f>IFERROR(VLOOKUP(Datadetails[[#This Row],[Taskcode]],Dashboard!A:A,1,FALSE),"00 Err Missing")</f>
        <v>0001</v>
      </c>
      <c r="E1560" s="79">
        <v>45855</v>
      </c>
      <c r="F1560" s="80" t="s">
        <v>324</v>
      </c>
      <c r="G1560" s="60" t="s">
        <v>40</v>
      </c>
      <c r="H1560" s="80" t="s">
        <v>314</v>
      </c>
      <c r="I1560" s="80" t="s">
        <v>35</v>
      </c>
      <c r="J1560" s="80" t="s">
        <v>359</v>
      </c>
      <c r="K1560" s="80" t="s">
        <v>339</v>
      </c>
      <c r="L1560" s="80" t="s">
        <v>352</v>
      </c>
      <c r="M1560" s="81">
        <v>4</v>
      </c>
      <c r="N1560" s="82">
        <v>300</v>
      </c>
    </row>
    <row r="1561" spans="1:14" x14ac:dyDescent="0.25">
      <c r="A1561" s="10" t="str">
        <f>_xlfn.IFNA(
    IF(J1561=
        "PCB-0001",
        "CSS",
        IF(
            ISNUMBER(MATCH(_xlfn.TEXTBEFORE(J1561,"-"), {"CSS","CSN","PCB","PCF","BEC","CSD","PCM"}, 0)),
            _xlfn.TEXTBEFORE(J1561,"-"),
            "Other"
        )
    ),
"Add")</f>
        <v>PCM</v>
      </c>
      <c r="B1561" s="10" t="str">
        <f t="shared" si="25"/>
        <v>0035</v>
      </c>
      <c r="C1561" s="10" t="str">
        <f>_xlfn.LET(
    _xlpm.val, IF(Datadetails[[#This Row],[Activity]]="D02","C20",Datadetails[[#This Row],[Activity]]),
    IF(ISNUMBER(MATCH(_xlpm.val,{"D04","C30","c40","C20"},0)), _xlpm.val, "Other")
)</f>
        <v>C20</v>
      </c>
      <c r="D1561" s="10" t="str">
        <f>IFERROR(VLOOKUP(Datadetails[[#This Row],[Taskcode]],Dashboard!A:A,1,FALSE),"00 Err Missing")</f>
        <v>0035</v>
      </c>
      <c r="E1561" s="79">
        <v>45856</v>
      </c>
      <c r="F1561" s="80" t="s">
        <v>323</v>
      </c>
      <c r="G1561" s="60" t="s">
        <v>40</v>
      </c>
      <c r="H1561" s="80" t="s">
        <v>202</v>
      </c>
      <c r="I1561" s="80" t="s">
        <v>36</v>
      </c>
      <c r="J1561" s="80" t="s">
        <v>431</v>
      </c>
      <c r="K1561" s="80" t="s">
        <v>346</v>
      </c>
      <c r="L1561" s="80" t="s">
        <v>342</v>
      </c>
      <c r="M1561" s="81">
        <v>0.5</v>
      </c>
      <c r="N1561" s="82">
        <v>30</v>
      </c>
    </row>
    <row r="1562" spans="1:14" x14ac:dyDescent="0.25">
      <c r="A1562" s="10" t="str">
        <f>_xlfn.IFNA(
    IF(J1562=
        "PCB-0001",
        "CSS",
        IF(
            ISNUMBER(MATCH(_xlfn.TEXTBEFORE(J1562,"-"), {"CSS","CSN","PCB","PCF","BEC","CSD","PCM"}, 0)),
            _xlfn.TEXTBEFORE(J1562,"-"),
            "Other"
        )
    ),
"Add")</f>
        <v>CSN</v>
      </c>
      <c r="B1562" s="10" t="str">
        <f t="shared" si="25"/>
        <v>0001</v>
      </c>
      <c r="C1562" s="10" t="str">
        <f>_xlfn.LET(
    _xlpm.val, IF(Datadetails[[#This Row],[Activity]]="D02","C20",Datadetails[[#This Row],[Activity]]),
    IF(ISNUMBER(MATCH(_xlpm.val,{"D04","C30","c40","C20"},0)), _xlpm.val, "Other")
)</f>
        <v>D04</v>
      </c>
      <c r="D1562" s="10" t="str">
        <f>IFERROR(VLOOKUP(Datadetails[[#This Row],[Taskcode]],Dashboard!A:A,1,FALSE),"00 Err Missing")</f>
        <v>0001</v>
      </c>
      <c r="E1562" s="79">
        <v>45856</v>
      </c>
      <c r="F1562" s="80" t="s">
        <v>329</v>
      </c>
      <c r="G1562" s="60" t="s">
        <v>40</v>
      </c>
      <c r="H1562" s="80" t="s">
        <v>316</v>
      </c>
      <c r="I1562" s="80" t="s">
        <v>35</v>
      </c>
      <c r="J1562" s="80" t="s">
        <v>338</v>
      </c>
      <c r="K1562" s="80" t="s">
        <v>337</v>
      </c>
      <c r="L1562" s="80" t="s">
        <v>352</v>
      </c>
      <c r="M1562" s="81">
        <v>0.33</v>
      </c>
      <c r="N1562" s="82">
        <v>24.75</v>
      </c>
    </row>
    <row r="1563" spans="1:14" x14ac:dyDescent="0.25">
      <c r="A1563" s="10" t="str">
        <f>_xlfn.IFNA(
    IF(J1563=
        "PCB-0001",
        "CSS",
        IF(
            ISNUMBER(MATCH(_xlfn.TEXTBEFORE(J1563,"-"), {"CSS","CSN","PCB","PCF","BEC","CSD","PCM"}, 0)),
            _xlfn.TEXTBEFORE(J1563,"-"),
            "Other"
        )
    ),
"Add")</f>
        <v>CSD</v>
      </c>
      <c r="B1563" s="10" t="str">
        <f t="shared" si="25"/>
        <v>0001</v>
      </c>
      <c r="C1563" s="10" t="str">
        <f>_xlfn.LET(
    _xlpm.val, IF(Datadetails[[#This Row],[Activity]]="D02","C20",Datadetails[[#This Row],[Activity]]),
    IF(ISNUMBER(MATCH(_xlpm.val,{"D04","C30","c40","C20"},0)), _xlpm.val, "Other")
)</f>
        <v>D04</v>
      </c>
      <c r="D1563" s="10" t="str">
        <f>IFERROR(VLOOKUP(Datadetails[[#This Row],[Taskcode]],Dashboard!A:A,1,FALSE),"00 Err Missing")</f>
        <v>0001</v>
      </c>
      <c r="E1563" s="79">
        <v>45856</v>
      </c>
      <c r="F1563" s="80" t="s">
        <v>333</v>
      </c>
      <c r="G1563" s="60" t="s">
        <v>40</v>
      </c>
      <c r="H1563" s="80" t="s">
        <v>320</v>
      </c>
      <c r="I1563" s="80" t="s">
        <v>35</v>
      </c>
      <c r="J1563" s="80" t="s">
        <v>322</v>
      </c>
      <c r="K1563" s="80" t="s">
        <v>319</v>
      </c>
      <c r="L1563" s="80" t="s">
        <v>352</v>
      </c>
      <c r="M1563" s="81">
        <v>7.57</v>
      </c>
      <c r="N1563" s="82">
        <v>242.24</v>
      </c>
    </row>
    <row r="1564" spans="1:14" x14ac:dyDescent="0.25">
      <c r="A1564" s="10" t="str">
        <f>_xlfn.IFNA(
    IF(J1564=
        "PCB-0001",
        "CSS",
        IF(
            ISNUMBER(MATCH(_xlfn.TEXTBEFORE(J1564,"-"), {"CSS","CSN","PCB","PCF","BEC","CSD","PCM"}, 0)),
            _xlfn.TEXTBEFORE(J1564,"-"),
            "Other"
        )
    ),
"Add")</f>
        <v>CSD</v>
      </c>
      <c r="B1564" s="10" t="str">
        <f t="shared" si="25"/>
        <v>0001</v>
      </c>
      <c r="C1564" s="10" t="str">
        <f>_xlfn.LET(
    _xlpm.val, IF(Datadetails[[#This Row],[Activity]]="D02","C20",Datadetails[[#This Row],[Activity]]),
    IF(ISNUMBER(MATCH(_xlpm.val,{"D04","C30","c40","C20"},0)), _xlpm.val, "Other")
)</f>
        <v>D04</v>
      </c>
      <c r="D1564" s="10" t="str">
        <f>IFERROR(VLOOKUP(Datadetails[[#This Row],[Taskcode]],Dashboard!A:A,1,FALSE),"00 Err Missing")</f>
        <v>0001</v>
      </c>
      <c r="E1564" s="79">
        <v>45856</v>
      </c>
      <c r="F1564" s="80" t="s">
        <v>327</v>
      </c>
      <c r="G1564" s="60" t="s">
        <v>40</v>
      </c>
      <c r="H1564" s="80" t="s">
        <v>320</v>
      </c>
      <c r="I1564" s="80" t="s">
        <v>35</v>
      </c>
      <c r="J1564" s="80" t="s">
        <v>322</v>
      </c>
      <c r="K1564" s="80" t="s">
        <v>319</v>
      </c>
      <c r="L1564" s="80" t="s">
        <v>352</v>
      </c>
      <c r="M1564" s="81">
        <v>7.42</v>
      </c>
      <c r="N1564" s="82">
        <v>237.44</v>
      </c>
    </row>
    <row r="1565" spans="1:14" x14ac:dyDescent="0.25">
      <c r="A1565" s="10" t="str">
        <f>_xlfn.IFNA(
    IF(J1565=
        "PCB-0001",
        "CSS",
        IF(
            ISNUMBER(MATCH(_xlfn.TEXTBEFORE(J1565,"-"), {"CSS","CSN","PCB","PCF","BEC","CSD","PCM"}, 0)),
            _xlfn.TEXTBEFORE(J1565,"-"),
            "Other"
        )
    ),
"Add")</f>
        <v>PCM</v>
      </c>
      <c r="B1565" s="10" t="str">
        <f t="shared" si="25"/>
        <v>0118</v>
      </c>
      <c r="C1565" s="10" t="str">
        <f>_xlfn.LET(
    _xlpm.val, IF(Datadetails[[#This Row],[Activity]]="D02","C20",Datadetails[[#This Row],[Activity]]),
    IF(ISNUMBER(MATCH(_xlpm.val,{"D04","C30","c40","C20"},0)), _xlpm.val, "Other")
)</f>
        <v>C30</v>
      </c>
      <c r="D1565" s="10" t="str">
        <f>IFERROR(VLOOKUP(Datadetails[[#This Row],[Taskcode]],Dashboard!A:A,1,FALSE),"00 Err Missing")</f>
        <v>0118</v>
      </c>
      <c r="E1565" s="79">
        <v>45856</v>
      </c>
      <c r="F1565" s="80" t="s">
        <v>323</v>
      </c>
      <c r="G1565" s="60" t="s">
        <v>40</v>
      </c>
      <c r="H1565" s="80" t="s">
        <v>285</v>
      </c>
      <c r="I1565" s="80" t="s">
        <v>34</v>
      </c>
      <c r="J1565" s="80" t="s">
        <v>448</v>
      </c>
      <c r="K1565" s="80" t="s">
        <v>346</v>
      </c>
      <c r="L1565" s="80" t="s">
        <v>343</v>
      </c>
      <c r="M1565" s="81">
        <v>0.5</v>
      </c>
      <c r="N1565" s="82">
        <v>30</v>
      </c>
    </row>
    <row r="1566" spans="1:14" x14ac:dyDescent="0.25">
      <c r="A1566" s="10" t="str">
        <f>_xlfn.IFNA(
    IF(J1566=
        "PCB-0001",
        "CSS",
        IF(
            ISNUMBER(MATCH(_xlfn.TEXTBEFORE(J1566,"-"), {"CSS","CSN","PCB","PCF","BEC","CSD","PCM"}, 0)),
            _xlfn.TEXTBEFORE(J1566,"-"),
            "Other"
        )
    ),
"Add")</f>
        <v>PCB</v>
      </c>
      <c r="B1566" s="10" t="str">
        <f t="shared" si="25"/>
        <v>0009</v>
      </c>
      <c r="C1566" s="10" t="str">
        <f>_xlfn.LET(
    _xlpm.val, IF(Datadetails[[#This Row],[Activity]]="D02","C20",Datadetails[[#This Row],[Activity]]),
    IF(ISNUMBER(MATCH(_xlpm.val,{"D04","C30","c40","C20"},0)), _xlpm.val, "Other")
)</f>
        <v>C30</v>
      </c>
      <c r="D1566" s="10" t="str">
        <f>IFERROR(VLOOKUP(Datadetails[[#This Row],[Taskcode]],Dashboard!A:A,1,FALSE),"00 Err Missing")</f>
        <v>0009</v>
      </c>
      <c r="E1566" s="79">
        <v>45856</v>
      </c>
      <c r="F1566" s="80" t="s">
        <v>330</v>
      </c>
      <c r="G1566" s="60" t="s">
        <v>40</v>
      </c>
      <c r="H1566" s="80" t="s">
        <v>176</v>
      </c>
      <c r="I1566" s="80" t="s">
        <v>34</v>
      </c>
      <c r="J1566" s="80" t="s">
        <v>458</v>
      </c>
      <c r="K1566" s="80" t="s">
        <v>347</v>
      </c>
      <c r="L1566" s="80" t="s">
        <v>343</v>
      </c>
      <c r="M1566" s="81">
        <v>0.5</v>
      </c>
      <c r="N1566" s="82">
        <v>30</v>
      </c>
    </row>
    <row r="1567" spans="1:14" x14ac:dyDescent="0.25">
      <c r="A1567" s="10" t="str">
        <f>_xlfn.IFNA(
    IF(J1567=
        "PCB-0001",
        "CSS",
        IF(
            ISNUMBER(MATCH(_xlfn.TEXTBEFORE(J1567,"-"), {"CSS","CSN","PCB","PCF","BEC","CSD","PCM"}, 0)),
            _xlfn.TEXTBEFORE(J1567,"-"),
            "Other"
        )
    ),
"Add")</f>
        <v>PCB</v>
      </c>
      <c r="B1567" s="10" t="str">
        <f t="shared" si="25"/>
        <v>0123</v>
      </c>
      <c r="C1567" s="10" t="str">
        <f>_xlfn.LET(
    _xlpm.val, IF(Datadetails[[#This Row],[Activity]]="D02","C20",Datadetails[[#This Row],[Activity]]),
    IF(ISNUMBER(MATCH(_xlpm.val,{"D04","C30","c40","C20"},0)), _xlpm.val, "Other")
)</f>
        <v>C30</v>
      </c>
      <c r="D1567" s="10" t="str">
        <f>IFERROR(VLOOKUP(Datadetails[[#This Row],[Taskcode]],Dashboard!A:A,1,FALSE),"00 Err Missing")</f>
        <v>0123</v>
      </c>
      <c r="E1567" s="79">
        <v>45856</v>
      </c>
      <c r="F1567" s="80" t="s">
        <v>325</v>
      </c>
      <c r="G1567" s="60" t="s">
        <v>40</v>
      </c>
      <c r="H1567" s="80" t="s">
        <v>290</v>
      </c>
      <c r="I1567" s="80" t="s">
        <v>34</v>
      </c>
      <c r="J1567" s="80" t="s">
        <v>428</v>
      </c>
      <c r="K1567" s="80" t="s">
        <v>347</v>
      </c>
      <c r="L1567" s="80" t="s">
        <v>343</v>
      </c>
      <c r="M1567" s="81">
        <v>0.17</v>
      </c>
      <c r="N1567" s="82">
        <v>12.750000000000002</v>
      </c>
    </row>
    <row r="1568" spans="1:14" x14ac:dyDescent="0.25">
      <c r="A1568" s="10" t="str">
        <f>_xlfn.IFNA(
    IF(J1568=
        "PCB-0001",
        "CSS",
        IF(
            ISNUMBER(MATCH(_xlfn.TEXTBEFORE(J1568,"-"), {"CSS","CSN","PCB","PCF","BEC","CSD","PCM"}, 0)),
            _xlfn.TEXTBEFORE(J1568,"-"),
            "Other"
        )
    ),
"Add")</f>
        <v>BEC</v>
      </c>
      <c r="B1568" s="10" t="str">
        <f t="shared" si="25"/>
        <v>0001</v>
      </c>
      <c r="C1568" s="10" t="str">
        <f>_xlfn.LET(
    _xlpm.val, IF(Datadetails[[#This Row],[Activity]]="D02","C20",Datadetails[[#This Row],[Activity]]),
    IF(ISNUMBER(MATCH(_xlpm.val,{"D04","C30","c40","C20"},0)), _xlpm.val, "Other")
)</f>
        <v>D04</v>
      </c>
      <c r="D1568" s="10" t="str">
        <f>IFERROR(VLOOKUP(Datadetails[[#This Row],[Taskcode]],Dashboard!A:A,1,FALSE),"00 Err Missing")</f>
        <v>0001</v>
      </c>
      <c r="E1568" s="79">
        <v>45856</v>
      </c>
      <c r="F1568" s="80" t="s">
        <v>332</v>
      </c>
      <c r="G1568" s="60" t="s">
        <v>40</v>
      </c>
      <c r="H1568" s="80" t="s">
        <v>314</v>
      </c>
      <c r="I1568" s="80" t="s">
        <v>35</v>
      </c>
      <c r="J1568" s="80" t="s">
        <v>359</v>
      </c>
      <c r="K1568" s="80" t="s">
        <v>339</v>
      </c>
      <c r="L1568" s="80" t="s">
        <v>352</v>
      </c>
      <c r="M1568" s="81">
        <v>7.5</v>
      </c>
      <c r="N1568" s="82">
        <v>300</v>
      </c>
    </row>
    <row r="1569" spans="1:14" x14ac:dyDescent="0.25">
      <c r="A1569" s="10" t="str">
        <f>_xlfn.IFNA(
    IF(J1569=
        "PCB-0001",
        "CSS",
        IF(
            ISNUMBER(MATCH(_xlfn.TEXTBEFORE(J1569,"-"), {"CSS","CSN","PCB","PCF","BEC","CSD","PCM"}, 0)),
            _xlfn.TEXTBEFORE(J1569,"-"),
            "Other"
        )
    ),
"Add")</f>
        <v>BEC</v>
      </c>
      <c r="B1569" s="10" t="str">
        <f t="shared" si="25"/>
        <v>0001</v>
      </c>
      <c r="C1569" s="10" t="str">
        <f>_xlfn.LET(
    _xlpm.val, IF(Datadetails[[#This Row],[Activity]]="D02","C20",Datadetails[[#This Row],[Activity]]),
    IF(ISNUMBER(MATCH(_xlpm.val,{"D04","C30","c40","C20"},0)), _xlpm.val, "Other")
)</f>
        <v>D04</v>
      </c>
      <c r="D1569" s="10" t="str">
        <f>IFERROR(VLOOKUP(Datadetails[[#This Row],[Taskcode]],Dashboard!A:A,1,FALSE),"00 Err Missing")</f>
        <v>0001</v>
      </c>
      <c r="E1569" s="79">
        <v>45856</v>
      </c>
      <c r="F1569" s="80" t="s">
        <v>324</v>
      </c>
      <c r="G1569" s="60" t="s">
        <v>40</v>
      </c>
      <c r="H1569" s="80" t="s">
        <v>314</v>
      </c>
      <c r="I1569" s="80" t="s">
        <v>35</v>
      </c>
      <c r="J1569" s="80" t="s">
        <v>359</v>
      </c>
      <c r="K1569" s="80" t="s">
        <v>339</v>
      </c>
      <c r="L1569" s="80" t="s">
        <v>352</v>
      </c>
      <c r="M1569" s="81">
        <v>6.58</v>
      </c>
      <c r="N1569" s="82">
        <v>493.5</v>
      </c>
    </row>
    <row r="1570" spans="1:14" x14ac:dyDescent="0.25">
      <c r="A1570" s="10" t="str">
        <f>_xlfn.IFNA(
    IF(J1570=
        "PCB-0001",
        "CSS",
        IF(
            ISNUMBER(MATCH(_xlfn.TEXTBEFORE(J1570,"-"), {"CSS","CSN","PCB","PCF","BEC","CSD","PCM"}, 0)),
            _xlfn.TEXTBEFORE(J1570,"-"),
            "Other"
        )
    ),
"Add")</f>
        <v>BEC</v>
      </c>
      <c r="B1570" s="10" t="str">
        <f t="shared" si="25"/>
        <v>0001</v>
      </c>
      <c r="C1570" s="10" t="str">
        <f>_xlfn.LET(
    _xlpm.val, IF(Datadetails[[#This Row],[Activity]]="D02","C20",Datadetails[[#This Row],[Activity]]),
    IF(ISNUMBER(MATCH(_xlpm.val,{"D04","C30","c40","C20"},0)), _xlpm.val, "Other")
)</f>
        <v>D04</v>
      </c>
      <c r="D1570" s="10" t="str">
        <f>IFERROR(VLOOKUP(Datadetails[[#This Row],[Taskcode]],Dashboard!A:A,1,FALSE),"00 Err Missing")</f>
        <v>0001</v>
      </c>
      <c r="E1570" s="79">
        <v>45857</v>
      </c>
      <c r="F1570" s="80" t="s">
        <v>332</v>
      </c>
      <c r="G1570" s="60" t="s">
        <v>40</v>
      </c>
      <c r="H1570" s="80" t="s">
        <v>314</v>
      </c>
      <c r="I1570" s="80" t="s">
        <v>35</v>
      </c>
      <c r="J1570" s="80" t="s">
        <v>359</v>
      </c>
      <c r="K1570" s="80" t="s">
        <v>339</v>
      </c>
      <c r="L1570" s="80" t="s">
        <v>352</v>
      </c>
      <c r="M1570" s="81">
        <v>4</v>
      </c>
      <c r="N1570" s="82">
        <v>160</v>
      </c>
    </row>
    <row r="1571" spans="1:14" x14ac:dyDescent="0.25">
      <c r="A1571" s="10" t="str">
        <f>_xlfn.IFNA(
    IF(J1571=
        "PCB-0001",
        "CSS",
        IF(
            ISNUMBER(MATCH(_xlfn.TEXTBEFORE(J1571,"-"), {"CSS","CSN","PCB","PCF","BEC","CSD","PCM"}, 0)),
            _xlfn.TEXTBEFORE(J1571,"-"),
            "Other"
        )
    ),
"Add")</f>
        <v>PCM</v>
      </c>
      <c r="B1571" s="10" t="str">
        <f t="shared" si="25"/>
        <v>0035</v>
      </c>
      <c r="C1571" s="10" t="str">
        <f>_xlfn.LET(
    _xlpm.val, IF(Datadetails[[#This Row],[Activity]]="D02","C20",Datadetails[[#This Row],[Activity]]),
    IF(ISNUMBER(MATCH(_xlpm.val,{"D04","C30","c40","C20"},0)), _xlpm.val, "Other")
)</f>
        <v>C20</v>
      </c>
      <c r="D1571" s="10" t="str">
        <f>IFERROR(VLOOKUP(Datadetails[[#This Row],[Taskcode]],Dashboard!A:A,1,FALSE),"00 Err Missing")</f>
        <v>0035</v>
      </c>
      <c r="E1571" s="79">
        <v>45859</v>
      </c>
      <c r="F1571" s="80" t="s">
        <v>323</v>
      </c>
      <c r="G1571" s="60" t="s">
        <v>40</v>
      </c>
      <c r="H1571" s="80" t="s">
        <v>202</v>
      </c>
      <c r="I1571" s="80" t="s">
        <v>36</v>
      </c>
      <c r="J1571" s="80" t="s">
        <v>431</v>
      </c>
      <c r="K1571" s="80" t="s">
        <v>346</v>
      </c>
      <c r="L1571" s="80" t="s">
        <v>342</v>
      </c>
      <c r="M1571" s="81">
        <v>0.5</v>
      </c>
      <c r="N1571" s="82">
        <v>30</v>
      </c>
    </row>
    <row r="1572" spans="1:14" x14ac:dyDescent="0.25">
      <c r="A1572" s="10" t="str">
        <f>_xlfn.IFNA(
    IF(J1572=
        "PCB-0001",
        "CSS",
        IF(
            ISNUMBER(MATCH(_xlfn.TEXTBEFORE(J1572,"-"), {"CSS","CSN","PCB","PCF","BEC","CSD","PCM"}, 0)),
            _xlfn.TEXTBEFORE(J1572,"-"),
            "Other"
        )
    ),
"Add")</f>
        <v>CSN</v>
      </c>
      <c r="B1572" s="10" t="str">
        <f t="shared" si="25"/>
        <v>0001</v>
      </c>
      <c r="C1572" s="10" t="str">
        <f>_xlfn.LET(
    _xlpm.val, IF(Datadetails[[#This Row],[Activity]]="D02","C20",Datadetails[[#This Row],[Activity]]),
    IF(ISNUMBER(MATCH(_xlpm.val,{"D04","C30","c40","C20"},0)), _xlpm.val, "Other")
)</f>
        <v>D04</v>
      </c>
      <c r="D1572" s="10" t="str">
        <f>IFERROR(VLOOKUP(Datadetails[[#This Row],[Taskcode]],Dashboard!A:A,1,FALSE),"00 Err Missing")</f>
        <v>0001</v>
      </c>
      <c r="E1572" s="79">
        <v>45859</v>
      </c>
      <c r="F1572" s="80" t="s">
        <v>329</v>
      </c>
      <c r="G1572" s="60" t="s">
        <v>40</v>
      </c>
      <c r="H1572" s="80" t="s">
        <v>316</v>
      </c>
      <c r="I1572" s="80" t="s">
        <v>35</v>
      </c>
      <c r="J1572" s="80" t="s">
        <v>338</v>
      </c>
      <c r="K1572" s="80" t="s">
        <v>337</v>
      </c>
      <c r="L1572" s="80" t="s">
        <v>352</v>
      </c>
      <c r="M1572" s="81">
        <v>0.42</v>
      </c>
      <c r="N1572" s="82">
        <v>31.5</v>
      </c>
    </row>
    <row r="1573" spans="1:14" x14ac:dyDescent="0.25">
      <c r="A1573" s="10" t="str">
        <f>_xlfn.IFNA(
    IF(J1573=
        "PCB-0001",
        "CSS",
        IF(
            ISNUMBER(MATCH(_xlfn.TEXTBEFORE(J1573,"-"), {"CSS","CSN","PCB","PCF","BEC","CSD","PCM"}, 0)),
            _xlfn.TEXTBEFORE(J1573,"-"),
            "Other"
        )
    ),
"Add")</f>
        <v>CSD</v>
      </c>
      <c r="B1573" s="10" t="str">
        <f t="shared" si="25"/>
        <v>0001</v>
      </c>
      <c r="C1573" s="10" t="str">
        <f>_xlfn.LET(
    _xlpm.val, IF(Datadetails[[#This Row],[Activity]]="D02","C20",Datadetails[[#This Row],[Activity]]),
    IF(ISNUMBER(MATCH(_xlpm.val,{"D04","C30","c40","C20"},0)), _xlpm.val, "Other")
)</f>
        <v>D04</v>
      </c>
      <c r="D1573" s="10" t="str">
        <f>IFERROR(VLOOKUP(Datadetails[[#This Row],[Taskcode]],Dashboard!A:A,1,FALSE),"00 Err Missing")</f>
        <v>0001</v>
      </c>
      <c r="E1573" s="79">
        <v>45859</v>
      </c>
      <c r="F1573" s="80" t="s">
        <v>333</v>
      </c>
      <c r="G1573" s="60" t="s">
        <v>40</v>
      </c>
      <c r="H1573" s="80" t="s">
        <v>320</v>
      </c>
      <c r="I1573" s="80" t="s">
        <v>35</v>
      </c>
      <c r="J1573" s="80" t="s">
        <v>322</v>
      </c>
      <c r="K1573" s="80" t="s">
        <v>319</v>
      </c>
      <c r="L1573" s="80" t="s">
        <v>352</v>
      </c>
      <c r="M1573" s="81">
        <v>7.87</v>
      </c>
      <c r="N1573" s="82">
        <v>251.84</v>
      </c>
    </row>
    <row r="1574" spans="1:14" x14ac:dyDescent="0.25">
      <c r="A1574" s="10" t="str">
        <f>_xlfn.IFNA(
    IF(J1574=
        "PCB-0001",
        "CSS",
        IF(
            ISNUMBER(MATCH(_xlfn.TEXTBEFORE(J1574,"-"), {"CSS","CSN","PCB","PCF","BEC","CSD","PCM"}, 0)),
            _xlfn.TEXTBEFORE(J1574,"-"),
            "Other"
        )
    ),
"Add")</f>
        <v>CSD</v>
      </c>
      <c r="B1574" s="10" t="str">
        <f t="shared" si="25"/>
        <v>0001</v>
      </c>
      <c r="C1574" s="10" t="str">
        <f>_xlfn.LET(
    _xlpm.val, IF(Datadetails[[#This Row],[Activity]]="D02","C20",Datadetails[[#This Row],[Activity]]),
    IF(ISNUMBER(MATCH(_xlpm.val,{"D04","C30","c40","C20"},0)), _xlpm.val, "Other")
)</f>
        <v>D04</v>
      </c>
      <c r="D1574" s="10" t="str">
        <f>IFERROR(VLOOKUP(Datadetails[[#This Row],[Taskcode]],Dashboard!A:A,1,FALSE),"00 Err Missing")</f>
        <v>0001</v>
      </c>
      <c r="E1574" s="79">
        <v>45859</v>
      </c>
      <c r="F1574" s="80" t="s">
        <v>327</v>
      </c>
      <c r="G1574" s="60" t="s">
        <v>40</v>
      </c>
      <c r="H1574" s="80" t="s">
        <v>320</v>
      </c>
      <c r="I1574" s="80" t="s">
        <v>35</v>
      </c>
      <c r="J1574" s="80" t="s">
        <v>322</v>
      </c>
      <c r="K1574" s="80" t="s">
        <v>319</v>
      </c>
      <c r="L1574" s="80" t="s">
        <v>352</v>
      </c>
      <c r="M1574" s="81">
        <v>7.5</v>
      </c>
      <c r="N1574" s="82">
        <v>240</v>
      </c>
    </row>
    <row r="1575" spans="1:14" x14ac:dyDescent="0.25">
      <c r="A1575" s="10" t="str">
        <f>_xlfn.IFNA(
    IF(J1575=
        "PCB-0001",
        "CSS",
        IF(
            ISNUMBER(MATCH(_xlfn.TEXTBEFORE(J1575,"-"), {"CSS","CSN","PCB","PCF","BEC","CSD","PCM"}, 0)),
            _xlfn.TEXTBEFORE(J1575,"-"),
            "Other"
        )
    ),
"Add")</f>
        <v>PCB</v>
      </c>
      <c r="B1575" s="10" t="str">
        <f t="shared" si="25"/>
        <v>0019</v>
      </c>
      <c r="C1575" s="10" t="str">
        <f>_xlfn.LET(
    _xlpm.val, IF(Datadetails[[#This Row],[Activity]]="D02","C20",Datadetails[[#This Row],[Activity]]),
    IF(ISNUMBER(MATCH(_xlpm.val,{"D04","C30","c40","C20"},0)), _xlpm.val, "Other")
)</f>
        <v>C30</v>
      </c>
      <c r="D1575" s="10" t="str">
        <f>IFERROR(VLOOKUP(Datadetails[[#This Row],[Taskcode]],Dashboard!A:A,1,FALSE),"00 Err Missing")</f>
        <v>0019</v>
      </c>
      <c r="E1575" s="79">
        <v>45859</v>
      </c>
      <c r="F1575" s="80" t="s">
        <v>329</v>
      </c>
      <c r="G1575" s="60" t="s">
        <v>40</v>
      </c>
      <c r="H1575" s="80" t="s">
        <v>186</v>
      </c>
      <c r="I1575" s="80" t="s">
        <v>34</v>
      </c>
      <c r="J1575" s="80" t="s">
        <v>397</v>
      </c>
      <c r="K1575" s="80" t="s">
        <v>347</v>
      </c>
      <c r="L1575" s="80" t="s">
        <v>343</v>
      </c>
      <c r="M1575" s="81">
        <v>0.33</v>
      </c>
      <c r="N1575" s="82">
        <v>24.75</v>
      </c>
    </row>
    <row r="1576" spans="1:14" x14ac:dyDescent="0.25">
      <c r="A1576" s="10" t="str">
        <f>_xlfn.IFNA(
    IF(J1576=
        "PCB-0001",
        "CSS",
        IF(
            ISNUMBER(MATCH(_xlfn.TEXTBEFORE(J1576,"-"), {"CSS","CSN","PCB","PCF","BEC","CSD","PCM"}, 0)),
            _xlfn.TEXTBEFORE(J1576,"-"),
            "Other"
        )
    ),
"Add")</f>
        <v>PCB</v>
      </c>
      <c r="B1576" s="10" t="str">
        <f t="shared" si="25"/>
        <v>0030</v>
      </c>
      <c r="C1576" s="10" t="str">
        <f>_xlfn.LET(
    _xlpm.val, IF(Datadetails[[#This Row],[Activity]]="D02","C20",Datadetails[[#This Row],[Activity]]),
    IF(ISNUMBER(MATCH(_xlpm.val,{"D04","C30","c40","C20"},0)), _xlpm.val, "Other")
)</f>
        <v>C30</v>
      </c>
      <c r="D1576" s="10" t="str">
        <f>IFERROR(VLOOKUP(Datadetails[[#This Row],[Taskcode]],Dashboard!A:A,1,FALSE),"00 Err Missing")</f>
        <v>0030</v>
      </c>
      <c r="E1576" s="79">
        <v>45859</v>
      </c>
      <c r="F1576" s="80" t="s">
        <v>329</v>
      </c>
      <c r="G1576" s="60" t="s">
        <v>40</v>
      </c>
      <c r="H1576" s="80" t="s">
        <v>197</v>
      </c>
      <c r="I1576" s="80" t="s">
        <v>34</v>
      </c>
      <c r="J1576" s="80" t="s">
        <v>366</v>
      </c>
      <c r="K1576" s="80" t="s">
        <v>347</v>
      </c>
      <c r="L1576" s="80" t="s">
        <v>343</v>
      </c>
      <c r="M1576" s="81">
        <v>0.33</v>
      </c>
      <c r="N1576" s="82">
        <v>24.75</v>
      </c>
    </row>
    <row r="1577" spans="1:14" x14ac:dyDescent="0.25">
      <c r="A1577" s="10" t="str">
        <f>_xlfn.IFNA(
    IF(J1577=
        "PCB-0001",
        "CSS",
        IF(
            ISNUMBER(MATCH(_xlfn.TEXTBEFORE(J1577,"-"), {"CSS","CSN","PCB","PCF","BEC","CSD","PCM"}, 0)),
            _xlfn.TEXTBEFORE(J1577,"-"),
            "Other"
        )
    ),
"Add")</f>
        <v>PCB</v>
      </c>
      <c r="B1577" s="10" t="str">
        <f t="shared" si="25"/>
        <v>0031</v>
      </c>
      <c r="C1577" s="10" t="str">
        <f>_xlfn.LET(
    _xlpm.val, IF(Datadetails[[#This Row],[Activity]]="D02","C20",Datadetails[[#This Row],[Activity]]),
    IF(ISNUMBER(MATCH(_xlpm.val,{"D04","C30","c40","C20"},0)), _xlpm.val, "Other")
)</f>
        <v>C30</v>
      </c>
      <c r="D1577" s="10" t="str">
        <f>IFERROR(VLOOKUP(Datadetails[[#This Row],[Taskcode]],Dashboard!A:A,1,FALSE),"00 Err Missing")</f>
        <v>0031</v>
      </c>
      <c r="E1577" s="79">
        <v>45859</v>
      </c>
      <c r="F1577" s="80" t="s">
        <v>325</v>
      </c>
      <c r="G1577" s="60" t="s">
        <v>40</v>
      </c>
      <c r="H1577" s="80" t="s">
        <v>198</v>
      </c>
      <c r="I1577" s="80" t="s">
        <v>34</v>
      </c>
      <c r="J1577" s="80" t="s">
        <v>413</v>
      </c>
      <c r="K1577" s="80" t="s">
        <v>347</v>
      </c>
      <c r="L1577" s="80" t="s">
        <v>343</v>
      </c>
      <c r="M1577" s="81">
        <v>0.17</v>
      </c>
      <c r="N1577" s="82">
        <v>12.750000000000002</v>
      </c>
    </row>
    <row r="1578" spans="1:14" x14ac:dyDescent="0.25">
      <c r="A1578" s="10" t="str">
        <f>_xlfn.IFNA(
    IF(J1578=
        "PCB-0001",
        "CSS",
        IF(
            ISNUMBER(MATCH(_xlfn.TEXTBEFORE(J1578,"-"), {"CSS","CSN","PCB","PCF","BEC","CSD","PCM"}, 0)),
            _xlfn.TEXTBEFORE(J1578,"-"),
            "Other"
        )
    ),
"Add")</f>
        <v>PCB</v>
      </c>
      <c r="B1578" s="10" t="str">
        <f t="shared" si="25"/>
        <v>0134</v>
      </c>
      <c r="C1578" s="10" t="str">
        <f>_xlfn.LET(
    _xlpm.val, IF(Datadetails[[#This Row],[Activity]]="D02","C20",Datadetails[[#This Row],[Activity]]),
    IF(ISNUMBER(MATCH(_xlpm.val,{"D04","C30","c40","C20"},0)), _xlpm.val, "Other")
)</f>
        <v>C30</v>
      </c>
      <c r="D1578" s="10" t="str">
        <f>IFERROR(VLOOKUP(Datadetails[[#This Row],[Taskcode]],Dashboard!A:A,1,FALSE),"00 Err Missing")</f>
        <v>0134</v>
      </c>
      <c r="E1578" s="79">
        <v>45859</v>
      </c>
      <c r="F1578" s="80" t="s">
        <v>329</v>
      </c>
      <c r="G1578" s="60" t="s">
        <v>40</v>
      </c>
      <c r="H1578" s="80" t="s">
        <v>301</v>
      </c>
      <c r="I1578" s="80" t="s">
        <v>34</v>
      </c>
      <c r="J1578" s="80" t="s">
        <v>371</v>
      </c>
      <c r="K1578" s="80" t="s">
        <v>347</v>
      </c>
      <c r="L1578" s="80" t="s">
        <v>343</v>
      </c>
      <c r="M1578" s="81">
        <v>0.33</v>
      </c>
      <c r="N1578" s="82">
        <v>24.75</v>
      </c>
    </row>
    <row r="1579" spans="1:14" x14ac:dyDescent="0.25">
      <c r="A1579" s="10" t="str">
        <f>_xlfn.IFNA(
    IF(J1579=
        "PCB-0001",
        "CSS",
        IF(
            ISNUMBER(MATCH(_xlfn.TEXTBEFORE(J1579,"-"), {"CSS","CSN","PCB","PCF","BEC","CSD","PCM"}, 0)),
            _xlfn.TEXTBEFORE(J1579,"-"),
            "Other"
        )
    ),
"Add")</f>
        <v>PCB</v>
      </c>
      <c r="B1579" s="10" t="str">
        <f t="shared" si="25"/>
        <v>0062</v>
      </c>
      <c r="C1579" s="10" t="str">
        <f>_xlfn.LET(
    _xlpm.val, IF(Datadetails[[#This Row],[Activity]]="D02","C20",Datadetails[[#This Row],[Activity]]),
    IF(ISNUMBER(MATCH(_xlpm.val,{"D04","C30","c40","C20"},0)), _xlpm.val, "Other")
)</f>
        <v>C30</v>
      </c>
      <c r="D1579" s="10" t="str">
        <f>IFERROR(VLOOKUP(Datadetails[[#This Row],[Taskcode]],Dashboard!A:A,1,FALSE),"00 Err Missing")</f>
        <v>0062</v>
      </c>
      <c r="E1579" s="79">
        <v>45859</v>
      </c>
      <c r="F1579" s="80" t="s">
        <v>329</v>
      </c>
      <c r="G1579" s="60" t="s">
        <v>40</v>
      </c>
      <c r="H1579" s="80" t="s">
        <v>229</v>
      </c>
      <c r="I1579" s="80" t="s">
        <v>34</v>
      </c>
      <c r="J1579" s="80" t="s">
        <v>373</v>
      </c>
      <c r="K1579" s="80" t="s">
        <v>347</v>
      </c>
      <c r="L1579" s="80" t="s">
        <v>343</v>
      </c>
      <c r="M1579" s="81">
        <v>0.33</v>
      </c>
      <c r="N1579" s="82">
        <v>24.75</v>
      </c>
    </row>
    <row r="1580" spans="1:14" x14ac:dyDescent="0.25">
      <c r="A1580" s="10" t="str">
        <f>_xlfn.IFNA(
    IF(J1580=
        "PCB-0001",
        "CSS",
        IF(
            ISNUMBER(MATCH(_xlfn.TEXTBEFORE(J1580,"-"), {"CSS","CSN","PCB","PCF","BEC","CSD","PCM"}, 0)),
            _xlfn.TEXTBEFORE(J1580,"-"),
            "Other"
        )
    ),
"Add")</f>
        <v>PCB</v>
      </c>
      <c r="B1580" s="10" t="str">
        <f t="shared" si="25"/>
        <v>0054</v>
      </c>
      <c r="C1580" s="10" t="str">
        <f>_xlfn.LET(
    _xlpm.val, IF(Datadetails[[#This Row],[Activity]]="D02","C20",Datadetails[[#This Row],[Activity]]),
    IF(ISNUMBER(MATCH(_xlpm.val,{"D04","C30","c40","C20"},0)), _xlpm.val, "Other")
)</f>
        <v>C30</v>
      </c>
      <c r="D1580" s="10" t="str">
        <f>IFERROR(VLOOKUP(Datadetails[[#This Row],[Taskcode]],Dashboard!A:A,1,FALSE),"00 Err Missing")</f>
        <v>0054</v>
      </c>
      <c r="E1580" s="79">
        <v>45859</v>
      </c>
      <c r="F1580" s="80" t="s">
        <v>329</v>
      </c>
      <c r="G1580" s="60" t="s">
        <v>40</v>
      </c>
      <c r="H1580" s="80" t="s">
        <v>221</v>
      </c>
      <c r="I1580" s="80" t="s">
        <v>34</v>
      </c>
      <c r="J1580" s="80" t="s">
        <v>369</v>
      </c>
      <c r="K1580" s="80" t="s">
        <v>347</v>
      </c>
      <c r="L1580" s="80" t="s">
        <v>343</v>
      </c>
      <c r="M1580" s="81">
        <v>0.33</v>
      </c>
      <c r="N1580" s="82">
        <v>24.75</v>
      </c>
    </row>
    <row r="1581" spans="1:14" x14ac:dyDescent="0.25">
      <c r="A1581" s="10" t="str">
        <f>_xlfn.IFNA(
    IF(J1581=
        "PCB-0001",
        "CSS",
        IF(
            ISNUMBER(MATCH(_xlfn.TEXTBEFORE(J1581,"-"), {"CSS","CSN","PCB","PCF","BEC","CSD","PCM"}, 0)),
            _xlfn.TEXTBEFORE(J1581,"-"),
            "Other"
        )
    ),
"Add")</f>
        <v>PCB</v>
      </c>
      <c r="B1581" s="10" t="str">
        <f t="shared" si="25"/>
        <v>0075</v>
      </c>
      <c r="C1581" s="10" t="str">
        <f>_xlfn.LET(
    _xlpm.val, IF(Datadetails[[#This Row],[Activity]]="D02","C20",Datadetails[[#This Row],[Activity]]),
    IF(ISNUMBER(MATCH(_xlpm.val,{"D04","C30","c40","C20"},0)), _xlpm.val, "Other")
)</f>
        <v>C30</v>
      </c>
      <c r="D1581" s="10" t="str">
        <f>IFERROR(VLOOKUP(Datadetails[[#This Row],[Taskcode]],Dashboard!A:A,1,FALSE),"00 Err Missing")</f>
        <v>0075</v>
      </c>
      <c r="E1581" s="79">
        <v>45859</v>
      </c>
      <c r="F1581" s="80" t="s">
        <v>329</v>
      </c>
      <c r="G1581" s="60" t="s">
        <v>40</v>
      </c>
      <c r="H1581" s="80" t="s">
        <v>242</v>
      </c>
      <c r="I1581" s="80" t="s">
        <v>34</v>
      </c>
      <c r="J1581" s="80" t="s">
        <v>404</v>
      </c>
      <c r="K1581" s="80" t="s">
        <v>347</v>
      </c>
      <c r="L1581" s="80" t="s">
        <v>343</v>
      </c>
      <c r="M1581" s="81">
        <v>0.33</v>
      </c>
      <c r="N1581" s="82">
        <v>24.75</v>
      </c>
    </row>
    <row r="1582" spans="1:14" x14ac:dyDescent="0.25">
      <c r="A1582" s="10" t="str">
        <f>_xlfn.IFNA(
    IF(J1582=
        "PCB-0001",
        "CSS",
        IF(
            ISNUMBER(MATCH(_xlfn.TEXTBEFORE(J1582,"-"), {"CSS","CSN","PCB","PCF","BEC","CSD","PCM"}, 0)),
            _xlfn.TEXTBEFORE(J1582,"-"),
            "Other"
        )
    ),
"Add")</f>
        <v>PCB</v>
      </c>
      <c r="B1582" s="10" t="str">
        <f t="shared" si="25"/>
        <v>0123</v>
      </c>
      <c r="C1582" s="10" t="str">
        <f>_xlfn.LET(
    _xlpm.val, IF(Datadetails[[#This Row],[Activity]]="D02","C20",Datadetails[[#This Row],[Activity]]),
    IF(ISNUMBER(MATCH(_xlpm.val,{"D04","C30","c40","C20"},0)), _xlpm.val, "Other")
)</f>
        <v>C30</v>
      </c>
      <c r="D1582" s="10" t="str">
        <f>IFERROR(VLOOKUP(Datadetails[[#This Row],[Taskcode]],Dashboard!A:A,1,FALSE),"00 Err Missing")</f>
        <v>0123</v>
      </c>
      <c r="E1582" s="79">
        <v>45859</v>
      </c>
      <c r="F1582" s="80" t="s">
        <v>325</v>
      </c>
      <c r="G1582" s="60" t="s">
        <v>40</v>
      </c>
      <c r="H1582" s="80" t="s">
        <v>290</v>
      </c>
      <c r="I1582" s="80" t="s">
        <v>34</v>
      </c>
      <c r="J1582" s="80" t="s">
        <v>428</v>
      </c>
      <c r="K1582" s="80" t="s">
        <v>347</v>
      </c>
      <c r="L1582" s="80" t="s">
        <v>343</v>
      </c>
      <c r="M1582" s="81">
        <v>0.17</v>
      </c>
      <c r="N1582" s="82">
        <v>12.750000000000002</v>
      </c>
    </row>
    <row r="1583" spans="1:14" x14ac:dyDescent="0.25">
      <c r="A1583" s="10" t="str">
        <f>_xlfn.IFNA(
    IF(J1583=
        "PCB-0001",
        "CSS",
        IF(
            ISNUMBER(MATCH(_xlfn.TEXTBEFORE(J1583,"-"), {"CSS","CSN","PCB","PCF","BEC","CSD","PCM"}, 0)),
            _xlfn.TEXTBEFORE(J1583,"-"),
            "Other"
        )
    ),
"Add")</f>
        <v>PCB</v>
      </c>
      <c r="B1583" s="10" t="str">
        <f t="shared" si="25"/>
        <v>0121</v>
      </c>
      <c r="C1583" s="10" t="str">
        <f>_xlfn.LET(
    _xlpm.val, IF(Datadetails[[#This Row],[Activity]]="D02","C20",Datadetails[[#This Row],[Activity]]),
    IF(ISNUMBER(MATCH(_xlpm.val,{"D04","C30","c40","C20"},0)), _xlpm.val, "Other")
)</f>
        <v>C30</v>
      </c>
      <c r="D1583" s="10" t="str">
        <f>IFERROR(VLOOKUP(Datadetails[[#This Row],[Taskcode]],Dashboard!A:A,1,FALSE),"00 Err Missing")</f>
        <v>0121</v>
      </c>
      <c r="E1583" s="79">
        <v>45859</v>
      </c>
      <c r="F1583" s="80" t="s">
        <v>329</v>
      </c>
      <c r="G1583" s="60" t="s">
        <v>40</v>
      </c>
      <c r="H1583" s="80" t="s">
        <v>288</v>
      </c>
      <c r="I1583" s="80" t="s">
        <v>34</v>
      </c>
      <c r="J1583" s="80" t="s">
        <v>405</v>
      </c>
      <c r="K1583" s="80" t="s">
        <v>347</v>
      </c>
      <c r="L1583" s="80" t="s">
        <v>343</v>
      </c>
      <c r="M1583" s="81">
        <v>0.17</v>
      </c>
      <c r="N1583" s="82">
        <v>12.750000000000002</v>
      </c>
    </row>
    <row r="1584" spans="1:14" x14ac:dyDescent="0.25">
      <c r="A1584" s="10" t="str">
        <f>_xlfn.IFNA(
    IF(J1584=
        "PCB-0001",
        "CSS",
        IF(
            ISNUMBER(MATCH(_xlfn.TEXTBEFORE(J1584,"-"), {"CSS","CSN","PCB","PCF","BEC","CSD","PCM"}, 0)),
            _xlfn.TEXTBEFORE(J1584,"-"),
            "Other"
        )
    ),
"Add")</f>
        <v>PCB</v>
      </c>
      <c r="B1584" s="10" t="str">
        <f t="shared" si="25"/>
        <v>0126</v>
      </c>
      <c r="C1584" s="10" t="str">
        <f>_xlfn.LET(
    _xlpm.val, IF(Datadetails[[#This Row],[Activity]]="D02","C20",Datadetails[[#This Row],[Activity]]),
    IF(ISNUMBER(MATCH(_xlpm.val,{"D04","C30","c40","C20"},0)), _xlpm.val, "Other")
)</f>
        <v>C30</v>
      </c>
      <c r="D1584" s="10" t="str">
        <f>IFERROR(VLOOKUP(Datadetails[[#This Row],[Taskcode]],Dashboard!A:A,1,FALSE),"00 Err Missing")</f>
        <v>0126</v>
      </c>
      <c r="E1584" s="79">
        <v>45859</v>
      </c>
      <c r="F1584" s="80" t="s">
        <v>329</v>
      </c>
      <c r="G1584" s="60" t="s">
        <v>40</v>
      </c>
      <c r="H1584" s="80" t="s">
        <v>293</v>
      </c>
      <c r="I1584" s="80" t="s">
        <v>34</v>
      </c>
      <c r="J1584" s="80" t="s">
        <v>376</v>
      </c>
      <c r="K1584" s="80" t="s">
        <v>347</v>
      </c>
      <c r="L1584" s="80" t="s">
        <v>343</v>
      </c>
      <c r="M1584" s="81">
        <v>0.17</v>
      </c>
      <c r="N1584" s="82">
        <v>12.750000000000002</v>
      </c>
    </row>
    <row r="1585" spans="1:14" x14ac:dyDescent="0.25">
      <c r="A1585" s="10" t="str">
        <f>_xlfn.IFNA(
    IF(J1585=
        "PCB-0001",
        "CSS",
        IF(
            ISNUMBER(MATCH(_xlfn.TEXTBEFORE(J1585,"-"), {"CSS","CSN","PCB","PCF","BEC","CSD","PCM"}, 0)),
            _xlfn.TEXTBEFORE(J1585,"-"),
            "Other"
        )
    ),
"Add")</f>
        <v>PCB</v>
      </c>
      <c r="B1585" s="10" t="str">
        <f t="shared" si="25"/>
        <v>0129</v>
      </c>
      <c r="C1585" s="10" t="str">
        <f>_xlfn.LET(
    _xlpm.val, IF(Datadetails[[#This Row],[Activity]]="D02","C20",Datadetails[[#This Row],[Activity]]),
    IF(ISNUMBER(MATCH(_xlpm.val,{"D04","C30","c40","C20"},0)), _xlpm.val, "Other")
)</f>
        <v>C30</v>
      </c>
      <c r="D1585" s="10" t="str">
        <f>IFERROR(VLOOKUP(Datadetails[[#This Row],[Taskcode]],Dashboard!A:A,1,FALSE),"00 Err Missing")</f>
        <v>0129</v>
      </c>
      <c r="E1585" s="79">
        <v>45859</v>
      </c>
      <c r="F1585" s="80" t="s">
        <v>329</v>
      </c>
      <c r="G1585" s="60" t="s">
        <v>40</v>
      </c>
      <c r="H1585" s="80" t="s">
        <v>296</v>
      </c>
      <c r="I1585" s="80" t="s">
        <v>34</v>
      </c>
      <c r="J1585" s="80" t="s">
        <v>411</v>
      </c>
      <c r="K1585" s="80" t="s">
        <v>347</v>
      </c>
      <c r="L1585" s="80" t="s">
        <v>343</v>
      </c>
      <c r="M1585" s="81">
        <v>0.08</v>
      </c>
      <c r="N1585" s="82">
        <v>6</v>
      </c>
    </row>
    <row r="1586" spans="1:14" x14ac:dyDescent="0.25">
      <c r="A1586" s="10" t="str">
        <f>_xlfn.IFNA(
    IF(J1586=
        "PCB-0001",
        "CSS",
        IF(
            ISNUMBER(MATCH(_xlfn.TEXTBEFORE(J1586,"-"), {"CSS","CSN","PCB","PCF","BEC","CSD","PCM"}, 0)),
            _xlfn.TEXTBEFORE(J1586,"-"),
            "Other"
        )
    ),
"Add")</f>
        <v>PCB</v>
      </c>
      <c r="B1586" s="10" t="str">
        <f t="shared" si="25"/>
        <v>0081</v>
      </c>
      <c r="C1586" s="10" t="str">
        <f>_xlfn.LET(
    _xlpm.val, IF(Datadetails[[#This Row],[Activity]]="D02","C20",Datadetails[[#This Row],[Activity]]),
    IF(ISNUMBER(MATCH(_xlpm.val,{"D04","C30","c40","C20"},0)), _xlpm.val, "Other")
)</f>
        <v>C30</v>
      </c>
      <c r="D1586" s="10" t="str">
        <f>IFERROR(VLOOKUP(Datadetails[[#This Row],[Taskcode]],Dashboard!A:A,1,FALSE),"00 Err Missing")</f>
        <v>0081</v>
      </c>
      <c r="E1586" s="79">
        <v>45859</v>
      </c>
      <c r="F1586" s="80" t="s">
        <v>329</v>
      </c>
      <c r="G1586" s="60" t="s">
        <v>40</v>
      </c>
      <c r="H1586" s="80" t="s">
        <v>248</v>
      </c>
      <c r="I1586" s="80" t="s">
        <v>34</v>
      </c>
      <c r="J1586" s="80" t="s">
        <v>385</v>
      </c>
      <c r="K1586" s="80" t="s">
        <v>347</v>
      </c>
      <c r="L1586" s="80" t="s">
        <v>343</v>
      </c>
      <c r="M1586" s="81">
        <v>0.25</v>
      </c>
      <c r="N1586" s="82">
        <v>18.75</v>
      </c>
    </row>
    <row r="1587" spans="1:14" x14ac:dyDescent="0.25">
      <c r="A1587" s="10" t="str">
        <f>_xlfn.IFNA(
    IF(J1587=
        "PCB-0001",
        "CSS",
        IF(
            ISNUMBER(MATCH(_xlfn.TEXTBEFORE(J1587,"-"), {"CSS","CSN","PCB","PCF","BEC","CSD","PCM"}, 0)),
            _xlfn.TEXTBEFORE(J1587,"-"),
            "Other"
        )
    ),
"Add")</f>
        <v>PCB</v>
      </c>
      <c r="B1587" s="10" t="str">
        <f t="shared" si="25"/>
        <v>0080</v>
      </c>
      <c r="C1587" s="10" t="str">
        <f>_xlfn.LET(
    _xlpm.val, IF(Datadetails[[#This Row],[Activity]]="D02","C20",Datadetails[[#This Row],[Activity]]),
    IF(ISNUMBER(MATCH(_xlpm.val,{"D04","C30","c40","C20"},0)), _xlpm.val, "Other")
)</f>
        <v>C30</v>
      </c>
      <c r="D1587" s="10" t="str">
        <f>IFERROR(VLOOKUP(Datadetails[[#This Row],[Taskcode]],Dashboard!A:A,1,FALSE),"00 Err Missing")</f>
        <v>0080</v>
      </c>
      <c r="E1587" s="79">
        <v>45859</v>
      </c>
      <c r="F1587" s="80" t="s">
        <v>329</v>
      </c>
      <c r="G1587" s="60" t="s">
        <v>40</v>
      </c>
      <c r="H1587" s="80" t="s">
        <v>247</v>
      </c>
      <c r="I1587" s="80" t="s">
        <v>34</v>
      </c>
      <c r="J1587" s="80" t="s">
        <v>375</v>
      </c>
      <c r="K1587" s="80" t="s">
        <v>347</v>
      </c>
      <c r="L1587" s="80" t="s">
        <v>343</v>
      </c>
      <c r="M1587" s="81">
        <v>0.5</v>
      </c>
      <c r="N1587" s="82">
        <v>37.5</v>
      </c>
    </row>
    <row r="1588" spans="1:14" x14ac:dyDescent="0.25">
      <c r="A1588" s="10" t="str">
        <f>_xlfn.IFNA(
    IF(J1588=
        "PCB-0001",
        "CSS",
        IF(
            ISNUMBER(MATCH(_xlfn.TEXTBEFORE(J1588,"-"), {"CSS","CSN","PCB","PCF","BEC","CSD","PCM"}, 0)),
            _xlfn.TEXTBEFORE(J1588,"-"),
            "Other"
        )
    ),
"Add")</f>
        <v>PCB</v>
      </c>
      <c r="B1588" s="10" t="str">
        <f t="shared" si="25"/>
        <v>0063</v>
      </c>
      <c r="C1588" s="10" t="str">
        <f>_xlfn.LET(
    _xlpm.val, IF(Datadetails[[#This Row],[Activity]]="D02","C20",Datadetails[[#This Row],[Activity]]),
    IF(ISNUMBER(MATCH(_xlpm.val,{"D04","C30","c40","C20"},0)), _xlpm.val, "Other")
)</f>
        <v>C30</v>
      </c>
      <c r="D1588" s="10" t="str">
        <f>IFERROR(VLOOKUP(Datadetails[[#This Row],[Taskcode]],Dashboard!A:A,1,FALSE),"00 Err Missing")</f>
        <v>0063</v>
      </c>
      <c r="E1588" s="79">
        <v>45859</v>
      </c>
      <c r="F1588" s="80" t="s">
        <v>329</v>
      </c>
      <c r="G1588" s="60" t="s">
        <v>40</v>
      </c>
      <c r="H1588" s="80" t="s">
        <v>230</v>
      </c>
      <c r="I1588" s="80" t="s">
        <v>34</v>
      </c>
      <c r="J1588" s="80" t="s">
        <v>410</v>
      </c>
      <c r="K1588" s="80" t="s">
        <v>347</v>
      </c>
      <c r="L1588" s="80" t="s">
        <v>343</v>
      </c>
      <c r="M1588" s="81">
        <v>0.33</v>
      </c>
      <c r="N1588" s="82">
        <v>24.75</v>
      </c>
    </row>
    <row r="1589" spans="1:14" x14ac:dyDescent="0.25">
      <c r="A1589" s="10" t="str">
        <f>_xlfn.IFNA(
    IF(J1589=
        "PCB-0001",
        "CSS",
        IF(
            ISNUMBER(MATCH(_xlfn.TEXTBEFORE(J1589,"-"), {"CSS","CSN","PCB","PCF","BEC","CSD","PCM"}, 0)),
            _xlfn.TEXTBEFORE(J1589,"-"),
            "Other"
        )
    ),
"Add")</f>
        <v>PCB</v>
      </c>
      <c r="B1589" s="10" t="str">
        <f t="shared" si="25"/>
        <v>0132</v>
      </c>
      <c r="C1589" s="10" t="str">
        <f>_xlfn.LET(
    _xlpm.val, IF(Datadetails[[#This Row],[Activity]]="D02","C20",Datadetails[[#This Row],[Activity]]),
    IF(ISNUMBER(MATCH(_xlpm.val,{"D04","C30","c40","C20"},0)), _xlpm.val, "Other")
)</f>
        <v>C20</v>
      </c>
      <c r="D1589" s="10" t="str">
        <f>IFERROR(VLOOKUP(Datadetails[[#This Row],[Taskcode]],Dashboard!A:A,1,FALSE),"00 Err Missing")</f>
        <v>0132</v>
      </c>
      <c r="E1589" s="79">
        <v>45859</v>
      </c>
      <c r="F1589" s="80" t="s">
        <v>329</v>
      </c>
      <c r="G1589" s="60" t="s">
        <v>40</v>
      </c>
      <c r="H1589" s="80" t="s">
        <v>299</v>
      </c>
      <c r="I1589" s="80" t="s">
        <v>312</v>
      </c>
      <c r="J1589" s="80" t="s">
        <v>455</v>
      </c>
      <c r="K1589" s="80" t="s">
        <v>347</v>
      </c>
      <c r="L1589" s="80" t="s">
        <v>350</v>
      </c>
      <c r="M1589" s="81">
        <v>0.33</v>
      </c>
      <c r="N1589" s="82">
        <v>24.75</v>
      </c>
    </row>
    <row r="1590" spans="1:14" x14ac:dyDescent="0.25">
      <c r="A1590" s="10" t="str">
        <f>_xlfn.IFNA(
    IF(J1590=
        "PCB-0001",
        "CSS",
        IF(
            ISNUMBER(MATCH(_xlfn.TEXTBEFORE(J1590,"-"), {"CSS","CSN","PCB","PCF","BEC","CSD","PCM"}, 0)),
            _xlfn.TEXTBEFORE(J1590,"-"),
            "Other"
        )
    ),
"Add")</f>
        <v>PCF</v>
      </c>
      <c r="B1590" s="10" t="str">
        <f t="shared" si="25"/>
        <v>0040</v>
      </c>
      <c r="C1590" s="10" t="str">
        <f>_xlfn.LET(
    _xlpm.val, IF(Datadetails[[#This Row],[Activity]]="D02","C20",Datadetails[[#This Row],[Activity]]),
    IF(ISNUMBER(MATCH(_xlpm.val,{"D04","C30","c40","C20"},0)), _xlpm.val, "Other")
)</f>
        <v>C20</v>
      </c>
      <c r="D1590" s="10" t="str">
        <f>IFERROR(VLOOKUP(Datadetails[[#This Row],[Taskcode]],Dashboard!A:A,1,FALSE),"00 Err Missing")</f>
        <v>0040</v>
      </c>
      <c r="E1590" s="79">
        <v>45859</v>
      </c>
      <c r="F1590" s="80" t="s">
        <v>326</v>
      </c>
      <c r="G1590" s="60" t="s">
        <v>40</v>
      </c>
      <c r="H1590" s="80" t="s">
        <v>207</v>
      </c>
      <c r="I1590" s="80" t="s">
        <v>36</v>
      </c>
      <c r="J1590" s="80" t="s">
        <v>417</v>
      </c>
      <c r="K1590" s="80" t="s">
        <v>348</v>
      </c>
      <c r="L1590" s="80" t="s">
        <v>342</v>
      </c>
      <c r="M1590" s="81">
        <v>0.42</v>
      </c>
      <c r="N1590" s="82">
        <v>25.2</v>
      </c>
    </row>
    <row r="1591" spans="1:14" x14ac:dyDescent="0.25">
      <c r="A1591" s="10" t="str">
        <f>_xlfn.IFNA(
    IF(J1591=
        "PCB-0001",
        "CSS",
        IF(
            ISNUMBER(MATCH(_xlfn.TEXTBEFORE(J1591,"-"), {"CSS","CSN","PCB","PCF","BEC","CSD","PCM"}, 0)),
            _xlfn.TEXTBEFORE(J1591,"-"),
            "Other"
        )
    ),
"Add")</f>
        <v>PCF</v>
      </c>
      <c r="B1591" s="10" t="str">
        <f t="shared" si="25"/>
        <v>0098</v>
      </c>
      <c r="C1591" s="10" t="str">
        <f>_xlfn.LET(
    _xlpm.val, IF(Datadetails[[#This Row],[Activity]]="D02","C20",Datadetails[[#This Row],[Activity]]),
    IF(ISNUMBER(MATCH(_xlpm.val,{"D04","C30","c40","C20"},0)), _xlpm.val, "Other")
)</f>
        <v>C30</v>
      </c>
      <c r="D1591" s="10" t="str">
        <f>IFERROR(VLOOKUP(Datadetails[[#This Row],[Taskcode]],Dashboard!A:A,1,FALSE),"00 Err Missing")</f>
        <v>0098</v>
      </c>
      <c r="E1591" s="79">
        <v>45859</v>
      </c>
      <c r="F1591" s="80" t="s">
        <v>326</v>
      </c>
      <c r="G1591" s="60" t="s">
        <v>40</v>
      </c>
      <c r="H1591" s="80" t="s">
        <v>265</v>
      </c>
      <c r="I1591" s="80" t="s">
        <v>34</v>
      </c>
      <c r="J1591" s="80" t="s">
        <v>358</v>
      </c>
      <c r="K1591" s="80" t="s">
        <v>348</v>
      </c>
      <c r="L1591" s="80" t="s">
        <v>343</v>
      </c>
      <c r="M1591" s="81">
        <v>1.17</v>
      </c>
      <c r="N1591" s="82">
        <v>70.199999999999989</v>
      </c>
    </row>
    <row r="1592" spans="1:14" x14ac:dyDescent="0.25">
      <c r="A1592" s="10" t="str">
        <f>_xlfn.IFNA(
    IF(J1592=
        "PCB-0001",
        "CSS",
        IF(
            ISNUMBER(MATCH(_xlfn.TEXTBEFORE(J1592,"-"), {"CSS","CSN","PCB","PCF","BEC","CSD","PCM"}, 0)),
            _xlfn.TEXTBEFORE(J1592,"-"),
            "Other"
        )
    ),
"Add")</f>
        <v>BEC</v>
      </c>
      <c r="B1592" s="10" t="str">
        <f t="shared" si="25"/>
        <v>0001</v>
      </c>
      <c r="C1592" s="10" t="str">
        <f>_xlfn.LET(
    _xlpm.val, IF(Datadetails[[#This Row],[Activity]]="D02","C20",Datadetails[[#This Row],[Activity]]),
    IF(ISNUMBER(MATCH(_xlpm.val,{"D04","C30","c40","C20"},0)), _xlpm.val, "Other")
)</f>
        <v>D04</v>
      </c>
      <c r="D1592" s="10" t="str">
        <f>IFERROR(VLOOKUP(Datadetails[[#This Row],[Taskcode]],Dashboard!A:A,1,FALSE),"00 Err Missing")</f>
        <v>0001</v>
      </c>
      <c r="E1592" s="79">
        <v>45859</v>
      </c>
      <c r="F1592" s="80" t="s">
        <v>324</v>
      </c>
      <c r="G1592" s="60" t="s">
        <v>40</v>
      </c>
      <c r="H1592" s="80" t="s">
        <v>314</v>
      </c>
      <c r="I1592" s="80" t="s">
        <v>35</v>
      </c>
      <c r="J1592" s="80" t="s">
        <v>359</v>
      </c>
      <c r="K1592" s="80" t="s">
        <v>339</v>
      </c>
      <c r="L1592" s="80" t="s">
        <v>352</v>
      </c>
      <c r="M1592" s="81">
        <v>3</v>
      </c>
      <c r="N1592" s="82">
        <v>225</v>
      </c>
    </row>
    <row r="1593" spans="1:14" x14ac:dyDescent="0.25">
      <c r="A1593" s="10" t="str">
        <f>_xlfn.IFNA(
    IF(J1593=
        "PCB-0001",
        "CSS",
        IF(
            ISNUMBER(MATCH(_xlfn.TEXTBEFORE(J1593,"-"), {"CSS","CSN","PCB","PCF","BEC","CSD","PCM"}, 0)),
            _xlfn.TEXTBEFORE(J1593,"-"),
            "Other"
        )
    ),
"Add")</f>
        <v>PCM</v>
      </c>
      <c r="B1593" s="10" t="str">
        <f t="shared" si="25"/>
        <v>0035</v>
      </c>
      <c r="C1593" s="10" t="str">
        <f>_xlfn.LET(
    _xlpm.val, IF(Datadetails[[#This Row],[Activity]]="D02","C20",Datadetails[[#This Row],[Activity]]),
    IF(ISNUMBER(MATCH(_xlpm.val,{"D04","C30","c40","C20"},0)), _xlpm.val, "Other")
)</f>
        <v>C20</v>
      </c>
      <c r="D1593" s="10" t="str">
        <f>IFERROR(VLOOKUP(Datadetails[[#This Row],[Taskcode]],Dashboard!A:A,1,FALSE),"00 Err Missing")</f>
        <v>0035</v>
      </c>
      <c r="E1593" s="79">
        <v>45860</v>
      </c>
      <c r="F1593" s="80" t="s">
        <v>323</v>
      </c>
      <c r="G1593" s="60" t="s">
        <v>40</v>
      </c>
      <c r="H1593" s="80" t="s">
        <v>202</v>
      </c>
      <c r="I1593" s="80" t="s">
        <v>36</v>
      </c>
      <c r="J1593" s="80" t="s">
        <v>431</v>
      </c>
      <c r="K1593" s="80" t="s">
        <v>346</v>
      </c>
      <c r="L1593" s="80" t="s">
        <v>342</v>
      </c>
      <c r="M1593" s="81">
        <v>0.67</v>
      </c>
      <c r="N1593" s="82">
        <v>40.200000000000003</v>
      </c>
    </row>
    <row r="1594" spans="1:14" x14ac:dyDescent="0.25">
      <c r="A1594" s="10" t="str">
        <f>_xlfn.IFNA(
    IF(J1594=
        "PCB-0001",
        "CSS",
        IF(
            ISNUMBER(MATCH(_xlfn.TEXTBEFORE(J1594,"-"), {"CSS","CSN","PCB","PCF","BEC","CSD","PCM"}, 0)),
            _xlfn.TEXTBEFORE(J1594,"-"),
            "Other"
        )
    ),
"Add")</f>
        <v>CSN</v>
      </c>
      <c r="B1594" s="10" t="str">
        <f t="shared" si="25"/>
        <v>0001</v>
      </c>
      <c r="C1594" s="10" t="str">
        <f>_xlfn.LET(
    _xlpm.val, IF(Datadetails[[#This Row],[Activity]]="D02","C20",Datadetails[[#This Row],[Activity]]),
    IF(ISNUMBER(MATCH(_xlpm.val,{"D04","C30","c40","C20"},0)), _xlpm.val, "Other")
)</f>
        <v>D04</v>
      </c>
      <c r="D1594" s="10" t="str">
        <f>IFERROR(VLOOKUP(Datadetails[[#This Row],[Taskcode]],Dashboard!A:A,1,FALSE),"00 Err Missing")</f>
        <v>0001</v>
      </c>
      <c r="E1594" s="79">
        <v>45860</v>
      </c>
      <c r="F1594" s="80" t="s">
        <v>329</v>
      </c>
      <c r="G1594" s="60" t="s">
        <v>40</v>
      </c>
      <c r="H1594" s="80" t="s">
        <v>316</v>
      </c>
      <c r="I1594" s="80" t="s">
        <v>35</v>
      </c>
      <c r="J1594" s="80" t="s">
        <v>338</v>
      </c>
      <c r="K1594" s="80" t="s">
        <v>337</v>
      </c>
      <c r="L1594" s="80" t="s">
        <v>352</v>
      </c>
      <c r="M1594" s="81">
        <v>1</v>
      </c>
      <c r="N1594" s="82">
        <v>75</v>
      </c>
    </row>
    <row r="1595" spans="1:14" x14ac:dyDescent="0.25">
      <c r="A1595" s="10" t="str">
        <f>_xlfn.IFNA(
    IF(J1595=
        "PCB-0001",
        "CSS",
        IF(
            ISNUMBER(MATCH(_xlfn.TEXTBEFORE(J1595,"-"), {"CSS","CSN","PCB","PCF","BEC","CSD","PCM"}, 0)),
            _xlfn.TEXTBEFORE(J1595,"-"),
            "Other"
        )
    ),
"Add")</f>
        <v>CSD</v>
      </c>
      <c r="B1595" s="10" t="str">
        <f t="shared" si="25"/>
        <v>0001</v>
      </c>
      <c r="C1595" s="10" t="str">
        <f>_xlfn.LET(
    _xlpm.val, IF(Datadetails[[#This Row],[Activity]]="D02","C20",Datadetails[[#This Row],[Activity]]),
    IF(ISNUMBER(MATCH(_xlpm.val,{"D04","C30","c40","C20"},0)), _xlpm.val, "Other")
)</f>
        <v>D04</v>
      </c>
      <c r="D1595" s="10" t="str">
        <f>IFERROR(VLOOKUP(Datadetails[[#This Row],[Taskcode]],Dashboard!A:A,1,FALSE),"00 Err Missing")</f>
        <v>0001</v>
      </c>
      <c r="E1595" s="79">
        <v>45860</v>
      </c>
      <c r="F1595" s="80" t="s">
        <v>333</v>
      </c>
      <c r="G1595" s="60" t="s">
        <v>40</v>
      </c>
      <c r="H1595" s="80" t="s">
        <v>320</v>
      </c>
      <c r="I1595" s="80" t="s">
        <v>35</v>
      </c>
      <c r="J1595" s="80" t="s">
        <v>322</v>
      </c>
      <c r="K1595" s="80" t="s">
        <v>319</v>
      </c>
      <c r="L1595" s="80" t="s">
        <v>352</v>
      </c>
      <c r="M1595" s="81">
        <v>7.23</v>
      </c>
      <c r="N1595" s="82">
        <v>231.36</v>
      </c>
    </row>
    <row r="1596" spans="1:14" x14ac:dyDescent="0.25">
      <c r="A1596" s="10" t="str">
        <f>_xlfn.IFNA(
    IF(J1596=
        "PCB-0001",
        "CSS",
        IF(
            ISNUMBER(MATCH(_xlfn.TEXTBEFORE(J1596,"-"), {"CSS","CSN","PCB","PCF","BEC","CSD","PCM"}, 0)),
            _xlfn.TEXTBEFORE(J1596,"-"),
            "Other"
        )
    ),
"Add")</f>
        <v>CSD</v>
      </c>
      <c r="B1596" s="10" t="str">
        <f t="shared" si="25"/>
        <v>0001</v>
      </c>
      <c r="C1596" s="10" t="str">
        <f>_xlfn.LET(
    _xlpm.val, IF(Datadetails[[#This Row],[Activity]]="D02","C20",Datadetails[[#This Row],[Activity]]),
    IF(ISNUMBER(MATCH(_xlpm.val,{"D04","C30","c40","C20"},0)), _xlpm.val, "Other")
)</f>
        <v>D04</v>
      </c>
      <c r="D1596" s="10" t="str">
        <f>IFERROR(VLOOKUP(Datadetails[[#This Row],[Taskcode]],Dashboard!A:A,1,FALSE),"00 Err Missing")</f>
        <v>0001</v>
      </c>
      <c r="E1596" s="79">
        <v>45860</v>
      </c>
      <c r="F1596" s="80" t="s">
        <v>327</v>
      </c>
      <c r="G1596" s="60" t="s">
        <v>40</v>
      </c>
      <c r="H1596" s="80" t="s">
        <v>320</v>
      </c>
      <c r="I1596" s="80" t="s">
        <v>35</v>
      </c>
      <c r="J1596" s="80" t="s">
        <v>322</v>
      </c>
      <c r="K1596" s="80" t="s">
        <v>319</v>
      </c>
      <c r="L1596" s="80" t="s">
        <v>352</v>
      </c>
      <c r="M1596" s="81">
        <v>7.33</v>
      </c>
      <c r="N1596" s="82">
        <v>234.56</v>
      </c>
    </row>
    <row r="1597" spans="1:14" x14ac:dyDescent="0.25">
      <c r="A1597" s="10" t="str">
        <f>_xlfn.IFNA(
    IF(J1597=
        "PCB-0001",
        "CSS",
        IF(
            ISNUMBER(MATCH(_xlfn.TEXTBEFORE(J1597,"-"), {"CSS","CSN","PCB","PCF","BEC","CSD","PCM"}, 0)),
            _xlfn.TEXTBEFORE(J1597,"-"),
            "Other"
        )
    ),
"Add")</f>
        <v>PCB</v>
      </c>
      <c r="B1597" s="10" t="str">
        <f t="shared" si="25"/>
        <v>0019</v>
      </c>
      <c r="C1597" s="10" t="str">
        <f>_xlfn.LET(
    _xlpm.val, IF(Datadetails[[#This Row],[Activity]]="D02","C20",Datadetails[[#This Row],[Activity]]),
    IF(ISNUMBER(MATCH(_xlpm.val,{"D04","C30","c40","C20"},0)), _xlpm.val, "Other")
)</f>
        <v>C30</v>
      </c>
      <c r="D1597" s="10" t="str">
        <f>IFERROR(VLOOKUP(Datadetails[[#This Row],[Taskcode]],Dashboard!A:A,1,FALSE),"00 Err Missing")</f>
        <v>0019</v>
      </c>
      <c r="E1597" s="79">
        <v>45860</v>
      </c>
      <c r="F1597" s="80" t="s">
        <v>329</v>
      </c>
      <c r="G1597" s="60" t="s">
        <v>40</v>
      </c>
      <c r="H1597" s="80" t="s">
        <v>186</v>
      </c>
      <c r="I1597" s="80" t="s">
        <v>34</v>
      </c>
      <c r="J1597" s="80" t="s">
        <v>397</v>
      </c>
      <c r="K1597" s="80" t="s">
        <v>347</v>
      </c>
      <c r="L1597" s="80" t="s">
        <v>343</v>
      </c>
      <c r="M1597" s="81">
        <v>0.17</v>
      </c>
      <c r="N1597" s="82">
        <v>12.750000000000002</v>
      </c>
    </row>
    <row r="1598" spans="1:14" x14ac:dyDescent="0.25">
      <c r="A1598" s="10" t="str">
        <f>_xlfn.IFNA(
    IF(J1598=
        "PCB-0001",
        "CSS",
        IF(
            ISNUMBER(MATCH(_xlfn.TEXTBEFORE(J1598,"-"), {"CSS","CSN","PCB","PCF","BEC","CSD","PCM"}, 0)),
            _xlfn.TEXTBEFORE(J1598,"-"),
            "Other"
        )
    ),
"Add")</f>
        <v>PCB</v>
      </c>
      <c r="B1598" s="10" t="str">
        <f t="shared" si="25"/>
        <v>0016</v>
      </c>
      <c r="C1598" s="10" t="str">
        <f>_xlfn.LET(
    _xlpm.val, IF(Datadetails[[#This Row],[Activity]]="D02","C20",Datadetails[[#This Row],[Activity]]),
    IF(ISNUMBER(MATCH(_xlpm.val,{"D04","C30","c40","C20"},0)), _xlpm.val, "Other")
)</f>
        <v>C30</v>
      </c>
      <c r="D1598" s="10" t="str">
        <f>IFERROR(VLOOKUP(Datadetails[[#This Row],[Taskcode]],Dashboard!A:A,1,FALSE),"00 Err Missing")</f>
        <v>0016</v>
      </c>
      <c r="E1598" s="79">
        <v>45860</v>
      </c>
      <c r="F1598" s="80" t="s">
        <v>329</v>
      </c>
      <c r="G1598" s="60" t="s">
        <v>40</v>
      </c>
      <c r="H1598" s="80" t="s">
        <v>183</v>
      </c>
      <c r="I1598" s="80" t="s">
        <v>34</v>
      </c>
      <c r="J1598" s="80" t="s">
        <v>368</v>
      </c>
      <c r="K1598" s="80" t="s">
        <v>347</v>
      </c>
      <c r="L1598" s="80" t="s">
        <v>343</v>
      </c>
      <c r="M1598" s="81">
        <v>0.17</v>
      </c>
      <c r="N1598" s="82">
        <v>12.750000000000002</v>
      </c>
    </row>
    <row r="1599" spans="1:14" x14ac:dyDescent="0.25">
      <c r="A1599" s="10" t="str">
        <f>_xlfn.IFNA(
    IF(J1599=
        "PCB-0001",
        "CSS",
        IF(
            ISNUMBER(MATCH(_xlfn.TEXTBEFORE(J1599,"-"), {"CSS","CSN","PCB","PCF","BEC","CSD","PCM"}, 0)),
            _xlfn.TEXTBEFORE(J1599,"-"),
            "Other"
        )
    ),
"Add")</f>
        <v>PCB</v>
      </c>
      <c r="B1599" s="10" t="str">
        <f t="shared" si="25"/>
        <v>0039</v>
      </c>
      <c r="C1599" s="10" t="str">
        <f>_xlfn.LET(
    _xlpm.val, IF(Datadetails[[#This Row],[Activity]]="D02","C20",Datadetails[[#This Row],[Activity]]),
    IF(ISNUMBER(MATCH(_xlpm.val,{"D04","C30","c40","C20"},0)), _xlpm.val, "Other")
)</f>
        <v>C30</v>
      </c>
      <c r="D1599" s="10" t="str">
        <f>IFERROR(VLOOKUP(Datadetails[[#This Row],[Taskcode]],Dashboard!A:A,1,FALSE),"00 Err Missing")</f>
        <v>0039</v>
      </c>
      <c r="E1599" s="79">
        <v>45860</v>
      </c>
      <c r="F1599" s="80" t="s">
        <v>329</v>
      </c>
      <c r="G1599" s="60" t="s">
        <v>40</v>
      </c>
      <c r="H1599" s="80" t="s">
        <v>206</v>
      </c>
      <c r="I1599" s="80" t="s">
        <v>34</v>
      </c>
      <c r="J1599" s="80" t="s">
        <v>367</v>
      </c>
      <c r="K1599" s="80" t="s">
        <v>347</v>
      </c>
      <c r="L1599" s="80" t="s">
        <v>343</v>
      </c>
      <c r="M1599" s="81">
        <v>0.17</v>
      </c>
      <c r="N1599" s="82">
        <v>12.750000000000002</v>
      </c>
    </row>
    <row r="1600" spans="1:14" x14ac:dyDescent="0.25">
      <c r="A1600" s="10" t="str">
        <f>_xlfn.IFNA(
    IF(J1600=
        "PCB-0001",
        "CSS",
        IF(
            ISNUMBER(MATCH(_xlfn.TEXTBEFORE(J1600,"-"), {"CSS","CSN","PCB","PCF","BEC","CSD","PCM"}, 0)),
            _xlfn.TEXTBEFORE(J1600,"-"),
            "Other"
        )
    ),
"Add")</f>
        <v>PCB</v>
      </c>
      <c r="B1600" s="10" t="str">
        <f t="shared" si="25"/>
        <v>0137</v>
      </c>
      <c r="C1600" s="10" t="str">
        <f>_xlfn.LET(
    _xlpm.val, IF(Datadetails[[#This Row],[Activity]]="D02","C20",Datadetails[[#This Row],[Activity]]),
    IF(ISNUMBER(MATCH(_xlpm.val,{"D04","C30","c40","C20"},0)), _xlpm.val, "Other")
)</f>
        <v>C30</v>
      </c>
      <c r="D1600" s="10" t="str">
        <f>IFERROR(VLOOKUP(Datadetails[[#This Row],[Taskcode]],Dashboard!A:A,1,FALSE),"00 Err Missing")</f>
        <v>0137</v>
      </c>
      <c r="E1600" s="79">
        <v>45860</v>
      </c>
      <c r="F1600" s="80" t="s">
        <v>325</v>
      </c>
      <c r="G1600" s="60" t="s">
        <v>40</v>
      </c>
      <c r="H1600" s="80" t="s">
        <v>304</v>
      </c>
      <c r="I1600" s="80" t="s">
        <v>34</v>
      </c>
      <c r="J1600" s="80" t="s">
        <v>372</v>
      </c>
      <c r="K1600" s="80" t="s">
        <v>347</v>
      </c>
      <c r="L1600" s="80" t="s">
        <v>343</v>
      </c>
      <c r="M1600" s="81">
        <v>0.17</v>
      </c>
      <c r="N1600" s="82">
        <v>12.750000000000002</v>
      </c>
    </row>
    <row r="1601" spans="1:14" x14ac:dyDescent="0.25">
      <c r="A1601" s="10" t="str">
        <f>_xlfn.IFNA(
    IF(J1601=
        "PCB-0001",
        "CSS",
        IF(
            ISNUMBER(MATCH(_xlfn.TEXTBEFORE(J1601,"-"), {"CSS","CSN","PCB","PCF","BEC","CSD","PCM"}, 0)),
            _xlfn.TEXTBEFORE(J1601,"-"),
            "Other"
        )
    ),
"Add")</f>
        <v>PCB</v>
      </c>
      <c r="B1601" s="10" t="str">
        <f t="shared" si="25"/>
        <v>0135</v>
      </c>
      <c r="C1601" s="10" t="str">
        <f>_xlfn.LET(
    _xlpm.val, IF(Datadetails[[#This Row],[Activity]]="D02","C20",Datadetails[[#This Row],[Activity]]),
    IF(ISNUMBER(MATCH(_xlpm.val,{"D04","C30","c40","C20"},0)), _xlpm.val, "Other")
)</f>
        <v>C30</v>
      </c>
      <c r="D1601" s="10" t="str">
        <f>IFERROR(VLOOKUP(Datadetails[[#This Row],[Taskcode]],Dashboard!A:A,1,FALSE),"00 Err Missing")</f>
        <v>0135</v>
      </c>
      <c r="E1601" s="79">
        <v>45860</v>
      </c>
      <c r="F1601" s="80" t="s">
        <v>329</v>
      </c>
      <c r="G1601" s="60" t="s">
        <v>40</v>
      </c>
      <c r="H1601" s="80" t="s">
        <v>302</v>
      </c>
      <c r="I1601" s="80" t="s">
        <v>34</v>
      </c>
      <c r="J1601" s="80" t="s">
        <v>398</v>
      </c>
      <c r="K1601" s="80" t="s">
        <v>347</v>
      </c>
      <c r="L1601" s="80" t="s">
        <v>343</v>
      </c>
      <c r="M1601" s="81">
        <v>0.33</v>
      </c>
      <c r="N1601" s="82">
        <v>24.75</v>
      </c>
    </row>
    <row r="1602" spans="1:14" x14ac:dyDescent="0.25">
      <c r="A1602" s="10" t="str">
        <f>_xlfn.IFNA(
    IF(J1602=
        "PCB-0001",
        "CSS",
        IF(
            ISNUMBER(MATCH(_xlfn.TEXTBEFORE(J1602,"-"), {"CSS","CSN","PCB","PCF","BEC","CSD","PCM"}, 0)),
            _xlfn.TEXTBEFORE(J1602,"-"),
            "Other"
        )
    ),
"Add")</f>
        <v>PCB</v>
      </c>
      <c r="B1602" s="10" t="str">
        <f t="shared" si="25"/>
        <v>0058</v>
      </c>
      <c r="C1602" s="10" t="str">
        <f>_xlfn.LET(
    _xlpm.val, IF(Datadetails[[#This Row],[Activity]]="D02","C20",Datadetails[[#This Row],[Activity]]),
    IF(ISNUMBER(MATCH(_xlpm.val,{"D04","C30","c40","C20"},0)), _xlpm.val, "Other")
)</f>
        <v>C30</v>
      </c>
      <c r="D1602" s="10" t="str">
        <f>IFERROR(VLOOKUP(Datadetails[[#This Row],[Taskcode]],Dashboard!A:A,1,FALSE),"00 Err Missing")</f>
        <v>0058</v>
      </c>
      <c r="E1602" s="79">
        <v>45860</v>
      </c>
      <c r="F1602" s="80" t="s">
        <v>330</v>
      </c>
      <c r="G1602" s="60" t="s">
        <v>40</v>
      </c>
      <c r="H1602" s="80" t="s">
        <v>225</v>
      </c>
      <c r="I1602" s="80" t="s">
        <v>34</v>
      </c>
      <c r="J1602" s="80" t="s">
        <v>365</v>
      </c>
      <c r="K1602" s="80" t="s">
        <v>347</v>
      </c>
      <c r="L1602" s="80" t="s">
        <v>343</v>
      </c>
      <c r="M1602" s="81">
        <v>0.5</v>
      </c>
      <c r="N1602" s="82">
        <v>30</v>
      </c>
    </row>
    <row r="1603" spans="1:14" x14ac:dyDescent="0.25">
      <c r="A1603" s="10" t="str">
        <f>_xlfn.IFNA(
    IF(J1603=
        "PCB-0001",
        "CSS",
        IF(
            ISNUMBER(MATCH(_xlfn.TEXTBEFORE(J1603,"-"), {"CSS","CSN","PCB","PCF","BEC","CSD","PCM"}, 0)),
            _xlfn.TEXTBEFORE(J1603,"-"),
            "Other"
        )
    ),
"Add")</f>
        <v>PCB</v>
      </c>
      <c r="B1603" s="10" t="str">
        <f t="shared" si="25"/>
        <v>0054</v>
      </c>
      <c r="C1603" s="10" t="str">
        <f>_xlfn.LET(
    _xlpm.val, IF(Datadetails[[#This Row],[Activity]]="D02","C20",Datadetails[[#This Row],[Activity]]),
    IF(ISNUMBER(MATCH(_xlpm.val,{"D04","C30","c40","C20"},0)), _xlpm.val, "Other")
)</f>
        <v>C30</v>
      </c>
      <c r="D1603" s="10" t="str">
        <f>IFERROR(VLOOKUP(Datadetails[[#This Row],[Taskcode]],Dashboard!A:A,1,FALSE),"00 Err Missing")</f>
        <v>0054</v>
      </c>
      <c r="E1603" s="79">
        <v>45860</v>
      </c>
      <c r="F1603" s="80" t="s">
        <v>329</v>
      </c>
      <c r="G1603" s="60" t="s">
        <v>40</v>
      </c>
      <c r="H1603" s="80" t="s">
        <v>221</v>
      </c>
      <c r="I1603" s="80" t="s">
        <v>34</v>
      </c>
      <c r="J1603" s="80" t="s">
        <v>369</v>
      </c>
      <c r="K1603" s="80" t="s">
        <v>347</v>
      </c>
      <c r="L1603" s="80" t="s">
        <v>343</v>
      </c>
      <c r="M1603" s="81">
        <v>0.17</v>
      </c>
      <c r="N1603" s="82">
        <v>12.750000000000002</v>
      </c>
    </row>
    <row r="1604" spans="1:14" x14ac:dyDescent="0.25">
      <c r="A1604" s="10" t="str">
        <f>_xlfn.IFNA(
    IF(J1604=
        "PCB-0001",
        "CSS",
        IF(
            ISNUMBER(MATCH(_xlfn.TEXTBEFORE(J1604,"-"), {"CSS","CSN","PCB","PCF","BEC","CSD","PCM"}, 0)),
            _xlfn.TEXTBEFORE(J1604,"-"),
            "Other"
        )
    ),
"Add")</f>
        <v>PCB</v>
      </c>
      <c r="B1604" s="10" t="str">
        <f t="shared" ref="B1604:B1667" si="26">_xlfn.IFNA(_xlfn.TEXTAFTER(J1604,"-"),"Data to C2")</f>
        <v>0075</v>
      </c>
      <c r="C1604" s="10" t="str">
        <f>_xlfn.LET(
    _xlpm.val, IF(Datadetails[[#This Row],[Activity]]="D02","C20",Datadetails[[#This Row],[Activity]]),
    IF(ISNUMBER(MATCH(_xlpm.val,{"D04","C30","c40","C20"},0)), _xlpm.val, "Other")
)</f>
        <v>C30</v>
      </c>
      <c r="D1604" s="10" t="str">
        <f>IFERROR(VLOOKUP(Datadetails[[#This Row],[Taskcode]],Dashboard!A:A,1,FALSE),"00 Err Missing")</f>
        <v>0075</v>
      </c>
      <c r="E1604" s="79">
        <v>45860</v>
      </c>
      <c r="F1604" s="80" t="s">
        <v>329</v>
      </c>
      <c r="G1604" s="60" t="s">
        <v>40</v>
      </c>
      <c r="H1604" s="80" t="s">
        <v>242</v>
      </c>
      <c r="I1604" s="80" t="s">
        <v>34</v>
      </c>
      <c r="J1604" s="80" t="s">
        <v>404</v>
      </c>
      <c r="K1604" s="80" t="s">
        <v>347</v>
      </c>
      <c r="L1604" s="80" t="s">
        <v>343</v>
      </c>
      <c r="M1604" s="81">
        <v>0.33</v>
      </c>
      <c r="N1604" s="82">
        <v>24.75</v>
      </c>
    </row>
    <row r="1605" spans="1:14" x14ac:dyDescent="0.25">
      <c r="A1605" s="10" t="str">
        <f>_xlfn.IFNA(
    IF(J1605=
        "PCB-0001",
        "CSS",
        IF(
            ISNUMBER(MATCH(_xlfn.TEXTBEFORE(J1605,"-"), {"CSS","CSN","PCB","PCF","BEC","CSD","PCM"}, 0)),
            _xlfn.TEXTBEFORE(J1605,"-"),
            "Other"
        )
    ),
"Add")</f>
        <v>PCB</v>
      </c>
      <c r="B1605" s="10" t="str">
        <f t="shared" si="26"/>
        <v>0121</v>
      </c>
      <c r="C1605" s="10" t="str">
        <f>_xlfn.LET(
    _xlpm.val, IF(Datadetails[[#This Row],[Activity]]="D02","C20",Datadetails[[#This Row],[Activity]]),
    IF(ISNUMBER(MATCH(_xlpm.val,{"D04","C30","c40","C20"},0)), _xlpm.val, "Other")
)</f>
        <v>C30</v>
      </c>
      <c r="D1605" s="10" t="str">
        <f>IFERROR(VLOOKUP(Datadetails[[#This Row],[Taskcode]],Dashboard!A:A,1,FALSE),"00 Err Missing")</f>
        <v>0121</v>
      </c>
      <c r="E1605" s="79">
        <v>45860</v>
      </c>
      <c r="F1605" s="80" t="s">
        <v>329</v>
      </c>
      <c r="G1605" s="60" t="s">
        <v>40</v>
      </c>
      <c r="H1605" s="80" t="s">
        <v>288</v>
      </c>
      <c r="I1605" s="80" t="s">
        <v>34</v>
      </c>
      <c r="J1605" s="80" t="s">
        <v>405</v>
      </c>
      <c r="K1605" s="80" t="s">
        <v>347</v>
      </c>
      <c r="L1605" s="80" t="s">
        <v>343</v>
      </c>
      <c r="M1605" s="81">
        <v>0.33</v>
      </c>
      <c r="N1605" s="82">
        <v>24.75</v>
      </c>
    </row>
    <row r="1606" spans="1:14" x14ac:dyDescent="0.25">
      <c r="A1606" s="10" t="str">
        <f>_xlfn.IFNA(
    IF(J1606=
        "PCB-0001",
        "CSS",
        IF(
            ISNUMBER(MATCH(_xlfn.TEXTBEFORE(J1606,"-"), {"CSS","CSN","PCB","PCF","BEC","CSD","PCM"}, 0)),
            _xlfn.TEXTBEFORE(J1606,"-"),
            "Other"
        )
    ),
"Add")</f>
        <v>PCB</v>
      </c>
      <c r="B1606" s="10" t="str">
        <f t="shared" si="26"/>
        <v>0128</v>
      </c>
      <c r="C1606" s="10" t="str">
        <f>_xlfn.LET(
    _xlpm.val, IF(Datadetails[[#This Row],[Activity]]="D02","C20",Datadetails[[#This Row],[Activity]]),
    IF(ISNUMBER(MATCH(_xlpm.val,{"D04","C30","c40","C20"},0)), _xlpm.val, "Other")
)</f>
        <v>C30</v>
      </c>
      <c r="D1606" s="10" t="str">
        <f>IFERROR(VLOOKUP(Datadetails[[#This Row],[Taskcode]],Dashboard!A:A,1,FALSE),"00 Err Missing")</f>
        <v>0128</v>
      </c>
      <c r="E1606" s="79">
        <v>45860</v>
      </c>
      <c r="F1606" s="80" t="s">
        <v>329</v>
      </c>
      <c r="G1606" s="60" t="s">
        <v>40</v>
      </c>
      <c r="H1606" s="80" t="s">
        <v>295</v>
      </c>
      <c r="I1606" s="80" t="s">
        <v>34</v>
      </c>
      <c r="J1606" s="80" t="s">
        <v>379</v>
      </c>
      <c r="K1606" s="80" t="s">
        <v>347</v>
      </c>
      <c r="L1606" s="80" t="s">
        <v>343</v>
      </c>
      <c r="M1606" s="81">
        <v>0.5</v>
      </c>
      <c r="N1606" s="82">
        <v>37.5</v>
      </c>
    </row>
    <row r="1607" spans="1:14" x14ac:dyDescent="0.25">
      <c r="A1607" s="10" t="str">
        <f>_xlfn.IFNA(
    IF(J1607=
        "PCB-0001",
        "CSS",
        IF(
            ISNUMBER(MATCH(_xlfn.TEXTBEFORE(J1607,"-"), {"CSS","CSN","PCB","PCF","BEC","CSD","PCM"}, 0)),
            _xlfn.TEXTBEFORE(J1607,"-"),
            "Other"
        )
    ),
"Add")</f>
        <v>PCB</v>
      </c>
      <c r="B1607" s="10" t="str">
        <f t="shared" si="26"/>
        <v>0130</v>
      </c>
      <c r="C1607" s="10" t="str">
        <f>_xlfn.LET(
    _xlpm.val, IF(Datadetails[[#This Row],[Activity]]="D02","C20",Datadetails[[#This Row],[Activity]]),
    IF(ISNUMBER(MATCH(_xlpm.val,{"D04","C30","c40","C20"},0)), _xlpm.val, "Other")
)</f>
        <v>C30</v>
      </c>
      <c r="D1607" s="10" t="str">
        <f>IFERROR(VLOOKUP(Datadetails[[#This Row],[Taskcode]],Dashboard!A:A,1,FALSE),"00 Err Missing")</f>
        <v>0130</v>
      </c>
      <c r="E1607" s="79">
        <v>45860</v>
      </c>
      <c r="F1607" s="80" t="s">
        <v>330</v>
      </c>
      <c r="G1607" s="60" t="s">
        <v>40</v>
      </c>
      <c r="H1607" s="80" t="s">
        <v>297</v>
      </c>
      <c r="I1607" s="80" t="s">
        <v>34</v>
      </c>
      <c r="J1607" s="80" t="s">
        <v>380</v>
      </c>
      <c r="K1607" s="80" t="s">
        <v>347</v>
      </c>
      <c r="L1607" s="80" t="s">
        <v>343</v>
      </c>
      <c r="M1607" s="81">
        <v>0.5</v>
      </c>
      <c r="N1607" s="82">
        <v>30</v>
      </c>
    </row>
    <row r="1608" spans="1:14" x14ac:dyDescent="0.25">
      <c r="A1608" s="10" t="str">
        <f>_xlfn.IFNA(
    IF(J1608=
        "PCB-0001",
        "CSS",
        IF(
            ISNUMBER(MATCH(_xlfn.TEXTBEFORE(J1608,"-"), {"CSS","CSN","PCB","PCF","BEC","CSD","PCM"}, 0)),
            _xlfn.TEXTBEFORE(J1608,"-"),
            "Other"
        )
    ),
"Add")</f>
        <v>PCB</v>
      </c>
      <c r="B1608" s="10" t="str">
        <f t="shared" si="26"/>
        <v>0092</v>
      </c>
      <c r="C1608" s="10" t="str">
        <f>_xlfn.LET(
    _xlpm.val, IF(Datadetails[[#This Row],[Activity]]="D02","C20",Datadetails[[#This Row],[Activity]]),
    IF(ISNUMBER(MATCH(_xlpm.val,{"D04","C30","c40","C20"},0)), _xlpm.val, "Other")
)</f>
        <v>C30</v>
      </c>
      <c r="D1608" s="10" t="str">
        <f>IFERROR(VLOOKUP(Datadetails[[#This Row],[Taskcode]],Dashboard!A:A,1,FALSE),"00 Err Missing")</f>
        <v>0092</v>
      </c>
      <c r="E1608" s="79">
        <v>45860</v>
      </c>
      <c r="F1608" s="80" t="s">
        <v>329</v>
      </c>
      <c r="G1608" s="60" t="s">
        <v>40</v>
      </c>
      <c r="H1608" s="80" t="s">
        <v>259</v>
      </c>
      <c r="I1608" s="80" t="s">
        <v>34</v>
      </c>
      <c r="J1608" s="80" t="s">
        <v>407</v>
      </c>
      <c r="K1608" s="80" t="s">
        <v>347</v>
      </c>
      <c r="L1608" s="80" t="s">
        <v>343</v>
      </c>
      <c r="M1608" s="81">
        <v>0.08</v>
      </c>
      <c r="N1608" s="82">
        <v>6</v>
      </c>
    </row>
    <row r="1609" spans="1:14" x14ac:dyDescent="0.25">
      <c r="A1609" s="10" t="str">
        <f>_xlfn.IFNA(
    IF(J1609=
        "PCB-0001",
        "CSS",
        IF(
            ISNUMBER(MATCH(_xlfn.TEXTBEFORE(J1609,"-"), {"CSS","CSN","PCB","PCF","BEC","CSD","PCM"}, 0)),
            _xlfn.TEXTBEFORE(J1609,"-"),
            "Other"
        )
    ),
"Add")</f>
        <v>PCB</v>
      </c>
      <c r="B1609" s="10" t="str">
        <f t="shared" si="26"/>
        <v>0080</v>
      </c>
      <c r="C1609" s="10" t="str">
        <f>_xlfn.LET(
    _xlpm.val, IF(Datadetails[[#This Row],[Activity]]="D02","C20",Datadetails[[#This Row],[Activity]]),
    IF(ISNUMBER(MATCH(_xlpm.val,{"D04","C30","c40","C20"},0)), _xlpm.val, "Other")
)</f>
        <v>C30</v>
      </c>
      <c r="D1609" s="10" t="str">
        <f>IFERROR(VLOOKUP(Datadetails[[#This Row],[Taskcode]],Dashboard!A:A,1,FALSE),"00 Err Missing")</f>
        <v>0080</v>
      </c>
      <c r="E1609" s="79">
        <v>45860</v>
      </c>
      <c r="F1609" s="80" t="s">
        <v>329</v>
      </c>
      <c r="G1609" s="60" t="s">
        <v>40</v>
      </c>
      <c r="H1609" s="80" t="s">
        <v>247</v>
      </c>
      <c r="I1609" s="80" t="s">
        <v>34</v>
      </c>
      <c r="J1609" s="80" t="s">
        <v>375</v>
      </c>
      <c r="K1609" s="80" t="s">
        <v>347</v>
      </c>
      <c r="L1609" s="80" t="s">
        <v>343</v>
      </c>
      <c r="M1609" s="81">
        <v>0.33</v>
      </c>
      <c r="N1609" s="82">
        <v>24.75</v>
      </c>
    </row>
    <row r="1610" spans="1:14" x14ac:dyDescent="0.25">
      <c r="A1610" s="10" t="str">
        <f>_xlfn.IFNA(
    IF(J1610=
        "PCB-0001",
        "CSS",
        IF(
            ISNUMBER(MATCH(_xlfn.TEXTBEFORE(J1610,"-"), {"CSS","CSN","PCB","PCF","BEC","CSD","PCM"}, 0)),
            _xlfn.TEXTBEFORE(J1610,"-"),
            "Other"
        )
    ),
"Add")</f>
        <v>PCB</v>
      </c>
      <c r="B1610" s="10" t="str">
        <f t="shared" si="26"/>
        <v>0110</v>
      </c>
      <c r="C1610" s="10" t="str">
        <f>_xlfn.LET(
    _xlpm.val, IF(Datadetails[[#This Row],[Activity]]="D02","C20",Datadetails[[#This Row],[Activity]]),
    IF(ISNUMBER(MATCH(_xlpm.val,{"D04","C30","c40","C20"},0)), _xlpm.val, "Other")
)</f>
        <v>C30</v>
      </c>
      <c r="D1610" s="10" t="str">
        <f>IFERROR(VLOOKUP(Datadetails[[#This Row],[Taskcode]],Dashboard!A:A,1,FALSE),"00 Err Missing")</f>
        <v>0110</v>
      </c>
      <c r="E1610" s="79">
        <v>45860</v>
      </c>
      <c r="F1610" s="80" t="s">
        <v>325</v>
      </c>
      <c r="G1610" s="60" t="s">
        <v>40</v>
      </c>
      <c r="H1610" s="80" t="s">
        <v>277</v>
      </c>
      <c r="I1610" s="80" t="s">
        <v>34</v>
      </c>
      <c r="J1610" s="80" t="s">
        <v>353</v>
      </c>
      <c r="K1610" s="80" t="s">
        <v>347</v>
      </c>
      <c r="L1610" s="80" t="s">
        <v>343</v>
      </c>
      <c r="M1610" s="81">
        <v>0.33</v>
      </c>
      <c r="N1610" s="82">
        <v>24.75</v>
      </c>
    </row>
    <row r="1611" spans="1:14" x14ac:dyDescent="0.25">
      <c r="A1611" s="10" t="str">
        <f>_xlfn.IFNA(
    IF(J1611=
        "PCB-0001",
        "CSS",
        IF(
            ISNUMBER(MATCH(_xlfn.TEXTBEFORE(J1611,"-"), {"CSS","CSN","PCB","PCF","BEC","CSD","PCM"}, 0)),
            _xlfn.TEXTBEFORE(J1611,"-"),
            "Other"
        )
    ),
"Add")</f>
        <v>PCB</v>
      </c>
      <c r="B1611" s="10" t="str">
        <f t="shared" si="26"/>
        <v>0063</v>
      </c>
      <c r="C1611" s="10" t="str">
        <f>_xlfn.LET(
    _xlpm.val, IF(Datadetails[[#This Row],[Activity]]="D02","C20",Datadetails[[#This Row],[Activity]]),
    IF(ISNUMBER(MATCH(_xlpm.val,{"D04","C30","c40","C20"},0)), _xlpm.val, "Other")
)</f>
        <v>C30</v>
      </c>
      <c r="D1611" s="10" t="str">
        <f>IFERROR(VLOOKUP(Datadetails[[#This Row],[Taskcode]],Dashboard!A:A,1,FALSE),"00 Err Missing")</f>
        <v>0063</v>
      </c>
      <c r="E1611" s="79">
        <v>45860</v>
      </c>
      <c r="F1611" s="80" t="s">
        <v>329</v>
      </c>
      <c r="G1611" s="60" t="s">
        <v>40</v>
      </c>
      <c r="H1611" s="80" t="s">
        <v>230</v>
      </c>
      <c r="I1611" s="80" t="s">
        <v>34</v>
      </c>
      <c r="J1611" s="80" t="s">
        <v>410</v>
      </c>
      <c r="K1611" s="80" t="s">
        <v>347</v>
      </c>
      <c r="L1611" s="80" t="s">
        <v>343</v>
      </c>
      <c r="M1611" s="81">
        <v>0.17</v>
      </c>
      <c r="N1611" s="82">
        <v>12.750000000000002</v>
      </c>
    </row>
    <row r="1612" spans="1:14" x14ac:dyDescent="0.25">
      <c r="A1612" s="10" t="str">
        <f>_xlfn.IFNA(
    IF(J1612=
        "PCB-0001",
        "CSS",
        IF(
            ISNUMBER(MATCH(_xlfn.TEXTBEFORE(J1612,"-"), {"CSS","CSN","PCB","PCF","BEC","CSD","PCM"}, 0)),
            _xlfn.TEXTBEFORE(J1612,"-"),
            "Other"
        )
    ),
"Add")</f>
        <v>PCB</v>
      </c>
      <c r="B1612" s="10" t="str">
        <f t="shared" si="26"/>
        <v>0124</v>
      </c>
      <c r="C1612" s="10" t="str">
        <f>_xlfn.LET(
    _xlpm.val, IF(Datadetails[[#This Row],[Activity]]="D02","C20",Datadetails[[#This Row],[Activity]]),
    IF(ISNUMBER(MATCH(_xlpm.val,{"D04","C30","c40","C20"},0)), _xlpm.val, "Other")
)</f>
        <v>C40</v>
      </c>
      <c r="D1612" s="10" t="str">
        <f>IFERROR(VLOOKUP(Datadetails[[#This Row],[Taskcode]],Dashboard!A:A,1,FALSE),"00 Err Missing")</f>
        <v>0124</v>
      </c>
      <c r="E1612" s="79">
        <v>45860</v>
      </c>
      <c r="F1612" s="80" t="s">
        <v>325</v>
      </c>
      <c r="G1612" s="60" t="s">
        <v>40</v>
      </c>
      <c r="H1612" s="80" t="s">
        <v>291</v>
      </c>
      <c r="I1612" s="80" t="s">
        <v>341</v>
      </c>
      <c r="J1612" s="80" t="s">
        <v>412</v>
      </c>
      <c r="K1612" s="80" t="s">
        <v>347</v>
      </c>
      <c r="L1612" s="80" t="s">
        <v>344</v>
      </c>
      <c r="M1612" s="81">
        <v>0.25</v>
      </c>
      <c r="N1612" s="82">
        <v>18.75</v>
      </c>
    </row>
    <row r="1613" spans="1:14" x14ac:dyDescent="0.25">
      <c r="A1613" s="10" t="str">
        <f>_xlfn.IFNA(
    IF(J1613=
        "PCB-0001",
        "CSS",
        IF(
            ISNUMBER(MATCH(_xlfn.TEXTBEFORE(J1613,"-"), {"CSS","CSN","PCB","PCF","BEC","CSD","PCM"}, 0)),
            _xlfn.TEXTBEFORE(J1613,"-"),
            "Other"
        )
    ),
"Add")</f>
        <v>PCB</v>
      </c>
      <c r="B1613" s="10" t="str">
        <f t="shared" si="26"/>
        <v>0132</v>
      </c>
      <c r="C1613" s="10" t="str">
        <f>_xlfn.LET(
    _xlpm.val, IF(Datadetails[[#This Row],[Activity]]="D02","C20",Datadetails[[#This Row],[Activity]]),
    IF(ISNUMBER(MATCH(_xlpm.val,{"D04","C30","c40","C20"},0)), _xlpm.val, "Other")
)</f>
        <v>C20</v>
      </c>
      <c r="D1613" s="10" t="str">
        <f>IFERROR(VLOOKUP(Datadetails[[#This Row],[Taskcode]],Dashboard!A:A,1,FALSE),"00 Err Missing")</f>
        <v>0132</v>
      </c>
      <c r="E1613" s="79">
        <v>45860</v>
      </c>
      <c r="F1613" s="80" t="s">
        <v>329</v>
      </c>
      <c r="G1613" s="60" t="s">
        <v>40</v>
      </c>
      <c r="H1613" s="80" t="s">
        <v>299</v>
      </c>
      <c r="I1613" s="80" t="s">
        <v>312</v>
      </c>
      <c r="J1613" s="80" t="s">
        <v>455</v>
      </c>
      <c r="K1613" s="80" t="s">
        <v>347</v>
      </c>
      <c r="L1613" s="80" t="s">
        <v>350</v>
      </c>
      <c r="M1613" s="81">
        <v>0.42</v>
      </c>
      <c r="N1613" s="82">
        <v>31.5</v>
      </c>
    </row>
    <row r="1614" spans="1:14" x14ac:dyDescent="0.25">
      <c r="A1614" s="10" t="str">
        <f>_xlfn.IFNA(
    IF(J1614=
        "PCB-0001",
        "CSS",
        IF(
            ISNUMBER(MATCH(_xlfn.TEXTBEFORE(J1614,"-"), {"CSS","CSN","PCB","PCF","BEC","CSD","PCM"}, 0)),
            _xlfn.TEXTBEFORE(J1614,"-"),
            "Other"
        )
    ),
"Add")</f>
        <v>PCF</v>
      </c>
      <c r="B1614" s="10" t="str">
        <f t="shared" si="26"/>
        <v>0067</v>
      </c>
      <c r="C1614" s="10" t="str">
        <f>_xlfn.LET(
    _xlpm.val, IF(Datadetails[[#This Row],[Activity]]="D02","C20",Datadetails[[#This Row],[Activity]]),
    IF(ISNUMBER(MATCH(_xlpm.val,{"D04","C30","c40","C20"},0)), _xlpm.val, "Other")
)</f>
        <v>C20</v>
      </c>
      <c r="D1614" s="10" t="str">
        <f>IFERROR(VLOOKUP(Datadetails[[#This Row],[Taskcode]],Dashboard!A:A,1,FALSE),"00 Err Missing")</f>
        <v>0067</v>
      </c>
      <c r="E1614" s="79">
        <v>45860</v>
      </c>
      <c r="F1614" s="80" t="s">
        <v>326</v>
      </c>
      <c r="G1614" s="60" t="s">
        <v>40</v>
      </c>
      <c r="H1614" s="80" t="s">
        <v>234</v>
      </c>
      <c r="I1614" s="80" t="s">
        <v>36</v>
      </c>
      <c r="J1614" s="80" t="s">
        <v>389</v>
      </c>
      <c r="K1614" s="80" t="s">
        <v>348</v>
      </c>
      <c r="L1614" s="80" t="s">
        <v>342</v>
      </c>
      <c r="M1614" s="81">
        <v>0.33</v>
      </c>
      <c r="N1614" s="82">
        <v>19.8</v>
      </c>
    </row>
    <row r="1615" spans="1:14" x14ac:dyDescent="0.25">
      <c r="A1615" s="10" t="str">
        <f>_xlfn.IFNA(
    IF(J1615=
        "PCB-0001",
        "CSS",
        IF(
            ISNUMBER(MATCH(_xlfn.TEXTBEFORE(J1615,"-"), {"CSS","CSN","PCB","PCF","BEC","CSD","PCM"}, 0)),
            _xlfn.TEXTBEFORE(J1615,"-"),
            "Other"
        )
    ),
"Add")</f>
        <v>PCF</v>
      </c>
      <c r="B1615" s="10" t="str">
        <f t="shared" si="26"/>
        <v>0142</v>
      </c>
      <c r="C1615" s="10" t="str">
        <f>_xlfn.LET(
    _xlpm.val, IF(Datadetails[[#This Row],[Activity]]="D02","C20",Datadetails[[#This Row],[Activity]]),
    IF(ISNUMBER(MATCH(_xlpm.val,{"D04","C30","c40","C20"},0)), _xlpm.val, "Other")
)</f>
        <v>C20</v>
      </c>
      <c r="D1615" s="10" t="str">
        <f>IFERROR(VLOOKUP(Datadetails[[#This Row],[Taskcode]],Dashboard!A:A,1,FALSE),"00 Err Missing")</f>
        <v>0142</v>
      </c>
      <c r="E1615" s="79">
        <v>45860</v>
      </c>
      <c r="F1615" s="80" t="s">
        <v>326</v>
      </c>
      <c r="G1615" s="60" t="s">
        <v>40</v>
      </c>
      <c r="H1615" s="80" t="s">
        <v>309</v>
      </c>
      <c r="I1615" s="80" t="s">
        <v>36</v>
      </c>
      <c r="J1615" s="80" t="s">
        <v>454</v>
      </c>
      <c r="K1615" s="80" t="s">
        <v>348</v>
      </c>
      <c r="L1615" s="80" t="s">
        <v>342</v>
      </c>
      <c r="M1615" s="81">
        <v>1</v>
      </c>
      <c r="N1615" s="82">
        <v>60</v>
      </c>
    </row>
    <row r="1616" spans="1:14" x14ac:dyDescent="0.25">
      <c r="A1616" s="10" t="str">
        <f>_xlfn.IFNA(
    IF(J1616=
        "PCB-0001",
        "CSS",
        IF(
            ISNUMBER(MATCH(_xlfn.TEXTBEFORE(J1616,"-"), {"CSS","CSN","PCB","PCF","BEC","CSD","PCM"}, 0)),
            _xlfn.TEXTBEFORE(J1616,"-"),
            "Other"
        )
    ),
"Add")</f>
        <v>PCF</v>
      </c>
      <c r="B1616" s="10" t="str">
        <f t="shared" si="26"/>
        <v>0098</v>
      </c>
      <c r="C1616" s="10" t="str">
        <f>_xlfn.LET(
    _xlpm.val, IF(Datadetails[[#This Row],[Activity]]="D02","C20",Datadetails[[#This Row],[Activity]]),
    IF(ISNUMBER(MATCH(_xlpm.val,{"D04","C30","c40","C20"},0)), _xlpm.val, "Other")
)</f>
        <v>C30</v>
      </c>
      <c r="D1616" s="10" t="str">
        <f>IFERROR(VLOOKUP(Datadetails[[#This Row],[Taskcode]],Dashboard!A:A,1,FALSE),"00 Err Missing")</f>
        <v>0098</v>
      </c>
      <c r="E1616" s="79">
        <v>45860</v>
      </c>
      <c r="F1616" s="80" t="s">
        <v>326</v>
      </c>
      <c r="G1616" s="60" t="s">
        <v>40</v>
      </c>
      <c r="H1616" s="80" t="s">
        <v>265</v>
      </c>
      <c r="I1616" s="80" t="s">
        <v>34</v>
      </c>
      <c r="J1616" s="80" t="s">
        <v>358</v>
      </c>
      <c r="K1616" s="80" t="s">
        <v>348</v>
      </c>
      <c r="L1616" s="80" t="s">
        <v>343</v>
      </c>
      <c r="M1616" s="81">
        <v>1</v>
      </c>
      <c r="N1616" s="82">
        <v>60</v>
      </c>
    </row>
    <row r="1617" spans="1:14" x14ac:dyDescent="0.25">
      <c r="A1617" s="10" t="str">
        <f>_xlfn.IFNA(
    IF(J1617=
        "PCB-0001",
        "CSS",
        IF(
            ISNUMBER(MATCH(_xlfn.TEXTBEFORE(J1617,"-"), {"CSS","CSN","PCB","PCF","BEC","CSD","PCM"}, 0)),
            _xlfn.TEXTBEFORE(J1617,"-"),
            "Other"
        )
    ),
"Add")</f>
        <v>BEC</v>
      </c>
      <c r="B1617" s="10" t="str">
        <f t="shared" si="26"/>
        <v>0001</v>
      </c>
      <c r="C1617" s="10" t="str">
        <f>_xlfn.LET(
    _xlpm.val, IF(Datadetails[[#This Row],[Activity]]="D02","C20",Datadetails[[#This Row],[Activity]]),
    IF(ISNUMBER(MATCH(_xlpm.val,{"D04","C30","c40","C20"},0)), _xlpm.val, "Other")
)</f>
        <v>D04</v>
      </c>
      <c r="D1617" s="10" t="str">
        <f>IFERROR(VLOOKUP(Datadetails[[#This Row],[Taskcode]],Dashboard!A:A,1,FALSE),"00 Err Missing")</f>
        <v>0001</v>
      </c>
      <c r="E1617" s="79">
        <v>45860</v>
      </c>
      <c r="F1617" s="80" t="s">
        <v>324</v>
      </c>
      <c r="G1617" s="60" t="s">
        <v>40</v>
      </c>
      <c r="H1617" s="80" t="s">
        <v>314</v>
      </c>
      <c r="I1617" s="80" t="s">
        <v>35</v>
      </c>
      <c r="J1617" s="80" t="s">
        <v>359</v>
      </c>
      <c r="K1617" s="80" t="s">
        <v>339</v>
      </c>
      <c r="L1617" s="80" t="s">
        <v>352</v>
      </c>
      <c r="M1617" s="81">
        <v>2.5</v>
      </c>
      <c r="N1617" s="82">
        <v>187.5</v>
      </c>
    </row>
    <row r="1618" spans="1:14" x14ac:dyDescent="0.25">
      <c r="A1618" s="10" t="str">
        <f>_xlfn.IFNA(
    IF(J1618=
        "PCB-0001",
        "CSS",
        IF(
            ISNUMBER(MATCH(_xlfn.TEXTBEFORE(J1618,"-"), {"CSS","CSN","PCB","PCF","BEC","CSD","PCM"}, 0)),
            _xlfn.TEXTBEFORE(J1618,"-"),
            "Other"
        )
    ),
"Add")</f>
        <v>PCM</v>
      </c>
      <c r="B1618" s="10" t="str">
        <f t="shared" si="26"/>
        <v>0001</v>
      </c>
      <c r="C1618" s="10" t="str">
        <f>_xlfn.LET(
    _xlpm.val, IF(Datadetails[[#This Row],[Activity]]="D02","C20",Datadetails[[#This Row],[Activity]]),
    IF(ISNUMBER(MATCH(_xlpm.val,{"D04","C30","c40","C20"},0)), _xlpm.val, "Other")
)</f>
        <v>C20</v>
      </c>
      <c r="D1618" s="10" t="str">
        <f>IFERROR(VLOOKUP(Datadetails[[#This Row],[Taskcode]],Dashboard!A:A,1,FALSE),"00 Err Missing")</f>
        <v>0001</v>
      </c>
      <c r="E1618" s="79">
        <v>45861</v>
      </c>
      <c r="F1618" s="80" t="s">
        <v>323</v>
      </c>
      <c r="G1618" s="60" t="s">
        <v>40</v>
      </c>
      <c r="H1618" s="80" t="s">
        <v>168</v>
      </c>
      <c r="I1618" s="80" t="s">
        <v>36</v>
      </c>
      <c r="J1618" s="80" t="s">
        <v>419</v>
      </c>
      <c r="K1618" s="80" t="s">
        <v>346</v>
      </c>
      <c r="L1618" s="80" t="s">
        <v>342</v>
      </c>
      <c r="M1618" s="81">
        <v>0.25</v>
      </c>
      <c r="N1618" s="82">
        <v>15</v>
      </c>
    </row>
    <row r="1619" spans="1:14" x14ac:dyDescent="0.25">
      <c r="A1619" s="10" t="str">
        <f>_xlfn.IFNA(
    IF(J1619=
        "PCB-0001",
        "CSS",
        IF(
            ISNUMBER(MATCH(_xlfn.TEXTBEFORE(J1619,"-"), {"CSS","CSN","PCB","PCF","BEC","CSD","PCM"}, 0)),
            _xlfn.TEXTBEFORE(J1619,"-"),
            "Other"
        )
    ),
"Add")</f>
        <v>PCM</v>
      </c>
      <c r="B1619" s="10" t="str">
        <f t="shared" si="26"/>
        <v>0005</v>
      </c>
      <c r="C1619" s="10" t="str">
        <f>_xlfn.LET(
    _xlpm.val, IF(Datadetails[[#This Row],[Activity]]="D02","C20",Datadetails[[#This Row],[Activity]]),
    IF(ISNUMBER(MATCH(_xlpm.val,{"D04","C30","c40","C20"},0)), _xlpm.val, "Other")
)</f>
        <v>C20</v>
      </c>
      <c r="D1619" s="10" t="str">
        <f>IFERROR(VLOOKUP(Datadetails[[#This Row],[Taskcode]],Dashboard!A:A,1,FALSE),"00 Err Missing")</f>
        <v>0005</v>
      </c>
      <c r="E1619" s="79">
        <v>45861</v>
      </c>
      <c r="F1619" s="80" t="s">
        <v>323</v>
      </c>
      <c r="G1619" s="60" t="s">
        <v>40</v>
      </c>
      <c r="H1619" s="80" t="s">
        <v>172</v>
      </c>
      <c r="I1619" s="80" t="s">
        <v>36</v>
      </c>
      <c r="J1619" s="80" t="s">
        <v>426</v>
      </c>
      <c r="K1619" s="80" t="s">
        <v>346</v>
      </c>
      <c r="L1619" s="80" t="s">
        <v>342</v>
      </c>
      <c r="M1619" s="81">
        <v>0.75</v>
      </c>
      <c r="N1619" s="82">
        <v>45</v>
      </c>
    </row>
    <row r="1620" spans="1:14" x14ac:dyDescent="0.25">
      <c r="A1620" s="10" t="str">
        <f>_xlfn.IFNA(
    IF(J1620=
        "PCB-0001",
        "CSS",
        IF(
            ISNUMBER(MATCH(_xlfn.TEXTBEFORE(J1620,"-"), {"CSS","CSN","PCB","PCF","BEC","CSD","PCM"}, 0)),
            _xlfn.TEXTBEFORE(J1620,"-"),
            "Other"
        )
    ),
"Add")</f>
        <v>CSN</v>
      </c>
      <c r="B1620" s="10" t="str">
        <f t="shared" si="26"/>
        <v>0001</v>
      </c>
      <c r="C1620" s="10" t="str">
        <f>_xlfn.LET(
    _xlpm.val, IF(Datadetails[[#This Row],[Activity]]="D02","C20",Datadetails[[#This Row],[Activity]]),
    IF(ISNUMBER(MATCH(_xlpm.val,{"D04","C30","c40","C20"},0)), _xlpm.val, "Other")
)</f>
        <v>D04</v>
      </c>
      <c r="D1620" s="10" t="str">
        <f>IFERROR(VLOOKUP(Datadetails[[#This Row],[Taskcode]],Dashboard!A:A,1,FALSE),"00 Err Missing")</f>
        <v>0001</v>
      </c>
      <c r="E1620" s="79">
        <v>45861</v>
      </c>
      <c r="F1620" s="80" t="s">
        <v>329</v>
      </c>
      <c r="G1620" s="60" t="s">
        <v>40</v>
      </c>
      <c r="H1620" s="80" t="s">
        <v>316</v>
      </c>
      <c r="I1620" s="80" t="s">
        <v>35</v>
      </c>
      <c r="J1620" s="80" t="s">
        <v>338</v>
      </c>
      <c r="K1620" s="80" t="s">
        <v>337</v>
      </c>
      <c r="L1620" s="80" t="s">
        <v>352</v>
      </c>
      <c r="M1620" s="81">
        <v>0.75</v>
      </c>
      <c r="N1620" s="82">
        <v>56.25</v>
      </c>
    </row>
    <row r="1621" spans="1:14" x14ac:dyDescent="0.25">
      <c r="A1621" s="10" t="str">
        <f>_xlfn.IFNA(
    IF(J1621=
        "PCB-0001",
        "CSS",
        IF(
            ISNUMBER(MATCH(_xlfn.TEXTBEFORE(J1621,"-"), {"CSS","CSN","PCB","PCF","BEC","CSD","PCM"}, 0)),
            _xlfn.TEXTBEFORE(J1621,"-"),
            "Other"
        )
    ),
"Add")</f>
        <v>CSD</v>
      </c>
      <c r="B1621" s="10" t="str">
        <f t="shared" si="26"/>
        <v>0001</v>
      </c>
      <c r="C1621" s="10" t="str">
        <f>_xlfn.LET(
    _xlpm.val, IF(Datadetails[[#This Row],[Activity]]="D02","C20",Datadetails[[#This Row],[Activity]]),
    IF(ISNUMBER(MATCH(_xlpm.val,{"D04","C30","c40","C20"},0)), _xlpm.val, "Other")
)</f>
        <v>D04</v>
      </c>
      <c r="D1621" s="10" t="str">
        <f>IFERROR(VLOOKUP(Datadetails[[#This Row],[Taskcode]],Dashboard!A:A,1,FALSE),"00 Err Missing")</f>
        <v>0001</v>
      </c>
      <c r="E1621" s="79">
        <v>45861</v>
      </c>
      <c r="F1621" s="80" t="s">
        <v>333</v>
      </c>
      <c r="G1621" s="60" t="s">
        <v>40</v>
      </c>
      <c r="H1621" s="80" t="s">
        <v>320</v>
      </c>
      <c r="I1621" s="80" t="s">
        <v>35</v>
      </c>
      <c r="J1621" s="80" t="s">
        <v>322</v>
      </c>
      <c r="K1621" s="80" t="s">
        <v>319</v>
      </c>
      <c r="L1621" s="80" t="s">
        <v>352</v>
      </c>
      <c r="M1621" s="81">
        <v>7.57</v>
      </c>
      <c r="N1621" s="82">
        <v>242.24</v>
      </c>
    </row>
    <row r="1622" spans="1:14" x14ac:dyDescent="0.25">
      <c r="A1622" s="10" t="str">
        <f>_xlfn.IFNA(
    IF(J1622=
        "PCB-0001",
        "CSS",
        IF(
            ISNUMBER(MATCH(_xlfn.TEXTBEFORE(J1622,"-"), {"CSS","CSN","PCB","PCF","BEC","CSD","PCM"}, 0)),
            _xlfn.TEXTBEFORE(J1622,"-"),
            "Other"
        )
    ),
"Add")</f>
        <v>CSD</v>
      </c>
      <c r="B1622" s="10" t="str">
        <f t="shared" si="26"/>
        <v>0001</v>
      </c>
      <c r="C1622" s="10" t="str">
        <f>_xlfn.LET(
    _xlpm.val, IF(Datadetails[[#This Row],[Activity]]="D02","C20",Datadetails[[#This Row],[Activity]]),
    IF(ISNUMBER(MATCH(_xlpm.val,{"D04","C30","c40","C20"},0)), _xlpm.val, "Other")
)</f>
        <v>D04</v>
      </c>
      <c r="D1622" s="10" t="str">
        <f>IFERROR(VLOOKUP(Datadetails[[#This Row],[Taskcode]],Dashboard!A:A,1,FALSE),"00 Err Missing")</f>
        <v>0001</v>
      </c>
      <c r="E1622" s="79">
        <v>45861</v>
      </c>
      <c r="F1622" s="80" t="s">
        <v>327</v>
      </c>
      <c r="G1622" s="60" t="s">
        <v>40</v>
      </c>
      <c r="H1622" s="80" t="s">
        <v>320</v>
      </c>
      <c r="I1622" s="80" t="s">
        <v>35</v>
      </c>
      <c r="J1622" s="80" t="s">
        <v>322</v>
      </c>
      <c r="K1622" s="80" t="s">
        <v>319</v>
      </c>
      <c r="L1622" s="80" t="s">
        <v>352</v>
      </c>
      <c r="M1622" s="81">
        <v>7.58</v>
      </c>
      <c r="N1622" s="82">
        <v>242.56</v>
      </c>
    </row>
    <row r="1623" spans="1:14" x14ac:dyDescent="0.25">
      <c r="A1623" s="10" t="str">
        <f>_xlfn.IFNA(
    IF(J1623=
        "PCB-0001",
        "CSS",
        IF(
            ISNUMBER(MATCH(_xlfn.TEXTBEFORE(J1623,"-"), {"CSS","CSN","PCB","PCF","BEC","CSD","PCM"}, 0)),
            _xlfn.TEXTBEFORE(J1623,"-"),
            "Other"
        )
    ),
"Add")</f>
        <v>PCM</v>
      </c>
      <c r="B1623" s="10" t="str">
        <f t="shared" si="26"/>
        <v>0078</v>
      </c>
      <c r="C1623" s="10" t="str">
        <f>_xlfn.LET(
    _xlpm.val, IF(Datadetails[[#This Row],[Activity]]="D02","C20",Datadetails[[#This Row],[Activity]]),
    IF(ISNUMBER(MATCH(_xlpm.val,{"D04","C30","c40","C20"},0)), _xlpm.val, "Other")
)</f>
        <v>C20</v>
      </c>
      <c r="D1623" s="10" t="str">
        <f>IFERROR(VLOOKUP(Datadetails[[#This Row],[Taskcode]],Dashboard!A:A,1,FALSE),"00 Err Missing")</f>
        <v>0078</v>
      </c>
      <c r="E1623" s="79">
        <v>45861</v>
      </c>
      <c r="F1623" s="80" t="s">
        <v>323</v>
      </c>
      <c r="G1623" s="60" t="s">
        <v>40</v>
      </c>
      <c r="H1623" s="80" t="s">
        <v>245</v>
      </c>
      <c r="I1623" s="80" t="s">
        <v>36</v>
      </c>
      <c r="J1623" s="80" t="s">
        <v>435</v>
      </c>
      <c r="K1623" s="80" t="s">
        <v>346</v>
      </c>
      <c r="L1623" s="80" t="s">
        <v>342</v>
      </c>
      <c r="M1623" s="81">
        <v>1</v>
      </c>
      <c r="N1623" s="82">
        <v>60</v>
      </c>
    </row>
    <row r="1624" spans="1:14" x14ac:dyDescent="0.25">
      <c r="A1624" s="10" t="str">
        <f>_xlfn.IFNA(
    IF(J1624=
        "PCB-0001",
        "CSS",
        IF(
            ISNUMBER(MATCH(_xlfn.TEXTBEFORE(J1624,"-"), {"CSS","CSN","PCB","PCF","BEC","CSD","PCM"}, 0)),
            _xlfn.TEXTBEFORE(J1624,"-"),
            "Other"
        )
    ),
"Add")</f>
        <v>PCM</v>
      </c>
      <c r="B1624" s="10" t="str">
        <f t="shared" si="26"/>
        <v>0119</v>
      </c>
      <c r="C1624" s="10" t="str">
        <f>_xlfn.LET(
    _xlpm.val, IF(Datadetails[[#This Row],[Activity]]="D02","C20",Datadetails[[#This Row],[Activity]]),
    IF(ISNUMBER(MATCH(_xlpm.val,{"D04","C30","c40","C20"},0)), _xlpm.val, "Other")
)</f>
        <v>C20</v>
      </c>
      <c r="D1624" s="10" t="str">
        <f>IFERROR(VLOOKUP(Datadetails[[#This Row],[Taskcode]],Dashboard!A:A,1,FALSE),"00 Err Missing")</f>
        <v>0119</v>
      </c>
      <c r="E1624" s="79">
        <v>45861</v>
      </c>
      <c r="F1624" s="80" t="s">
        <v>323</v>
      </c>
      <c r="G1624" s="60" t="s">
        <v>40</v>
      </c>
      <c r="H1624" s="80" t="s">
        <v>286</v>
      </c>
      <c r="I1624" s="80" t="s">
        <v>36</v>
      </c>
      <c r="J1624" s="80" t="s">
        <v>434</v>
      </c>
      <c r="K1624" s="80" t="s">
        <v>346</v>
      </c>
      <c r="L1624" s="80" t="s">
        <v>342</v>
      </c>
      <c r="M1624" s="81">
        <v>0.42</v>
      </c>
      <c r="N1624" s="82">
        <v>25.2</v>
      </c>
    </row>
    <row r="1625" spans="1:14" x14ac:dyDescent="0.25">
      <c r="A1625" s="10" t="str">
        <f>_xlfn.IFNA(
    IF(J1625=
        "PCB-0001",
        "CSS",
        IF(
            ISNUMBER(MATCH(_xlfn.TEXTBEFORE(J1625,"-"), {"CSS","CSN","PCB","PCF","BEC","CSD","PCM"}, 0)),
            _xlfn.TEXTBEFORE(J1625,"-"),
            "Other"
        )
    ),
"Add")</f>
        <v>PCM</v>
      </c>
      <c r="B1625" s="10" t="str">
        <f t="shared" si="26"/>
        <v>0099</v>
      </c>
      <c r="C1625" s="10" t="str">
        <f>_xlfn.LET(
    _xlpm.val, IF(Datadetails[[#This Row],[Activity]]="D02","C20",Datadetails[[#This Row],[Activity]]),
    IF(ISNUMBER(MATCH(_xlpm.val,{"D04","C30","c40","C20"},0)), _xlpm.val, "Other")
)</f>
        <v>C20</v>
      </c>
      <c r="D1625" s="10" t="str">
        <f>IFERROR(VLOOKUP(Datadetails[[#This Row],[Taskcode]],Dashboard!A:A,1,FALSE),"00 Err Missing")</f>
        <v>0099</v>
      </c>
      <c r="E1625" s="79">
        <v>45861</v>
      </c>
      <c r="F1625" s="80" t="s">
        <v>323</v>
      </c>
      <c r="G1625" s="60" t="s">
        <v>40</v>
      </c>
      <c r="H1625" s="80" t="s">
        <v>266</v>
      </c>
      <c r="I1625" s="80" t="s">
        <v>36</v>
      </c>
      <c r="J1625" s="80" t="s">
        <v>394</v>
      </c>
      <c r="K1625" s="80" t="s">
        <v>346</v>
      </c>
      <c r="L1625" s="80" t="s">
        <v>342</v>
      </c>
      <c r="M1625" s="81">
        <v>1</v>
      </c>
      <c r="N1625" s="82">
        <v>60</v>
      </c>
    </row>
    <row r="1626" spans="1:14" x14ac:dyDescent="0.25">
      <c r="A1626" s="10" t="str">
        <f>_xlfn.IFNA(
    IF(J1626=
        "PCB-0001",
        "CSS",
        IF(
            ISNUMBER(MATCH(_xlfn.TEXTBEFORE(J1626,"-"), {"CSS","CSN","PCB","PCF","BEC","CSD","PCM"}, 0)),
            _xlfn.TEXTBEFORE(J1626,"-"),
            "Other"
        )
    ),
"Add")</f>
        <v>PCB</v>
      </c>
      <c r="B1626" s="10" t="str">
        <f t="shared" si="26"/>
        <v>0030</v>
      </c>
      <c r="C1626" s="10" t="str">
        <f>_xlfn.LET(
    _xlpm.val, IF(Datadetails[[#This Row],[Activity]]="D02","C20",Datadetails[[#This Row],[Activity]]),
    IF(ISNUMBER(MATCH(_xlpm.val,{"D04","C30","c40","C20"},0)), _xlpm.val, "Other")
)</f>
        <v>C30</v>
      </c>
      <c r="D1626" s="10" t="str">
        <f>IFERROR(VLOOKUP(Datadetails[[#This Row],[Taskcode]],Dashboard!A:A,1,FALSE),"00 Err Missing")</f>
        <v>0030</v>
      </c>
      <c r="E1626" s="79">
        <v>45861</v>
      </c>
      <c r="F1626" s="80" t="s">
        <v>329</v>
      </c>
      <c r="G1626" s="60" t="s">
        <v>40</v>
      </c>
      <c r="H1626" s="80" t="s">
        <v>197</v>
      </c>
      <c r="I1626" s="80" t="s">
        <v>34</v>
      </c>
      <c r="J1626" s="80" t="s">
        <v>366</v>
      </c>
      <c r="K1626" s="80" t="s">
        <v>347</v>
      </c>
      <c r="L1626" s="80" t="s">
        <v>343</v>
      </c>
      <c r="M1626" s="81">
        <v>0.17</v>
      </c>
      <c r="N1626" s="82">
        <v>12.750000000000002</v>
      </c>
    </row>
    <row r="1627" spans="1:14" x14ac:dyDescent="0.25">
      <c r="A1627" s="10" t="str">
        <f>_xlfn.IFNA(
    IF(J1627=
        "PCB-0001",
        "CSS",
        IF(
            ISNUMBER(MATCH(_xlfn.TEXTBEFORE(J1627,"-"), {"CSS","CSN","PCB","PCF","BEC","CSD","PCM"}, 0)),
            _xlfn.TEXTBEFORE(J1627,"-"),
            "Other"
        )
    ),
"Add")</f>
        <v>PCB</v>
      </c>
      <c r="B1627" s="10" t="str">
        <f t="shared" si="26"/>
        <v>0137</v>
      </c>
      <c r="C1627" s="10" t="str">
        <f>_xlfn.LET(
    _xlpm.val, IF(Datadetails[[#This Row],[Activity]]="D02","C20",Datadetails[[#This Row],[Activity]]),
    IF(ISNUMBER(MATCH(_xlpm.val,{"D04","C30","c40","C20"},0)), _xlpm.val, "Other")
)</f>
        <v>C30</v>
      </c>
      <c r="D1627" s="10" t="str">
        <f>IFERROR(VLOOKUP(Datadetails[[#This Row],[Taskcode]],Dashboard!A:A,1,FALSE),"00 Err Missing")</f>
        <v>0137</v>
      </c>
      <c r="E1627" s="79">
        <v>45861</v>
      </c>
      <c r="F1627" s="80" t="s">
        <v>325</v>
      </c>
      <c r="G1627" s="60" t="s">
        <v>40</v>
      </c>
      <c r="H1627" s="80" t="s">
        <v>304</v>
      </c>
      <c r="I1627" s="80" t="s">
        <v>34</v>
      </c>
      <c r="J1627" s="80" t="s">
        <v>372</v>
      </c>
      <c r="K1627" s="80" t="s">
        <v>347</v>
      </c>
      <c r="L1627" s="80" t="s">
        <v>343</v>
      </c>
      <c r="M1627" s="81">
        <v>0.17</v>
      </c>
      <c r="N1627" s="82">
        <v>12.750000000000002</v>
      </c>
    </row>
    <row r="1628" spans="1:14" x14ac:dyDescent="0.25">
      <c r="A1628" s="10" t="str">
        <f>_xlfn.IFNA(
    IF(J1628=
        "PCB-0001",
        "CSS",
        IF(
            ISNUMBER(MATCH(_xlfn.TEXTBEFORE(J1628,"-"), {"CSS","CSN","PCB","PCF","BEC","CSD","PCM"}, 0)),
            _xlfn.TEXTBEFORE(J1628,"-"),
            "Other"
        )
    ),
"Add")</f>
        <v>PCB</v>
      </c>
      <c r="B1628" s="10" t="str">
        <f t="shared" si="26"/>
        <v>0073</v>
      </c>
      <c r="C1628" s="10" t="str">
        <f>_xlfn.LET(
    _xlpm.val, IF(Datadetails[[#This Row],[Activity]]="D02","C20",Datadetails[[#This Row],[Activity]]),
    IF(ISNUMBER(MATCH(_xlpm.val,{"D04","C30","c40","C20"},0)), _xlpm.val, "Other")
)</f>
        <v>C30</v>
      </c>
      <c r="D1628" s="10" t="str">
        <f>IFERROR(VLOOKUP(Datadetails[[#This Row],[Taskcode]],Dashboard!A:A,1,FALSE),"00 Err Missing")</f>
        <v>0073</v>
      </c>
      <c r="E1628" s="79">
        <v>45861</v>
      </c>
      <c r="F1628" s="80" t="s">
        <v>329</v>
      </c>
      <c r="G1628" s="60" t="s">
        <v>40</v>
      </c>
      <c r="H1628" s="80" t="s">
        <v>240</v>
      </c>
      <c r="I1628" s="80" t="s">
        <v>34</v>
      </c>
      <c r="J1628" s="80" t="s">
        <v>402</v>
      </c>
      <c r="K1628" s="80" t="s">
        <v>347</v>
      </c>
      <c r="L1628" s="80" t="s">
        <v>343</v>
      </c>
      <c r="M1628" s="81">
        <v>0.08</v>
      </c>
      <c r="N1628" s="82">
        <v>6</v>
      </c>
    </row>
    <row r="1629" spans="1:14" x14ac:dyDescent="0.25">
      <c r="A1629" s="10" t="str">
        <f>_xlfn.IFNA(
    IF(J1629=
        "PCB-0001",
        "CSS",
        IF(
            ISNUMBER(MATCH(_xlfn.TEXTBEFORE(J1629,"-"), {"CSS","CSN","PCB","PCF","BEC","CSD","PCM"}, 0)),
            _xlfn.TEXTBEFORE(J1629,"-"),
            "Other"
        )
    ),
"Add")</f>
        <v>PCB</v>
      </c>
      <c r="B1629" s="10" t="str">
        <f t="shared" si="26"/>
        <v>0074</v>
      </c>
      <c r="C1629" s="10" t="str">
        <f>_xlfn.LET(
    _xlpm.val, IF(Datadetails[[#This Row],[Activity]]="D02","C20",Datadetails[[#This Row],[Activity]]),
    IF(ISNUMBER(MATCH(_xlpm.val,{"D04","C30","c40","C20"},0)), _xlpm.val, "Other")
)</f>
        <v>C30</v>
      </c>
      <c r="D1629" s="10" t="str">
        <f>IFERROR(VLOOKUP(Datadetails[[#This Row],[Taskcode]],Dashboard!A:A,1,FALSE),"00 Err Missing")</f>
        <v>0074</v>
      </c>
      <c r="E1629" s="79">
        <v>45861</v>
      </c>
      <c r="F1629" s="80" t="s">
        <v>329</v>
      </c>
      <c r="G1629" s="60" t="s">
        <v>40</v>
      </c>
      <c r="H1629" s="80" t="s">
        <v>241</v>
      </c>
      <c r="I1629" s="80" t="s">
        <v>34</v>
      </c>
      <c r="J1629" s="80" t="s">
        <v>403</v>
      </c>
      <c r="K1629" s="80" t="s">
        <v>347</v>
      </c>
      <c r="L1629" s="80" t="s">
        <v>343</v>
      </c>
      <c r="M1629" s="81">
        <v>0.08</v>
      </c>
      <c r="N1629" s="82">
        <v>6</v>
      </c>
    </row>
    <row r="1630" spans="1:14" x14ac:dyDescent="0.25">
      <c r="A1630" s="10" t="str">
        <f>_xlfn.IFNA(
    IF(J1630=
        "PCB-0001",
        "CSS",
        IF(
            ISNUMBER(MATCH(_xlfn.TEXTBEFORE(J1630,"-"), {"CSS","CSN","PCB","PCF","BEC","CSD","PCM"}, 0)),
            _xlfn.TEXTBEFORE(J1630,"-"),
            "Other"
        )
    ),
"Add")</f>
        <v>PCB</v>
      </c>
      <c r="B1630" s="10" t="str">
        <f t="shared" si="26"/>
        <v>0123</v>
      </c>
      <c r="C1630" s="10" t="str">
        <f>_xlfn.LET(
    _xlpm.val, IF(Datadetails[[#This Row],[Activity]]="D02","C20",Datadetails[[#This Row],[Activity]]),
    IF(ISNUMBER(MATCH(_xlpm.val,{"D04","C30","c40","C20"},0)), _xlpm.val, "Other")
)</f>
        <v>C30</v>
      </c>
      <c r="D1630" s="10" t="str">
        <f>IFERROR(VLOOKUP(Datadetails[[#This Row],[Taskcode]],Dashboard!A:A,1,FALSE),"00 Err Missing")</f>
        <v>0123</v>
      </c>
      <c r="E1630" s="79">
        <v>45861</v>
      </c>
      <c r="F1630" s="80" t="s">
        <v>325</v>
      </c>
      <c r="G1630" s="60" t="s">
        <v>40</v>
      </c>
      <c r="H1630" s="80" t="s">
        <v>290</v>
      </c>
      <c r="I1630" s="80" t="s">
        <v>34</v>
      </c>
      <c r="J1630" s="80" t="s">
        <v>428</v>
      </c>
      <c r="K1630" s="80" t="s">
        <v>347</v>
      </c>
      <c r="L1630" s="80" t="s">
        <v>343</v>
      </c>
      <c r="M1630" s="81">
        <v>0.17</v>
      </c>
      <c r="N1630" s="82">
        <v>12.750000000000002</v>
      </c>
    </row>
    <row r="1631" spans="1:14" x14ac:dyDescent="0.25">
      <c r="A1631" s="10" t="str">
        <f>_xlfn.IFNA(
    IF(J1631=
        "PCB-0001",
        "CSS",
        IF(
            ISNUMBER(MATCH(_xlfn.TEXTBEFORE(J1631,"-"), {"CSS","CSN","PCB","PCF","BEC","CSD","PCM"}, 0)),
            _xlfn.TEXTBEFORE(J1631,"-"),
            "Other"
        )
    ),
"Add")</f>
        <v>PCB</v>
      </c>
      <c r="B1631" s="10" t="str">
        <f t="shared" si="26"/>
        <v>0127</v>
      </c>
      <c r="C1631" s="10" t="str">
        <f>_xlfn.LET(
    _xlpm.val, IF(Datadetails[[#This Row],[Activity]]="D02","C20",Datadetails[[#This Row],[Activity]]),
    IF(ISNUMBER(MATCH(_xlpm.val,{"D04","C30","c40","C20"},0)), _xlpm.val, "Other")
)</f>
        <v>C30</v>
      </c>
      <c r="D1631" s="10" t="str">
        <f>IFERROR(VLOOKUP(Datadetails[[#This Row],[Taskcode]],Dashboard!A:A,1,FALSE),"00 Err Missing")</f>
        <v>0127</v>
      </c>
      <c r="E1631" s="79">
        <v>45861</v>
      </c>
      <c r="F1631" s="80" t="s">
        <v>329</v>
      </c>
      <c r="G1631" s="60" t="s">
        <v>40</v>
      </c>
      <c r="H1631" s="80" t="s">
        <v>294</v>
      </c>
      <c r="I1631" s="80" t="s">
        <v>34</v>
      </c>
      <c r="J1631" s="80" t="s">
        <v>377</v>
      </c>
      <c r="K1631" s="80" t="s">
        <v>347</v>
      </c>
      <c r="L1631" s="80" t="s">
        <v>343</v>
      </c>
      <c r="M1631" s="81">
        <v>0.08</v>
      </c>
      <c r="N1631" s="82">
        <v>6</v>
      </c>
    </row>
    <row r="1632" spans="1:14" x14ac:dyDescent="0.25">
      <c r="A1632" s="10" t="str">
        <f>_xlfn.IFNA(
    IF(J1632=
        "PCB-0001",
        "CSS",
        IF(
            ISNUMBER(MATCH(_xlfn.TEXTBEFORE(J1632,"-"), {"CSS","CSN","PCB","PCF","BEC","CSD","PCM"}, 0)),
            _xlfn.TEXTBEFORE(J1632,"-"),
            "Other"
        )
    ),
"Add")</f>
        <v>PCB</v>
      </c>
      <c r="B1632" s="10" t="str">
        <f t="shared" si="26"/>
        <v>0081</v>
      </c>
      <c r="C1632" s="10" t="str">
        <f>_xlfn.LET(
    _xlpm.val, IF(Datadetails[[#This Row],[Activity]]="D02","C20",Datadetails[[#This Row],[Activity]]),
    IF(ISNUMBER(MATCH(_xlpm.val,{"D04","C30","c40","C20"},0)), _xlpm.val, "Other")
)</f>
        <v>C30</v>
      </c>
      <c r="D1632" s="10" t="str">
        <f>IFERROR(VLOOKUP(Datadetails[[#This Row],[Taskcode]],Dashboard!A:A,1,FALSE),"00 Err Missing")</f>
        <v>0081</v>
      </c>
      <c r="E1632" s="79">
        <v>45861</v>
      </c>
      <c r="F1632" s="80" t="s">
        <v>329</v>
      </c>
      <c r="G1632" s="60" t="s">
        <v>40</v>
      </c>
      <c r="H1632" s="80" t="s">
        <v>248</v>
      </c>
      <c r="I1632" s="80" t="s">
        <v>34</v>
      </c>
      <c r="J1632" s="80" t="s">
        <v>385</v>
      </c>
      <c r="K1632" s="80" t="s">
        <v>347</v>
      </c>
      <c r="L1632" s="80" t="s">
        <v>343</v>
      </c>
      <c r="M1632" s="81">
        <v>0.08</v>
      </c>
      <c r="N1632" s="82">
        <v>6</v>
      </c>
    </row>
    <row r="1633" spans="1:14" x14ac:dyDescent="0.25">
      <c r="A1633" s="10" t="str">
        <f>_xlfn.IFNA(
    IF(J1633=
        "PCB-0001",
        "CSS",
        IF(
            ISNUMBER(MATCH(_xlfn.TEXTBEFORE(J1633,"-"), {"CSS","CSN","PCB","PCF","BEC","CSD","PCM"}, 0)),
            _xlfn.TEXTBEFORE(J1633,"-"),
            "Other"
        )
    ),
"Add")</f>
        <v>PCB</v>
      </c>
      <c r="B1633" s="10" t="str">
        <f t="shared" si="26"/>
        <v>0080</v>
      </c>
      <c r="C1633" s="10" t="str">
        <f>_xlfn.LET(
    _xlpm.val, IF(Datadetails[[#This Row],[Activity]]="D02","C20",Datadetails[[#This Row],[Activity]]),
    IF(ISNUMBER(MATCH(_xlpm.val,{"D04","C30","c40","C20"},0)), _xlpm.val, "Other")
)</f>
        <v>C30</v>
      </c>
      <c r="D1633" s="10" t="str">
        <f>IFERROR(VLOOKUP(Datadetails[[#This Row],[Taskcode]],Dashboard!A:A,1,FALSE),"00 Err Missing")</f>
        <v>0080</v>
      </c>
      <c r="E1633" s="79">
        <v>45861</v>
      </c>
      <c r="F1633" s="80" t="s">
        <v>329</v>
      </c>
      <c r="G1633" s="60" t="s">
        <v>40</v>
      </c>
      <c r="H1633" s="80" t="s">
        <v>247</v>
      </c>
      <c r="I1633" s="80" t="s">
        <v>34</v>
      </c>
      <c r="J1633" s="80" t="s">
        <v>375</v>
      </c>
      <c r="K1633" s="80" t="s">
        <v>347</v>
      </c>
      <c r="L1633" s="80" t="s">
        <v>343</v>
      </c>
      <c r="M1633" s="81">
        <v>0.33</v>
      </c>
      <c r="N1633" s="82">
        <v>24.75</v>
      </c>
    </row>
    <row r="1634" spans="1:14" x14ac:dyDescent="0.25">
      <c r="A1634" s="10" t="str">
        <f>_xlfn.IFNA(
    IF(J1634=
        "PCB-0001",
        "CSS",
        IF(
            ISNUMBER(MATCH(_xlfn.TEXTBEFORE(J1634,"-"), {"CSS","CSN","PCB","PCF","BEC","CSD","PCM"}, 0)),
            _xlfn.TEXTBEFORE(J1634,"-"),
            "Other"
        )
    ),
"Add")</f>
        <v>PCF</v>
      </c>
      <c r="B1634" s="10" t="str">
        <f t="shared" si="26"/>
        <v>0060</v>
      </c>
      <c r="C1634" s="10" t="str">
        <f>_xlfn.LET(
    _xlpm.val, IF(Datadetails[[#This Row],[Activity]]="D02","C20",Datadetails[[#This Row],[Activity]]),
    IF(ISNUMBER(MATCH(_xlpm.val,{"D04","C30","c40","C20"},0)), _xlpm.val, "Other")
)</f>
        <v>C20</v>
      </c>
      <c r="D1634" s="10" t="str">
        <f>IFERROR(VLOOKUP(Datadetails[[#This Row],[Taskcode]],Dashboard!A:A,1,FALSE),"00 Err Missing")</f>
        <v>0060</v>
      </c>
      <c r="E1634" s="79">
        <v>45861</v>
      </c>
      <c r="F1634" s="80" t="s">
        <v>326</v>
      </c>
      <c r="G1634" s="60" t="s">
        <v>40</v>
      </c>
      <c r="H1634" s="80" t="s">
        <v>227</v>
      </c>
      <c r="I1634" s="80" t="s">
        <v>36</v>
      </c>
      <c r="J1634" s="80" t="s">
        <v>453</v>
      </c>
      <c r="K1634" s="80" t="s">
        <v>348</v>
      </c>
      <c r="L1634" s="80" t="s">
        <v>342</v>
      </c>
      <c r="M1634" s="81">
        <v>0.5</v>
      </c>
      <c r="N1634" s="82">
        <v>30</v>
      </c>
    </row>
    <row r="1635" spans="1:14" x14ac:dyDescent="0.25">
      <c r="A1635" s="10" t="str">
        <f>_xlfn.IFNA(
    IF(J1635=
        "PCB-0001",
        "CSS",
        IF(
            ISNUMBER(MATCH(_xlfn.TEXTBEFORE(J1635,"-"), {"CSS","CSN","PCB","PCF","BEC","CSD","PCM"}, 0)),
            _xlfn.TEXTBEFORE(J1635,"-"),
            "Other"
        )
    ),
"Add")</f>
        <v>PCF</v>
      </c>
      <c r="B1635" s="10" t="str">
        <f t="shared" si="26"/>
        <v>0008</v>
      </c>
      <c r="C1635" s="10" t="str">
        <f>_xlfn.LET(
    _xlpm.val, IF(Datadetails[[#This Row],[Activity]]="D02","C20",Datadetails[[#This Row],[Activity]]),
    IF(ISNUMBER(MATCH(_xlpm.val,{"D04","C30","c40","C20"},0)), _xlpm.val, "Other")
)</f>
        <v>C30</v>
      </c>
      <c r="D1635" s="10" t="str">
        <f>IFERROR(VLOOKUP(Datadetails[[#This Row],[Taskcode]],Dashboard!A:A,1,FALSE),"00 Err Missing")</f>
        <v>0008</v>
      </c>
      <c r="E1635" s="79">
        <v>45861</v>
      </c>
      <c r="F1635" s="80" t="s">
        <v>326</v>
      </c>
      <c r="G1635" s="60" t="s">
        <v>40</v>
      </c>
      <c r="H1635" s="80" t="s">
        <v>175</v>
      </c>
      <c r="I1635" s="80" t="s">
        <v>34</v>
      </c>
      <c r="J1635" s="80" t="s">
        <v>388</v>
      </c>
      <c r="K1635" s="80" t="s">
        <v>348</v>
      </c>
      <c r="L1635" s="80" t="s">
        <v>343</v>
      </c>
      <c r="M1635" s="81">
        <v>0.5</v>
      </c>
      <c r="N1635" s="82">
        <v>30</v>
      </c>
    </row>
    <row r="1636" spans="1:14" x14ac:dyDescent="0.25">
      <c r="A1636" s="10" t="str">
        <f>_xlfn.IFNA(
    IF(J1636=
        "PCB-0001",
        "CSS",
        IF(
            ISNUMBER(MATCH(_xlfn.TEXTBEFORE(J1636,"-"), {"CSS","CSN","PCB","PCF","BEC","CSD","PCM"}, 0)),
            _xlfn.TEXTBEFORE(J1636,"-"),
            "Other"
        )
    ),
"Add")</f>
        <v>BEC</v>
      </c>
      <c r="B1636" s="10" t="str">
        <f t="shared" si="26"/>
        <v>0001</v>
      </c>
      <c r="C1636" s="10" t="str">
        <f>_xlfn.LET(
    _xlpm.val, IF(Datadetails[[#This Row],[Activity]]="D02","C20",Datadetails[[#This Row],[Activity]]),
    IF(ISNUMBER(MATCH(_xlpm.val,{"D04","C30","c40","C20"},0)), _xlpm.val, "Other")
)</f>
        <v>D04</v>
      </c>
      <c r="D1636" s="10" t="str">
        <f>IFERROR(VLOOKUP(Datadetails[[#This Row],[Taskcode]],Dashboard!A:A,1,FALSE),"00 Err Missing")</f>
        <v>0001</v>
      </c>
      <c r="E1636" s="79">
        <v>45861</v>
      </c>
      <c r="F1636" s="80" t="s">
        <v>324</v>
      </c>
      <c r="G1636" s="60" t="s">
        <v>40</v>
      </c>
      <c r="H1636" s="80" t="s">
        <v>314</v>
      </c>
      <c r="I1636" s="80" t="s">
        <v>35</v>
      </c>
      <c r="J1636" s="80" t="s">
        <v>359</v>
      </c>
      <c r="K1636" s="80" t="s">
        <v>339</v>
      </c>
      <c r="L1636" s="80" t="s">
        <v>352</v>
      </c>
      <c r="M1636" s="81">
        <v>3.67</v>
      </c>
      <c r="N1636" s="82">
        <v>275.25</v>
      </c>
    </row>
    <row r="1637" spans="1:14" x14ac:dyDescent="0.25">
      <c r="A1637" s="10" t="str">
        <f>_xlfn.IFNA(
    IF(J1637=
        "PCB-0001",
        "CSS",
        IF(
            ISNUMBER(MATCH(_xlfn.TEXTBEFORE(J1637,"-"), {"CSS","CSN","PCB","PCF","BEC","CSD","PCM"}, 0)),
            _xlfn.TEXTBEFORE(J1637,"-"),
            "Other"
        )
    ),
"Add")</f>
        <v>CSD</v>
      </c>
      <c r="B1637" s="10" t="str">
        <f t="shared" si="26"/>
        <v>0001</v>
      </c>
      <c r="C1637" s="10" t="str">
        <f>_xlfn.LET(
    _xlpm.val, IF(Datadetails[[#This Row],[Activity]]="D02","C20",Datadetails[[#This Row],[Activity]]),
    IF(ISNUMBER(MATCH(_xlpm.val,{"D04","C30","c40","C20"},0)), _xlpm.val, "Other")
)</f>
        <v>D04</v>
      </c>
      <c r="D1637" s="10" t="str">
        <f>IFERROR(VLOOKUP(Datadetails[[#This Row],[Taskcode]],Dashboard!A:A,1,FALSE),"00 Err Missing")</f>
        <v>0001</v>
      </c>
      <c r="E1637" s="79">
        <v>45862</v>
      </c>
      <c r="F1637" s="80" t="s">
        <v>333</v>
      </c>
      <c r="G1637" s="60" t="s">
        <v>40</v>
      </c>
      <c r="H1637" s="80" t="s">
        <v>320</v>
      </c>
      <c r="I1637" s="80" t="s">
        <v>35</v>
      </c>
      <c r="J1637" s="80" t="s">
        <v>322</v>
      </c>
      <c r="K1637" s="80" t="s">
        <v>319</v>
      </c>
      <c r="L1637" s="80" t="s">
        <v>352</v>
      </c>
      <c r="M1637" s="81">
        <v>7.28</v>
      </c>
      <c r="N1637" s="82">
        <v>232.96</v>
      </c>
    </row>
    <row r="1638" spans="1:14" x14ac:dyDescent="0.25">
      <c r="A1638" s="10" t="str">
        <f>_xlfn.IFNA(
    IF(J1638=
        "PCB-0001",
        "CSS",
        IF(
            ISNUMBER(MATCH(_xlfn.TEXTBEFORE(J1638,"-"), {"CSS","CSN","PCB","PCF","BEC","CSD","PCM"}, 0)),
            _xlfn.TEXTBEFORE(J1638,"-"),
            "Other"
        )
    ),
"Add")</f>
        <v>CSD</v>
      </c>
      <c r="B1638" s="10" t="str">
        <f t="shared" si="26"/>
        <v>0001</v>
      </c>
      <c r="C1638" s="10" t="str">
        <f>_xlfn.LET(
    _xlpm.val, IF(Datadetails[[#This Row],[Activity]]="D02","C20",Datadetails[[#This Row],[Activity]]),
    IF(ISNUMBER(MATCH(_xlpm.val,{"D04","C30","c40","C20"},0)), _xlpm.val, "Other")
)</f>
        <v>D04</v>
      </c>
      <c r="D1638" s="10" t="str">
        <f>IFERROR(VLOOKUP(Datadetails[[#This Row],[Taskcode]],Dashboard!A:A,1,FALSE),"00 Err Missing")</f>
        <v>0001</v>
      </c>
      <c r="E1638" s="79">
        <v>45862</v>
      </c>
      <c r="F1638" s="80" t="s">
        <v>327</v>
      </c>
      <c r="G1638" s="60" t="s">
        <v>40</v>
      </c>
      <c r="H1638" s="80" t="s">
        <v>320</v>
      </c>
      <c r="I1638" s="80" t="s">
        <v>35</v>
      </c>
      <c r="J1638" s="80" t="s">
        <v>322</v>
      </c>
      <c r="K1638" s="80" t="s">
        <v>319</v>
      </c>
      <c r="L1638" s="80" t="s">
        <v>352</v>
      </c>
      <c r="M1638" s="81">
        <v>7.42</v>
      </c>
      <c r="N1638" s="82">
        <v>237.44</v>
      </c>
    </row>
    <row r="1639" spans="1:14" x14ac:dyDescent="0.25">
      <c r="A1639" s="10" t="str">
        <f>_xlfn.IFNA(
    IF(J1639=
        "PCB-0001",
        "CSS",
        IF(
            ISNUMBER(MATCH(_xlfn.TEXTBEFORE(J1639,"-"), {"CSS","CSN","PCB","PCF","BEC","CSD","PCM"}, 0)),
            _xlfn.TEXTBEFORE(J1639,"-"),
            "Other"
        )
    ),
"Add")</f>
        <v>PCB</v>
      </c>
      <c r="B1639" s="10" t="str">
        <f t="shared" si="26"/>
        <v>0124</v>
      </c>
      <c r="C1639" s="10" t="str">
        <f>_xlfn.LET(
    _xlpm.val, IF(Datadetails[[#This Row],[Activity]]="D02","C20",Datadetails[[#This Row],[Activity]]),
    IF(ISNUMBER(MATCH(_xlpm.val,{"D04","C30","c40","C20"},0)), _xlpm.val, "Other")
)</f>
        <v>C30</v>
      </c>
      <c r="D1639" s="10" t="str">
        <f>IFERROR(VLOOKUP(Datadetails[[#This Row],[Taskcode]],Dashboard!A:A,1,FALSE),"00 Err Missing")</f>
        <v>0124</v>
      </c>
      <c r="E1639" s="79">
        <v>45862</v>
      </c>
      <c r="F1639" s="80" t="s">
        <v>325</v>
      </c>
      <c r="G1639" s="60" t="s">
        <v>40</v>
      </c>
      <c r="H1639" s="80" t="s">
        <v>291</v>
      </c>
      <c r="I1639" s="80" t="s">
        <v>34</v>
      </c>
      <c r="J1639" s="80" t="s">
        <v>412</v>
      </c>
      <c r="K1639" s="80" t="s">
        <v>347</v>
      </c>
      <c r="L1639" s="80" t="s">
        <v>343</v>
      </c>
      <c r="M1639" s="81">
        <v>0.25</v>
      </c>
      <c r="N1639" s="82">
        <v>18.75</v>
      </c>
    </row>
    <row r="1640" spans="1:14" x14ac:dyDescent="0.25">
      <c r="A1640" s="10" t="str">
        <f>_xlfn.IFNA(
    IF(J1640=
        "PCB-0001",
        "CSS",
        IF(
            ISNUMBER(MATCH(_xlfn.TEXTBEFORE(J1640,"-"), {"CSS","CSN","PCB","PCF","BEC","CSD","PCM"}, 0)),
            _xlfn.TEXTBEFORE(J1640,"-"),
            "Other"
        )
    ),
"Add")</f>
        <v>PCB</v>
      </c>
      <c r="B1640" s="10" t="str">
        <f t="shared" si="26"/>
        <v>0095</v>
      </c>
      <c r="C1640" s="10" t="str">
        <f>_xlfn.LET(
    _xlpm.val, IF(Datadetails[[#This Row],[Activity]]="D02","C20",Datadetails[[#This Row],[Activity]]),
    IF(ISNUMBER(MATCH(_xlpm.val,{"D04","C30","c40","C20"},0)), _xlpm.val, "Other")
)</f>
        <v>C30</v>
      </c>
      <c r="D1640" s="10" t="str">
        <f>IFERROR(VLOOKUP(Datadetails[[#This Row],[Taskcode]],Dashboard!A:A,1,FALSE),"00 Err Missing")</f>
        <v>0095</v>
      </c>
      <c r="E1640" s="79">
        <v>45862</v>
      </c>
      <c r="F1640" s="80" t="s">
        <v>325</v>
      </c>
      <c r="G1640" s="60" t="s">
        <v>40</v>
      </c>
      <c r="H1640" s="80" t="s">
        <v>262</v>
      </c>
      <c r="I1640" s="80" t="s">
        <v>34</v>
      </c>
      <c r="J1640" s="80" t="s">
        <v>442</v>
      </c>
      <c r="K1640" s="80" t="s">
        <v>347</v>
      </c>
      <c r="L1640" s="80" t="s">
        <v>343</v>
      </c>
      <c r="M1640" s="81">
        <v>0.17</v>
      </c>
      <c r="N1640" s="82">
        <v>12.750000000000002</v>
      </c>
    </row>
    <row r="1641" spans="1:14" x14ac:dyDescent="0.25">
      <c r="A1641" s="10" t="str">
        <f>_xlfn.IFNA(
    IF(J1641=
        "PCB-0001",
        "CSS",
        IF(
            ISNUMBER(MATCH(_xlfn.TEXTBEFORE(J1641,"-"), {"CSS","CSN","PCB","PCF","BEC","CSD","PCM"}, 0)),
            _xlfn.TEXTBEFORE(J1641,"-"),
            "Other"
        )
    ),
"Add")</f>
        <v>PCF</v>
      </c>
      <c r="B1641" s="10" t="str">
        <f t="shared" si="26"/>
        <v>0133</v>
      </c>
      <c r="C1641" s="10" t="str">
        <f>_xlfn.LET(
    _xlpm.val, IF(Datadetails[[#This Row],[Activity]]="D02","C20",Datadetails[[#This Row],[Activity]]),
    IF(ISNUMBER(MATCH(_xlpm.val,{"D04","C30","c40","C20"},0)), _xlpm.val, "Other")
)</f>
        <v>C30</v>
      </c>
      <c r="D1641" s="10" t="str">
        <f>IFERROR(VLOOKUP(Datadetails[[#This Row],[Taskcode]],Dashboard!A:A,1,FALSE),"00 Err Missing")</f>
        <v>0133</v>
      </c>
      <c r="E1641" s="79">
        <v>45862</v>
      </c>
      <c r="F1641" s="80" t="s">
        <v>326</v>
      </c>
      <c r="G1641" s="60" t="s">
        <v>40</v>
      </c>
      <c r="H1641" s="80" t="s">
        <v>300</v>
      </c>
      <c r="I1641" s="80" t="s">
        <v>34</v>
      </c>
      <c r="J1641" s="80" t="s">
        <v>464</v>
      </c>
      <c r="K1641" s="80" t="s">
        <v>348</v>
      </c>
      <c r="L1641" s="80" t="s">
        <v>343</v>
      </c>
      <c r="M1641" s="81">
        <v>0.25</v>
      </c>
      <c r="N1641" s="82">
        <v>15</v>
      </c>
    </row>
    <row r="1642" spans="1:14" x14ac:dyDescent="0.25">
      <c r="A1642" s="10" t="str">
        <f>_xlfn.IFNA(
    IF(J1642=
        "PCB-0001",
        "CSS",
        IF(
            ISNUMBER(MATCH(_xlfn.TEXTBEFORE(J1642,"-"), {"CSS","CSN","PCB","PCF","BEC","CSD","PCM"}, 0)),
            _xlfn.TEXTBEFORE(J1642,"-"),
            "Other"
        )
    ),
"Add")</f>
        <v>BEC</v>
      </c>
      <c r="B1642" s="10" t="str">
        <f t="shared" si="26"/>
        <v>0001</v>
      </c>
      <c r="C1642" s="10" t="str">
        <f>_xlfn.LET(
    _xlpm.val, IF(Datadetails[[#This Row],[Activity]]="D02","C20",Datadetails[[#This Row],[Activity]]),
    IF(ISNUMBER(MATCH(_xlpm.val,{"D04","C30","c40","C20"},0)), _xlpm.val, "Other")
)</f>
        <v>D04</v>
      </c>
      <c r="D1642" s="10" t="str">
        <f>IFERROR(VLOOKUP(Datadetails[[#This Row],[Taskcode]],Dashboard!A:A,1,FALSE),"00 Err Missing")</f>
        <v>0001</v>
      </c>
      <c r="E1642" s="79">
        <v>45862</v>
      </c>
      <c r="F1642" s="80" t="s">
        <v>324</v>
      </c>
      <c r="G1642" s="60" t="s">
        <v>40</v>
      </c>
      <c r="H1642" s="80" t="s">
        <v>314</v>
      </c>
      <c r="I1642" s="80" t="s">
        <v>35</v>
      </c>
      <c r="J1642" s="80" t="s">
        <v>359</v>
      </c>
      <c r="K1642" s="80" t="s">
        <v>339</v>
      </c>
      <c r="L1642" s="80" t="s">
        <v>352</v>
      </c>
      <c r="M1642" s="81">
        <v>4</v>
      </c>
      <c r="N1642" s="82">
        <v>300</v>
      </c>
    </row>
    <row r="1643" spans="1:14" x14ac:dyDescent="0.25">
      <c r="A1643" s="10" t="str">
        <f>_xlfn.IFNA(
    IF(J1643=
        "PCB-0001",
        "CSS",
        IF(
            ISNUMBER(MATCH(_xlfn.TEXTBEFORE(J1643,"-"), {"CSS","CSN","PCB","PCF","BEC","CSD","PCM"}, 0)),
            _xlfn.TEXTBEFORE(J1643,"-"),
            "Other"
        )
    ),
"Add")</f>
        <v>PCB</v>
      </c>
      <c r="B1643" s="10" t="str">
        <f t="shared" si="26"/>
        <v>0102</v>
      </c>
      <c r="C1643" s="10" t="str">
        <f>_xlfn.LET(
    _xlpm.val, IF(Datadetails[[#This Row],[Activity]]="D02","C20",Datadetails[[#This Row],[Activity]]),
    IF(ISNUMBER(MATCH(_xlpm.val,{"D04","C30","c40","C20"},0)), _xlpm.val, "Other")
)</f>
        <v>C30</v>
      </c>
      <c r="D1643" s="10" t="str">
        <f>IFERROR(VLOOKUP(Datadetails[[#This Row],[Taskcode]],Dashboard!A:A,1,FALSE),"00 Err Missing")</f>
        <v>0102</v>
      </c>
      <c r="E1643" s="79">
        <v>45863</v>
      </c>
      <c r="F1643" s="80" t="s">
        <v>329</v>
      </c>
      <c r="G1643" s="60" t="s">
        <v>40</v>
      </c>
      <c r="H1643" s="80" t="s">
        <v>269</v>
      </c>
      <c r="I1643" s="80" t="s">
        <v>34</v>
      </c>
      <c r="J1643" s="80" t="s">
        <v>361</v>
      </c>
      <c r="K1643" s="80" t="s">
        <v>347</v>
      </c>
      <c r="L1643" s="80" t="s">
        <v>343</v>
      </c>
      <c r="M1643" s="81">
        <v>0.17</v>
      </c>
      <c r="N1643" s="82">
        <v>12.750000000000002</v>
      </c>
    </row>
    <row r="1644" spans="1:14" x14ac:dyDescent="0.25">
      <c r="A1644" s="10" t="str">
        <f>_xlfn.IFNA(
    IF(J1644=
        "PCB-0001",
        "CSS",
        IF(
            ISNUMBER(MATCH(_xlfn.TEXTBEFORE(J1644,"-"), {"CSS","CSN","PCB","PCF","BEC","CSD","PCM"}, 0)),
            _xlfn.TEXTBEFORE(J1644,"-"),
            "Other"
        )
    ),
"Add")</f>
        <v>PCM</v>
      </c>
      <c r="B1644" s="10" t="str">
        <f t="shared" si="26"/>
        <v>0005</v>
      </c>
      <c r="C1644" s="10" t="str">
        <f>_xlfn.LET(
    _xlpm.val, IF(Datadetails[[#This Row],[Activity]]="D02","C20",Datadetails[[#This Row],[Activity]]),
    IF(ISNUMBER(MATCH(_xlpm.val,{"D04","C30","c40","C20"},0)), _xlpm.val, "Other")
)</f>
        <v>C20</v>
      </c>
      <c r="D1644" s="10" t="str">
        <f>IFERROR(VLOOKUP(Datadetails[[#This Row],[Taskcode]],Dashboard!A:A,1,FALSE),"00 Err Missing")</f>
        <v>0005</v>
      </c>
      <c r="E1644" s="79">
        <v>45863</v>
      </c>
      <c r="F1644" s="80" t="s">
        <v>323</v>
      </c>
      <c r="G1644" s="60" t="s">
        <v>40</v>
      </c>
      <c r="H1644" s="80" t="s">
        <v>172</v>
      </c>
      <c r="I1644" s="80" t="s">
        <v>36</v>
      </c>
      <c r="J1644" s="80" t="s">
        <v>426</v>
      </c>
      <c r="K1644" s="80" t="s">
        <v>346</v>
      </c>
      <c r="L1644" s="80" t="s">
        <v>342</v>
      </c>
      <c r="M1644" s="81">
        <v>0.25</v>
      </c>
      <c r="N1644" s="82">
        <v>15</v>
      </c>
    </row>
    <row r="1645" spans="1:14" x14ac:dyDescent="0.25">
      <c r="A1645" s="10" t="str">
        <f>_xlfn.IFNA(
    IF(J1645=
        "PCB-0001",
        "CSS",
        IF(
            ISNUMBER(MATCH(_xlfn.TEXTBEFORE(J1645,"-"), {"CSS","CSN","PCB","PCF","BEC","CSD","PCM"}, 0)),
            _xlfn.TEXTBEFORE(J1645,"-"),
            "Other"
        )
    ),
"Add")</f>
        <v>PCM</v>
      </c>
      <c r="B1645" s="10" t="str">
        <f t="shared" si="26"/>
        <v>0033</v>
      </c>
      <c r="C1645" s="10" t="str">
        <f>_xlfn.LET(
    _xlpm.val, IF(Datadetails[[#This Row],[Activity]]="D02","C20",Datadetails[[#This Row],[Activity]]),
    IF(ISNUMBER(MATCH(_xlpm.val,{"D04","C30","c40","C20"},0)), _xlpm.val, "Other")
)</f>
        <v>C20</v>
      </c>
      <c r="D1645" s="10" t="str">
        <f>IFERROR(VLOOKUP(Datadetails[[#This Row],[Taskcode]],Dashboard!A:A,1,FALSE),"00 Err Missing")</f>
        <v>0033</v>
      </c>
      <c r="E1645" s="79">
        <v>45863</v>
      </c>
      <c r="F1645" s="80" t="s">
        <v>323</v>
      </c>
      <c r="G1645" s="60" t="s">
        <v>40</v>
      </c>
      <c r="H1645" s="80" t="s">
        <v>200</v>
      </c>
      <c r="I1645" s="80" t="s">
        <v>36</v>
      </c>
      <c r="J1645" s="80" t="s">
        <v>391</v>
      </c>
      <c r="K1645" s="80" t="s">
        <v>346</v>
      </c>
      <c r="L1645" s="80" t="s">
        <v>342</v>
      </c>
      <c r="M1645" s="81">
        <v>0.25</v>
      </c>
      <c r="N1645" s="82">
        <v>15</v>
      </c>
    </row>
    <row r="1646" spans="1:14" x14ac:dyDescent="0.25">
      <c r="A1646" s="10" t="str">
        <f>_xlfn.IFNA(
    IF(J1646=
        "PCB-0001",
        "CSS",
        IF(
            ISNUMBER(MATCH(_xlfn.TEXTBEFORE(J1646,"-"), {"CSS","CSN","PCB","PCF","BEC","CSD","PCM"}, 0)),
            _xlfn.TEXTBEFORE(J1646,"-"),
            "Other"
        )
    ),
"Add")</f>
        <v>PCM</v>
      </c>
      <c r="B1646" s="10" t="str">
        <f t="shared" si="26"/>
        <v>0045</v>
      </c>
      <c r="C1646" s="10" t="str">
        <f>_xlfn.LET(
    _xlpm.val, IF(Datadetails[[#This Row],[Activity]]="D02","C20",Datadetails[[#This Row],[Activity]]),
    IF(ISNUMBER(MATCH(_xlpm.val,{"D04","C30","c40","C20"},0)), _xlpm.val, "Other")
)</f>
        <v>C20</v>
      </c>
      <c r="D1646" s="10" t="str">
        <f>IFERROR(VLOOKUP(Datadetails[[#This Row],[Taskcode]],Dashboard!A:A,1,FALSE),"00 Err Missing")</f>
        <v>0045</v>
      </c>
      <c r="E1646" s="79">
        <v>45863</v>
      </c>
      <c r="F1646" s="80" t="s">
        <v>323</v>
      </c>
      <c r="G1646" s="60" t="s">
        <v>40</v>
      </c>
      <c r="H1646" s="80" t="s">
        <v>212</v>
      </c>
      <c r="I1646" s="80" t="s">
        <v>36</v>
      </c>
      <c r="J1646" s="80" t="s">
        <v>392</v>
      </c>
      <c r="K1646" s="80" t="s">
        <v>346</v>
      </c>
      <c r="L1646" s="80" t="s">
        <v>342</v>
      </c>
      <c r="M1646" s="81">
        <v>0.25</v>
      </c>
      <c r="N1646" s="82">
        <v>15</v>
      </c>
    </row>
    <row r="1647" spans="1:14" x14ac:dyDescent="0.25">
      <c r="A1647" s="10" t="str">
        <f>_xlfn.IFNA(
    IF(J1647=
        "PCB-0001",
        "CSS",
        IF(
            ISNUMBER(MATCH(_xlfn.TEXTBEFORE(J1647,"-"), {"CSS","CSN","PCB","PCF","BEC","CSD","PCM"}, 0)),
            _xlfn.TEXTBEFORE(J1647,"-"),
            "Other"
        )
    ),
"Add")</f>
        <v>CSN</v>
      </c>
      <c r="B1647" s="10" t="str">
        <f t="shared" si="26"/>
        <v>0001</v>
      </c>
      <c r="C1647" s="10" t="str">
        <f>_xlfn.LET(
    _xlpm.val, IF(Datadetails[[#This Row],[Activity]]="D02","C20",Datadetails[[#This Row],[Activity]]),
    IF(ISNUMBER(MATCH(_xlpm.val,{"D04","C30","c40","C20"},0)), _xlpm.val, "Other")
)</f>
        <v>D04</v>
      </c>
      <c r="D1647" s="10" t="str">
        <f>IFERROR(VLOOKUP(Datadetails[[#This Row],[Taskcode]],Dashboard!A:A,1,FALSE),"00 Err Missing")</f>
        <v>0001</v>
      </c>
      <c r="E1647" s="79">
        <v>45863</v>
      </c>
      <c r="F1647" s="80" t="s">
        <v>329</v>
      </c>
      <c r="G1647" s="60" t="s">
        <v>40</v>
      </c>
      <c r="H1647" s="80" t="s">
        <v>316</v>
      </c>
      <c r="I1647" s="80" t="s">
        <v>35</v>
      </c>
      <c r="J1647" s="80" t="s">
        <v>338</v>
      </c>
      <c r="K1647" s="80" t="s">
        <v>337</v>
      </c>
      <c r="L1647" s="80" t="s">
        <v>352</v>
      </c>
      <c r="M1647" s="81">
        <v>0.5</v>
      </c>
      <c r="N1647" s="82">
        <v>37.5</v>
      </c>
    </row>
    <row r="1648" spans="1:14" x14ac:dyDescent="0.25">
      <c r="A1648" s="10" t="str">
        <f>_xlfn.IFNA(
    IF(J1648=
        "PCB-0001",
        "CSS",
        IF(
            ISNUMBER(MATCH(_xlfn.TEXTBEFORE(J1648,"-"), {"CSS","CSN","PCB","PCF","BEC","CSD","PCM"}, 0)),
            _xlfn.TEXTBEFORE(J1648,"-"),
            "Other"
        )
    ),
"Add")</f>
        <v>CSD</v>
      </c>
      <c r="B1648" s="10" t="str">
        <f t="shared" si="26"/>
        <v>0001</v>
      </c>
      <c r="C1648" s="10" t="str">
        <f>_xlfn.LET(
    _xlpm.val, IF(Datadetails[[#This Row],[Activity]]="D02","C20",Datadetails[[#This Row],[Activity]]),
    IF(ISNUMBER(MATCH(_xlpm.val,{"D04","C30","c40","C20"},0)), _xlpm.val, "Other")
)</f>
        <v>D04</v>
      </c>
      <c r="D1648" s="10" t="str">
        <f>IFERROR(VLOOKUP(Datadetails[[#This Row],[Taskcode]],Dashboard!A:A,1,FALSE),"00 Err Missing")</f>
        <v>0001</v>
      </c>
      <c r="E1648" s="79">
        <v>45863</v>
      </c>
      <c r="F1648" s="80" t="s">
        <v>333</v>
      </c>
      <c r="G1648" s="60" t="s">
        <v>40</v>
      </c>
      <c r="H1648" s="80" t="s">
        <v>320</v>
      </c>
      <c r="I1648" s="80" t="s">
        <v>35</v>
      </c>
      <c r="J1648" s="80" t="s">
        <v>322</v>
      </c>
      <c r="K1648" s="80" t="s">
        <v>319</v>
      </c>
      <c r="L1648" s="80" t="s">
        <v>352</v>
      </c>
      <c r="M1648" s="81">
        <v>7.13</v>
      </c>
      <c r="N1648" s="82">
        <v>228.16</v>
      </c>
    </row>
    <row r="1649" spans="1:14" x14ac:dyDescent="0.25">
      <c r="A1649" s="10" t="str">
        <f>_xlfn.IFNA(
    IF(J1649=
        "PCB-0001",
        "CSS",
        IF(
            ISNUMBER(MATCH(_xlfn.TEXTBEFORE(J1649,"-"), {"CSS","CSN","PCB","PCF","BEC","CSD","PCM"}, 0)),
            _xlfn.TEXTBEFORE(J1649,"-"),
            "Other"
        )
    ),
"Add")</f>
        <v>CSD</v>
      </c>
      <c r="B1649" s="10" t="str">
        <f t="shared" si="26"/>
        <v>0001</v>
      </c>
      <c r="C1649" s="10" t="str">
        <f>_xlfn.LET(
    _xlpm.val, IF(Datadetails[[#This Row],[Activity]]="D02","C20",Datadetails[[#This Row],[Activity]]),
    IF(ISNUMBER(MATCH(_xlpm.val,{"D04","C30","c40","C20"},0)), _xlpm.val, "Other")
)</f>
        <v>D04</v>
      </c>
      <c r="D1649" s="10" t="str">
        <f>IFERROR(VLOOKUP(Datadetails[[#This Row],[Taskcode]],Dashboard!A:A,1,FALSE),"00 Err Missing")</f>
        <v>0001</v>
      </c>
      <c r="E1649" s="79">
        <v>45863</v>
      </c>
      <c r="F1649" s="80" t="s">
        <v>327</v>
      </c>
      <c r="G1649" s="60" t="s">
        <v>40</v>
      </c>
      <c r="H1649" s="80" t="s">
        <v>320</v>
      </c>
      <c r="I1649" s="80" t="s">
        <v>35</v>
      </c>
      <c r="J1649" s="80" t="s">
        <v>322</v>
      </c>
      <c r="K1649" s="80" t="s">
        <v>319</v>
      </c>
      <c r="L1649" s="80" t="s">
        <v>352</v>
      </c>
      <c r="M1649" s="81">
        <v>7.25</v>
      </c>
      <c r="N1649" s="82">
        <v>232</v>
      </c>
    </row>
    <row r="1650" spans="1:14" x14ac:dyDescent="0.25">
      <c r="A1650" s="10" t="str">
        <f>_xlfn.IFNA(
    IF(J1650=
        "PCB-0001",
        "CSS",
        IF(
            ISNUMBER(MATCH(_xlfn.TEXTBEFORE(J1650,"-"), {"CSS","CSN","PCB","PCF","BEC","CSD","PCM"}, 0)),
            _xlfn.TEXTBEFORE(J1650,"-"),
            "Other"
        )
    ),
"Add")</f>
        <v>PCM</v>
      </c>
      <c r="B1650" s="10" t="str">
        <f t="shared" si="26"/>
        <v>0099</v>
      </c>
      <c r="C1650" s="10" t="str">
        <f>_xlfn.LET(
    _xlpm.val, IF(Datadetails[[#This Row],[Activity]]="D02","C20",Datadetails[[#This Row],[Activity]]),
    IF(ISNUMBER(MATCH(_xlpm.val,{"D04","C30","c40","C20"},0)), _xlpm.val, "Other")
)</f>
        <v>C20</v>
      </c>
      <c r="D1650" s="10" t="str">
        <f>IFERROR(VLOOKUP(Datadetails[[#This Row],[Taskcode]],Dashboard!A:A,1,FALSE),"00 Err Missing")</f>
        <v>0099</v>
      </c>
      <c r="E1650" s="79">
        <v>45863</v>
      </c>
      <c r="F1650" s="80" t="s">
        <v>323</v>
      </c>
      <c r="G1650" s="60" t="s">
        <v>40</v>
      </c>
      <c r="H1650" s="80" t="s">
        <v>266</v>
      </c>
      <c r="I1650" s="80" t="s">
        <v>36</v>
      </c>
      <c r="J1650" s="80" t="s">
        <v>394</v>
      </c>
      <c r="K1650" s="80" t="s">
        <v>346</v>
      </c>
      <c r="L1650" s="80" t="s">
        <v>342</v>
      </c>
      <c r="M1650" s="81">
        <v>0.25</v>
      </c>
      <c r="N1650" s="82">
        <v>15</v>
      </c>
    </row>
    <row r="1651" spans="1:14" x14ac:dyDescent="0.25">
      <c r="A1651" s="10" t="str">
        <f>_xlfn.IFNA(
    IF(J1651=
        "PCB-0001",
        "CSS",
        IF(
            ISNUMBER(MATCH(_xlfn.TEXTBEFORE(J1651,"-"), {"CSS","CSN","PCB","PCF","BEC","CSD","PCM"}, 0)),
            _xlfn.TEXTBEFORE(J1651,"-"),
            "Other"
        )
    ),
"Add")</f>
        <v>PCM</v>
      </c>
      <c r="B1651" s="10" t="str">
        <f t="shared" si="26"/>
        <v>0119</v>
      </c>
      <c r="C1651" s="10" t="str">
        <f>_xlfn.LET(
    _xlpm.val, IF(Datadetails[[#This Row],[Activity]]="D02","C20",Datadetails[[#This Row],[Activity]]),
    IF(ISNUMBER(MATCH(_xlpm.val,{"D04","C30","c40","C20"},0)), _xlpm.val, "Other")
)</f>
        <v>C40</v>
      </c>
      <c r="D1651" s="10" t="str">
        <f>IFERROR(VLOOKUP(Datadetails[[#This Row],[Taskcode]],Dashboard!A:A,1,FALSE),"00 Err Missing")</f>
        <v>0119</v>
      </c>
      <c r="E1651" s="79">
        <v>45863</v>
      </c>
      <c r="F1651" s="80" t="s">
        <v>323</v>
      </c>
      <c r="G1651" s="60" t="s">
        <v>40</v>
      </c>
      <c r="H1651" s="80" t="s">
        <v>286</v>
      </c>
      <c r="I1651" s="80" t="s">
        <v>341</v>
      </c>
      <c r="J1651" s="80" t="s">
        <v>434</v>
      </c>
      <c r="K1651" s="80" t="s">
        <v>346</v>
      </c>
      <c r="L1651" s="80" t="s">
        <v>344</v>
      </c>
      <c r="M1651" s="81">
        <v>1</v>
      </c>
      <c r="N1651" s="82">
        <v>60</v>
      </c>
    </row>
    <row r="1652" spans="1:14" x14ac:dyDescent="0.25">
      <c r="A1652" s="10" t="str">
        <f>_xlfn.IFNA(
    IF(J1652=
        "PCB-0001",
        "CSS",
        IF(
            ISNUMBER(MATCH(_xlfn.TEXTBEFORE(J1652,"-"), {"CSS","CSN","PCB","PCF","BEC","CSD","PCM"}, 0)),
            _xlfn.TEXTBEFORE(J1652,"-"),
            "Other"
        )
    ),
"Add")</f>
        <v>PCB</v>
      </c>
      <c r="B1652" s="10" t="str">
        <f t="shared" si="26"/>
        <v>0057</v>
      </c>
      <c r="C1652" s="10" t="str">
        <f>_xlfn.LET(
    _xlpm.val, IF(Datadetails[[#This Row],[Activity]]="D02","C20",Datadetails[[#This Row],[Activity]]),
    IF(ISNUMBER(MATCH(_xlpm.val,{"D04","C30","c40","C20"},0)), _xlpm.val, "Other")
)</f>
        <v>C20</v>
      </c>
      <c r="D1652" s="10" t="str">
        <f>IFERROR(VLOOKUP(Datadetails[[#This Row],[Taskcode]],Dashboard!A:A,1,FALSE),"00 Err Missing")</f>
        <v>0057</v>
      </c>
      <c r="E1652" s="79">
        <v>45863</v>
      </c>
      <c r="F1652" s="80" t="s">
        <v>325</v>
      </c>
      <c r="G1652" s="60" t="s">
        <v>40</v>
      </c>
      <c r="H1652" s="80" t="s">
        <v>224</v>
      </c>
      <c r="I1652" s="80" t="s">
        <v>36</v>
      </c>
      <c r="J1652" s="80" t="s">
        <v>423</v>
      </c>
      <c r="K1652" s="80" t="s">
        <v>347</v>
      </c>
      <c r="L1652" s="80" t="s">
        <v>342</v>
      </c>
      <c r="M1652" s="81">
        <v>0.17</v>
      </c>
      <c r="N1652" s="82">
        <v>12.750000000000002</v>
      </c>
    </row>
    <row r="1653" spans="1:14" x14ac:dyDescent="0.25">
      <c r="A1653" s="10" t="str">
        <f>_xlfn.IFNA(
    IF(J1653=
        "PCB-0001",
        "CSS",
        IF(
            ISNUMBER(MATCH(_xlfn.TEXTBEFORE(J1653,"-"), {"CSS","CSN","PCB","PCF","BEC","CSD","PCM"}, 0)),
            _xlfn.TEXTBEFORE(J1653,"-"),
            "Other"
        )
    ),
"Add")</f>
        <v>PCB</v>
      </c>
      <c r="B1653" s="10" t="str">
        <f t="shared" si="26"/>
        <v>0039</v>
      </c>
      <c r="C1653" s="10" t="str">
        <f>_xlfn.LET(
    _xlpm.val, IF(Datadetails[[#This Row],[Activity]]="D02","C20",Datadetails[[#This Row],[Activity]]),
    IF(ISNUMBER(MATCH(_xlpm.val,{"D04","C30","c40","C20"},0)), _xlpm.val, "Other")
)</f>
        <v>C30</v>
      </c>
      <c r="D1653" s="10" t="str">
        <f>IFERROR(VLOOKUP(Datadetails[[#This Row],[Taskcode]],Dashboard!A:A,1,FALSE),"00 Err Missing")</f>
        <v>0039</v>
      </c>
      <c r="E1653" s="79">
        <v>45863</v>
      </c>
      <c r="F1653" s="80" t="s">
        <v>329</v>
      </c>
      <c r="G1653" s="60" t="s">
        <v>40</v>
      </c>
      <c r="H1653" s="80" t="s">
        <v>206</v>
      </c>
      <c r="I1653" s="80" t="s">
        <v>34</v>
      </c>
      <c r="J1653" s="80" t="s">
        <v>367</v>
      </c>
      <c r="K1653" s="80" t="s">
        <v>347</v>
      </c>
      <c r="L1653" s="80" t="s">
        <v>343</v>
      </c>
      <c r="M1653" s="81">
        <v>0.17</v>
      </c>
      <c r="N1653" s="82">
        <v>12.750000000000002</v>
      </c>
    </row>
    <row r="1654" spans="1:14" x14ac:dyDescent="0.25">
      <c r="A1654" s="10" t="str">
        <f>_xlfn.IFNA(
    IF(J1654=
        "PCB-0001",
        "CSS",
        IF(
            ISNUMBER(MATCH(_xlfn.TEXTBEFORE(J1654,"-"), {"CSS","CSN","PCB","PCF","BEC","CSD","PCM"}, 0)),
            _xlfn.TEXTBEFORE(J1654,"-"),
            "Other"
        )
    ),
"Add")</f>
        <v>PCB</v>
      </c>
      <c r="B1654" s="10" t="str">
        <f t="shared" si="26"/>
        <v>0134</v>
      </c>
      <c r="C1654" s="10" t="str">
        <f>_xlfn.LET(
    _xlpm.val, IF(Datadetails[[#This Row],[Activity]]="D02","C20",Datadetails[[#This Row],[Activity]]),
    IF(ISNUMBER(MATCH(_xlpm.val,{"D04","C30","c40","C20"},0)), _xlpm.val, "Other")
)</f>
        <v>C30</v>
      </c>
      <c r="D1654" s="10" t="str">
        <f>IFERROR(VLOOKUP(Datadetails[[#This Row],[Taskcode]],Dashboard!A:A,1,FALSE),"00 Err Missing")</f>
        <v>0134</v>
      </c>
      <c r="E1654" s="79">
        <v>45863</v>
      </c>
      <c r="F1654" s="80" t="s">
        <v>329</v>
      </c>
      <c r="G1654" s="60" t="s">
        <v>40</v>
      </c>
      <c r="H1654" s="80" t="s">
        <v>301</v>
      </c>
      <c r="I1654" s="80" t="s">
        <v>34</v>
      </c>
      <c r="J1654" s="80" t="s">
        <v>371</v>
      </c>
      <c r="K1654" s="80" t="s">
        <v>347</v>
      </c>
      <c r="L1654" s="80" t="s">
        <v>343</v>
      </c>
      <c r="M1654" s="81">
        <v>0.08</v>
      </c>
      <c r="N1654" s="82">
        <v>6</v>
      </c>
    </row>
    <row r="1655" spans="1:14" x14ac:dyDescent="0.25">
      <c r="A1655" s="10" t="str">
        <f>_xlfn.IFNA(
    IF(J1655=
        "PCB-0001",
        "CSS",
        IF(
            ISNUMBER(MATCH(_xlfn.TEXTBEFORE(J1655,"-"), {"CSS","CSN","PCB","PCF","BEC","CSD","PCM"}, 0)),
            _xlfn.TEXTBEFORE(J1655,"-"),
            "Other"
        )
    ),
"Add")</f>
        <v>PCB</v>
      </c>
      <c r="B1655" s="10" t="str">
        <f t="shared" si="26"/>
        <v>0075</v>
      </c>
      <c r="C1655" s="10" t="str">
        <f>_xlfn.LET(
    _xlpm.val, IF(Datadetails[[#This Row],[Activity]]="D02","C20",Datadetails[[#This Row],[Activity]]),
    IF(ISNUMBER(MATCH(_xlpm.val,{"D04","C30","c40","C20"},0)), _xlpm.val, "Other")
)</f>
        <v>C30</v>
      </c>
      <c r="D1655" s="10" t="str">
        <f>IFERROR(VLOOKUP(Datadetails[[#This Row],[Taskcode]],Dashboard!A:A,1,FALSE),"00 Err Missing")</f>
        <v>0075</v>
      </c>
      <c r="E1655" s="79">
        <v>45863</v>
      </c>
      <c r="F1655" s="80" t="s">
        <v>329</v>
      </c>
      <c r="G1655" s="60" t="s">
        <v>40</v>
      </c>
      <c r="H1655" s="80" t="s">
        <v>242</v>
      </c>
      <c r="I1655" s="80" t="s">
        <v>34</v>
      </c>
      <c r="J1655" s="80" t="s">
        <v>404</v>
      </c>
      <c r="K1655" s="80" t="s">
        <v>347</v>
      </c>
      <c r="L1655" s="80" t="s">
        <v>343</v>
      </c>
      <c r="M1655" s="81">
        <v>0.08</v>
      </c>
      <c r="N1655" s="82">
        <v>6</v>
      </c>
    </row>
    <row r="1656" spans="1:14" x14ac:dyDescent="0.25">
      <c r="A1656" s="10" t="str">
        <f>_xlfn.IFNA(
    IF(J1656=
        "PCB-0001",
        "CSS",
        IF(
            ISNUMBER(MATCH(_xlfn.TEXTBEFORE(J1656,"-"), {"CSS","CSN","PCB","PCF","BEC","CSD","PCM"}, 0)),
            _xlfn.TEXTBEFORE(J1656,"-"),
            "Other"
        )
    ),
"Add")</f>
        <v>PCB</v>
      </c>
      <c r="B1656" s="10" t="str">
        <f t="shared" si="26"/>
        <v>0080</v>
      </c>
      <c r="C1656" s="10" t="str">
        <f>_xlfn.LET(
    _xlpm.val, IF(Datadetails[[#This Row],[Activity]]="D02","C20",Datadetails[[#This Row],[Activity]]),
    IF(ISNUMBER(MATCH(_xlpm.val,{"D04","C30","c40","C20"},0)), _xlpm.val, "Other")
)</f>
        <v>C30</v>
      </c>
      <c r="D1656" s="10" t="str">
        <f>IFERROR(VLOOKUP(Datadetails[[#This Row],[Taskcode]],Dashboard!A:A,1,FALSE),"00 Err Missing")</f>
        <v>0080</v>
      </c>
      <c r="E1656" s="79">
        <v>45863</v>
      </c>
      <c r="F1656" s="80" t="s">
        <v>329</v>
      </c>
      <c r="G1656" s="60" t="s">
        <v>40</v>
      </c>
      <c r="H1656" s="80" t="s">
        <v>247</v>
      </c>
      <c r="I1656" s="80" t="s">
        <v>34</v>
      </c>
      <c r="J1656" s="80" t="s">
        <v>375</v>
      </c>
      <c r="K1656" s="80" t="s">
        <v>347</v>
      </c>
      <c r="L1656" s="80" t="s">
        <v>343</v>
      </c>
      <c r="M1656" s="81">
        <v>0.25</v>
      </c>
      <c r="N1656" s="82">
        <v>18.75</v>
      </c>
    </row>
    <row r="1657" spans="1:14" x14ac:dyDescent="0.25">
      <c r="A1657" s="10" t="str">
        <f>_xlfn.IFNA(
    IF(J1657=
        "PCB-0001",
        "CSS",
        IF(
            ISNUMBER(MATCH(_xlfn.TEXTBEFORE(J1657,"-"), {"CSS","CSN","PCB","PCF","BEC","CSD","PCM"}, 0)),
            _xlfn.TEXTBEFORE(J1657,"-"),
            "Other"
        )
    ),
"Add")</f>
        <v>PCB</v>
      </c>
      <c r="B1657" s="10" t="str">
        <f t="shared" si="26"/>
        <v>0105</v>
      </c>
      <c r="C1657" s="10" t="str">
        <f>_xlfn.LET(
    _xlpm.val, IF(Datadetails[[#This Row],[Activity]]="D02","C20",Datadetails[[#This Row],[Activity]]),
    IF(ISNUMBER(MATCH(_xlpm.val,{"D04","C30","c40","C20"},0)), _xlpm.val, "Other")
)</f>
        <v>C30</v>
      </c>
      <c r="D1657" s="10" t="str">
        <f>IFERROR(VLOOKUP(Datadetails[[#This Row],[Taskcode]],Dashboard!A:A,1,FALSE),"00 Err Missing")</f>
        <v>0105</v>
      </c>
      <c r="E1657" s="79">
        <v>45863</v>
      </c>
      <c r="F1657" s="80" t="s">
        <v>329</v>
      </c>
      <c r="G1657" s="60" t="s">
        <v>40</v>
      </c>
      <c r="H1657" s="80" t="s">
        <v>272</v>
      </c>
      <c r="I1657" s="80" t="s">
        <v>34</v>
      </c>
      <c r="J1657" s="80" t="s">
        <v>362</v>
      </c>
      <c r="K1657" s="80" t="s">
        <v>347</v>
      </c>
      <c r="L1657" s="80" t="s">
        <v>343</v>
      </c>
      <c r="M1657" s="81">
        <v>0.25</v>
      </c>
      <c r="N1657" s="82">
        <v>18.75</v>
      </c>
    </row>
    <row r="1658" spans="1:14" x14ac:dyDescent="0.25">
      <c r="A1658" s="10" t="str">
        <f>_xlfn.IFNA(
    IF(J1658=
        "PCB-0001",
        "CSS",
        IF(
            ISNUMBER(MATCH(_xlfn.TEXTBEFORE(J1658,"-"), {"CSS","CSN","PCB","PCF","BEC","CSD","PCM"}, 0)),
            _xlfn.TEXTBEFORE(J1658,"-"),
            "Other"
        )
    ),
"Add")</f>
        <v>BEC</v>
      </c>
      <c r="B1658" s="10" t="str">
        <f t="shared" si="26"/>
        <v>0001</v>
      </c>
      <c r="C1658" s="10" t="str">
        <f>_xlfn.LET(
    _xlpm.val, IF(Datadetails[[#This Row],[Activity]]="D02","C20",Datadetails[[#This Row],[Activity]]),
    IF(ISNUMBER(MATCH(_xlpm.val,{"D04","C30","c40","C20"},0)), _xlpm.val, "Other")
)</f>
        <v>D04</v>
      </c>
      <c r="D1658" s="10" t="str">
        <f>IFERROR(VLOOKUP(Datadetails[[#This Row],[Taskcode]],Dashboard!A:A,1,FALSE),"00 Err Missing")</f>
        <v>0001</v>
      </c>
      <c r="E1658" s="79">
        <v>45863</v>
      </c>
      <c r="F1658" s="80" t="s">
        <v>324</v>
      </c>
      <c r="G1658" s="60" t="s">
        <v>40</v>
      </c>
      <c r="H1658" s="80" t="s">
        <v>314</v>
      </c>
      <c r="I1658" s="80" t="s">
        <v>35</v>
      </c>
      <c r="J1658" s="80" t="s">
        <v>359</v>
      </c>
      <c r="K1658" s="80" t="s">
        <v>339</v>
      </c>
      <c r="L1658" s="80" t="s">
        <v>352</v>
      </c>
      <c r="M1658" s="81">
        <v>3.75</v>
      </c>
      <c r="N1658" s="82">
        <v>281.25</v>
      </c>
    </row>
    <row r="1659" spans="1:14" x14ac:dyDescent="0.25">
      <c r="A1659" s="10" t="str">
        <f>_xlfn.IFNA(
    IF(J1659=
        "PCB-0001",
        "CSS",
        IF(
            ISNUMBER(MATCH(_xlfn.TEXTBEFORE(J1659,"-"), {"CSS","CSN","PCB","PCF","BEC","CSD","PCM"}, 0)),
            _xlfn.TEXTBEFORE(J1659,"-"),
            "Other"
        )
    ),
"Add")</f>
        <v>BEC</v>
      </c>
      <c r="B1659" s="10" t="str">
        <f t="shared" si="26"/>
        <v>0001</v>
      </c>
      <c r="C1659" s="10" t="str">
        <f>_xlfn.LET(
    _xlpm.val, IF(Datadetails[[#This Row],[Activity]]="D02","C20",Datadetails[[#This Row],[Activity]]),
    IF(ISNUMBER(MATCH(_xlpm.val,{"D04","C30","c40","C20"},0)), _xlpm.val, "Other")
)</f>
        <v>D04</v>
      </c>
      <c r="D1659" s="10" t="str">
        <f>IFERROR(VLOOKUP(Datadetails[[#This Row],[Taskcode]],Dashboard!A:A,1,FALSE),"00 Err Missing")</f>
        <v>0001</v>
      </c>
      <c r="E1659" s="79">
        <v>45864</v>
      </c>
      <c r="F1659" s="80" t="s">
        <v>332</v>
      </c>
      <c r="G1659" s="60" t="s">
        <v>40</v>
      </c>
      <c r="H1659" s="80" t="s">
        <v>314</v>
      </c>
      <c r="I1659" s="80" t="s">
        <v>35</v>
      </c>
      <c r="J1659" s="80" t="s">
        <v>359</v>
      </c>
      <c r="K1659" s="80" t="s">
        <v>339</v>
      </c>
      <c r="L1659" s="80" t="s">
        <v>352</v>
      </c>
      <c r="M1659" s="81">
        <v>4</v>
      </c>
      <c r="N1659" s="82">
        <v>160</v>
      </c>
    </row>
    <row r="1660" spans="1:14" x14ac:dyDescent="0.25">
      <c r="A1660" s="10" t="str">
        <f>_xlfn.IFNA(
    IF(J1660=
        "PCB-0001",
        "CSS",
        IF(
            ISNUMBER(MATCH(_xlfn.TEXTBEFORE(J1660,"-"), {"CSS","CSN","PCB","PCF","BEC","CSD","PCM"}, 0)),
            _xlfn.TEXTBEFORE(J1660,"-"),
            "Other"
        )
    ),
"Add")</f>
        <v>CSD</v>
      </c>
      <c r="B1660" s="10" t="str">
        <f t="shared" si="26"/>
        <v>0001</v>
      </c>
      <c r="C1660" s="10" t="str">
        <f>_xlfn.LET(
    _xlpm.val, IF(Datadetails[[#This Row],[Activity]]="D02","C20",Datadetails[[#This Row],[Activity]]),
    IF(ISNUMBER(MATCH(_xlpm.val,{"D04","C30","c40","C20"},0)), _xlpm.val, "Other")
)</f>
        <v>D04</v>
      </c>
      <c r="D1660" s="10" t="str">
        <f>IFERROR(VLOOKUP(Datadetails[[#This Row],[Taskcode]],Dashboard!A:A,1,FALSE),"00 Err Missing")</f>
        <v>0001</v>
      </c>
      <c r="E1660" s="79">
        <v>45866</v>
      </c>
      <c r="F1660" s="80" t="s">
        <v>333</v>
      </c>
      <c r="G1660" s="60" t="s">
        <v>40</v>
      </c>
      <c r="H1660" s="80" t="s">
        <v>320</v>
      </c>
      <c r="I1660" s="80" t="s">
        <v>35</v>
      </c>
      <c r="J1660" s="80" t="s">
        <v>322</v>
      </c>
      <c r="K1660" s="80" t="s">
        <v>319</v>
      </c>
      <c r="L1660" s="80" t="s">
        <v>352</v>
      </c>
      <c r="M1660" s="81">
        <v>7.57</v>
      </c>
      <c r="N1660" s="82">
        <v>242.24</v>
      </c>
    </row>
    <row r="1661" spans="1:14" x14ac:dyDescent="0.25">
      <c r="A1661" s="10" t="str">
        <f>_xlfn.IFNA(
    IF(J1661=
        "PCB-0001",
        "CSS",
        IF(
            ISNUMBER(MATCH(_xlfn.TEXTBEFORE(J1661,"-"), {"CSS","CSN","PCB","PCF","BEC","CSD","PCM"}, 0)),
            _xlfn.TEXTBEFORE(J1661,"-"),
            "Other"
        )
    ),
"Add")</f>
        <v>CSD</v>
      </c>
      <c r="B1661" s="10" t="str">
        <f t="shared" si="26"/>
        <v>0001</v>
      </c>
      <c r="C1661" s="10" t="str">
        <f>_xlfn.LET(
    _xlpm.val, IF(Datadetails[[#This Row],[Activity]]="D02","C20",Datadetails[[#This Row],[Activity]]),
    IF(ISNUMBER(MATCH(_xlpm.val,{"D04","C30","c40","C20"},0)), _xlpm.val, "Other")
)</f>
        <v>D04</v>
      </c>
      <c r="D1661" s="10" t="str">
        <f>IFERROR(VLOOKUP(Datadetails[[#This Row],[Taskcode]],Dashboard!A:A,1,FALSE),"00 Err Missing")</f>
        <v>0001</v>
      </c>
      <c r="E1661" s="79">
        <v>45866</v>
      </c>
      <c r="F1661" s="80" t="s">
        <v>327</v>
      </c>
      <c r="G1661" s="60" t="s">
        <v>40</v>
      </c>
      <c r="H1661" s="80" t="s">
        <v>320</v>
      </c>
      <c r="I1661" s="80" t="s">
        <v>35</v>
      </c>
      <c r="J1661" s="80" t="s">
        <v>322</v>
      </c>
      <c r="K1661" s="80" t="s">
        <v>319</v>
      </c>
      <c r="L1661" s="80" t="s">
        <v>352</v>
      </c>
      <c r="M1661" s="81">
        <v>7.42</v>
      </c>
      <c r="N1661" s="82">
        <v>237.44</v>
      </c>
    </row>
    <row r="1662" spans="1:14" x14ac:dyDescent="0.25">
      <c r="A1662" s="10" t="str">
        <f>_xlfn.IFNA(
    IF(J1662=
        "PCB-0001",
        "CSS",
        IF(
            ISNUMBER(MATCH(_xlfn.TEXTBEFORE(J1662,"-"), {"CSS","CSN","PCB","PCF","BEC","CSD","PCM"}, 0)),
            _xlfn.TEXTBEFORE(J1662,"-"),
            "Other"
        )
    ),
"Add")</f>
        <v>PCM</v>
      </c>
      <c r="B1662" s="10" t="str">
        <f t="shared" si="26"/>
        <v>0116</v>
      </c>
      <c r="C1662" s="10" t="str">
        <f>_xlfn.LET(
    _xlpm.val, IF(Datadetails[[#This Row],[Activity]]="D02","C20",Datadetails[[#This Row],[Activity]]),
    IF(ISNUMBER(MATCH(_xlpm.val,{"D04","C30","c40","C20"},0)), _xlpm.val, "Other")
)</f>
        <v>C20</v>
      </c>
      <c r="D1662" s="10" t="str">
        <f>IFERROR(VLOOKUP(Datadetails[[#This Row],[Taskcode]],Dashboard!A:A,1,FALSE),"00 Err Missing")</f>
        <v>0116</v>
      </c>
      <c r="E1662" s="79">
        <v>45866</v>
      </c>
      <c r="F1662" s="80" t="s">
        <v>323</v>
      </c>
      <c r="G1662" s="60" t="s">
        <v>40</v>
      </c>
      <c r="H1662" s="80" t="s">
        <v>283</v>
      </c>
      <c r="I1662" s="80" t="s">
        <v>36</v>
      </c>
      <c r="J1662" s="80" t="s">
        <v>429</v>
      </c>
      <c r="K1662" s="80" t="s">
        <v>346</v>
      </c>
      <c r="L1662" s="80" t="s">
        <v>342</v>
      </c>
      <c r="M1662" s="81">
        <v>0.25</v>
      </c>
      <c r="N1662" s="82">
        <v>15</v>
      </c>
    </row>
    <row r="1663" spans="1:14" x14ac:dyDescent="0.25">
      <c r="A1663" s="10" t="str">
        <f>_xlfn.IFNA(
    IF(J1663=
        "PCB-0001",
        "CSS",
        IF(
            ISNUMBER(MATCH(_xlfn.TEXTBEFORE(J1663,"-"), {"CSS","CSN","PCB","PCF","BEC","CSD","PCM"}, 0)),
            _xlfn.TEXTBEFORE(J1663,"-"),
            "Other"
        )
    ),
"Add")</f>
        <v>PCM</v>
      </c>
      <c r="B1663" s="10" t="str">
        <f t="shared" si="26"/>
        <v>0099</v>
      </c>
      <c r="C1663" s="10" t="str">
        <f>_xlfn.LET(
    _xlpm.val, IF(Datadetails[[#This Row],[Activity]]="D02","C20",Datadetails[[#This Row],[Activity]]),
    IF(ISNUMBER(MATCH(_xlpm.val,{"D04","C30","c40","C20"},0)), _xlpm.val, "Other")
)</f>
        <v>C40</v>
      </c>
      <c r="D1663" s="10" t="str">
        <f>IFERROR(VLOOKUP(Datadetails[[#This Row],[Taskcode]],Dashboard!A:A,1,FALSE),"00 Err Missing")</f>
        <v>0099</v>
      </c>
      <c r="E1663" s="79">
        <v>45866</v>
      </c>
      <c r="F1663" s="80" t="s">
        <v>323</v>
      </c>
      <c r="G1663" s="60" t="s">
        <v>40</v>
      </c>
      <c r="H1663" s="80" t="s">
        <v>266</v>
      </c>
      <c r="I1663" s="80" t="s">
        <v>341</v>
      </c>
      <c r="J1663" s="80" t="s">
        <v>394</v>
      </c>
      <c r="K1663" s="80" t="s">
        <v>346</v>
      </c>
      <c r="L1663" s="80" t="s">
        <v>344</v>
      </c>
      <c r="M1663" s="81">
        <v>1</v>
      </c>
      <c r="N1663" s="82">
        <v>60</v>
      </c>
    </row>
    <row r="1664" spans="1:14" x14ac:dyDescent="0.25">
      <c r="A1664" s="10" t="str">
        <f>_xlfn.IFNA(
    IF(J1664=
        "PCB-0001",
        "CSS",
        IF(
            ISNUMBER(MATCH(_xlfn.TEXTBEFORE(J1664,"-"), {"CSS","CSN","PCB","PCF","BEC","CSD","PCM"}, 0)),
            _xlfn.TEXTBEFORE(J1664,"-"),
            "Other"
        )
    ),
"Add")</f>
        <v>PCB</v>
      </c>
      <c r="B1664" s="10" t="str">
        <f t="shared" si="26"/>
        <v>0019</v>
      </c>
      <c r="C1664" s="10" t="str">
        <f>_xlfn.LET(
    _xlpm.val, IF(Datadetails[[#This Row],[Activity]]="D02","C20",Datadetails[[#This Row],[Activity]]),
    IF(ISNUMBER(MATCH(_xlpm.val,{"D04","C30","c40","C20"},0)), _xlpm.val, "Other")
)</f>
        <v>C30</v>
      </c>
      <c r="D1664" s="10" t="str">
        <f>IFERROR(VLOOKUP(Datadetails[[#This Row],[Taskcode]],Dashboard!A:A,1,FALSE),"00 Err Missing")</f>
        <v>0019</v>
      </c>
      <c r="E1664" s="79">
        <v>45866</v>
      </c>
      <c r="F1664" s="80" t="s">
        <v>329</v>
      </c>
      <c r="G1664" s="60" t="s">
        <v>40</v>
      </c>
      <c r="H1664" s="80" t="s">
        <v>186</v>
      </c>
      <c r="I1664" s="80" t="s">
        <v>34</v>
      </c>
      <c r="J1664" s="80" t="s">
        <v>397</v>
      </c>
      <c r="K1664" s="80" t="s">
        <v>347</v>
      </c>
      <c r="L1664" s="80" t="s">
        <v>343</v>
      </c>
      <c r="M1664" s="81">
        <v>0.08</v>
      </c>
      <c r="N1664" s="82">
        <v>6</v>
      </c>
    </row>
    <row r="1665" spans="1:14" x14ac:dyDescent="0.25">
      <c r="A1665" s="10" t="str">
        <f>_xlfn.IFNA(
    IF(J1665=
        "PCB-0001",
        "CSS",
        IF(
            ISNUMBER(MATCH(_xlfn.TEXTBEFORE(J1665,"-"), {"CSS","CSN","PCB","PCF","BEC","CSD","PCM"}, 0)),
            _xlfn.TEXTBEFORE(J1665,"-"),
            "Other"
        )
    ),
"Add")</f>
        <v>PCB</v>
      </c>
      <c r="B1665" s="10" t="str">
        <f t="shared" si="26"/>
        <v>0015</v>
      </c>
      <c r="C1665" s="10" t="str">
        <f>_xlfn.LET(
    _xlpm.val, IF(Datadetails[[#This Row],[Activity]]="D02","C20",Datadetails[[#This Row],[Activity]]),
    IF(ISNUMBER(MATCH(_xlpm.val,{"D04","C30","c40","C20"},0)), _xlpm.val, "Other")
)</f>
        <v>C30</v>
      </c>
      <c r="D1665" s="10" t="str">
        <f>IFERROR(VLOOKUP(Datadetails[[#This Row],[Taskcode]],Dashboard!A:A,1,FALSE),"00 Err Missing")</f>
        <v>0015</v>
      </c>
      <c r="E1665" s="79">
        <v>45866</v>
      </c>
      <c r="F1665" s="80" t="s">
        <v>325</v>
      </c>
      <c r="G1665" s="60" t="s">
        <v>40</v>
      </c>
      <c r="H1665" s="80" t="s">
        <v>182</v>
      </c>
      <c r="I1665" s="80" t="s">
        <v>34</v>
      </c>
      <c r="J1665" s="80" t="s">
        <v>467</v>
      </c>
      <c r="K1665" s="80" t="s">
        <v>347</v>
      </c>
      <c r="L1665" s="80" t="s">
        <v>343</v>
      </c>
      <c r="M1665" s="81">
        <v>0.17</v>
      </c>
      <c r="N1665" s="82">
        <v>12.750000000000002</v>
      </c>
    </row>
    <row r="1666" spans="1:14" x14ac:dyDescent="0.25">
      <c r="A1666" s="10" t="str">
        <f>_xlfn.IFNA(
    IF(J1666=
        "PCB-0001",
        "CSS",
        IF(
            ISNUMBER(MATCH(_xlfn.TEXTBEFORE(J1666,"-"), {"CSS","CSN","PCB","PCF","BEC","CSD","PCM"}, 0)),
            _xlfn.TEXTBEFORE(J1666,"-"),
            "Other"
        )
    ),
"Add")</f>
        <v>PCB</v>
      </c>
      <c r="B1666" s="10" t="str">
        <f t="shared" si="26"/>
        <v>0124</v>
      </c>
      <c r="C1666" s="10" t="str">
        <f>_xlfn.LET(
    _xlpm.val, IF(Datadetails[[#This Row],[Activity]]="D02","C20",Datadetails[[#This Row],[Activity]]),
    IF(ISNUMBER(MATCH(_xlpm.val,{"D04","C30","c40","C20"},0)), _xlpm.val, "Other")
)</f>
        <v>C30</v>
      </c>
      <c r="D1666" s="10" t="str">
        <f>IFERROR(VLOOKUP(Datadetails[[#This Row],[Taskcode]],Dashboard!A:A,1,FALSE),"00 Err Missing")</f>
        <v>0124</v>
      </c>
      <c r="E1666" s="79">
        <v>45866</v>
      </c>
      <c r="F1666" s="80" t="s">
        <v>325</v>
      </c>
      <c r="G1666" s="60" t="s">
        <v>40</v>
      </c>
      <c r="H1666" s="80" t="s">
        <v>291</v>
      </c>
      <c r="I1666" s="80" t="s">
        <v>34</v>
      </c>
      <c r="J1666" s="80" t="s">
        <v>412</v>
      </c>
      <c r="K1666" s="80" t="s">
        <v>347</v>
      </c>
      <c r="L1666" s="80" t="s">
        <v>343</v>
      </c>
      <c r="M1666" s="81">
        <v>0.17</v>
      </c>
      <c r="N1666" s="82">
        <v>12.750000000000002</v>
      </c>
    </row>
    <row r="1667" spans="1:14" x14ac:dyDescent="0.25">
      <c r="A1667" s="10" t="str">
        <f>_xlfn.IFNA(
    IF(J1667=
        "PCB-0001",
        "CSS",
        IF(
            ISNUMBER(MATCH(_xlfn.TEXTBEFORE(J1667,"-"), {"CSS","CSN","PCB","PCF","BEC","CSD","PCM"}, 0)),
            _xlfn.TEXTBEFORE(J1667,"-"),
            "Other"
        )
    ),
"Add")</f>
        <v>PCB</v>
      </c>
      <c r="B1667" s="10" t="str">
        <f t="shared" si="26"/>
        <v>0082</v>
      </c>
      <c r="C1667" s="10" t="str">
        <f>_xlfn.LET(
    _xlpm.val, IF(Datadetails[[#This Row],[Activity]]="D02","C20",Datadetails[[#This Row],[Activity]]),
    IF(ISNUMBER(MATCH(_xlpm.val,{"D04","C30","c40","C20"},0)), _xlpm.val, "Other")
)</f>
        <v>C30</v>
      </c>
      <c r="D1667" s="10" t="str">
        <f>IFERROR(VLOOKUP(Datadetails[[#This Row],[Taskcode]],Dashboard!A:A,1,FALSE),"00 Err Missing")</f>
        <v>0082</v>
      </c>
      <c r="E1667" s="79">
        <v>45866</v>
      </c>
      <c r="F1667" s="80" t="s">
        <v>325</v>
      </c>
      <c r="G1667" s="60" t="s">
        <v>40</v>
      </c>
      <c r="H1667" s="80" t="s">
        <v>249</v>
      </c>
      <c r="I1667" s="80" t="s">
        <v>34</v>
      </c>
      <c r="J1667" s="80" t="s">
        <v>409</v>
      </c>
      <c r="K1667" s="80" t="s">
        <v>347</v>
      </c>
      <c r="L1667" s="80" t="s">
        <v>343</v>
      </c>
      <c r="M1667" s="81">
        <v>0.17</v>
      </c>
      <c r="N1667" s="82">
        <v>12.750000000000002</v>
      </c>
    </row>
    <row r="1668" spans="1:14" x14ac:dyDescent="0.25">
      <c r="A1668" s="10" t="str">
        <f>_xlfn.IFNA(
    IF(J1668=
        "PCB-0001",
        "CSS",
        IF(
            ISNUMBER(MATCH(_xlfn.TEXTBEFORE(J1668,"-"), {"CSS","CSN","PCB","PCF","BEC","CSD","PCM"}, 0)),
            _xlfn.TEXTBEFORE(J1668,"-"),
            "Other"
        )
    ),
"Add")</f>
        <v>PCB</v>
      </c>
      <c r="B1668" s="10" t="str">
        <f t="shared" ref="B1668:B1731" si="27">_xlfn.IFNA(_xlfn.TEXTAFTER(J1668,"-"),"Data to C2")</f>
        <v>0080</v>
      </c>
      <c r="C1668" s="10" t="str">
        <f>_xlfn.LET(
    _xlpm.val, IF(Datadetails[[#This Row],[Activity]]="D02","C20",Datadetails[[#This Row],[Activity]]),
    IF(ISNUMBER(MATCH(_xlpm.val,{"D04","C30","c40","C20"},0)), _xlpm.val, "Other")
)</f>
        <v>C30</v>
      </c>
      <c r="D1668" s="10" t="str">
        <f>IFERROR(VLOOKUP(Datadetails[[#This Row],[Taskcode]],Dashboard!A:A,1,FALSE),"00 Err Missing")</f>
        <v>0080</v>
      </c>
      <c r="E1668" s="79">
        <v>45866</v>
      </c>
      <c r="F1668" s="80" t="s">
        <v>329</v>
      </c>
      <c r="G1668" s="60" t="s">
        <v>40</v>
      </c>
      <c r="H1668" s="80" t="s">
        <v>247</v>
      </c>
      <c r="I1668" s="80" t="s">
        <v>34</v>
      </c>
      <c r="J1668" s="80" t="s">
        <v>375</v>
      </c>
      <c r="K1668" s="80" t="s">
        <v>347</v>
      </c>
      <c r="L1668" s="80" t="s">
        <v>343</v>
      </c>
      <c r="M1668" s="81">
        <v>0.17</v>
      </c>
      <c r="N1668" s="82">
        <v>12.750000000000002</v>
      </c>
    </row>
    <row r="1669" spans="1:14" x14ac:dyDescent="0.25">
      <c r="A1669" s="10" t="str">
        <f>_xlfn.IFNA(
    IF(J1669=
        "PCB-0001",
        "CSS",
        IF(
            ISNUMBER(MATCH(_xlfn.TEXTBEFORE(J1669,"-"), {"CSS","CSN","PCB","PCF","BEC","CSD","PCM"}, 0)),
            _xlfn.TEXTBEFORE(J1669,"-"),
            "Other"
        )
    ),
"Add")</f>
        <v>PCB</v>
      </c>
      <c r="B1669" s="10" t="str">
        <f t="shared" si="27"/>
        <v>0085</v>
      </c>
      <c r="C1669" s="10" t="str">
        <f>_xlfn.LET(
    _xlpm.val, IF(Datadetails[[#This Row],[Activity]]="D02","C20",Datadetails[[#This Row],[Activity]]),
    IF(ISNUMBER(MATCH(_xlpm.val,{"D04","C30","c40","C20"},0)), _xlpm.val, "Other")
)</f>
        <v>C30</v>
      </c>
      <c r="D1669" s="10" t="str">
        <f>IFERROR(VLOOKUP(Datadetails[[#This Row],[Taskcode]],Dashboard!A:A,1,FALSE),"00 Err Missing")</f>
        <v>0085</v>
      </c>
      <c r="E1669" s="79">
        <v>45866</v>
      </c>
      <c r="F1669" s="80" t="s">
        <v>330</v>
      </c>
      <c r="G1669" s="60" t="s">
        <v>40</v>
      </c>
      <c r="H1669" s="80" t="s">
        <v>252</v>
      </c>
      <c r="I1669" s="80" t="s">
        <v>34</v>
      </c>
      <c r="J1669" s="80" t="s">
        <v>416</v>
      </c>
      <c r="K1669" s="80" t="s">
        <v>347</v>
      </c>
      <c r="L1669" s="80" t="s">
        <v>343</v>
      </c>
      <c r="M1669" s="81">
        <v>0.5</v>
      </c>
      <c r="N1669" s="82">
        <v>30</v>
      </c>
    </row>
    <row r="1670" spans="1:14" x14ac:dyDescent="0.25">
      <c r="A1670" s="10" t="str">
        <f>_xlfn.IFNA(
    IF(J1670=
        "PCB-0001",
        "CSS",
        IF(
            ISNUMBER(MATCH(_xlfn.TEXTBEFORE(J1670,"-"), {"CSS","CSN","PCB","PCF","BEC","CSD","PCM"}, 0)),
            _xlfn.TEXTBEFORE(J1670,"-"),
            "Other"
        )
    ),
"Add")</f>
        <v>PCF</v>
      </c>
      <c r="B1670" s="10" t="str">
        <f t="shared" si="27"/>
        <v>0060</v>
      </c>
      <c r="C1670" s="10" t="str">
        <f>_xlfn.LET(
    _xlpm.val, IF(Datadetails[[#This Row],[Activity]]="D02","C20",Datadetails[[#This Row],[Activity]]),
    IF(ISNUMBER(MATCH(_xlpm.val,{"D04","C30","c40","C20"},0)), _xlpm.val, "Other")
)</f>
        <v>C30</v>
      </c>
      <c r="D1670" s="10" t="str">
        <f>IFERROR(VLOOKUP(Datadetails[[#This Row],[Taskcode]],Dashboard!A:A,1,FALSE),"00 Err Missing")</f>
        <v>0060</v>
      </c>
      <c r="E1670" s="79">
        <v>45866</v>
      </c>
      <c r="F1670" s="80" t="s">
        <v>326</v>
      </c>
      <c r="G1670" s="60" t="s">
        <v>40</v>
      </c>
      <c r="H1670" s="80" t="s">
        <v>227</v>
      </c>
      <c r="I1670" s="80" t="s">
        <v>34</v>
      </c>
      <c r="J1670" s="80" t="s">
        <v>453</v>
      </c>
      <c r="K1670" s="80" t="s">
        <v>348</v>
      </c>
      <c r="L1670" s="80" t="s">
        <v>343</v>
      </c>
      <c r="M1670" s="81">
        <v>0.33</v>
      </c>
      <c r="N1670" s="82">
        <v>19.8</v>
      </c>
    </row>
    <row r="1671" spans="1:14" x14ac:dyDescent="0.25">
      <c r="A1671" s="10" t="str">
        <f>_xlfn.IFNA(
    IF(J1671=
        "PCB-0001",
        "CSS",
        IF(
            ISNUMBER(MATCH(_xlfn.TEXTBEFORE(J1671,"-"), {"CSS","CSN","PCB","PCF","BEC","CSD","PCM"}, 0)),
            _xlfn.TEXTBEFORE(J1671,"-"),
            "Other"
        )
    ),
"Add")</f>
        <v>BEC</v>
      </c>
      <c r="B1671" s="10" t="str">
        <f t="shared" si="27"/>
        <v>0001</v>
      </c>
      <c r="C1671" s="10" t="str">
        <f>_xlfn.LET(
    _xlpm.val, IF(Datadetails[[#This Row],[Activity]]="D02","C20",Datadetails[[#This Row],[Activity]]),
    IF(ISNUMBER(MATCH(_xlpm.val,{"D04","C30","c40","C20"},0)), _xlpm.val, "Other")
)</f>
        <v>D04</v>
      </c>
      <c r="D1671" s="10" t="str">
        <f>IFERROR(VLOOKUP(Datadetails[[#This Row],[Taskcode]],Dashboard!A:A,1,FALSE),"00 Err Missing")</f>
        <v>0001</v>
      </c>
      <c r="E1671" s="79">
        <v>45866</v>
      </c>
      <c r="F1671" s="80" t="s">
        <v>332</v>
      </c>
      <c r="G1671" s="60" t="s">
        <v>40</v>
      </c>
      <c r="H1671" s="80" t="s">
        <v>314</v>
      </c>
      <c r="I1671" s="80" t="s">
        <v>35</v>
      </c>
      <c r="J1671" s="80" t="s">
        <v>359</v>
      </c>
      <c r="K1671" s="80" t="s">
        <v>339</v>
      </c>
      <c r="L1671" s="80" t="s">
        <v>352</v>
      </c>
      <c r="M1671" s="81">
        <v>9.33</v>
      </c>
      <c r="N1671" s="82">
        <v>373.2</v>
      </c>
    </row>
    <row r="1672" spans="1:14" x14ac:dyDescent="0.25">
      <c r="A1672" s="10" t="str">
        <f>_xlfn.IFNA(
    IF(J1672=
        "PCB-0001",
        "CSS",
        IF(
            ISNUMBER(MATCH(_xlfn.TEXTBEFORE(J1672,"-"), {"CSS","CSN","PCB","PCF","BEC","CSD","PCM"}, 0)),
            _xlfn.TEXTBEFORE(J1672,"-"),
            "Other"
        )
    ),
"Add")</f>
        <v>BEC</v>
      </c>
      <c r="B1672" s="10" t="str">
        <f t="shared" si="27"/>
        <v>0001</v>
      </c>
      <c r="C1672" s="10" t="str">
        <f>_xlfn.LET(
    _xlpm.val, IF(Datadetails[[#This Row],[Activity]]="D02","C20",Datadetails[[#This Row],[Activity]]),
    IF(ISNUMBER(MATCH(_xlpm.val,{"D04","C30","c40","C20"},0)), _xlpm.val, "Other")
)</f>
        <v>D04</v>
      </c>
      <c r="D1672" s="10" t="str">
        <f>IFERROR(VLOOKUP(Datadetails[[#This Row],[Taskcode]],Dashboard!A:A,1,FALSE),"00 Err Missing")</f>
        <v>0001</v>
      </c>
      <c r="E1672" s="79">
        <v>45866</v>
      </c>
      <c r="F1672" s="80" t="s">
        <v>324</v>
      </c>
      <c r="G1672" s="60" t="s">
        <v>40</v>
      </c>
      <c r="H1672" s="80" t="s">
        <v>314</v>
      </c>
      <c r="I1672" s="80" t="s">
        <v>35</v>
      </c>
      <c r="J1672" s="80" t="s">
        <v>359</v>
      </c>
      <c r="K1672" s="80" t="s">
        <v>339</v>
      </c>
      <c r="L1672" s="80" t="s">
        <v>352</v>
      </c>
      <c r="M1672" s="81">
        <v>6</v>
      </c>
      <c r="N1672" s="82">
        <v>450</v>
      </c>
    </row>
    <row r="1673" spans="1:14" x14ac:dyDescent="0.25">
      <c r="A1673" s="10" t="str">
        <f>_xlfn.IFNA(
    IF(J1673=
        "PCB-0001",
        "CSS",
        IF(
            ISNUMBER(MATCH(_xlfn.TEXTBEFORE(J1673,"-"), {"CSS","CSN","PCB","PCF","BEC","CSD","PCM"}, 0)),
            _xlfn.TEXTBEFORE(J1673,"-"),
            "Other"
        )
    ),
"Add")</f>
        <v>CSN</v>
      </c>
      <c r="B1673" s="10" t="str">
        <f t="shared" si="27"/>
        <v>0001</v>
      </c>
      <c r="C1673" s="10" t="str">
        <f>_xlfn.LET(
    _xlpm.val, IF(Datadetails[[#This Row],[Activity]]="D02","C20",Datadetails[[#This Row],[Activity]]),
    IF(ISNUMBER(MATCH(_xlpm.val,{"D04","C30","c40","C20"},0)), _xlpm.val, "Other")
)</f>
        <v>D04</v>
      </c>
      <c r="D1673" s="10" t="str">
        <f>IFERROR(VLOOKUP(Datadetails[[#This Row],[Taskcode]],Dashboard!A:A,1,FALSE),"00 Err Missing")</f>
        <v>0001</v>
      </c>
      <c r="E1673" s="79">
        <v>45867</v>
      </c>
      <c r="F1673" s="80" t="s">
        <v>329</v>
      </c>
      <c r="G1673" s="60" t="s">
        <v>40</v>
      </c>
      <c r="H1673" s="80" t="s">
        <v>316</v>
      </c>
      <c r="I1673" s="80" t="s">
        <v>35</v>
      </c>
      <c r="J1673" s="80" t="s">
        <v>338</v>
      </c>
      <c r="K1673" s="80" t="s">
        <v>337</v>
      </c>
      <c r="L1673" s="80" t="s">
        <v>352</v>
      </c>
      <c r="M1673" s="81">
        <v>0.17</v>
      </c>
      <c r="N1673" s="82">
        <v>12.750000000000002</v>
      </c>
    </row>
    <row r="1674" spans="1:14" x14ac:dyDescent="0.25">
      <c r="A1674" s="10" t="str">
        <f>_xlfn.IFNA(
    IF(J1674=
        "PCB-0001",
        "CSS",
        IF(
            ISNUMBER(MATCH(_xlfn.TEXTBEFORE(J1674,"-"), {"CSS","CSN","PCB","PCF","BEC","CSD","PCM"}, 0)),
            _xlfn.TEXTBEFORE(J1674,"-"),
            "Other"
        )
    ),
"Add")</f>
        <v>CSD</v>
      </c>
      <c r="B1674" s="10" t="str">
        <f t="shared" si="27"/>
        <v>0001</v>
      </c>
      <c r="C1674" s="10" t="str">
        <f>_xlfn.LET(
    _xlpm.val, IF(Datadetails[[#This Row],[Activity]]="D02","C20",Datadetails[[#This Row],[Activity]]),
    IF(ISNUMBER(MATCH(_xlpm.val,{"D04","C30","c40","C20"},0)), _xlpm.val, "Other")
)</f>
        <v>D04</v>
      </c>
      <c r="D1674" s="10" t="str">
        <f>IFERROR(VLOOKUP(Datadetails[[#This Row],[Taskcode]],Dashboard!A:A,1,FALSE),"00 Err Missing")</f>
        <v>0001</v>
      </c>
      <c r="E1674" s="79">
        <v>45867</v>
      </c>
      <c r="F1674" s="80" t="s">
        <v>333</v>
      </c>
      <c r="G1674" s="60" t="s">
        <v>40</v>
      </c>
      <c r="H1674" s="80" t="s">
        <v>320</v>
      </c>
      <c r="I1674" s="80" t="s">
        <v>35</v>
      </c>
      <c r="J1674" s="80" t="s">
        <v>322</v>
      </c>
      <c r="K1674" s="80" t="s">
        <v>319</v>
      </c>
      <c r="L1674" s="80" t="s">
        <v>352</v>
      </c>
      <c r="M1674" s="81">
        <v>7.15</v>
      </c>
      <c r="N1674" s="82">
        <v>228.8</v>
      </c>
    </row>
    <row r="1675" spans="1:14" x14ac:dyDescent="0.25">
      <c r="A1675" s="10" t="str">
        <f>_xlfn.IFNA(
    IF(J1675=
        "PCB-0001",
        "CSS",
        IF(
            ISNUMBER(MATCH(_xlfn.TEXTBEFORE(J1675,"-"), {"CSS","CSN","PCB","PCF","BEC","CSD","PCM"}, 0)),
            _xlfn.TEXTBEFORE(J1675,"-"),
            "Other"
        )
    ),
"Add")</f>
        <v>CSD</v>
      </c>
      <c r="B1675" s="10" t="str">
        <f t="shared" si="27"/>
        <v>0001</v>
      </c>
      <c r="C1675" s="10" t="str">
        <f>_xlfn.LET(
    _xlpm.val, IF(Datadetails[[#This Row],[Activity]]="D02","C20",Datadetails[[#This Row],[Activity]]),
    IF(ISNUMBER(MATCH(_xlpm.val,{"D04","C30","c40","C20"},0)), _xlpm.val, "Other")
)</f>
        <v>D04</v>
      </c>
      <c r="D1675" s="10" t="str">
        <f>IFERROR(VLOOKUP(Datadetails[[#This Row],[Taskcode]],Dashboard!A:A,1,FALSE),"00 Err Missing")</f>
        <v>0001</v>
      </c>
      <c r="E1675" s="79">
        <v>45867</v>
      </c>
      <c r="F1675" s="80" t="s">
        <v>327</v>
      </c>
      <c r="G1675" s="60" t="s">
        <v>40</v>
      </c>
      <c r="H1675" s="80" t="s">
        <v>320</v>
      </c>
      <c r="I1675" s="80" t="s">
        <v>35</v>
      </c>
      <c r="J1675" s="80" t="s">
        <v>322</v>
      </c>
      <c r="K1675" s="80" t="s">
        <v>319</v>
      </c>
      <c r="L1675" s="80" t="s">
        <v>352</v>
      </c>
      <c r="M1675" s="81">
        <v>7.33</v>
      </c>
      <c r="N1675" s="82">
        <v>234.56</v>
      </c>
    </row>
    <row r="1676" spans="1:14" x14ac:dyDescent="0.25">
      <c r="A1676" s="10" t="str">
        <f>_xlfn.IFNA(
    IF(J1676=
        "PCB-0001",
        "CSS",
        IF(
            ISNUMBER(MATCH(_xlfn.TEXTBEFORE(J1676,"-"), {"CSS","CSN","PCB","PCF","BEC","CSD","PCM"}, 0)),
            _xlfn.TEXTBEFORE(J1676,"-"),
            "Other"
        )
    ),
"Add")</f>
        <v>PCB</v>
      </c>
      <c r="B1676" s="10" t="str">
        <f t="shared" si="27"/>
        <v>0082</v>
      </c>
      <c r="C1676" s="10" t="str">
        <f>_xlfn.LET(
    _xlpm.val, IF(Datadetails[[#This Row],[Activity]]="D02","C20",Datadetails[[#This Row],[Activity]]),
    IF(ISNUMBER(MATCH(_xlpm.val,{"D04","C30","c40","C20"},0)), _xlpm.val, "Other")
)</f>
        <v>C30</v>
      </c>
      <c r="D1676" s="10" t="str">
        <f>IFERROR(VLOOKUP(Datadetails[[#This Row],[Taskcode]],Dashboard!A:A,1,FALSE),"00 Err Missing")</f>
        <v>0082</v>
      </c>
      <c r="E1676" s="79">
        <v>45867</v>
      </c>
      <c r="F1676" s="80" t="s">
        <v>325</v>
      </c>
      <c r="G1676" s="60" t="s">
        <v>40</v>
      </c>
      <c r="H1676" s="80" t="s">
        <v>249</v>
      </c>
      <c r="I1676" s="80" t="s">
        <v>34</v>
      </c>
      <c r="J1676" s="80" t="s">
        <v>409</v>
      </c>
      <c r="K1676" s="80" t="s">
        <v>347</v>
      </c>
      <c r="L1676" s="80" t="s">
        <v>343</v>
      </c>
      <c r="M1676" s="81">
        <v>0.17</v>
      </c>
      <c r="N1676" s="82">
        <v>12.750000000000002</v>
      </c>
    </row>
    <row r="1677" spans="1:14" x14ac:dyDescent="0.25">
      <c r="A1677" s="10" t="str">
        <f>_xlfn.IFNA(
    IF(J1677=
        "PCB-0001",
        "CSS",
        IF(
            ISNUMBER(MATCH(_xlfn.TEXTBEFORE(J1677,"-"), {"CSS","CSN","PCB","PCF","BEC","CSD","PCM"}, 0)),
            _xlfn.TEXTBEFORE(J1677,"-"),
            "Other"
        )
    ),
"Add")</f>
        <v>PCB</v>
      </c>
      <c r="B1677" s="10" t="str">
        <f t="shared" si="27"/>
        <v>0080</v>
      </c>
      <c r="C1677" s="10" t="str">
        <f>_xlfn.LET(
    _xlpm.val, IF(Datadetails[[#This Row],[Activity]]="D02","C20",Datadetails[[#This Row],[Activity]]),
    IF(ISNUMBER(MATCH(_xlpm.val,{"D04","C30","c40","C20"},0)), _xlpm.val, "Other")
)</f>
        <v>C30</v>
      </c>
      <c r="D1677" s="10" t="str">
        <f>IFERROR(VLOOKUP(Datadetails[[#This Row],[Taskcode]],Dashboard!A:A,1,FALSE),"00 Err Missing")</f>
        <v>0080</v>
      </c>
      <c r="E1677" s="79">
        <v>45867</v>
      </c>
      <c r="F1677" s="80" t="s">
        <v>329</v>
      </c>
      <c r="G1677" s="60" t="s">
        <v>40</v>
      </c>
      <c r="H1677" s="80" t="s">
        <v>247</v>
      </c>
      <c r="I1677" s="80" t="s">
        <v>34</v>
      </c>
      <c r="J1677" s="80" t="s">
        <v>375</v>
      </c>
      <c r="K1677" s="80" t="s">
        <v>347</v>
      </c>
      <c r="L1677" s="80" t="s">
        <v>343</v>
      </c>
      <c r="M1677" s="81">
        <v>0.25</v>
      </c>
      <c r="N1677" s="82">
        <v>18.75</v>
      </c>
    </row>
    <row r="1678" spans="1:14" x14ac:dyDescent="0.25">
      <c r="A1678" s="10" t="str">
        <f>_xlfn.IFNA(
    IF(J1678=
        "PCB-0001",
        "CSS",
        IF(
            ISNUMBER(MATCH(_xlfn.TEXTBEFORE(J1678,"-"), {"CSS","CSN","PCB","PCF","BEC","CSD","PCM"}, 0)),
            _xlfn.TEXTBEFORE(J1678,"-"),
            "Other"
        )
    ),
"Add")</f>
        <v>PCB</v>
      </c>
      <c r="B1678" s="10" t="str">
        <f t="shared" si="27"/>
        <v>0111</v>
      </c>
      <c r="C1678" s="10" t="str">
        <f>_xlfn.LET(
    _xlpm.val, IF(Datadetails[[#This Row],[Activity]]="D02","C20",Datadetails[[#This Row],[Activity]]),
    IF(ISNUMBER(MATCH(_xlpm.val,{"D04","C30","c40","C20"},0)), _xlpm.val, "Other")
)</f>
        <v>C40</v>
      </c>
      <c r="D1678" s="10" t="str">
        <f>IFERROR(VLOOKUP(Datadetails[[#This Row],[Taskcode]],Dashboard!A:A,1,FALSE),"00 Err Missing")</f>
        <v>0111</v>
      </c>
      <c r="E1678" s="79">
        <v>45867</v>
      </c>
      <c r="F1678" s="80" t="s">
        <v>325</v>
      </c>
      <c r="G1678" s="60" t="s">
        <v>40</v>
      </c>
      <c r="H1678" s="80" t="s">
        <v>278</v>
      </c>
      <c r="I1678" s="80" t="s">
        <v>341</v>
      </c>
      <c r="J1678" s="80" t="s">
        <v>452</v>
      </c>
      <c r="K1678" s="80" t="s">
        <v>347</v>
      </c>
      <c r="L1678" s="80" t="s">
        <v>344</v>
      </c>
      <c r="M1678" s="81">
        <v>0.17</v>
      </c>
      <c r="N1678" s="82">
        <v>12.750000000000002</v>
      </c>
    </row>
    <row r="1679" spans="1:14" x14ac:dyDescent="0.25">
      <c r="A1679" s="10" t="str">
        <f>_xlfn.IFNA(
    IF(J1679=
        "PCB-0001",
        "CSS",
        IF(
            ISNUMBER(MATCH(_xlfn.TEXTBEFORE(J1679,"-"), {"CSS","CSN","PCB","PCF","BEC","CSD","PCM"}, 0)),
            _xlfn.TEXTBEFORE(J1679,"-"),
            "Other"
        )
    ),
"Add")</f>
        <v>PCF</v>
      </c>
      <c r="B1679" s="10" t="str">
        <f t="shared" si="27"/>
        <v>0098</v>
      </c>
      <c r="C1679" s="10" t="str">
        <f>_xlfn.LET(
    _xlpm.val, IF(Datadetails[[#This Row],[Activity]]="D02","C20",Datadetails[[#This Row],[Activity]]),
    IF(ISNUMBER(MATCH(_xlpm.val,{"D04","C30","c40","C20"},0)), _xlpm.val, "Other")
)</f>
        <v>C30</v>
      </c>
      <c r="D1679" s="10" t="str">
        <f>IFERROR(VLOOKUP(Datadetails[[#This Row],[Taskcode]],Dashboard!A:A,1,FALSE),"00 Err Missing")</f>
        <v>0098</v>
      </c>
      <c r="E1679" s="79">
        <v>45867</v>
      </c>
      <c r="F1679" s="80" t="s">
        <v>326</v>
      </c>
      <c r="G1679" s="60" t="s">
        <v>40</v>
      </c>
      <c r="H1679" s="80" t="s">
        <v>265</v>
      </c>
      <c r="I1679" s="80" t="s">
        <v>34</v>
      </c>
      <c r="J1679" s="80" t="s">
        <v>358</v>
      </c>
      <c r="K1679" s="80" t="s">
        <v>348</v>
      </c>
      <c r="L1679" s="80" t="s">
        <v>343</v>
      </c>
      <c r="M1679" s="81">
        <v>0.25</v>
      </c>
      <c r="N1679" s="82">
        <v>15</v>
      </c>
    </row>
    <row r="1680" spans="1:14" x14ac:dyDescent="0.25">
      <c r="A1680" s="10" t="str">
        <f>_xlfn.IFNA(
    IF(J1680=
        "PCB-0001",
        "CSS",
        IF(
            ISNUMBER(MATCH(_xlfn.TEXTBEFORE(J1680,"-"), {"CSS","CSN","PCB","PCF","BEC","CSD","PCM"}, 0)),
            _xlfn.TEXTBEFORE(J1680,"-"),
            "Other"
        )
    ),
"Add")</f>
        <v>BEC</v>
      </c>
      <c r="B1680" s="10" t="str">
        <f t="shared" si="27"/>
        <v>0001</v>
      </c>
      <c r="C1680" s="10" t="str">
        <f>_xlfn.LET(
    _xlpm.val, IF(Datadetails[[#This Row],[Activity]]="D02","C20",Datadetails[[#This Row],[Activity]]),
    IF(ISNUMBER(MATCH(_xlpm.val,{"D04","C30","c40","C20"},0)), _xlpm.val, "Other")
)</f>
        <v>D04</v>
      </c>
      <c r="D1680" s="10" t="str">
        <f>IFERROR(VLOOKUP(Datadetails[[#This Row],[Taskcode]],Dashboard!A:A,1,FALSE),"00 Err Missing")</f>
        <v>0001</v>
      </c>
      <c r="E1680" s="79">
        <v>45867</v>
      </c>
      <c r="F1680" s="80" t="s">
        <v>332</v>
      </c>
      <c r="G1680" s="60" t="s">
        <v>40</v>
      </c>
      <c r="H1680" s="80" t="s">
        <v>314</v>
      </c>
      <c r="I1680" s="80" t="s">
        <v>35</v>
      </c>
      <c r="J1680" s="80" t="s">
        <v>359</v>
      </c>
      <c r="K1680" s="80" t="s">
        <v>339</v>
      </c>
      <c r="L1680" s="80" t="s">
        <v>352</v>
      </c>
      <c r="M1680" s="81">
        <v>1.83</v>
      </c>
      <c r="N1680" s="82">
        <v>73.2</v>
      </c>
    </row>
    <row r="1681" spans="1:14" x14ac:dyDescent="0.25">
      <c r="A1681" s="10" t="str">
        <f>_xlfn.IFNA(
    IF(J1681=
        "PCB-0001",
        "CSS",
        IF(
            ISNUMBER(MATCH(_xlfn.TEXTBEFORE(J1681,"-"), {"CSS","CSN","PCB","PCF","BEC","CSD","PCM"}, 0)),
            _xlfn.TEXTBEFORE(J1681,"-"),
            "Other"
        )
    ),
"Add")</f>
        <v>PCM</v>
      </c>
      <c r="B1681" s="10" t="str">
        <f t="shared" si="27"/>
        <v>0035</v>
      </c>
      <c r="C1681" s="10" t="str">
        <f>_xlfn.LET(
    _xlpm.val, IF(Datadetails[[#This Row],[Activity]]="D02","C20",Datadetails[[#This Row],[Activity]]),
    IF(ISNUMBER(MATCH(_xlpm.val,{"D04","C30","c40","C20"},0)), _xlpm.val, "Other")
)</f>
        <v>C20</v>
      </c>
      <c r="D1681" s="10" t="str">
        <f>IFERROR(VLOOKUP(Datadetails[[#This Row],[Taskcode]],Dashboard!A:A,1,FALSE),"00 Err Missing")</f>
        <v>0035</v>
      </c>
      <c r="E1681" s="79">
        <v>45868</v>
      </c>
      <c r="F1681" s="80" t="s">
        <v>323</v>
      </c>
      <c r="G1681" s="60" t="s">
        <v>40</v>
      </c>
      <c r="H1681" s="80" t="s">
        <v>202</v>
      </c>
      <c r="I1681" s="80" t="s">
        <v>36</v>
      </c>
      <c r="J1681" s="80" t="s">
        <v>431</v>
      </c>
      <c r="K1681" s="80" t="s">
        <v>346</v>
      </c>
      <c r="L1681" s="80" t="s">
        <v>342</v>
      </c>
      <c r="M1681" s="81">
        <v>0.5</v>
      </c>
      <c r="N1681" s="82">
        <v>30</v>
      </c>
    </row>
    <row r="1682" spans="1:14" x14ac:dyDescent="0.25">
      <c r="A1682" s="10" t="str">
        <f>_xlfn.IFNA(
    IF(J1682=
        "PCB-0001",
        "CSS",
        IF(
            ISNUMBER(MATCH(_xlfn.TEXTBEFORE(J1682,"-"), {"CSS","CSN","PCB","PCF","BEC","CSD","PCM"}, 0)),
            _xlfn.TEXTBEFORE(J1682,"-"),
            "Other"
        )
    ),
"Add")</f>
        <v>PCM</v>
      </c>
      <c r="B1682" s="10" t="str">
        <f t="shared" si="27"/>
        <v>0045</v>
      </c>
      <c r="C1682" s="10" t="str">
        <f>_xlfn.LET(
    _xlpm.val, IF(Datadetails[[#This Row],[Activity]]="D02","C20",Datadetails[[#This Row],[Activity]]),
    IF(ISNUMBER(MATCH(_xlpm.val,{"D04","C30","c40","C20"},0)), _xlpm.val, "Other")
)</f>
        <v>C20</v>
      </c>
      <c r="D1682" s="10" t="str">
        <f>IFERROR(VLOOKUP(Datadetails[[#This Row],[Taskcode]],Dashboard!A:A,1,FALSE),"00 Err Missing")</f>
        <v>0045</v>
      </c>
      <c r="E1682" s="79">
        <v>45868</v>
      </c>
      <c r="F1682" s="80" t="s">
        <v>323</v>
      </c>
      <c r="G1682" s="60" t="s">
        <v>40</v>
      </c>
      <c r="H1682" s="80" t="s">
        <v>212</v>
      </c>
      <c r="I1682" s="80" t="s">
        <v>36</v>
      </c>
      <c r="J1682" s="80" t="s">
        <v>392</v>
      </c>
      <c r="K1682" s="80" t="s">
        <v>346</v>
      </c>
      <c r="L1682" s="80" t="s">
        <v>342</v>
      </c>
      <c r="M1682" s="81">
        <v>0.5</v>
      </c>
      <c r="N1682" s="82">
        <v>30</v>
      </c>
    </row>
    <row r="1683" spans="1:14" x14ac:dyDescent="0.25">
      <c r="A1683" s="10" t="str">
        <f>_xlfn.IFNA(
    IF(J1683=
        "PCB-0001",
        "CSS",
        IF(
            ISNUMBER(MATCH(_xlfn.TEXTBEFORE(J1683,"-"), {"CSS","CSN","PCB","PCF","BEC","CSD","PCM"}, 0)),
            _xlfn.TEXTBEFORE(J1683,"-"),
            "Other"
        )
    ),
"Add")</f>
        <v>CSD</v>
      </c>
      <c r="B1683" s="10" t="str">
        <f t="shared" si="27"/>
        <v>0001</v>
      </c>
      <c r="C1683" s="10" t="str">
        <f>_xlfn.LET(
    _xlpm.val, IF(Datadetails[[#This Row],[Activity]]="D02","C20",Datadetails[[#This Row],[Activity]]),
    IF(ISNUMBER(MATCH(_xlpm.val,{"D04","C30","c40","C20"},0)), _xlpm.val, "Other")
)</f>
        <v>D04</v>
      </c>
      <c r="D1683" s="10" t="str">
        <f>IFERROR(VLOOKUP(Datadetails[[#This Row],[Taskcode]],Dashboard!A:A,1,FALSE),"00 Err Missing")</f>
        <v>0001</v>
      </c>
      <c r="E1683" s="79">
        <v>45868</v>
      </c>
      <c r="F1683" s="80" t="s">
        <v>333</v>
      </c>
      <c r="G1683" s="60" t="s">
        <v>40</v>
      </c>
      <c r="H1683" s="80" t="s">
        <v>320</v>
      </c>
      <c r="I1683" s="80" t="s">
        <v>35</v>
      </c>
      <c r="J1683" s="80" t="s">
        <v>322</v>
      </c>
      <c r="K1683" s="80" t="s">
        <v>319</v>
      </c>
      <c r="L1683" s="80" t="s">
        <v>352</v>
      </c>
      <c r="M1683" s="81">
        <v>7</v>
      </c>
      <c r="N1683" s="82">
        <v>224</v>
      </c>
    </row>
    <row r="1684" spans="1:14" x14ac:dyDescent="0.25">
      <c r="A1684" s="10" t="str">
        <f>_xlfn.IFNA(
    IF(J1684=
        "PCB-0001",
        "CSS",
        IF(
            ISNUMBER(MATCH(_xlfn.TEXTBEFORE(J1684,"-"), {"CSS","CSN","PCB","PCF","BEC","CSD","PCM"}, 0)),
            _xlfn.TEXTBEFORE(J1684,"-"),
            "Other"
        )
    ),
"Add")</f>
        <v>CSD</v>
      </c>
      <c r="B1684" s="10" t="str">
        <f t="shared" si="27"/>
        <v>0001</v>
      </c>
      <c r="C1684" s="10" t="str">
        <f>_xlfn.LET(
    _xlpm.val, IF(Datadetails[[#This Row],[Activity]]="D02","C20",Datadetails[[#This Row],[Activity]]),
    IF(ISNUMBER(MATCH(_xlpm.val,{"D04","C30","c40","C20"},0)), _xlpm.val, "Other")
)</f>
        <v>D04</v>
      </c>
      <c r="D1684" s="10" t="str">
        <f>IFERROR(VLOOKUP(Datadetails[[#This Row],[Taskcode]],Dashboard!A:A,1,FALSE),"00 Err Missing")</f>
        <v>0001</v>
      </c>
      <c r="E1684" s="79">
        <v>45868</v>
      </c>
      <c r="F1684" s="80" t="s">
        <v>327</v>
      </c>
      <c r="G1684" s="60" t="s">
        <v>40</v>
      </c>
      <c r="H1684" s="80" t="s">
        <v>320</v>
      </c>
      <c r="I1684" s="80" t="s">
        <v>35</v>
      </c>
      <c r="J1684" s="80" t="s">
        <v>322</v>
      </c>
      <c r="K1684" s="80" t="s">
        <v>319</v>
      </c>
      <c r="L1684" s="80" t="s">
        <v>352</v>
      </c>
      <c r="M1684" s="81">
        <v>7.5</v>
      </c>
      <c r="N1684" s="82">
        <v>240</v>
      </c>
    </row>
    <row r="1685" spans="1:14" x14ac:dyDescent="0.25">
      <c r="A1685" s="10" t="str">
        <f>_xlfn.IFNA(
    IF(J1685=
        "PCB-0001",
        "CSS",
        IF(
            ISNUMBER(MATCH(_xlfn.TEXTBEFORE(J1685,"-"), {"CSS","CSN","PCB","PCF","BEC","CSD","PCM"}, 0)),
            _xlfn.TEXTBEFORE(J1685,"-"),
            "Other"
        )
    ),
"Add")</f>
        <v>PCM</v>
      </c>
      <c r="B1685" s="10" t="str">
        <f t="shared" si="27"/>
        <v>0116</v>
      </c>
      <c r="C1685" s="10" t="str">
        <f>_xlfn.LET(
    _xlpm.val, IF(Datadetails[[#This Row],[Activity]]="D02","C20",Datadetails[[#This Row],[Activity]]),
    IF(ISNUMBER(MATCH(_xlpm.val,{"D04","C30","c40","C20"},0)), _xlpm.val, "Other")
)</f>
        <v>C20</v>
      </c>
      <c r="D1685" s="10" t="str">
        <f>IFERROR(VLOOKUP(Datadetails[[#This Row],[Taskcode]],Dashboard!A:A,1,FALSE),"00 Err Missing")</f>
        <v>0116</v>
      </c>
      <c r="E1685" s="79">
        <v>45868</v>
      </c>
      <c r="F1685" s="80" t="s">
        <v>323</v>
      </c>
      <c r="G1685" s="60" t="s">
        <v>40</v>
      </c>
      <c r="H1685" s="80" t="s">
        <v>283</v>
      </c>
      <c r="I1685" s="80" t="s">
        <v>36</v>
      </c>
      <c r="J1685" s="80" t="s">
        <v>429</v>
      </c>
      <c r="K1685" s="80" t="s">
        <v>346</v>
      </c>
      <c r="L1685" s="80" t="s">
        <v>342</v>
      </c>
      <c r="M1685" s="81">
        <v>0.5</v>
      </c>
      <c r="N1685" s="82">
        <v>30</v>
      </c>
    </row>
    <row r="1686" spans="1:14" x14ac:dyDescent="0.25">
      <c r="A1686" s="10" t="str">
        <f>_xlfn.IFNA(
    IF(J1686=
        "PCB-0001",
        "CSS",
        IF(
            ISNUMBER(MATCH(_xlfn.TEXTBEFORE(J1686,"-"), {"CSS","CSN","PCB","PCF","BEC","CSD","PCM"}, 0)),
            _xlfn.TEXTBEFORE(J1686,"-"),
            "Other"
        )
    ),
"Add")</f>
        <v>PCM</v>
      </c>
      <c r="B1686" s="10" t="str">
        <f t="shared" si="27"/>
        <v>0099</v>
      </c>
      <c r="C1686" s="10" t="str">
        <f>_xlfn.LET(
    _xlpm.val, IF(Datadetails[[#This Row],[Activity]]="D02","C20",Datadetails[[#This Row],[Activity]]),
    IF(ISNUMBER(MATCH(_xlpm.val,{"D04","C30","c40","C20"},0)), _xlpm.val, "Other")
)</f>
        <v>C20</v>
      </c>
      <c r="D1686" s="10" t="str">
        <f>IFERROR(VLOOKUP(Datadetails[[#This Row],[Taskcode]],Dashboard!A:A,1,FALSE),"00 Err Missing")</f>
        <v>0099</v>
      </c>
      <c r="E1686" s="79">
        <v>45868</v>
      </c>
      <c r="F1686" s="80" t="s">
        <v>323</v>
      </c>
      <c r="G1686" s="60" t="s">
        <v>40</v>
      </c>
      <c r="H1686" s="80" t="s">
        <v>266</v>
      </c>
      <c r="I1686" s="80" t="s">
        <v>36</v>
      </c>
      <c r="J1686" s="80" t="s">
        <v>394</v>
      </c>
      <c r="K1686" s="80" t="s">
        <v>346</v>
      </c>
      <c r="L1686" s="80" t="s">
        <v>342</v>
      </c>
      <c r="M1686" s="81">
        <v>0.5</v>
      </c>
      <c r="N1686" s="82">
        <v>30</v>
      </c>
    </row>
    <row r="1687" spans="1:14" x14ac:dyDescent="0.25">
      <c r="A1687" s="10" t="str">
        <f>_xlfn.IFNA(
    IF(J1687=
        "PCB-0001",
        "CSS",
        IF(
            ISNUMBER(MATCH(_xlfn.TEXTBEFORE(J1687,"-"), {"CSS","CSN","PCB","PCF","BEC","CSD","PCM"}, 0)),
            _xlfn.TEXTBEFORE(J1687,"-"),
            "Other"
        )
    ),
"Add")</f>
        <v>PCB</v>
      </c>
      <c r="B1687" s="10" t="str">
        <f t="shared" si="27"/>
        <v>0032</v>
      </c>
      <c r="C1687" s="10" t="str">
        <f>_xlfn.LET(
    _xlpm.val, IF(Datadetails[[#This Row],[Activity]]="D02","C20",Datadetails[[#This Row],[Activity]]),
    IF(ISNUMBER(MATCH(_xlpm.val,{"D04","C30","c40","C20"},0)), _xlpm.val, "Other")
)</f>
        <v>C30</v>
      </c>
      <c r="D1687" s="10" t="str">
        <f>IFERROR(VLOOKUP(Datadetails[[#This Row],[Taskcode]],Dashboard!A:A,1,FALSE),"00 Err Missing")</f>
        <v>0032</v>
      </c>
      <c r="E1687" s="79">
        <v>45868</v>
      </c>
      <c r="F1687" s="80" t="s">
        <v>330</v>
      </c>
      <c r="G1687" s="60" t="s">
        <v>40</v>
      </c>
      <c r="H1687" s="80" t="s">
        <v>199</v>
      </c>
      <c r="I1687" s="80" t="s">
        <v>34</v>
      </c>
      <c r="J1687" s="80" t="s">
        <v>414</v>
      </c>
      <c r="K1687" s="80" t="s">
        <v>347</v>
      </c>
      <c r="L1687" s="80" t="s">
        <v>343</v>
      </c>
      <c r="M1687" s="81">
        <v>1.17</v>
      </c>
      <c r="N1687" s="82">
        <v>70.199999999999989</v>
      </c>
    </row>
    <row r="1688" spans="1:14" x14ac:dyDescent="0.25">
      <c r="A1688" s="10" t="str">
        <f>_xlfn.IFNA(
    IF(J1688=
        "PCB-0001",
        "CSS",
        IF(
            ISNUMBER(MATCH(_xlfn.TEXTBEFORE(J1688,"-"), {"CSS","CSN","PCB","PCF","BEC","CSD","PCM"}, 0)),
            _xlfn.TEXTBEFORE(J1688,"-"),
            "Other"
        )
    ),
"Add")</f>
        <v>PCB</v>
      </c>
      <c r="B1688" s="10" t="str">
        <f t="shared" si="27"/>
        <v>0054</v>
      </c>
      <c r="C1688" s="10" t="str">
        <f>_xlfn.LET(
    _xlpm.val, IF(Datadetails[[#This Row],[Activity]]="D02","C20",Datadetails[[#This Row],[Activity]]),
    IF(ISNUMBER(MATCH(_xlpm.val,{"D04","C30","c40","C20"},0)), _xlpm.val, "Other")
)</f>
        <v>C30</v>
      </c>
      <c r="D1688" s="10" t="str">
        <f>IFERROR(VLOOKUP(Datadetails[[#This Row],[Taskcode]],Dashboard!A:A,1,FALSE),"00 Err Missing")</f>
        <v>0054</v>
      </c>
      <c r="E1688" s="79">
        <v>45868</v>
      </c>
      <c r="F1688" s="80" t="s">
        <v>329</v>
      </c>
      <c r="G1688" s="60" t="s">
        <v>40</v>
      </c>
      <c r="H1688" s="80" t="s">
        <v>221</v>
      </c>
      <c r="I1688" s="80" t="s">
        <v>34</v>
      </c>
      <c r="J1688" s="80" t="s">
        <v>369</v>
      </c>
      <c r="K1688" s="80" t="s">
        <v>347</v>
      </c>
      <c r="L1688" s="80" t="s">
        <v>343</v>
      </c>
      <c r="M1688" s="81">
        <v>0.17</v>
      </c>
      <c r="N1688" s="82">
        <v>12.750000000000002</v>
      </c>
    </row>
    <row r="1689" spans="1:14" x14ac:dyDescent="0.25">
      <c r="A1689" s="10" t="str">
        <f>_xlfn.IFNA(
    IF(J1689=
        "PCB-0001",
        "CSS",
        IF(
            ISNUMBER(MATCH(_xlfn.TEXTBEFORE(J1689,"-"), {"CSS","CSN","PCB","PCF","BEC","CSD","PCM"}, 0)),
            _xlfn.TEXTBEFORE(J1689,"-"),
            "Other"
        )
    ),
"Add")</f>
        <v>PCB</v>
      </c>
      <c r="B1689" s="10" t="str">
        <f t="shared" si="27"/>
        <v>0129</v>
      </c>
      <c r="C1689" s="10" t="str">
        <f>_xlfn.LET(
    _xlpm.val, IF(Datadetails[[#This Row],[Activity]]="D02","C20",Datadetails[[#This Row],[Activity]]),
    IF(ISNUMBER(MATCH(_xlpm.val,{"D04","C30","c40","C20"},0)), _xlpm.val, "Other")
)</f>
        <v>C30</v>
      </c>
      <c r="D1689" s="10" t="str">
        <f>IFERROR(VLOOKUP(Datadetails[[#This Row],[Taskcode]],Dashboard!A:A,1,FALSE),"00 Err Missing")</f>
        <v>0129</v>
      </c>
      <c r="E1689" s="79">
        <v>45868</v>
      </c>
      <c r="F1689" s="80" t="s">
        <v>329</v>
      </c>
      <c r="G1689" s="60" t="s">
        <v>40</v>
      </c>
      <c r="H1689" s="80" t="s">
        <v>296</v>
      </c>
      <c r="I1689" s="80" t="s">
        <v>34</v>
      </c>
      <c r="J1689" s="80" t="s">
        <v>411</v>
      </c>
      <c r="K1689" s="80" t="s">
        <v>347</v>
      </c>
      <c r="L1689" s="80" t="s">
        <v>343</v>
      </c>
      <c r="M1689" s="81">
        <v>0.17</v>
      </c>
      <c r="N1689" s="82">
        <v>12.750000000000002</v>
      </c>
    </row>
    <row r="1690" spans="1:14" x14ac:dyDescent="0.25">
      <c r="A1690" s="10" t="str">
        <f>_xlfn.IFNA(
    IF(J1690=
        "PCB-0001",
        "CSS",
        IF(
            ISNUMBER(MATCH(_xlfn.TEXTBEFORE(J1690,"-"), {"CSS","CSN","PCB","PCF","BEC","CSD","PCM"}, 0)),
            _xlfn.TEXTBEFORE(J1690,"-"),
            "Other"
        )
    ),
"Add")</f>
        <v>PCB</v>
      </c>
      <c r="B1690" s="10" t="str">
        <f t="shared" si="27"/>
        <v>0080</v>
      </c>
      <c r="C1690" s="10" t="str">
        <f>_xlfn.LET(
    _xlpm.val, IF(Datadetails[[#This Row],[Activity]]="D02","C20",Datadetails[[#This Row],[Activity]]),
    IF(ISNUMBER(MATCH(_xlpm.val,{"D04","C30","c40","C20"},0)), _xlpm.val, "Other")
)</f>
        <v>C30</v>
      </c>
      <c r="D1690" s="10" t="str">
        <f>IFERROR(VLOOKUP(Datadetails[[#This Row],[Taskcode]],Dashboard!A:A,1,FALSE),"00 Err Missing")</f>
        <v>0080</v>
      </c>
      <c r="E1690" s="79">
        <v>45868</v>
      </c>
      <c r="F1690" s="80" t="s">
        <v>329</v>
      </c>
      <c r="G1690" s="60" t="s">
        <v>40</v>
      </c>
      <c r="H1690" s="80" t="s">
        <v>247</v>
      </c>
      <c r="I1690" s="80" t="s">
        <v>34</v>
      </c>
      <c r="J1690" s="80" t="s">
        <v>375</v>
      </c>
      <c r="K1690" s="80" t="s">
        <v>347</v>
      </c>
      <c r="L1690" s="80" t="s">
        <v>343</v>
      </c>
      <c r="M1690" s="81">
        <v>0.08</v>
      </c>
      <c r="N1690" s="82">
        <v>6</v>
      </c>
    </row>
    <row r="1691" spans="1:14" x14ac:dyDescent="0.25">
      <c r="A1691" s="10" t="str">
        <f>_xlfn.IFNA(
    IF(J1691=
        "PCB-0001",
        "CSS",
        IF(
            ISNUMBER(MATCH(_xlfn.TEXTBEFORE(J1691,"-"), {"CSS","CSN","PCB","PCF","BEC","CSD","PCM"}, 0)),
            _xlfn.TEXTBEFORE(J1691,"-"),
            "Other"
        )
    ),
"Add")</f>
        <v>PCB</v>
      </c>
      <c r="B1691" s="10" t="str">
        <f t="shared" si="27"/>
        <v>0117</v>
      </c>
      <c r="C1691" s="10" t="str">
        <f>_xlfn.LET(
    _xlpm.val, IF(Datadetails[[#This Row],[Activity]]="D02","C20",Datadetails[[#This Row],[Activity]]),
    IF(ISNUMBER(MATCH(_xlpm.val,{"D04","C30","c40","C20"},0)), _xlpm.val, "Other")
)</f>
        <v>C30</v>
      </c>
      <c r="D1691" s="10" t="str">
        <f>IFERROR(VLOOKUP(Datadetails[[#This Row],[Taskcode]],Dashboard!A:A,1,FALSE),"00 Err Missing")</f>
        <v>0117</v>
      </c>
      <c r="E1691" s="79">
        <v>45868</v>
      </c>
      <c r="F1691" s="80" t="s">
        <v>330</v>
      </c>
      <c r="G1691" s="60" t="s">
        <v>40</v>
      </c>
      <c r="H1691" s="80" t="s">
        <v>284</v>
      </c>
      <c r="I1691" s="80" t="s">
        <v>34</v>
      </c>
      <c r="J1691" s="80" t="s">
        <v>415</v>
      </c>
      <c r="K1691" s="80" t="s">
        <v>347</v>
      </c>
      <c r="L1691" s="80" t="s">
        <v>343</v>
      </c>
      <c r="M1691" s="81">
        <v>0.5</v>
      </c>
      <c r="N1691" s="82">
        <v>30</v>
      </c>
    </row>
    <row r="1692" spans="1:14" x14ac:dyDescent="0.25">
      <c r="A1692" s="10" t="str">
        <f>_xlfn.IFNA(
    IF(J1692=
        "PCB-0001",
        "CSS",
        IF(
            ISNUMBER(MATCH(_xlfn.TEXTBEFORE(J1692,"-"), {"CSS","CSN","PCB","PCF","BEC","CSD","PCM"}, 0)),
            _xlfn.TEXTBEFORE(J1692,"-"),
            "Other"
        )
    ),
"Add")</f>
        <v>PCF</v>
      </c>
      <c r="B1692" s="10" t="str">
        <f t="shared" si="27"/>
        <v>0008</v>
      </c>
      <c r="C1692" s="10" t="str">
        <f>_xlfn.LET(
    _xlpm.val, IF(Datadetails[[#This Row],[Activity]]="D02","C20",Datadetails[[#This Row],[Activity]]),
    IF(ISNUMBER(MATCH(_xlpm.val,{"D04","C30","c40","C20"},0)), _xlpm.val, "Other")
)</f>
        <v>C20</v>
      </c>
      <c r="D1692" s="10" t="str">
        <f>IFERROR(VLOOKUP(Datadetails[[#This Row],[Taskcode]],Dashboard!A:A,1,FALSE),"00 Err Missing")</f>
        <v>0008</v>
      </c>
      <c r="E1692" s="79">
        <v>45868</v>
      </c>
      <c r="F1692" s="80" t="s">
        <v>326</v>
      </c>
      <c r="G1692" s="60" t="s">
        <v>40</v>
      </c>
      <c r="H1692" s="80" t="s">
        <v>175</v>
      </c>
      <c r="I1692" s="80" t="s">
        <v>36</v>
      </c>
      <c r="J1692" s="80" t="s">
        <v>388</v>
      </c>
      <c r="K1692" s="80" t="s">
        <v>348</v>
      </c>
      <c r="L1692" s="80" t="s">
        <v>342</v>
      </c>
      <c r="M1692" s="81">
        <v>0.67</v>
      </c>
      <c r="N1692" s="82">
        <v>40.200000000000003</v>
      </c>
    </row>
    <row r="1693" spans="1:14" x14ac:dyDescent="0.25">
      <c r="A1693" s="10" t="str">
        <f>_xlfn.IFNA(
    IF(J1693=
        "PCB-0001",
        "CSS",
        IF(
            ISNUMBER(MATCH(_xlfn.TEXTBEFORE(J1693,"-"), {"CSS","CSN","PCB","PCF","BEC","CSD","PCM"}, 0)),
            _xlfn.TEXTBEFORE(J1693,"-"),
            "Other"
        )
    ),
"Add")</f>
        <v>PCF</v>
      </c>
      <c r="B1693" s="10" t="str">
        <f t="shared" si="27"/>
        <v>0060</v>
      </c>
      <c r="C1693" s="10" t="str">
        <f>_xlfn.LET(
    _xlpm.val, IF(Datadetails[[#This Row],[Activity]]="D02","C20",Datadetails[[#This Row],[Activity]]),
    IF(ISNUMBER(MATCH(_xlpm.val,{"D04","C30","c40","C20"},0)), _xlpm.val, "Other")
)</f>
        <v>C30</v>
      </c>
      <c r="D1693" s="10" t="str">
        <f>IFERROR(VLOOKUP(Datadetails[[#This Row],[Taskcode]],Dashboard!A:A,1,FALSE),"00 Err Missing")</f>
        <v>0060</v>
      </c>
      <c r="E1693" s="79">
        <v>45868</v>
      </c>
      <c r="F1693" s="80" t="s">
        <v>326</v>
      </c>
      <c r="G1693" s="60" t="s">
        <v>40</v>
      </c>
      <c r="H1693" s="80" t="s">
        <v>227</v>
      </c>
      <c r="I1693" s="80" t="s">
        <v>34</v>
      </c>
      <c r="J1693" s="80" t="s">
        <v>453</v>
      </c>
      <c r="K1693" s="80" t="s">
        <v>348</v>
      </c>
      <c r="L1693" s="80" t="s">
        <v>343</v>
      </c>
      <c r="M1693" s="81">
        <v>0.5</v>
      </c>
      <c r="N1693" s="82">
        <v>30</v>
      </c>
    </row>
    <row r="1694" spans="1:14" x14ac:dyDescent="0.25">
      <c r="A1694" s="10" t="str">
        <f>_xlfn.IFNA(
    IF(J1694=
        "PCB-0001",
        "CSS",
        IF(
            ISNUMBER(MATCH(_xlfn.TEXTBEFORE(J1694,"-"), {"CSS","CSN","PCB","PCF","BEC","CSD","PCM"}, 0)),
            _xlfn.TEXTBEFORE(J1694,"-"),
            "Other"
        )
    ),
"Add")</f>
        <v>CSD</v>
      </c>
      <c r="B1694" s="10" t="str">
        <f t="shared" si="27"/>
        <v>0001</v>
      </c>
      <c r="C1694" s="10" t="str">
        <f>_xlfn.LET(
    _xlpm.val, IF(Datadetails[[#This Row],[Activity]]="D02","C20",Datadetails[[#This Row],[Activity]]),
    IF(ISNUMBER(MATCH(_xlpm.val,{"D04","C30","c40","C20"},0)), _xlpm.val, "Other")
)</f>
        <v>D04</v>
      </c>
      <c r="D1694" s="10" t="str">
        <f>IFERROR(VLOOKUP(Datadetails[[#This Row],[Taskcode]],Dashboard!A:A,1,FALSE),"00 Err Missing")</f>
        <v>0001</v>
      </c>
      <c r="E1694" s="79">
        <v>45869</v>
      </c>
      <c r="F1694" s="80" t="s">
        <v>333</v>
      </c>
      <c r="G1694" s="60" t="s">
        <v>40</v>
      </c>
      <c r="H1694" s="80" t="s">
        <v>320</v>
      </c>
      <c r="I1694" s="80" t="s">
        <v>35</v>
      </c>
      <c r="J1694" s="80" t="s">
        <v>322</v>
      </c>
      <c r="K1694" s="80" t="s">
        <v>319</v>
      </c>
      <c r="L1694" s="80" t="s">
        <v>352</v>
      </c>
      <c r="M1694" s="81">
        <v>6.5</v>
      </c>
      <c r="N1694" s="82">
        <v>208</v>
      </c>
    </row>
    <row r="1695" spans="1:14" x14ac:dyDescent="0.25">
      <c r="A1695" s="10" t="str">
        <f>_xlfn.IFNA(
    IF(J1695=
        "PCB-0001",
        "CSS",
        IF(
            ISNUMBER(MATCH(_xlfn.TEXTBEFORE(J1695,"-"), {"CSS","CSN","PCB","PCF","BEC","CSD","PCM"}, 0)),
            _xlfn.TEXTBEFORE(J1695,"-"),
            "Other"
        )
    ),
"Add")</f>
        <v>CSD</v>
      </c>
      <c r="B1695" s="10" t="str">
        <f t="shared" si="27"/>
        <v>0001</v>
      </c>
      <c r="C1695" s="10" t="str">
        <f>_xlfn.LET(
    _xlpm.val, IF(Datadetails[[#This Row],[Activity]]="D02","C20",Datadetails[[#This Row],[Activity]]),
    IF(ISNUMBER(MATCH(_xlpm.val,{"D04","C30","c40","C20"},0)), _xlpm.val, "Other")
)</f>
        <v>D04</v>
      </c>
      <c r="D1695" s="10" t="str">
        <f>IFERROR(VLOOKUP(Datadetails[[#This Row],[Taskcode]],Dashboard!A:A,1,FALSE),"00 Err Missing")</f>
        <v>0001</v>
      </c>
      <c r="E1695" s="79">
        <v>45869</v>
      </c>
      <c r="F1695" s="80" t="s">
        <v>327</v>
      </c>
      <c r="G1695" s="60" t="s">
        <v>40</v>
      </c>
      <c r="H1695" s="80" t="s">
        <v>320</v>
      </c>
      <c r="I1695" s="80" t="s">
        <v>35</v>
      </c>
      <c r="J1695" s="80" t="s">
        <v>322</v>
      </c>
      <c r="K1695" s="80" t="s">
        <v>319</v>
      </c>
      <c r="L1695" s="80" t="s">
        <v>352</v>
      </c>
      <c r="M1695" s="81">
        <v>6.25</v>
      </c>
      <c r="N1695" s="82">
        <v>200</v>
      </c>
    </row>
    <row r="1696" spans="1:14" x14ac:dyDescent="0.25">
      <c r="A1696" s="10" t="str">
        <f>_xlfn.IFNA(
    IF(J1696=
        "PCB-0001",
        "CSS",
        IF(
            ISNUMBER(MATCH(_xlfn.TEXTBEFORE(J1696,"-"), {"CSS","CSN","PCB","PCF","BEC","CSD","PCM"}, 0)),
            _xlfn.TEXTBEFORE(J1696,"-"),
            "Other"
        )
    ),
"Add")</f>
        <v>PCM</v>
      </c>
      <c r="B1696" s="10" t="str">
        <f t="shared" si="27"/>
        <v>0116</v>
      </c>
      <c r="C1696" s="10" t="str">
        <f>_xlfn.LET(
    _xlpm.val, IF(Datadetails[[#This Row],[Activity]]="D02","C20",Datadetails[[#This Row],[Activity]]),
    IF(ISNUMBER(MATCH(_xlpm.val,{"D04","C30","c40","C20"},0)), _xlpm.val, "Other")
)</f>
        <v>C30</v>
      </c>
      <c r="D1696" s="10" t="str">
        <f>IFERROR(VLOOKUP(Datadetails[[#This Row],[Taskcode]],Dashboard!A:A,1,FALSE),"00 Err Missing")</f>
        <v>0116</v>
      </c>
      <c r="E1696" s="79">
        <v>45869</v>
      </c>
      <c r="F1696" s="80" t="s">
        <v>323</v>
      </c>
      <c r="G1696" s="60" t="s">
        <v>40</v>
      </c>
      <c r="H1696" s="80" t="s">
        <v>283</v>
      </c>
      <c r="I1696" s="80" t="s">
        <v>34</v>
      </c>
      <c r="J1696" s="80" t="s">
        <v>429</v>
      </c>
      <c r="K1696" s="80" t="s">
        <v>346</v>
      </c>
      <c r="L1696" s="80" t="s">
        <v>343</v>
      </c>
      <c r="M1696" s="81">
        <v>1</v>
      </c>
      <c r="N1696" s="82">
        <v>60</v>
      </c>
    </row>
    <row r="1697" spans="1:14" x14ac:dyDescent="0.25">
      <c r="A1697" s="10" t="str">
        <f>_xlfn.IFNA(
    IF(J1697=
        "PCB-0001",
        "CSS",
        IF(
            ISNUMBER(MATCH(_xlfn.TEXTBEFORE(J1697,"-"), {"CSS","CSN","PCB","PCF","BEC","CSD","PCM"}, 0)),
            _xlfn.TEXTBEFORE(J1697,"-"),
            "Other"
        )
    ),
"Add")</f>
        <v>PCB</v>
      </c>
      <c r="B1697" s="10" t="str">
        <f t="shared" si="27"/>
        <v>0032</v>
      </c>
      <c r="C1697" s="10" t="str">
        <f>_xlfn.LET(
    _xlpm.val, IF(Datadetails[[#This Row],[Activity]]="D02","C20",Datadetails[[#This Row],[Activity]]),
    IF(ISNUMBER(MATCH(_xlpm.val,{"D04","C30","c40","C20"},0)), _xlpm.val, "Other")
)</f>
        <v>C30</v>
      </c>
      <c r="D1697" s="10" t="str">
        <f>IFERROR(VLOOKUP(Datadetails[[#This Row],[Taskcode]],Dashboard!A:A,1,FALSE),"00 Err Missing")</f>
        <v>0032</v>
      </c>
      <c r="E1697" s="79">
        <v>45869</v>
      </c>
      <c r="F1697" s="80" t="s">
        <v>330</v>
      </c>
      <c r="G1697" s="60" t="s">
        <v>40</v>
      </c>
      <c r="H1697" s="80" t="s">
        <v>199</v>
      </c>
      <c r="I1697" s="80" t="s">
        <v>34</v>
      </c>
      <c r="J1697" s="80" t="s">
        <v>414</v>
      </c>
      <c r="K1697" s="80" t="s">
        <v>347</v>
      </c>
      <c r="L1697" s="80" t="s">
        <v>343</v>
      </c>
      <c r="M1697" s="81">
        <v>0.5</v>
      </c>
      <c r="N1697" s="82">
        <v>30</v>
      </c>
    </row>
    <row r="1698" spans="1:14" x14ac:dyDescent="0.25">
      <c r="A1698" s="10" t="str">
        <f>_xlfn.IFNA(
    IF(J1698=
        "PCB-0001",
        "CSS",
        IF(
            ISNUMBER(MATCH(_xlfn.TEXTBEFORE(J1698,"-"), {"CSS","CSN","PCB","PCF","BEC","CSD","PCM"}, 0)),
            _xlfn.TEXTBEFORE(J1698,"-"),
            "Other"
        )
    ),
"Add")</f>
        <v>PCB</v>
      </c>
      <c r="B1698" s="10" t="str">
        <f t="shared" si="27"/>
        <v>0085</v>
      </c>
      <c r="C1698" s="10" t="str">
        <f>_xlfn.LET(
    _xlpm.val, IF(Datadetails[[#This Row],[Activity]]="D02","C20",Datadetails[[#This Row],[Activity]]),
    IF(ISNUMBER(MATCH(_xlpm.val,{"D04","C30","c40","C20"},0)), _xlpm.val, "Other")
)</f>
        <v>C20</v>
      </c>
      <c r="D1698" s="10" t="str">
        <f>IFERROR(VLOOKUP(Datadetails[[#This Row],[Taskcode]],Dashboard!A:A,1,FALSE),"00 Err Missing")</f>
        <v>0085</v>
      </c>
      <c r="E1698" s="79">
        <v>45869</v>
      </c>
      <c r="F1698" s="80" t="s">
        <v>330</v>
      </c>
      <c r="G1698" s="60" t="s">
        <v>40</v>
      </c>
      <c r="H1698" s="80" t="s">
        <v>252</v>
      </c>
      <c r="I1698" s="80" t="s">
        <v>36</v>
      </c>
      <c r="J1698" s="80" t="s">
        <v>416</v>
      </c>
      <c r="K1698" s="80" t="s">
        <v>347</v>
      </c>
      <c r="L1698" s="80" t="s">
        <v>342</v>
      </c>
      <c r="M1698" s="81">
        <v>0.5</v>
      </c>
      <c r="N1698" s="82">
        <v>30</v>
      </c>
    </row>
    <row r="1699" spans="1:14" x14ac:dyDescent="0.25">
      <c r="A1699" s="10" t="str">
        <f>_xlfn.IFNA(
    IF(J1699=
        "PCB-0001",
        "CSS",
        IF(
            ISNUMBER(MATCH(_xlfn.TEXTBEFORE(J1699,"-"), {"CSS","CSN","PCB","PCF","BEC","CSD","PCM"}, 0)),
            _xlfn.TEXTBEFORE(J1699,"-"),
            "Other"
        )
    ),
"Add")</f>
        <v>PCB</v>
      </c>
      <c r="B1699" s="10" t="str">
        <f t="shared" si="27"/>
        <v>0009</v>
      </c>
      <c r="C1699" s="10" t="str">
        <f>_xlfn.LET(
    _xlpm.val, IF(Datadetails[[#This Row],[Activity]]="D02","C20",Datadetails[[#This Row],[Activity]]),
    IF(ISNUMBER(MATCH(_xlpm.val,{"D04","C30","c40","C20"},0)), _xlpm.val, "Other")
)</f>
        <v>C30</v>
      </c>
      <c r="D1699" s="10" t="str">
        <f>IFERROR(VLOOKUP(Datadetails[[#This Row],[Taskcode]],Dashboard!A:A,1,FALSE),"00 Err Missing")</f>
        <v>0009</v>
      </c>
      <c r="E1699" s="79">
        <v>45869</v>
      </c>
      <c r="F1699" s="80" t="s">
        <v>329</v>
      </c>
      <c r="G1699" s="60" t="s">
        <v>40</v>
      </c>
      <c r="H1699" s="80" t="s">
        <v>176</v>
      </c>
      <c r="I1699" s="80" t="s">
        <v>34</v>
      </c>
      <c r="J1699" s="80" t="s">
        <v>458</v>
      </c>
      <c r="K1699" s="80" t="s">
        <v>347</v>
      </c>
      <c r="L1699" s="80" t="s">
        <v>343</v>
      </c>
      <c r="M1699" s="81">
        <v>0.33</v>
      </c>
      <c r="N1699" s="82">
        <v>24.75</v>
      </c>
    </row>
    <row r="1700" spans="1:14" x14ac:dyDescent="0.25">
      <c r="A1700" s="10" t="str">
        <f>_xlfn.IFNA(
    IF(J1700=
        "PCB-0001",
        "CSS",
        IF(
            ISNUMBER(MATCH(_xlfn.TEXTBEFORE(J1700,"-"), {"CSS","CSN","PCB","PCF","BEC","CSD","PCM"}, 0)),
            _xlfn.TEXTBEFORE(J1700,"-"),
            "Other"
        )
    ),
"Add")</f>
        <v>PCB</v>
      </c>
      <c r="B1700" s="10" t="str">
        <f t="shared" si="27"/>
        <v>0043</v>
      </c>
      <c r="C1700" s="10" t="str">
        <f>_xlfn.LET(
    _xlpm.val, IF(Datadetails[[#This Row],[Activity]]="D02","C20",Datadetails[[#This Row],[Activity]]),
    IF(ISNUMBER(MATCH(_xlpm.val,{"D04","C30","c40","C20"},0)), _xlpm.val, "Other")
)</f>
        <v>C30</v>
      </c>
      <c r="D1700" s="10" t="str">
        <f>IFERROR(VLOOKUP(Datadetails[[#This Row],[Taskcode]],Dashboard!A:A,1,FALSE),"00 Err Missing")</f>
        <v>0043</v>
      </c>
      <c r="E1700" s="79">
        <v>45869</v>
      </c>
      <c r="F1700" s="80" t="s">
        <v>325</v>
      </c>
      <c r="G1700" s="60" t="s">
        <v>40</v>
      </c>
      <c r="H1700" s="80" t="s">
        <v>210</v>
      </c>
      <c r="I1700" s="80" t="s">
        <v>34</v>
      </c>
      <c r="J1700" s="80" t="s">
        <v>399</v>
      </c>
      <c r="K1700" s="80" t="s">
        <v>347</v>
      </c>
      <c r="L1700" s="80" t="s">
        <v>343</v>
      </c>
      <c r="M1700" s="81">
        <v>0.17</v>
      </c>
      <c r="N1700" s="82">
        <v>12.750000000000002</v>
      </c>
    </row>
    <row r="1701" spans="1:14" x14ac:dyDescent="0.25">
      <c r="A1701" s="10" t="str">
        <f>_xlfn.IFNA(
    IF(J1701=
        "PCB-0001",
        "CSS",
        IF(
            ISNUMBER(MATCH(_xlfn.TEXTBEFORE(J1701,"-"), {"CSS","CSN","PCB","PCF","BEC","CSD","PCM"}, 0)),
            _xlfn.TEXTBEFORE(J1701,"-"),
            "Other"
        )
    ),
"Add")</f>
        <v>PCB</v>
      </c>
      <c r="B1701" s="10" t="str">
        <f t="shared" si="27"/>
        <v>0057</v>
      </c>
      <c r="C1701" s="10" t="str">
        <f>_xlfn.LET(
    _xlpm.val, IF(Datadetails[[#This Row],[Activity]]="D02","C20",Datadetails[[#This Row],[Activity]]),
    IF(ISNUMBER(MATCH(_xlpm.val,{"D04","C30","c40","C20"},0)), _xlpm.val, "Other")
)</f>
        <v>C30</v>
      </c>
      <c r="D1701" s="10" t="str">
        <f>IFERROR(VLOOKUP(Datadetails[[#This Row],[Taskcode]],Dashboard!A:A,1,FALSE),"00 Err Missing")</f>
        <v>0057</v>
      </c>
      <c r="E1701" s="79">
        <v>45869</v>
      </c>
      <c r="F1701" s="80" t="s">
        <v>325</v>
      </c>
      <c r="G1701" s="60" t="s">
        <v>40</v>
      </c>
      <c r="H1701" s="80" t="s">
        <v>224</v>
      </c>
      <c r="I1701" s="80" t="s">
        <v>34</v>
      </c>
      <c r="J1701" s="80" t="s">
        <v>423</v>
      </c>
      <c r="K1701" s="80" t="s">
        <v>347</v>
      </c>
      <c r="L1701" s="80" t="s">
        <v>343</v>
      </c>
      <c r="M1701" s="81">
        <v>0.17</v>
      </c>
      <c r="N1701" s="82">
        <v>12.750000000000002</v>
      </c>
    </row>
    <row r="1702" spans="1:14" x14ac:dyDescent="0.25">
      <c r="A1702" s="10" t="str">
        <f>_xlfn.IFNA(
    IF(J1702=
        "PCB-0001",
        "CSS",
        IF(
            ISNUMBER(MATCH(_xlfn.TEXTBEFORE(J1702,"-"), {"CSS","CSN","PCB","PCF","BEC","CSD","PCM"}, 0)),
            _xlfn.TEXTBEFORE(J1702,"-"),
            "Other"
        )
    ),
"Add")</f>
        <v>PCB</v>
      </c>
      <c r="B1702" s="10" t="str">
        <f t="shared" si="27"/>
        <v>0124</v>
      </c>
      <c r="C1702" s="10" t="str">
        <f>_xlfn.LET(
    _xlpm.val, IF(Datadetails[[#This Row],[Activity]]="D02","C20",Datadetails[[#This Row],[Activity]]),
    IF(ISNUMBER(MATCH(_xlpm.val,{"D04","C30","c40","C20"},0)), _xlpm.val, "Other")
)</f>
        <v>C30</v>
      </c>
      <c r="D1702" s="10" t="str">
        <f>IFERROR(VLOOKUP(Datadetails[[#This Row],[Taskcode]],Dashboard!A:A,1,FALSE),"00 Err Missing")</f>
        <v>0124</v>
      </c>
      <c r="E1702" s="79">
        <v>45869</v>
      </c>
      <c r="F1702" s="80" t="s">
        <v>325</v>
      </c>
      <c r="G1702" s="60" t="s">
        <v>40</v>
      </c>
      <c r="H1702" s="80" t="s">
        <v>291</v>
      </c>
      <c r="I1702" s="80" t="s">
        <v>34</v>
      </c>
      <c r="J1702" s="80" t="s">
        <v>412</v>
      </c>
      <c r="K1702" s="80" t="s">
        <v>347</v>
      </c>
      <c r="L1702" s="80" t="s">
        <v>343</v>
      </c>
      <c r="M1702" s="81">
        <v>0.17</v>
      </c>
      <c r="N1702" s="82">
        <v>12.750000000000002</v>
      </c>
    </row>
    <row r="1703" spans="1:14" x14ac:dyDescent="0.25">
      <c r="A1703" s="10" t="str">
        <f>_xlfn.IFNA(
    IF(J1703=
        "PCB-0001",
        "CSS",
        IF(
            ISNUMBER(MATCH(_xlfn.TEXTBEFORE(J1703,"-"), {"CSS","CSN","PCB","PCF","BEC","CSD","PCM"}, 0)),
            _xlfn.TEXTBEFORE(J1703,"-"),
            "Other"
        )
    ),
"Add")</f>
        <v>PCB</v>
      </c>
      <c r="B1703" s="10" t="str">
        <f t="shared" si="27"/>
        <v>0096</v>
      </c>
      <c r="C1703" s="10" t="str">
        <f>_xlfn.LET(
    _xlpm.val, IF(Datadetails[[#This Row],[Activity]]="D02","C20",Datadetails[[#This Row],[Activity]]),
    IF(ISNUMBER(MATCH(_xlpm.val,{"D04","C30","c40","C20"},0)), _xlpm.val, "Other")
)</f>
        <v>C30</v>
      </c>
      <c r="D1703" s="10" t="str">
        <f>IFERROR(VLOOKUP(Datadetails[[#This Row],[Taskcode]],Dashboard!A:A,1,FALSE),"00 Err Missing")</f>
        <v>0096</v>
      </c>
      <c r="E1703" s="79">
        <v>45869</v>
      </c>
      <c r="F1703" s="80" t="s">
        <v>330</v>
      </c>
      <c r="G1703" s="60" t="s">
        <v>40</v>
      </c>
      <c r="H1703" s="80" t="s">
        <v>263</v>
      </c>
      <c r="I1703" s="80" t="s">
        <v>34</v>
      </c>
      <c r="J1703" s="80" t="s">
        <v>383</v>
      </c>
      <c r="K1703" s="80" t="s">
        <v>347</v>
      </c>
      <c r="L1703" s="80" t="s">
        <v>343</v>
      </c>
      <c r="M1703" s="81">
        <v>0.57999999999999996</v>
      </c>
      <c r="N1703" s="82">
        <v>34.799999999999997</v>
      </c>
    </row>
    <row r="1704" spans="1:14" x14ac:dyDescent="0.25">
      <c r="A1704" s="10" t="str">
        <f>_xlfn.IFNA(
    IF(J1704=
        "PCB-0001",
        "CSS",
        IF(
            ISNUMBER(MATCH(_xlfn.TEXTBEFORE(J1704,"-"), {"CSS","CSN","PCB","PCF","BEC","CSD","PCM"}, 0)),
            _xlfn.TEXTBEFORE(J1704,"-"),
            "Other"
        )
    ),
"Add")</f>
        <v>PCF</v>
      </c>
      <c r="B1704" s="10" t="str">
        <f t="shared" si="27"/>
        <v>0069</v>
      </c>
      <c r="C1704" s="10" t="str">
        <f>_xlfn.LET(
    _xlpm.val, IF(Datadetails[[#This Row],[Activity]]="D02","C20",Datadetails[[#This Row],[Activity]]),
    IF(ISNUMBER(MATCH(_xlpm.val,{"D04","C30","c40","C20"},0)), _xlpm.val, "Other")
)</f>
        <v>C20</v>
      </c>
      <c r="D1704" s="10" t="str">
        <f>IFERROR(VLOOKUP(Datadetails[[#This Row],[Taskcode]],Dashboard!A:A,1,FALSE),"00 Err Missing")</f>
        <v>0069</v>
      </c>
      <c r="E1704" s="79">
        <v>45869</v>
      </c>
      <c r="F1704" s="80" t="s">
        <v>326</v>
      </c>
      <c r="G1704" s="60" t="s">
        <v>40</v>
      </c>
      <c r="H1704" s="80" t="s">
        <v>236</v>
      </c>
      <c r="I1704" s="80" t="s">
        <v>36</v>
      </c>
      <c r="J1704" s="80" t="s">
        <v>357</v>
      </c>
      <c r="K1704" s="80" t="s">
        <v>348</v>
      </c>
      <c r="L1704" s="80" t="s">
        <v>342</v>
      </c>
      <c r="M1704" s="81">
        <v>0.5</v>
      </c>
      <c r="N1704" s="82">
        <v>30</v>
      </c>
    </row>
    <row r="1705" spans="1:14" x14ac:dyDescent="0.25">
      <c r="A1705" s="10" t="str">
        <f>_xlfn.IFNA(
    IF(J1705=
        "PCB-0001",
        "CSS",
        IF(
            ISNUMBER(MATCH(_xlfn.TEXTBEFORE(J1705,"-"), {"CSS","CSN","PCB","PCF","BEC","CSD","PCM"}, 0)),
            _xlfn.TEXTBEFORE(J1705,"-"),
            "Other"
        )
    ),
"Add")</f>
        <v>PCF</v>
      </c>
      <c r="B1705" s="10" t="str">
        <f t="shared" si="27"/>
        <v>0133</v>
      </c>
      <c r="C1705" s="10" t="str">
        <f>_xlfn.LET(
    _xlpm.val, IF(Datadetails[[#This Row],[Activity]]="D02","C20",Datadetails[[#This Row],[Activity]]),
    IF(ISNUMBER(MATCH(_xlpm.val,{"D04","C30","c40","C20"},0)), _xlpm.val, "Other")
)</f>
        <v>C30</v>
      </c>
      <c r="D1705" s="10" t="str">
        <f>IFERROR(VLOOKUP(Datadetails[[#This Row],[Taskcode]],Dashboard!A:A,1,FALSE),"00 Err Missing")</f>
        <v>0133</v>
      </c>
      <c r="E1705" s="79">
        <v>45869</v>
      </c>
      <c r="F1705" s="80" t="s">
        <v>326</v>
      </c>
      <c r="G1705" s="60" t="s">
        <v>40</v>
      </c>
      <c r="H1705" s="80" t="s">
        <v>300</v>
      </c>
      <c r="I1705" s="80" t="s">
        <v>34</v>
      </c>
      <c r="J1705" s="80" t="s">
        <v>464</v>
      </c>
      <c r="K1705" s="80" t="s">
        <v>348</v>
      </c>
      <c r="L1705" s="80" t="s">
        <v>343</v>
      </c>
      <c r="M1705" s="81">
        <v>0.67</v>
      </c>
      <c r="N1705" s="82">
        <v>40.200000000000003</v>
      </c>
    </row>
    <row r="1706" spans="1:14" x14ac:dyDescent="0.25">
      <c r="A1706" s="10" t="str">
        <f>_xlfn.IFNA(
    IF(J1706=
        "PCB-0001",
        "CSS",
        IF(
            ISNUMBER(MATCH(_xlfn.TEXTBEFORE(J1706,"-"), {"CSS","CSN","PCB","PCF","BEC","CSD","PCM"}, 0)),
            _xlfn.TEXTBEFORE(J1706,"-"),
            "Other"
        )
    ),
"Add")</f>
        <v>BEC</v>
      </c>
      <c r="B1706" s="10" t="str">
        <f t="shared" si="27"/>
        <v>0001</v>
      </c>
      <c r="C1706" s="10" t="str">
        <f>_xlfn.LET(
    _xlpm.val, IF(Datadetails[[#This Row],[Activity]]="D02","C20",Datadetails[[#This Row],[Activity]]),
    IF(ISNUMBER(MATCH(_xlpm.val,{"D04","C30","c40","C20"},0)), _xlpm.val, "Other")
)</f>
        <v>D04</v>
      </c>
      <c r="D1706" s="10" t="str">
        <f>IFERROR(VLOOKUP(Datadetails[[#This Row],[Taskcode]],Dashboard!A:A,1,FALSE),"00 Err Missing")</f>
        <v>0001</v>
      </c>
      <c r="E1706" s="79">
        <v>45869</v>
      </c>
      <c r="F1706" s="80" t="s">
        <v>332</v>
      </c>
      <c r="G1706" s="60" t="s">
        <v>40</v>
      </c>
      <c r="H1706" s="80" t="s">
        <v>314</v>
      </c>
      <c r="I1706" s="80" t="s">
        <v>35</v>
      </c>
      <c r="J1706" s="80" t="s">
        <v>359</v>
      </c>
      <c r="K1706" s="80" t="s">
        <v>339</v>
      </c>
      <c r="L1706" s="80" t="s">
        <v>352</v>
      </c>
      <c r="M1706" s="81">
        <v>8.83</v>
      </c>
      <c r="N1706" s="82">
        <v>353.2</v>
      </c>
    </row>
    <row r="1707" spans="1:14" x14ac:dyDescent="0.25">
      <c r="A1707" s="10" t="str">
        <f>_xlfn.IFNA(
    IF(J1707=
        "PCB-0001",
        "CSS",
        IF(
            ISNUMBER(MATCH(_xlfn.TEXTBEFORE(J1707,"-"), {"CSS","CSN","PCB","PCF","BEC","CSD","PCM"}, 0)),
            _xlfn.TEXTBEFORE(J1707,"-"),
            "Other"
        )
    ),
"Add")</f>
        <v>BEC</v>
      </c>
      <c r="B1707" s="10" t="str">
        <f t="shared" si="27"/>
        <v>0001</v>
      </c>
      <c r="C1707" s="10" t="str">
        <f>_xlfn.LET(
    _xlpm.val, IF(Datadetails[[#This Row],[Activity]]="D02","C20",Datadetails[[#This Row],[Activity]]),
    IF(ISNUMBER(MATCH(_xlpm.val,{"D04","C30","c40","C20"},0)), _xlpm.val, "Other")
)</f>
        <v>D04</v>
      </c>
      <c r="D1707" s="10" t="str">
        <f>IFERROR(VLOOKUP(Datadetails[[#This Row],[Taskcode]],Dashboard!A:A,1,FALSE),"00 Err Missing")</f>
        <v>0001</v>
      </c>
      <c r="E1707" s="79">
        <v>45869</v>
      </c>
      <c r="F1707" s="80" t="s">
        <v>324</v>
      </c>
      <c r="G1707" s="60" t="s">
        <v>40</v>
      </c>
      <c r="H1707" s="80" t="s">
        <v>314</v>
      </c>
      <c r="I1707" s="80" t="s">
        <v>35</v>
      </c>
      <c r="J1707" s="80" t="s">
        <v>359</v>
      </c>
      <c r="K1707" s="80" t="s">
        <v>339</v>
      </c>
      <c r="L1707" s="80" t="s">
        <v>352</v>
      </c>
      <c r="M1707" s="81">
        <v>5.5</v>
      </c>
      <c r="N1707" s="82">
        <v>412.5</v>
      </c>
    </row>
    <row r="1708" spans="1:14" x14ac:dyDescent="0.25">
      <c r="A1708" s="10" t="str">
        <f>_xlfn.IFNA(
    IF(J1708=
        "PCB-0001",
        "CSS",
        IF(
            ISNUMBER(MATCH(_xlfn.TEXTBEFORE(J1708,"-"), {"CSS","CSN","PCB","PCF","BEC","CSD","PCM"}, 0)),
            _xlfn.TEXTBEFORE(J1708,"-"),
            "Other"
        )
    ),
"Add")</f>
        <v>PCB</v>
      </c>
      <c r="B1708" s="10" t="str">
        <f t="shared" si="27"/>
        <v>0054</v>
      </c>
      <c r="C1708" s="10" t="str">
        <f>_xlfn.LET(
    _xlpm.val, IF(Datadetails[[#This Row],[Activity]]="D02","C20",Datadetails[[#This Row],[Activity]]),
    IF(ISNUMBER(MATCH(_xlpm.val,{"D04","C30","c40","C20"},0)), _xlpm.val, "Other")
)</f>
        <v>C40</v>
      </c>
      <c r="D1708" s="10" t="str">
        <f>IFERROR(VLOOKUP(Datadetails[[#This Row],[Taskcode]],Dashboard!A:A,1,FALSE),"00 Err Missing")</f>
        <v>0054</v>
      </c>
      <c r="E1708" s="79">
        <v>45870</v>
      </c>
      <c r="F1708" s="80" t="s">
        <v>329</v>
      </c>
      <c r="G1708" s="60" t="s">
        <v>40</v>
      </c>
      <c r="H1708" s="80" t="s">
        <v>221</v>
      </c>
      <c r="I1708" s="80" t="s">
        <v>341</v>
      </c>
      <c r="J1708" s="80" t="s">
        <v>369</v>
      </c>
      <c r="K1708" s="80" t="s">
        <v>347</v>
      </c>
      <c r="L1708" s="80" t="s">
        <v>344</v>
      </c>
      <c r="M1708" s="81">
        <v>1.5</v>
      </c>
      <c r="N1708" s="82">
        <v>112.5</v>
      </c>
    </row>
    <row r="1709" spans="1:14" x14ac:dyDescent="0.25">
      <c r="A1709" s="10" t="str">
        <f>_xlfn.IFNA(
    IF(J1709=
        "PCB-0001",
        "CSS",
        IF(
            ISNUMBER(MATCH(_xlfn.TEXTBEFORE(J1709,"-"), {"CSS","CSN","PCB","PCF","BEC","CSD","PCM"}, 0)),
            _xlfn.TEXTBEFORE(J1709,"-"),
            "Other"
        )
    ),
"Add")</f>
        <v>CSN</v>
      </c>
      <c r="B1709" s="10" t="str">
        <f t="shared" si="27"/>
        <v>0001</v>
      </c>
      <c r="C1709" s="10" t="str">
        <f>_xlfn.LET(
    _xlpm.val, IF(Datadetails[[#This Row],[Activity]]="D02","C20",Datadetails[[#This Row],[Activity]]),
    IF(ISNUMBER(MATCH(_xlpm.val,{"D04","C30","c40","C20"},0)), _xlpm.val, "Other")
)</f>
        <v>D04</v>
      </c>
      <c r="D1709" s="10" t="str">
        <f>IFERROR(VLOOKUP(Datadetails[[#This Row],[Taskcode]],Dashboard!A:A,1,FALSE),"00 Err Missing")</f>
        <v>0001</v>
      </c>
      <c r="E1709" s="79">
        <v>45870</v>
      </c>
      <c r="F1709" s="80" t="s">
        <v>329</v>
      </c>
      <c r="G1709" s="60" t="s">
        <v>40</v>
      </c>
      <c r="H1709" s="80" t="s">
        <v>316</v>
      </c>
      <c r="I1709" s="80" t="s">
        <v>35</v>
      </c>
      <c r="J1709" s="80" t="s">
        <v>338</v>
      </c>
      <c r="K1709" s="80" t="s">
        <v>337</v>
      </c>
      <c r="L1709" s="80" t="s">
        <v>352</v>
      </c>
      <c r="M1709" s="81">
        <v>1.33</v>
      </c>
      <c r="N1709" s="82">
        <v>99.75</v>
      </c>
    </row>
    <row r="1710" spans="1:14" x14ac:dyDescent="0.25">
      <c r="A1710" s="10" t="str">
        <f>_xlfn.IFNA(
    IF(J1710=
        "PCB-0001",
        "CSS",
        IF(
            ISNUMBER(MATCH(_xlfn.TEXTBEFORE(J1710,"-"), {"CSS","CSN","PCB","PCF","BEC","CSD","PCM"}, 0)),
            _xlfn.TEXTBEFORE(J1710,"-"),
            "Other"
        )
    ),
"Add")</f>
        <v>CSD</v>
      </c>
      <c r="B1710" s="10" t="str">
        <f t="shared" si="27"/>
        <v>0001</v>
      </c>
      <c r="C1710" s="10" t="str">
        <f>_xlfn.LET(
    _xlpm.val, IF(Datadetails[[#This Row],[Activity]]="D02","C20",Datadetails[[#This Row],[Activity]]),
    IF(ISNUMBER(MATCH(_xlpm.val,{"D04","C30","c40","C20"},0)), _xlpm.val, "Other")
)</f>
        <v>D04</v>
      </c>
      <c r="D1710" s="10" t="str">
        <f>IFERROR(VLOOKUP(Datadetails[[#This Row],[Taskcode]],Dashboard!A:A,1,FALSE),"00 Err Missing")</f>
        <v>0001</v>
      </c>
      <c r="E1710" s="79">
        <v>45870</v>
      </c>
      <c r="F1710" s="80" t="s">
        <v>333</v>
      </c>
      <c r="G1710" s="60" t="s">
        <v>40</v>
      </c>
      <c r="H1710" s="80" t="s">
        <v>320</v>
      </c>
      <c r="I1710" s="80" t="s">
        <v>35</v>
      </c>
      <c r="J1710" s="80" t="s">
        <v>322</v>
      </c>
      <c r="K1710" s="80" t="s">
        <v>319</v>
      </c>
      <c r="L1710" s="80" t="s">
        <v>352</v>
      </c>
      <c r="M1710" s="81">
        <v>7.33</v>
      </c>
      <c r="N1710" s="82">
        <v>234.56</v>
      </c>
    </row>
    <row r="1711" spans="1:14" x14ac:dyDescent="0.25">
      <c r="A1711" s="10" t="str">
        <f>_xlfn.IFNA(
    IF(J1711=
        "PCB-0001",
        "CSS",
        IF(
            ISNUMBER(MATCH(_xlfn.TEXTBEFORE(J1711,"-"), {"CSS","CSN","PCB","PCF","BEC","CSD","PCM"}, 0)),
            _xlfn.TEXTBEFORE(J1711,"-"),
            "Other"
        )
    ),
"Add")</f>
        <v>CSD</v>
      </c>
      <c r="B1711" s="10" t="str">
        <f t="shared" si="27"/>
        <v>0001</v>
      </c>
      <c r="C1711" s="10" t="str">
        <f>_xlfn.LET(
    _xlpm.val, IF(Datadetails[[#This Row],[Activity]]="D02","C20",Datadetails[[#This Row],[Activity]]),
    IF(ISNUMBER(MATCH(_xlpm.val,{"D04","C30","c40","C20"},0)), _xlpm.val, "Other")
)</f>
        <v>D04</v>
      </c>
      <c r="D1711" s="10" t="str">
        <f>IFERROR(VLOOKUP(Datadetails[[#This Row],[Taskcode]],Dashboard!A:A,1,FALSE),"00 Err Missing")</f>
        <v>0001</v>
      </c>
      <c r="E1711" s="79">
        <v>45870</v>
      </c>
      <c r="F1711" s="80" t="s">
        <v>327</v>
      </c>
      <c r="G1711" s="60" t="s">
        <v>40</v>
      </c>
      <c r="H1711" s="80" t="s">
        <v>320</v>
      </c>
      <c r="I1711" s="80" t="s">
        <v>35</v>
      </c>
      <c r="J1711" s="80" t="s">
        <v>322</v>
      </c>
      <c r="K1711" s="80" t="s">
        <v>319</v>
      </c>
      <c r="L1711" s="80" t="s">
        <v>352</v>
      </c>
      <c r="M1711" s="81">
        <v>7.25</v>
      </c>
      <c r="N1711" s="82">
        <v>232</v>
      </c>
    </row>
    <row r="1712" spans="1:14" x14ac:dyDescent="0.25">
      <c r="A1712" s="10" t="str">
        <f>_xlfn.IFNA(
    IF(J1712=
        "PCB-0001",
        "CSS",
        IF(
            ISNUMBER(MATCH(_xlfn.TEXTBEFORE(J1712,"-"), {"CSS","CSN","PCB","PCF","BEC","CSD","PCM"}, 0)),
            _xlfn.TEXTBEFORE(J1712,"-"),
            "Other"
        )
    ),
"Add")</f>
        <v>PCM</v>
      </c>
      <c r="B1712" s="10" t="str">
        <f t="shared" si="27"/>
        <v>0119</v>
      </c>
      <c r="C1712" s="10" t="str">
        <f>_xlfn.LET(
    _xlpm.val, IF(Datadetails[[#This Row],[Activity]]="D02","C20",Datadetails[[#This Row],[Activity]]),
    IF(ISNUMBER(MATCH(_xlpm.val,{"D04","C30","c40","C20"},0)), _xlpm.val, "Other")
)</f>
        <v>C20</v>
      </c>
      <c r="D1712" s="10" t="str">
        <f>IFERROR(VLOOKUP(Datadetails[[#This Row],[Taskcode]],Dashboard!A:A,1,FALSE),"00 Err Missing")</f>
        <v>0119</v>
      </c>
      <c r="E1712" s="79">
        <v>45870</v>
      </c>
      <c r="F1712" s="80" t="s">
        <v>323</v>
      </c>
      <c r="G1712" s="60" t="s">
        <v>40</v>
      </c>
      <c r="H1712" s="80" t="s">
        <v>286</v>
      </c>
      <c r="I1712" s="80" t="s">
        <v>36</v>
      </c>
      <c r="J1712" s="80" t="s">
        <v>434</v>
      </c>
      <c r="K1712" s="80" t="s">
        <v>346</v>
      </c>
      <c r="L1712" s="80" t="s">
        <v>342</v>
      </c>
      <c r="M1712" s="81">
        <v>0.33</v>
      </c>
      <c r="N1712" s="82">
        <v>19.8</v>
      </c>
    </row>
    <row r="1713" spans="1:14" x14ac:dyDescent="0.25">
      <c r="A1713" s="10" t="str">
        <f>_xlfn.IFNA(
    IF(J1713=
        "PCB-0001",
        "CSS",
        IF(
            ISNUMBER(MATCH(_xlfn.TEXTBEFORE(J1713,"-"), {"CSS","CSN","PCB","PCF","BEC","CSD","PCM"}, 0)),
            _xlfn.TEXTBEFORE(J1713,"-"),
            "Other"
        )
    ),
"Add")</f>
        <v>PCM</v>
      </c>
      <c r="B1713" s="10" t="str">
        <f t="shared" si="27"/>
        <v>0116</v>
      </c>
      <c r="C1713" s="10" t="str">
        <f>_xlfn.LET(
    _xlpm.val, IF(Datadetails[[#This Row],[Activity]]="D02","C20",Datadetails[[#This Row],[Activity]]),
    IF(ISNUMBER(MATCH(_xlpm.val,{"D04","C30","c40","C20"},0)), _xlpm.val, "Other")
)</f>
        <v>C30</v>
      </c>
      <c r="D1713" s="10" t="str">
        <f>IFERROR(VLOOKUP(Datadetails[[#This Row],[Taskcode]],Dashboard!A:A,1,FALSE),"00 Err Missing")</f>
        <v>0116</v>
      </c>
      <c r="E1713" s="79">
        <v>45870</v>
      </c>
      <c r="F1713" s="80" t="s">
        <v>323</v>
      </c>
      <c r="G1713" s="60" t="s">
        <v>40</v>
      </c>
      <c r="H1713" s="80" t="s">
        <v>283</v>
      </c>
      <c r="I1713" s="80" t="s">
        <v>34</v>
      </c>
      <c r="J1713" s="80" t="s">
        <v>429</v>
      </c>
      <c r="K1713" s="80" t="s">
        <v>346</v>
      </c>
      <c r="L1713" s="80" t="s">
        <v>343</v>
      </c>
      <c r="M1713" s="81">
        <v>0.5</v>
      </c>
      <c r="N1713" s="82">
        <v>30</v>
      </c>
    </row>
    <row r="1714" spans="1:14" x14ac:dyDescent="0.25">
      <c r="A1714" s="10" t="str">
        <f>_xlfn.IFNA(
    IF(J1714=
        "PCB-0001",
        "CSS",
        IF(
            ISNUMBER(MATCH(_xlfn.TEXTBEFORE(J1714,"-"), {"CSS","CSN","PCB","PCF","BEC","CSD","PCM"}, 0)),
            _xlfn.TEXTBEFORE(J1714,"-"),
            "Other"
        )
    ),
"Add")</f>
        <v>PCB</v>
      </c>
      <c r="B1714" s="10" t="str">
        <f t="shared" si="27"/>
        <v>0085</v>
      </c>
      <c r="C1714" s="10" t="str">
        <f>_xlfn.LET(
    _xlpm.val, IF(Datadetails[[#This Row],[Activity]]="D02","C20",Datadetails[[#This Row],[Activity]]),
    IF(ISNUMBER(MATCH(_xlpm.val,{"D04","C30","c40","C20"},0)), _xlpm.val, "Other")
)</f>
        <v>C20</v>
      </c>
      <c r="D1714" s="10" t="str">
        <f>IFERROR(VLOOKUP(Datadetails[[#This Row],[Taskcode]],Dashboard!A:A,1,FALSE),"00 Err Missing")</f>
        <v>0085</v>
      </c>
      <c r="E1714" s="79">
        <v>45870</v>
      </c>
      <c r="F1714" s="80" t="s">
        <v>330</v>
      </c>
      <c r="G1714" s="60" t="s">
        <v>40</v>
      </c>
      <c r="H1714" s="80" t="s">
        <v>252</v>
      </c>
      <c r="I1714" s="80" t="s">
        <v>36</v>
      </c>
      <c r="J1714" s="80" t="s">
        <v>416</v>
      </c>
      <c r="K1714" s="80" t="s">
        <v>347</v>
      </c>
      <c r="L1714" s="80" t="s">
        <v>342</v>
      </c>
      <c r="M1714" s="81">
        <v>0.5</v>
      </c>
      <c r="N1714" s="82">
        <v>30</v>
      </c>
    </row>
    <row r="1715" spans="1:14" x14ac:dyDescent="0.25">
      <c r="A1715" s="10" t="str">
        <f>_xlfn.IFNA(
    IF(J1715=
        "PCB-0001",
        "CSS",
        IF(
            ISNUMBER(MATCH(_xlfn.TEXTBEFORE(J1715,"-"), {"CSS","CSN","PCB","PCF","BEC","CSD","PCM"}, 0)),
            _xlfn.TEXTBEFORE(J1715,"-"),
            "Other"
        )
    ),
"Add")</f>
        <v>PCB</v>
      </c>
      <c r="B1715" s="10" t="str">
        <f t="shared" si="27"/>
        <v>0009</v>
      </c>
      <c r="C1715" s="10" t="str">
        <f>_xlfn.LET(
    _xlpm.val, IF(Datadetails[[#This Row],[Activity]]="D02","C20",Datadetails[[#This Row],[Activity]]),
    IF(ISNUMBER(MATCH(_xlpm.val,{"D04","C30","c40","C20"},0)), _xlpm.val, "Other")
)</f>
        <v>C30</v>
      </c>
      <c r="D1715" s="10" t="str">
        <f>IFERROR(VLOOKUP(Datadetails[[#This Row],[Taskcode]],Dashboard!A:A,1,FALSE),"00 Err Missing")</f>
        <v>0009</v>
      </c>
      <c r="E1715" s="79">
        <v>45870</v>
      </c>
      <c r="F1715" s="80" t="s">
        <v>329</v>
      </c>
      <c r="G1715" s="60" t="s">
        <v>40</v>
      </c>
      <c r="H1715" s="80" t="s">
        <v>176</v>
      </c>
      <c r="I1715" s="80" t="s">
        <v>34</v>
      </c>
      <c r="J1715" s="80" t="s">
        <v>458</v>
      </c>
      <c r="K1715" s="80" t="s">
        <v>347</v>
      </c>
      <c r="L1715" s="80" t="s">
        <v>343</v>
      </c>
      <c r="M1715" s="81">
        <v>0.67</v>
      </c>
      <c r="N1715" s="82">
        <v>50.25</v>
      </c>
    </row>
    <row r="1716" spans="1:14" x14ac:dyDescent="0.25">
      <c r="A1716" s="10" t="str">
        <f>_xlfn.IFNA(
    IF(J1716=
        "PCB-0001",
        "CSS",
        IF(
            ISNUMBER(MATCH(_xlfn.TEXTBEFORE(J1716,"-"), {"CSS","CSN","PCB","PCF","BEC","CSD","PCM"}, 0)),
            _xlfn.TEXTBEFORE(J1716,"-"),
            "Other"
        )
    ),
"Add")</f>
        <v>PCB</v>
      </c>
      <c r="B1716" s="10" t="str">
        <f t="shared" si="27"/>
        <v>0136</v>
      </c>
      <c r="C1716" s="10" t="str">
        <f>_xlfn.LET(
    _xlpm.val, IF(Datadetails[[#This Row],[Activity]]="D02","C20",Datadetails[[#This Row],[Activity]]),
    IF(ISNUMBER(MATCH(_xlpm.val,{"D04","C30","c40","C20"},0)), _xlpm.val, "Other")
)</f>
        <v>C30</v>
      </c>
      <c r="D1716" s="10" t="str">
        <f>IFERROR(VLOOKUP(Datadetails[[#This Row],[Taskcode]],Dashboard!A:A,1,FALSE),"00 Err Missing")</f>
        <v>0136</v>
      </c>
      <c r="E1716" s="79">
        <v>45870</v>
      </c>
      <c r="F1716" s="80" t="s">
        <v>329</v>
      </c>
      <c r="G1716" s="60" t="s">
        <v>40</v>
      </c>
      <c r="H1716" s="80" t="s">
        <v>303</v>
      </c>
      <c r="I1716" s="80" t="s">
        <v>34</v>
      </c>
      <c r="J1716" s="80" t="s">
        <v>400</v>
      </c>
      <c r="K1716" s="80" t="s">
        <v>347</v>
      </c>
      <c r="L1716" s="80" t="s">
        <v>343</v>
      </c>
      <c r="M1716" s="81">
        <v>0.33</v>
      </c>
      <c r="N1716" s="82">
        <v>24.75</v>
      </c>
    </row>
    <row r="1717" spans="1:14" x14ac:dyDescent="0.25">
      <c r="A1717" s="10" t="str">
        <f>_xlfn.IFNA(
    IF(J1717=
        "PCB-0001",
        "CSS",
        IF(
            ISNUMBER(MATCH(_xlfn.TEXTBEFORE(J1717,"-"), {"CSS","CSN","PCB","PCF","BEC","CSD","PCM"}, 0)),
            _xlfn.TEXTBEFORE(J1717,"-"),
            "Other"
        )
    ),
"Add")</f>
        <v>PCB</v>
      </c>
      <c r="B1717" s="10" t="str">
        <f t="shared" si="27"/>
        <v>0081</v>
      </c>
      <c r="C1717" s="10" t="str">
        <f>_xlfn.LET(
    _xlpm.val, IF(Datadetails[[#This Row],[Activity]]="D02","C20",Datadetails[[#This Row],[Activity]]),
    IF(ISNUMBER(MATCH(_xlpm.val,{"D04","C30","c40","C20"},0)), _xlpm.val, "Other")
)</f>
        <v>C30</v>
      </c>
      <c r="D1717" s="10" t="str">
        <f>IFERROR(VLOOKUP(Datadetails[[#This Row],[Taskcode]],Dashboard!A:A,1,FALSE),"00 Err Missing")</f>
        <v>0081</v>
      </c>
      <c r="E1717" s="79">
        <v>45870</v>
      </c>
      <c r="F1717" s="80" t="s">
        <v>329</v>
      </c>
      <c r="G1717" s="60" t="s">
        <v>40</v>
      </c>
      <c r="H1717" s="80" t="s">
        <v>248</v>
      </c>
      <c r="I1717" s="80" t="s">
        <v>34</v>
      </c>
      <c r="J1717" s="80" t="s">
        <v>385</v>
      </c>
      <c r="K1717" s="80" t="s">
        <v>347</v>
      </c>
      <c r="L1717" s="80" t="s">
        <v>343</v>
      </c>
      <c r="M1717" s="81">
        <v>0.25</v>
      </c>
      <c r="N1717" s="82">
        <v>18.75</v>
      </c>
    </row>
    <row r="1718" spans="1:14" x14ac:dyDescent="0.25">
      <c r="A1718" s="10" t="str">
        <f>_xlfn.IFNA(
    IF(J1718=
        "PCB-0001",
        "CSS",
        IF(
            ISNUMBER(MATCH(_xlfn.TEXTBEFORE(J1718,"-"), {"CSS","CSN","PCB","PCF","BEC","CSD","PCM"}, 0)),
            _xlfn.TEXTBEFORE(J1718,"-"),
            "Other"
        )
    ),
"Add")</f>
        <v>PCB</v>
      </c>
      <c r="B1718" s="10" t="str">
        <f t="shared" si="27"/>
        <v>0080</v>
      </c>
      <c r="C1718" s="10" t="str">
        <f>_xlfn.LET(
    _xlpm.val, IF(Datadetails[[#This Row],[Activity]]="D02","C20",Datadetails[[#This Row],[Activity]]),
    IF(ISNUMBER(MATCH(_xlpm.val,{"D04","C30","c40","C20"},0)), _xlpm.val, "Other")
)</f>
        <v>C30</v>
      </c>
      <c r="D1718" s="10" t="str">
        <f>IFERROR(VLOOKUP(Datadetails[[#This Row],[Taskcode]],Dashboard!A:A,1,FALSE),"00 Err Missing")</f>
        <v>0080</v>
      </c>
      <c r="E1718" s="79">
        <v>45870</v>
      </c>
      <c r="F1718" s="80" t="s">
        <v>329</v>
      </c>
      <c r="G1718" s="60" t="s">
        <v>40</v>
      </c>
      <c r="H1718" s="80" t="s">
        <v>247</v>
      </c>
      <c r="I1718" s="80" t="s">
        <v>34</v>
      </c>
      <c r="J1718" s="80" t="s">
        <v>375</v>
      </c>
      <c r="K1718" s="80" t="s">
        <v>347</v>
      </c>
      <c r="L1718" s="80" t="s">
        <v>343</v>
      </c>
      <c r="M1718" s="81">
        <v>0.75</v>
      </c>
      <c r="N1718" s="82">
        <v>56.25</v>
      </c>
    </row>
    <row r="1719" spans="1:14" x14ac:dyDescent="0.25">
      <c r="A1719" s="10" t="str">
        <f>_xlfn.IFNA(
    IF(J1719=
        "PCB-0001",
        "CSS",
        IF(
            ISNUMBER(MATCH(_xlfn.TEXTBEFORE(J1719,"-"), {"CSS","CSN","PCB","PCF","BEC","CSD","PCM"}, 0)),
            _xlfn.TEXTBEFORE(J1719,"-"),
            "Other"
        )
    ),
"Add")</f>
        <v>PCB</v>
      </c>
      <c r="B1719" s="10" t="str">
        <f t="shared" si="27"/>
        <v>0132</v>
      </c>
      <c r="C1719" s="10" t="str">
        <f>_xlfn.LET(
    _xlpm.val, IF(Datadetails[[#This Row],[Activity]]="D02","C20",Datadetails[[#This Row],[Activity]]),
    IF(ISNUMBER(MATCH(_xlpm.val,{"D04","C30","c40","C20"},0)), _xlpm.val, "Other")
)</f>
        <v>C20</v>
      </c>
      <c r="D1719" s="10" t="str">
        <f>IFERROR(VLOOKUP(Datadetails[[#This Row],[Taskcode]],Dashboard!A:A,1,FALSE),"00 Err Missing")</f>
        <v>0132</v>
      </c>
      <c r="E1719" s="79">
        <v>45870</v>
      </c>
      <c r="F1719" s="80" t="s">
        <v>329</v>
      </c>
      <c r="G1719" s="60" t="s">
        <v>40</v>
      </c>
      <c r="H1719" s="80" t="s">
        <v>299</v>
      </c>
      <c r="I1719" s="80" t="s">
        <v>312</v>
      </c>
      <c r="J1719" s="80" t="s">
        <v>455</v>
      </c>
      <c r="K1719" s="80" t="s">
        <v>347</v>
      </c>
      <c r="L1719" s="80" t="s">
        <v>350</v>
      </c>
      <c r="M1719" s="81">
        <v>0.67</v>
      </c>
      <c r="N1719" s="82">
        <v>50.25</v>
      </c>
    </row>
    <row r="1720" spans="1:14" x14ac:dyDescent="0.25">
      <c r="A1720" s="10" t="str">
        <f>_xlfn.IFNA(
    IF(J1720=
        "PCB-0001",
        "CSS",
        IF(
            ISNUMBER(MATCH(_xlfn.TEXTBEFORE(J1720,"-"), {"CSS","CSN","PCB","PCF","BEC","CSD","PCM"}, 0)),
            _xlfn.TEXTBEFORE(J1720,"-"),
            "Other"
        )
    ),
"Add")</f>
        <v>BEC</v>
      </c>
      <c r="B1720" s="10" t="str">
        <f t="shared" si="27"/>
        <v>0001</v>
      </c>
      <c r="C1720" s="10" t="str">
        <f>_xlfn.LET(
    _xlpm.val, IF(Datadetails[[#This Row],[Activity]]="D02","C20",Datadetails[[#This Row],[Activity]]),
    IF(ISNUMBER(MATCH(_xlpm.val,{"D04","C30","c40","C20"},0)), _xlpm.val, "Other")
)</f>
        <v>D04</v>
      </c>
      <c r="D1720" s="10" t="str">
        <f>IFERROR(VLOOKUP(Datadetails[[#This Row],[Taskcode]],Dashboard!A:A,1,FALSE),"00 Err Missing")</f>
        <v>0001</v>
      </c>
      <c r="E1720" s="79">
        <v>45870</v>
      </c>
      <c r="F1720" s="80" t="s">
        <v>332</v>
      </c>
      <c r="G1720" s="60" t="s">
        <v>40</v>
      </c>
      <c r="H1720" s="80" t="s">
        <v>314</v>
      </c>
      <c r="I1720" s="80" t="s">
        <v>35</v>
      </c>
      <c r="J1720" s="80" t="s">
        <v>359</v>
      </c>
      <c r="K1720" s="80" t="s">
        <v>339</v>
      </c>
      <c r="L1720" s="80" t="s">
        <v>352</v>
      </c>
      <c r="M1720" s="81">
        <v>8.67</v>
      </c>
      <c r="N1720" s="82">
        <v>346.8</v>
      </c>
    </row>
    <row r="1721" spans="1:14" x14ac:dyDescent="0.25">
      <c r="A1721" s="10" t="str">
        <f>_xlfn.IFNA(
    IF(J1721=
        "PCB-0001",
        "CSS",
        IF(
            ISNUMBER(MATCH(_xlfn.TEXTBEFORE(J1721,"-"), {"CSS","CSN","PCB","PCF","BEC","CSD","PCM"}, 0)),
            _xlfn.TEXTBEFORE(J1721,"-"),
            "Other"
        )
    ),
"Add")</f>
        <v>BEC</v>
      </c>
      <c r="B1721" s="10" t="str">
        <f t="shared" si="27"/>
        <v>0001</v>
      </c>
      <c r="C1721" s="10" t="str">
        <f>_xlfn.LET(
    _xlpm.val, IF(Datadetails[[#This Row],[Activity]]="D02","C20",Datadetails[[#This Row],[Activity]]),
    IF(ISNUMBER(MATCH(_xlpm.val,{"D04","C30","c40","C20"},0)), _xlpm.val, "Other")
)</f>
        <v>D04</v>
      </c>
      <c r="D1721" s="10" t="str">
        <f>IFERROR(VLOOKUP(Datadetails[[#This Row],[Taskcode]],Dashboard!A:A,1,FALSE),"00 Err Missing")</f>
        <v>0001</v>
      </c>
      <c r="E1721" s="79">
        <v>45870</v>
      </c>
      <c r="F1721" s="80" t="s">
        <v>324</v>
      </c>
      <c r="G1721" s="60" t="s">
        <v>40</v>
      </c>
      <c r="H1721" s="80" t="s">
        <v>314</v>
      </c>
      <c r="I1721" s="80" t="s">
        <v>35</v>
      </c>
      <c r="J1721" s="80" t="s">
        <v>359</v>
      </c>
      <c r="K1721" s="80" t="s">
        <v>339</v>
      </c>
      <c r="L1721" s="80" t="s">
        <v>352</v>
      </c>
      <c r="M1721" s="81">
        <v>5</v>
      </c>
      <c r="N1721" s="82">
        <v>375</v>
      </c>
    </row>
    <row r="1722" spans="1:14" x14ac:dyDescent="0.25">
      <c r="A1722" s="10" t="str">
        <f>_xlfn.IFNA(
    IF(J1722=
        "PCB-0001",
        "CSS",
        IF(
            ISNUMBER(MATCH(_xlfn.TEXTBEFORE(J1722,"-"), {"CSS","CSN","PCB","PCF","BEC","CSD","PCM"}, 0)),
            _xlfn.TEXTBEFORE(J1722,"-"),
            "Other"
        )
    ),
"Add")</f>
        <v>BEC</v>
      </c>
      <c r="B1722" s="10" t="str">
        <f t="shared" si="27"/>
        <v>0001</v>
      </c>
      <c r="C1722" s="10" t="str">
        <f>_xlfn.LET(
    _xlpm.val, IF(Datadetails[[#This Row],[Activity]]="D02","C20",Datadetails[[#This Row],[Activity]]),
    IF(ISNUMBER(MATCH(_xlpm.val,{"D04","C30","c40","C20"},0)), _xlpm.val, "Other")
)</f>
        <v>D04</v>
      </c>
      <c r="D1722" s="10" t="str">
        <f>IFERROR(VLOOKUP(Datadetails[[#This Row],[Taskcode]],Dashboard!A:A,1,FALSE),"00 Err Missing")</f>
        <v>0001</v>
      </c>
      <c r="E1722" s="79">
        <v>45871</v>
      </c>
      <c r="F1722" s="80" t="s">
        <v>332</v>
      </c>
      <c r="G1722" s="60" t="s">
        <v>40</v>
      </c>
      <c r="H1722" s="80" t="s">
        <v>314</v>
      </c>
      <c r="I1722" s="80" t="s">
        <v>35</v>
      </c>
      <c r="J1722" s="80" t="s">
        <v>359</v>
      </c>
      <c r="K1722" s="80" t="s">
        <v>339</v>
      </c>
      <c r="L1722" s="80" t="s">
        <v>352</v>
      </c>
      <c r="M1722" s="81">
        <v>4</v>
      </c>
      <c r="N1722" s="82">
        <v>160</v>
      </c>
    </row>
    <row r="1723" spans="1:14" x14ac:dyDescent="0.25">
      <c r="A1723" s="10" t="str">
        <f>_xlfn.IFNA(
    IF(J1723=
        "PCB-0001",
        "CSS",
        IF(
            ISNUMBER(MATCH(_xlfn.TEXTBEFORE(J1723,"-"), {"CSS","CSN","PCB","PCF","BEC","CSD","PCM"}, 0)),
            _xlfn.TEXTBEFORE(J1723,"-"),
            "Other"
        )
    ),
"Add")</f>
        <v>CSN</v>
      </c>
      <c r="B1723" s="10" t="str">
        <f t="shared" si="27"/>
        <v>0001</v>
      </c>
      <c r="C1723" s="10" t="str">
        <f>_xlfn.LET(
    _xlpm.val, IF(Datadetails[[#This Row],[Activity]]="D02","C20",Datadetails[[#This Row],[Activity]]),
    IF(ISNUMBER(MATCH(_xlpm.val,{"D04","C30","c40","C20"},0)), _xlpm.val, "Other")
)</f>
        <v>D04</v>
      </c>
      <c r="D1723" s="10" t="str">
        <f>IFERROR(VLOOKUP(Datadetails[[#This Row],[Taskcode]],Dashboard!A:A,1,FALSE),"00 Err Missing")</f>
        <v>0001</v>
      </c>
      <c r="E1723" s="79">
        <v>45873</v>
      </c>
      <c r="F1723" s="80" t="s">
        <v>329</v>
      </c>
      <c r="G1723" s="60" t="s">
        <v>40</v>
      </c>
      <c r="H1723" s="80" t="s">
        <v>316</v>
      </c>
      <c r="I1723" s="80" t="s">
        <v>35</v>
      </c>
      <c r="J1723" s="80" t="s">
        <v>338</v>
      </c>
      <c r="K1723" s="80" t="s">
        <v>337</v>
      </c>
      <c r="L1723" s="80" t="s">
        <v>352</v>
      </c>
      <c r="M1723" s="81">
        <v>0.5</v>
      </c>
      <c r="N1723" s="82">
        <v>37.5</v>
      </c>
    </row>
    <row r="1724" spans="1:14" x14ac:dyDescent="0.25">
      <c r="A1724" s="10" t="str">
        <f>_xlfn.IFNA(
    IF(J1724=
        "PCB-0001",
        "CSS",
        IF(
            ISNUMBER(MATCH(_xlfn.TEXTBEFORE(J1724,"-"), {"CSS","CSN","PCB","PCF","BEC","CSD","PCM"}, 0)),
            _xlfn.TEXTBEFORE(J1724,"-"),
            "Other"
        )
    ),
"Add")</f>
        <v>PCB</v>
      </c>
      <c r="B1724" s="10" t="str">
        <f t="shared" si="27"/>
        <v>0012</v>
      </c>
      <c r="C1724" s="10" t="str">
        <f>_xlfn.LET(
    _xlpm.val, IF(Datadetails[[#This Row],[Activity]]="D02","C20",Datadetails[[#This Row],[Activity]]),
    IF(ISNUMBER(MATCH(_xlpm.val,{"D04","C30","c40","C20"},0)), _xlpm.val, "Other")
)</f>
        <v>C40</v>
      </c>
      <c r="D1724" s="10" t="str">
        <f>IFERROR(VLOOKUP(Datadetails[[#This Row],[Taskcode]],Dashboard!A:A,1,FALSE),"00 Err Missing")</f>
        <v>0012</v>
      </c>
      <c r="E1724" s="79">
        <v>45873</v>
      </c>
      <c r="F1724" s="80" t="s">
        <v>325</v>
      </c>
      <c r="G1724" s="60" t="s">
        <v>40</v>
      </c>
      <c r="H1724" s="80" t="s">
        <v>179</v>
      </c>
      <c r="I1724" s="80" t="s">
        <v>341</v>
      </c>
      <c r="J1724" s="80" t="s">
        <v>422</v>
      </c>
      <c r="K1724" s="80" t="s">
        <v>347</v>
      </c>
      <c r="L1724" s="80" t="s">
        <v>344</v>
      </c>
      <c r="M1724" s="81">
        <v>1.67</v>
      </c>
      <c r="N1724" s="82">
        <v>125.25</v>
      </c>
    </row>
    <row r="1725" spans="1:14" x14ac:dyDescent="0.25">
      <c r="A1725" s="10" t="str">
        <f>_xlfn.IFNA(
    IF(J1725=
        "PCB-0001",
        "CSS",
        IF(
            ISNUMBER(MATCH(_xlfn.TEXTBEFORE(J1725,"-"), {"CSS","CSN","PCB","PCF","BEC","CSD","PCM"}, 0)),
            _xlfn.TEXTBEFORE(J1725,"-"),
            "Other"
        )
    ),
"Add")</f>
        <v>CSD</v>
      </c>
      <c r="B1725" s="10" t="str">
        <f t="shared" si="27"/>
        <v>0001</v>
      </c>
      <c r="C1725" s="10" t="str">
        <f>_xlfn.LET(
    _xlpm.val, IF(Datadetails[[#This Row],[Activity]]="D02","C20",Datadetails[[#This Row],[Activity]]),
    IF(ISNUMBER(MATCH(_xlpm.val,{"D04","C30","c40","C20"},0)), _xlpm.val, "Other")
)</f>
        <v>D04</v>
      </c>
      <c r="D1725" s="10" t="str">
        <f>IFERROR(VLOOKUP(Datadetails[[#This Row],[Taskcode]],Dashboard!A:A,1,FALSE),"00 Err Missing")</f>
        <v>0001</v>
      </c>
      <c r="E1725" s="79">
        <v>45873</v>
      </c>
      <c r="F1725" s="80" t="s">
        <v>327</v>
      </c>
      <c r="G1725" s="60" t="s">
        <v>40</v>
      </c>
      <c r="H1725" s="80" t="s">
        <v>320</v>
      </c>
      <c r="I1725" s="80" t="s">
        <v>35</v>
      </c>
      <c r="J1725" s="80" t="s">
        <v>322</v>
      </c>
      <c r="K1725" s="80" t="s">
        <v>319</v>
      </c>
      <c r="L1725" s="80" t="s">
        <v>352</v>
      </c>
      <c r="M1725" s="81">
        <v>8.33</v>
      </c>
      <c r="N1725" s="82">
        <v>266.56</v>
      </c>
    </row>
    <row r="1726" spans="1:14" x14ac:dyDescent="0.25">
      <c r="A1726" s="10" t="str">
        <f>_xlfn.IFNA(
    IF(J1726=
        "PCB-0001",
        "CSS",
        IF(
            ISNUMBER(MATCH(_xlfn.TEXTBEFORE(J1726,"-"), {"CSS","CSN","PCB","PCF","BEC","CSD","PCM"}, 0)),
            _xlfn.TEXTBEFORE(J1726,"-"),
            "Other"
        )
    ),
"Add")</f>
        <v>PCM</v>
      </c>
      <c r="B1726" s="10" t="str">
        <f t="shared" si="27"/>
        <v>0116</v>
      </c>
      <c r="C1726" s="10" t="str">
        <f>_xlfn.LET(
    _xlpm.val, IF(Datadetails[[#This Row],[Activity]]="D02","C20",Datadetails[[#This Row],[Activity]]),
    IF(ISNUMBER(MATCH(_xlpm.val,{"D04","C30","c40","C20"},0)), _xlpm.val, "Other")
)</f>
        <v>C20</v>
      </c>
      <c r="D1726" s="10" t="str">
        <f>IFERROR(VLOOKUP(Datadetails[[#This Row],[Taskcode]],Dashboard!A:A,1,FALSE),"00 Err Missing")</f>
        <v>0116</v>
      </c>
      <c r="E1726" s="79">
        <v>45873</v>
      </c>
      <c r="F1726" s="80" t="s">
        <v>323</v>
      </c>
      <c r="G1726" s="60" t="s">
        <v>40</v>
      </c>
      <c r="H1726" s="80" t="s">
        <v>283</v>
      </c>
      <c r="I1726" s="80" t="s">
        <v>36</v>
      </c>
      <c r="J1726" s="80" t="s">
        <v>429</v>
      </c>
      <c r="K1726" s="80" t="s">
        <v>346</v>
      </c>
      <c r="L1726" s="80" t="s">
        <v>342</v>
      </c>
      <c r="M1726" s="81">
        <v>1</v>
      </c>
      <c r="N1726" s="82">
        <v>60</v>
      </c>
    </row>
    <row r="1727" spans="1:14" x14ac:dyDescent="0.25">
      <c r="A1727" s="10" t="str">
        <f>_xlfn.IFNA(
    IF(J1727=
        "PCB-0001",
        "CSS",
        IF(
            ISNUMBER(MATCH(_xlfn.TEXTBEFORE(J1727,"-"), {"CSS","CSN","PCB","PCF","BEC","CSD","PCM"}, 0)),
            _xlfn.TEXTBEFORE(J1727,"-"),
            "Other"
        )
    ),
"Add")</f>
        <v>PCB</v>
      </c>
      <c r="B1727" s="10" t="str">
        <f t="shared" si="27"/>
        <v>0019</v>
      </c>
      <c r="C1727" s="10" t="str">
        <f>_xlfn.LET(
    _xlpm.val, IF(Datadetails[[#This Row],[Activity]]="D02","C20",Datadetails[[#This Row],[Activity]]),
    IF(ISNUMBER(MATCH(_xlpm.val,{"D04","C30","c40","C20"},0)), _xlpm.val, "Other")
)</f>
        <v>C30</v>
      </c>
      <c r="D1727" s="10" t="str">
        <f>IFERROR(VLOOKUP(Datadetails[[#This Row],[Taskcode]],Dashboard!A:A,1,FALSE),"00 Err Missing")</f>
        <v>0019</v>
      </c>
      <c r="E1727" s="79">
        <v>45873</v>
      </c>
      <c r="F1727" s="80" t="s">
        <v>329</v>
      </c>
      <c r="G1727" s="60" t="s">
        <v>40</v>
      </c>
      <c r="H1727" s="80" t="s">
        <v>186</v>
      </c>
      <c r="I1727" s="80" t="s">
        <v>34</v>
      </c>
      <c r="J1727" s="80" t="s">
        <v>397</v>
      </c>
      <c r="K1727" s="80" t="s">
        <v>347</v>
      </c>
      <c r="L1727" s="80" t="s">
        <v>343</v>
      </c>
      <c r="M1727" s="81">
        <v>0.17</v>
      </c>
      <c r="N1727" s="82">
        <v>12.750000000000002</v>
      </c>
    </row>
    <row r="1728" spans="1:14" x14ac:dyDescent="0.25">
      <c r="A1728" s="10" t="str">
        <f>_xlfn.IFNA(
    IF(J1728=
        "PCB-0001",
        "CSS",
        IF(
            ISNUMBER(MATCH(_xlfn.TEXTBEFORE(J1728,"-"), {"CSS","CSN","PCB","PCF","BEC","CSD","PCM"}, 0)),
            _xlfn.TEXTBEFORE(J1728,"-"),
            "Other"
        )
    ),
"Add")</f>
        <v>PCB</v>
      </c>
      <c r="B1728" s="10" t="str">
        <f t="shared" si="27"/>
        <v>0012</v>
      </c>
      <c r="C1728" s="10" t="str">
        <f>_xlfn.LET(
    _xlpm.val, IF(Datadetails[[#This Row],[Activity]]="D02","C20",Datadetails[[#This Row],[Activity]]),
    IF(ISNUMBER(MATCH(_xlpm.val,{"D04","C30","c40","C20"},0)), _xlpm.val, "Other")
)</f>
        <v>C30</v>
      </c>
      <c r="D1728" s="10" t="str">
        <f>IFERROR(VLOOKUP(Datadetails[[#This Row],[Taskcode]],Dashboard!A:A,1,FALSE),"00 Err Missing")</f>
        <v>0012</v>
      </c>
      <c r="E1728" s="79">
        <v>45873</v>
      </c>
      <c r="F1728" s="80" t="s">
        <v>325</v>
      </c>
      <c r="G1728" s="60" t="s">
        <v>40</v>
      </c>
      <c r="H1728" s="80" t="s">
        <v>179</v>
      </c>
      <c r="I1728" s="80" t="s">
        <v>34</v>
      </c>
      <c r="J1728" s="80" t="s">
        <v>422</v>
      </c>
      <c r="K1728" s="80" t="s">
        <v>347</v>
      </c>
      <c r="L1728" s="80" t="s">
        <v>343</v>
      </c>
      <c r="M1728" s="81">
        <v>0.17</v>
      </c>
      <c r="N1728" s="82">
        <v>12.750000000000002</v>
      </c>
    </row>
    <row r="1729" spans="1:14" x14ac:dyDescent="0.25">
      <c r="A1729" s="10" t="str">
        <f>_xlfn.IFNA(
    IF(J1729=
        "PCB-0001",
        "CSS",
        IF(
            ISNUMBER(MATCH(_xlfn.TEXTBEFORE(J1729,"-"), {"CSS","CSN","PCB","PCF","BEC","CSD","PCM"}, 0)),
            _xlfn.TEXTBEFORE(J1729,"-"),
            "Other"
        )
    ),
"Add")</f>
        <v>PCB</v>
      </c>
      <c r="B1729" s="10" t="str">
        <f t="shared" si="27"/>
        <v>0082</v>
      </c>
      <c r="C1729" s="10" t="str">
        <f>_xlfn.LET(
    _xlpm.val, IF(Datadetails[[#This Row],[Activity]]="D02","C20",Datadetails[[#This Row],[Activity]]),
    IF(ISNUMBER(MATCH(_xlpm.val,{"D04","C30","c40","C20"},0)), _xlpm.val, "Other")
)</f>
        <v>C30</v>
      </c>
      <c r="D1729" s="10" t="str">
        <f>IFERROR(VLOOKUP(Datadetails[[#This Row],[Taskcode]],Dashboard!A:A,1,FALSE),"00 Err Missing")</f>
        <v>0082</v>
      </c>
      <c r="E1729" s="79">
        <v>45873</v>
      </c>
      <c r="F1729" s="80" t="s">
        <v>325</v>
      </c>
      <c r="G1729" s="60" t="s">
        <v>40</v>
      </c>
      <c r="H1729" s="80" t="s">
        <v>249</v>
      </c>
      <c r="I1729" s="80" t="s">
        <v>34</v>
      </c>
      <c r="J1729" s="80" t="s">
        <v>409</v>
      </c>
      <c r="K1729" s="80" t="s">
        <v>347</v>
      </c>
      <c r="L1729" s="80" t="s">
        <v>343</v>
      </c>
      <c r="M1729" s="81">
        <v>0.33</v>
      </c>
      <c r="N1729" s="82">
        <v>24.75</v>
      </c>
    </row>
    <row r="1730" spans="1:14" x14ac:dyDescent="0.25">
      <c r="A1730" s="10" t="str">
        <f>_xlfn.IFNA(
    IF(J1730=
        "PCB-0001",
        "CSS",
        IF(
            ISNUMBER(MATCH(_xlfn.TEXTBEFORE(J1730,"-"), {"CSS","CSN","PCB","PCF","BEC","CSD","PCM"}, 0)),
            _xlfn.TEXTBEFORE(J1730,"-"),
            "Other"
        )
    ),
"Add")</f>
        <v>PCB</v>
      </c>
      <c r="B1730" s="10" t="str">
        <f t="shared" si="27"/>
        <v>0132</v>
      </c>
      <c r="C1730" s="10" t="str">
        <f>_xlfn.LET(
    _xlpm.val, IF(Datadetails[[#This Row],[Activity]]="D02","C20",Datadetails[[#This Row],[Activity]]),
    IF(ISNUMBER(MATCH(_xlpm.val,{"D04","C30","c40","C20"},0)), _xlpm.val, "Other")
)</f>
        <v>C20</v>
      </c>
      <c r="D1730" s="10" t="str">
        <f>IFERROR(VLOOKUP(Datadetails[[#This Row],[Taskcode]],Dashboard!A:A,1,FALSE),"00 Err Missing")</f>
        <v>0132</v>
      </c>
      <c r="E1730" s="79">
        <v>45873</v>
      </c>
      <c r="F1730" s="80" t="s">
        <v>329</v>
      </c>
      <c r="G1730" s="60" t="s">
        <v>40</v>
      </c>
      <c r="H1730" s="80" t="s">
        <v>299</v>
      </c>
      <c r="I1730" s="80" t="s">
        <v>312</v>
      </c>
      <c r="J1730" s="80" t="s">
        <v>455</v>
      </c>
      <c r="K1730" s="80" t="s">
        <v>347</v>
      </c>
      <c r="L1730" s="80" t="s">
        <v>350</v>
      </c>
      <c r="M1730" s="81">
        <v>1.75</v>
      </c>
      <c r="N1730" s="82">
        <v>131.25</v>
      </c>
    </row>
    <row r="1731" spans="1:14" x14ac:dyDescent="0.25">
      <c r="A1731" s="10" t="str">
        <f>_xlfn.IFNA(
    IF(J1731=
        "PCB-0001",
        "CSS",
        IF(
            ISNUMBER(MATCH(_xlfn.TEXTBEFORE(J1731,"-"), {"CSS","CSN","PCB","PCF","BEC","CSD","PCM"}, 0)),
            _xlfn.TEXTBEFORE(J1731,"-"),
            "Other"
        )
    ),
"Add")</f>
        <v>PCF</v>
      </c>
      <c r="B1731" s="10" t="str">
        <f t="shared" si="27"/>
        <v>0060</v>
      </c>
      <c r="C1731" s="10" t="str">
        <f>_xlfn.LET(
    _xlpm.val, IF(Datadetails[[#This Row],[Activity]]="D02","C20",Datadetails[[#This Row],[Activity]]),
    IF(ISNUMBER(MATCH(_xlpm.val,{"D04","C30","c40","C20"},0)), _xlpm.val, "Other")
)</f>
        <v>C20</v>
      </c>
      <c r="D1731" s="10" t="str">
        <f>IFERROR(VLOOKUP(Datadetails[[#This Row],[Taskcode]],Dashboard!A:A,1,FALSE),"00 Err Missing")</f>
        <v>0060</v>
      </c>
      <c r="E1731" s="79">
        <v>45873</v>
      </c>
      <c r="F1731" s="80" t="s">
        <v>326</v>
      </c>
      <c r="G1731" s="60" t="s">
        <v>40</v>
      </c>
      <c r="H1731" s="80" t="s">
        <v>227</v>
      </c>
      <c r="I1731" s="80" t="s">
        <v>36</v>
      </c>
      <c r="J1731" s="80" t="s">
        <v>453</v>
      </c>
      <c r="K1731" s="80" t="s">
        <v>348</v>
      </c>
      <c r="L1731" s="80" t="s">
        <v>342</v>
      </c>
      <c r="M1731" s="81">
        <v>0.5</v>
      </c>
      <c r="N1731" s="82">
        <v>30</v>
      </c>
    </row>
    <row r="1732" spans="1:14" x14ac:dyDescent="0.25">
      <c r="A1732" s="10" t="str">
        <f>_xlfn.IFNA(
    IF(J1732=
        "PCB-0001",
        "CSS",
        IF(
            ISNUMBER(MATCH(_xlfn.TEXTBEFORE(J1732,"-"), {"CSS","CSN","PCB","PCF","BEC","CSD","PCM"}, 0)),
            _xlfn.TEXTBEFORE(J1732,"-"),
            "Other"
        )
    ),
"Add")</f>
        <v>PCF</v>
      </c>
      <c r="B1732" s="10" t="str">
        <f t="shared" ref="B1732:B1795" si="28">_xlfn.IFNA(_xlfn.TEXTAFTER(J1732,"-"),"Data to C2")</f>
        <v>0098</v>
      </c>
      <c r="C1732" s="10" t="str">
        <f>_xlfn.LET(
    _xlpm.val, IF(Datadetails[[#This Row],[Activity]]="D02","C20",Datadetails[[#This Row],[Activity]]),
    IF(ISNUMBER(MATCH(_xlpm.val,{"D04","C30","c40","C20"},0)), _xlpm.val, "Other")
)</f>
        <v>C30</v>
      </c>
      <c r="D1732" s="10" t="str">
        <f>IFERROR(VLOOKUP(Datadetails[[#This Row],[Taskcode]],Dashboard!A:A,1,FALSE),"00 Err Missing")</f>
        <v>0098</v>
      </c>
      <c r="E1732" s="79">
        <v>45873</v>
      </c>
      <c r="F1732" s="80" t="s">
        <v>326</v>
      </c>
      <c r="G1732" s="60" t="s">
        <v>40</v>
      </c>
      <c r="H1732" s="80" t="s">
        <v>265</v>
      </c>
      <c r="I1732" s="80" t="s">
        <v>34</v>
      </c>
      <c r="J1732" s="80" t="s">
        <v>358</v>
      </c>
      <c r="K1732" s="80" t="s">
        <v>348</v>
      </c>
      <c r="L1732" s="80" t="s">
        <v>343</v>
      </c>
      <c r="M1732" s="81">
        <v>0.67</v>
      </c>
      <c r="N1732" s="82">
        <v>40.200000000000003</v>
      </c>
    </row>
    <row r="1733" spans="1:14" x14ac:dyDescent="0.25">
      <c r="A1733" s="10" t="str">
        <f>_xlfn.IFNA(
    IF(J1733=
        "PCB-0001",
        "CSS",
        IF(
            ISNUMBER(MATCH(_xlfn.TEXTBEFORE(J1733,"-"), {"CSS","CSN","PCB","PCF","BEC","CSD","PCM"}, 0)),
            _xlfn.TEXTBEFORE(J1733,"-"),
            "Other"
        )
    ),
"Add")</f>
        <v>BEC</v>
      </c>
      <c r="B1733" s="10" t="str">
        <f t="shared" si="28"/>
        <v>0001</v>
      </c>
      <c r="C1733" s="10" t="str">
        <f>_xlfn.LET(
    _xlpm.val, IF(Datadetails[[#This Row],[Activity]]="D02","C20",Datadetails[[#This Row],[Activity]]),
    IF(ISNUMBER(MATCH(_xlpm.val,{"D04","C30","c40","C20"},0)), _xlpm.val, "Other")
)</f>
        <v>D04</v>
      </c>
      <c r="D1733" s="10" t="str">
        <f>IFERROR(VLOOKUP(Datadetails[[#This Row],[Taskcode]],Dashboard!A:A,1,FALSE),"00 Err Missing")</f>
        <v>0001</v>
      </c>
      <c r="E1733" s="79">
        <v>45873</v>
      </c>
      <c r="F1733" s="80" t="s">
        <v>332</v>
      </c>
      <c r="G1733" s="60" t="s">
        <v>40</v>
      </c>
      <c r="H1733" s="80" t="s">
        <v>314</v>
      </c>
      <c r="I1733" s="80" t="s">
        <v>35</v>
      </c>
      <c r="J1733" s="80" t="s">
        <v>359</v>
      </c>
      <c r="K1733" s="80" t="s">
        <v>339</v>
      </c>
      <c r="L1733" s="80" t="s">
        <v>352</v>
      </c>
      <c r="M1733" s="81">
        <v>8.67</v>
      </c>
      <c r="N1733" s="82">
        <v>346.8</v>
      </c>
    </row>
    <row r="1734" spans="1:14" x14ac:dyDescent="0.25">
      <c r="A1734" s="10" t="str">
        <f>_xlfn.IFNA(
    IF(J1734=
        "PCB-0001",
        "CSS",
        IF(
            ISNUMBER(MATCH(_xlfn.TEXTBEFORE(J1734,"-"), {"CSS","CSN","PCB","PCF","BEC","CSD","PCM"}, 0)),
            _xlfn.TEXTBEFORE(J1734,"-"),
            "Other"
        )
    ),
"Add")</f>
        <v>BEC</v>
      </c>
      <c r="B1734" s="10" t="str">
        <f t="shared" si="28"/>
        <v>0001</v>
      </c>
      <c r="C1734" s="10" t="str">
        <f>_xlfn.LET(
    _xlpm.val, IF(Datadetails[[#This Row],[Activity]]="D02","C20",Datadetails[[#This Row],[Activity]]),
    IF(ISNUMBER(MATCH(_xlpm.val,{"D04","C30","c40","C20"},0)), _xlpm.val, "Other")
)</f>
        <v>D04</v>
      </c>
      <c r="D1734" s="10" t="str">
        <f>IFERROR(VLOOKUP(Datadetails[[#This Row],[Taskcode]],Dashboard!A:A,1,FALSE),"00 Err Missing")</f>
        <v>0001</v>
      </c>
      <c r="E1734" s="79">
        <v>45873</v>
      </c>
      <c r="F1734" s="80" t="s">
        <v>324</v>
      </c>
      <c r="G1734" s="60" t="s">
        <v>40</v>
      </c>
      <c r="H1734" s="80" t="s">
        <v>314</v>
      </c>
      <c r="I1734" s="80" t="s">
        <v>35</v>
      </c>
      <c r="J1734" s="80" t="s">
        <v>359</v>
      </c>
      <c r="K1734" s="80" t="s">
        <v>339</v>
      </c>
      <c r="L1734" s="80" t="s">
        <v>352</v>
      </c>
      <c r="M1734" s="81">
        <v>4</v>
      </c>
      <c r="N1734" s="82">
        <v>300</v>
      </c>
    </row>
    <row r="1735" spans="1:14" x14ac:dyDescent="0.25">
      <c r="A1735" s="10" t="str">
        <f>_xlfn.IFNA(
    IF(J1735=
        "PCB-0001",
        "CSS",
        IF(
            ISNUMBER(MATCH(_xlfn.TEXTBEFORE(J1735,"-"), {"CSS","CSN","PCB","PCF","BEC","CSD","PCM"}, 0)),
            _xlfn.TEXTBEFORE(J1735,"-"),
            "Other"
        )
    ),
"Add")</f>
        <v>CSN</v>
      </c>
      <c r="B1735" s="10" t="str">
        <f t="shared" si="28"/>
        <v>0001</v>
      </c>
      <c r="C1735" s="10" t="str">
        <f>_xlfn.LET(
    _xlpm.val, IF(Datadetails[[#This Row],[Activity]]="D02","C20",Datadetails[[#This Row],[Activity]]),
    IF(ISNUMBER(MATCH(_xlpm.val,{"D04","C30","c40","C20"},0)), _xlpm.val, "Other")
)</f>
        <v>D04</v>
      </c>
      <c r="D1735" s="10" t="str">
        <f>IFERROR(VLOOKUP(Datadetails[[#This Row],[Taskcode]],Dashboard!A:A,1,FALSE),"00 Err Missing")</f>
        <v>0001</v>
      </c>
      <c r="E1735" s="79">
        <v>45874</v>
      </c>
      <c r="F1735" s="80" t="s">
        <v>329</v>
      </c>
      <c r="G1735" s="60" t="s">
        <v>40</v>
      </c>
      <c r="H1735" s="80" t="s">
        <v>316</v>
      </c>
      <c r="I1735" s="80" t="s">
        <v>35</v>
      </c>
      <c r="J1735" s="80" t="s">
        <v>338</v>
      </c>
      <c r="K1735" s="80" t="s">
        <v>337</v>
      </c>
      <c r="L1735" s="80" t="s">
        <v>352</v>
      </c>
      <c r="M1735" s="81">
        <v>0.83</v>
      </c>
      <c r="N1735" s="82">
        <v>62.25</v>
      </c>
    </row>
    <row r="1736" spans="1:14" x14ac:dyDescent="0.25">
      <c r="A1736" s="10" t="str">
        <f>_xlfn.IFNA(
    IF(J1736=
        "PCB-0001",
        "CSS",
        IF(
            ISNUMBER(MATCH(_xlfn.TEXTBEFORE(J1736,"-"), {"CSS","CSN","PCB","PCF","BEC","CSD","PCM"}, 0)),
            _xlfn.TEXTBEFORE(J1736,"-"),
            "Other"
        )
    ),
"Add")</f>
        <v>PCB</v>
      </c>
      <c r="B1736" s="10" t="str">
        <f t="shared" si="28"/>
        <v>0134</v>
      </c>
      <c r="C1736" s="10" t="str">
        <f>_xlfn.LET(
    _xlpm.val, IF(Datadetails[[#This Row],[Activity]]="D02","C20",Datadetails[[#This Row],[Activity]]),
    IF(ISNUMBER(MATCH(_xlpm.val,{"D04","C30","c40","C20"},0)), _xlpm.val, "Other")
)</f>
        <v>C40</v>
      </c>
      <c r="D1736" s="10" t="str">
        <f>IFERROR(VLOOKUP(Datadetails[[#This Row],[Taskcode]],Dashboard!A:A,1,FALSE),"00 Err Missing")</f>
        <v>0134</v>
      </c>
      <c r="E1736" s="79">
        <v>45874</v>
      </c>
      <c r="F1736" s="80" t="s">
        <v>329</v>
      </c>
      <c r="G1736" s="60" t="s">
        <v>40</v>
      </c>
      <c r="H1736" s="80" t="s">
        <v>301</v>
      </c>
      <c r="I1736" s="80" t="s">
        <v>341</v>
      </c>
      <c r="J1736" s="80" t="s">
        <v>371</v>
      </c>
      <c r="K1736" s="80" t="s">
        <v>347</v>
      </c>
      <c r="L1736" s="80" t="s">
        <v>344</v>
      </c>
      <c r="M1736" s="81">
        <v>1</v>
      </c>
      <c r="N1736" s="82">
        <v>75</v>
      </c>
    </row>
    <row r="1737" spans="1:14" x14ac:dyDescent="0.25">
      <c r="A1737" s="10" t="str">
        <f>_xlfn.IFNA(
    IF(J1737=
        "PCB-0001",
        "CSS",
        IF(
            ISNUMBER(MATCH(_xlfn.TEXTBEFORE(J1737,"-"), {"CSS","CSN","PCB","PCF","BEC","CSD","PCM"}, 0)),
            _xlfn.TEXTBEFORE(J1737,"-"),
            "Other"
        )
    ),
"Add")</f>
        <v>CSD</v>
      </c>
      <c r="B1737" s="10" t="str">
        <f t="shared" si="28"/>
        <v>0001</v>
      </c>
      <c r="C1737" s="10" t="str">
        <f>_xlfn.LET(
    _xlpm.val, IF(Datadetails[[#This Row],[Activity]]="D02","C20",Datadetails[[#This Row],[Activity]]),
    IF(ISNUMBER(MATCH(_xlpm.val,{"D04","C30","c40","C20"},0)), _xlpm.val, "Other")
)</f>
        <v>D04</v>
      </c>
      <c r="D1737" s="10" t="str">
        <f>IFERROR(VLOOKUP(Datadetails[[#This Row],[Taskcode]],Dashboard!A:A,1,FALSE),"00 Err Missing")</f>
        <v>0001</v>
      </c>
      <c r="E1737" s="79">
        <v>45874</v>
      </c>
      <c r="F1737" s="80" t="s">
        <v>327</v>
      </c>
      <c r="G1737" s="60" t="s">
        <v>40</v>
      </c>
      <c r="H1737" s="80" t="s">
        <v>320</v>
      </c>
      <c r="I1737" s="80" t="s">
        <v>35</v>
      </c>
      <c r="J1737" s="80" t="s">
        <v>322</v>
      </c>
      <c r="K1737" s="80" t="s">
        <v>319</v>
      </c>
      <c r="L1737" s="80" t="s">
        <v>352</v>
      </c>
      <c r="M1737" s="81">
        <v>8.5</v>
      </c>
      <c r="N1737" s="82">
        <v>272</v>
      </c>
    </row>
    <row r="1738" spans="1:14" x14ac:dyDescent="0.25">
      <c r="A1738" s="10" t="str">
        <f>_xlfn.IFNA(
    IF(J1738=
        "PCB-0001",
        "CSS",
        IF(
            ISNUMBER(MATCH(_xlfn.TEXTBEFORE(J1738,"-"), {"CSS","CSN","PCB","PCF","BEC","CSD","PCM"}, 0)),
            _xlfn.TEXTBEFORE(J1738,"-"),
            "Other"
        )
    ),
"Add")</f>
        <v>PCM</v>
      </c>
      <c r="B1738" s="10" t="str">
        <f t="shared" si="28"/>
        <v>0099</v>
      </c>
      <c r="C1738" s="10" t="str">
        <f>_xlfn.LET(
    _xlpm.val, IF(Datadetails[[#This Row],[Activity]]="D02","C20",Datadetails[[#This Row],[Activity]]),
    IF(ISNUMBER(MATCH(_xlpm.val,{"D04","C30","c40","C20"},0)), _xlpm.val, "Other")
)</f>
        <v>C20</v>
      </c>
      <c r="D1738" s="10" t="str">
        <f>IFERROR(VLOOKUP(Datadetails[[#This Row],[Taskcode]],Dashboard!A:A,1,FALSE),"00 Err Missing")</f>
        <v>0099</v>
      </c>
      <c r="E1738" s="79">
        <v>45874</v>
      </c>
      <c r="F1738" s="80" t="s">
        <v>323</v>
      </c>
      <c r="G1738" s="60" t="s">
        <v>40</v>
      </c>
      <c r="H1738" s="80" t="s">
        <v>266</v>
      </c>
      <c r="I1738" s="80" t="s">
        <v>36</v>
      </c>
      <c r="J1738" s="80" t="s">
        <v>394</v>
      </c>
      <c r="K1738" s="80" t="s">
        <v>346</v>
      </c>
      <c r="L1738" s="80" t="s">
        <v>342</v>
      </c>
      <c r="M1738" s="81">
        <v>0.33</v>
      </c>
      <c r="N1738" s="82">
        <v>19.8</v>
      </c>
    </row>
    <row r="1739" spans="1:14" x14ac:dyDescent="0.25">
      <c r="A1739" s="10" t="str">
        <f>_xlfn.IFNA(
    IF(J1739=
        "PCB-0001",
        "CSS",
        IF(
            ISNUMBER(MATCH(_xlfn.TEXTBEFORE(J1739,"-"), {"CSS","CSN","PCB","PCF","BEC","CSD","PCM"}, 0)),
            _xlfn.TEXTBEFORE(J1739,"-"),
            "Other"
        )
    ),
"Add")</f>
        <v>PCB</v>
      </c>
      <c r="B1739" s="10" t="str">
        <f t="shared" si="28"/>
        <v>0081</v>
      </c>
      <c r="C1739" s="10" t="str">
        <f>_xlfn.LET(
    _xlpm.val, IF(Datadetails[[#This Row],[Activity]]="D02","C20",Datadetails[[#This Row],[Activity]]),
    IF(ISNUMBER(MATCH(_xlpm.val,{"D04","C30","c40","C20"},0)), _xlpm.val, "Other")
)</f>
        <v>C30</v>
      </c>
      <c r="D1739" s="10" t="str">
        <f>IFERROR(VLOOKUP(Datadetails[[#This Row],[Taskcode]],Dashboard!A:A,1,FALSE),"00 Err Missing")</f>
        <v>0081</v>
      </c>
      <c r="E1739" s="79">
        <v>45874</v>
      </c>
      <c r="F1739" s="80" t="s">
        <v>329</v>
      </c>
      <c r="G1739" s="60" t="s">
        <v>40</v>
      </c>
      <c r="H1739" s="80" t="s">
        <v>248</v>
      </c>
      <c r="I1739" s="80" t="s">
        <v>34</v>
      </c>
      <c r="J1739" s="80" t="s">
        <v>385</v>
      </c>
      <c r="K1739" s="80" t="s">
        <v>347</v>
      </c>
      <c r="L1739" s="80" t="s">
        <v>343</v>
      </c>
      <c r="M1739" s="81">
        <v>0.17</v>
      </c>
      <c r="N1739" s="82">
        <v>12.750000000000002</v>
      </c>
    </row>
    <row r="1740" spans="1:14" x14ac:dyDescent="0.25">
      <c r="A1740" s="10" t="str">
        <f>_xlfn.IFNA(
    IF(J1740=
        "PCB-0001",
        "CSS",
        IF(
            ISNUMBER(MATCH(_xlfn.TEXTBEFORE(J1740,"-"), {"CSS","CSN","PCB","PCF","BEC","CSD","PCM"}, 0)),
            _xlfn.TEXTBEFORE(J1740,"-"),
            "Other"
        )
    ),
"Add")</f>
        <v>BEC</v>
      </c>
      <c r="B1740" s="10" t="str">
        <f t="shared" si="28"/>
        <v>0001</v>
      </c>
      <c r="C1740" s="10" t="str">
        <f>_xlfn.LET(
    _xlpm.val, IF(Datadetails[[#This Row],[Activity]]="D02","C20",Datadetails[[#This Row],[Activity]]),
    IF(ISNUMBER(MATCH(_xlpm.val,{"D04","C30","c40","C20"},0)), _xlpm.val, "Other")
)</f>
        <v>D04</v>
      </c>
      <c r="D1740" s="10" t="str">
        <f>IFERROR(VLOOKUP(Datadetails[[#This Row],[Taskcode]],Dashboard!A:A,1,FALSE),"00 Err Missing")</f>
        <v>0001</v>
      </c>
      <c r="E1740" s="79">
        <v>45874</v>
      </c>
      <c r="F1740" s="80" t="s">
        <v>332</v>
      </c>
      <c r="G1740" s="60" t="s">
        <v>40</v>
      </c>
      <c r="H1740" s="80" t="s">
        <v>314</v>
      </c>
      <c r="I1740" s="80" t="s">
        <v>35</v>
      </c>
      <c r="J1740" s="80" t="s">
        <v>359</v>
      </c>
      <c r="K1740" s="80" t="s">
        <v>339</v>
      </c>
      <c r="L1740" s="80" t="s">
        <v>352</v>
      </c>
      <c r="M1740" s="81">
        <v>8.67</v>
      </c>
      <c r="N1740" s="82">
        <v>346.8</v>
      </c>
    </row>
    <row r="1741" spans="1:14" x14ac:dyDescent="0.25">
      <c r="A1741" s="10" t="str">
        <f>_xlfn.IFNA(
    IF(J1741=
        "PCB-0001",
        "CSS",
        IF(
            ISNUMBER(MATCH(_xlfn.TEXTBEFORE(J1741,"-"), {"CSS","CSN","PCB","PCF","BEC","CSD","PCM"}, 0)),
            _xlfn.TEXTBEFORE(J1741,"-"),
            "Other"
        )
    ),
"Add")</f>
        <v>BEC</v>
      </c>
      <c r="B1741" s="10" t="str">
        <f t="shared" si="28"/>
        <v>0001</v>
      </c>
      <c r="C1741" s="10" t="str">
        <f>_xlfn.LET(
    _xlpm.val, IF(Datadetails[[#This Row],[Activity]]="D02","C20",Datadetails[[#This Row],[Activity]]),
    IF(ISNUMBER(MATCH(_xlpm.val,{"D04","C30","c40","C20"},0)), _xlpm.val, "Other")
)</f>
        <v>D04</v>
      </c>
      <c r="D1741" s="10" t="str">
        <f>IFERROR(VLOOKUP(Datadetails[[#This Row],[Taskcode]],Dashboard!A:A,1,FALSE),"00 Err Missing")</f>
        <v>0001</v>
      </c>
      <c r="E1741" s="79">
        <v>45874</v>
      </c>
      <c r="F1741" s="80" t="s">
        <v>324</v>
      </c>
      <c r="G1741" s="60" t="s">
        <v>40</v>
      </c>
      <c r="H1741" s="80" t="s">
        <v>314</v>
      </c>
      <c r="I1741" s="80" t="s">
        <v>35</v>
      </c>
      <c r="J1741" s="80" t="s">
        <v>359</v>
      </c>
      <c r="K1741" s="80" t="s">
        <v>339</v>
      </c>
      <c r="L1741" s="80" t="s">
        <v>352</v>
      </c>
      <c r="M1741" s="81">
        <v>4.75</v>
      </c>
      <c r="N1741" s="82">
        <v>356.25</v>
      </c>
    </row>
    <row r="1742" spans="1:14" x14ac:dyDescent="0.25">
      <c r="A1742" s="10" t="str">
        <f>_xlfn.IFNA(
    IF(J1742=
        "PCB-0001",
        "CSS",
        IF(
            ISNUMBER(MATCH(_xlfn.TEXTBEFORE(J1742,"-"), {"CSS","CSN","PCB","PCF","BEC","CSD","PCM"}, 0)),
            _xlfn.TEXTBEFORE(J1742,"-"),
            "Other"
        )
    ),
"Add")</f>
        <v>CSN</v>
      </c>
      <c r="B1742" s="10" t="str">
        <f t="shared" si="28"/>
        <v>0001</v>
      </c>
      <c r="C1742" s="10" t="str">
        <f>_xlfn.LET(
    _xlpm.val, IF(Datadetails[[#This Row],[Activity]]="D02","C20",Datadetails[[#This Row],[Activity]]),
    IF(ISNUMBER(MATCH(_xlpm.val,{"D04","C30","c40","C20"},0)), _xlpm.val, "Other")
)</f>
        <v>D04</v>
      </c>
      <c r="D1742" s="10" t="str">
        <f>IFERROR(VLOOKUP(Datadetails[[#This Row],[Taskcode]],Dashboard!A:A,1,FALSE),"00 Err Missing")</f>
        <v>0001</v>
      </c>
      <c r="E1742" s="79">
        <v>45875</v>
      </c>
      <c r="F1742" s="80" t="s">
        <v>329</v>
      </c>
      <c r="G1742" s="60" t="s">
        <v>40</v>
      </c>
      <c r="H1742" s="80" t="s">
        <v>316</v>
      </c>
      <c r="I1742" s="80" t="s">
        <v>35</v>
      </c>
      <c r="J1742" s="80" t="s">
        <v>338</v>
      </c>
      <c r="K1742" s="80" t="s">
        <v>337</v>
      </c>
      <c r="L1742" s="80" t="s">
        <v>352</v>
      </c>
      <c r="M1742" s="81">
        <v>0.42</v>
      </c>
      <c r="N1742" s="82">
        <v>31.5</v>
      </c>
    </row>
    <row r="1743" spans="1:14" x14ac:dyDescent="0.25">
      <c r="A1743" s="10" t="str">
        <f>_xlfn.IFNA(
    IF(J1743=
        "PCB-0001",
        "CSS",
        IF(
            ISNUMBER(MATCH(_xlfn.TEXTBEFORE(J1743,"-"), {"CSS","CSN","PCB","PCF","BEC","CSD","PCM"}, 0)),
            _xlfn.TEXTBEFORE(J1743,"-"),
            "Other"
        )
    ),
"Add")</f>
        <v>CSD</v>
      </c>
      <c r="B1743" s="10" t="str">
        <f t="shared" si="28"/>
        <v>0001</v>
      </c>
      <c r="C1743" s="10" t="str">
        <f>_xlfn.LET(
    _xlpm.val, IF(Datadetails[[#This Row],[Activity]]="D02","C20",Datadetails[[#This Row],[Activity]]),
    IF(ISNUMBER(MATCH(_xlpm.val,{"D04","C30","c40","C20"},0)), _xlpm.val, "Other")
)</f>
        <v>D04</v>
      </c>
      <c r="D1743" s="10" t="str">
        <f>IFERROR(VLOOKUP(Datadetails[[#This Row],[Taskcode]],Dashboard!A:A,1,FALSE),"00 Err Missing")</f>
        <v>0001</v>
      </c>
      <c r="E1743" s="79">
        <v>45875</v>
      </c>
      <c r="F1743" s="80" t="s">
        <v>327</v>
      </c>
      <c r="G1743" s="60" t="s">
        <v>40</v>
      </c>
      <c r="H1743" s="80" t="s">
        <v>320</v>
      </c>
      <c r="I1743" s="80" t="s">
        <v>35</v>
      </c>
      <c r="J1743" s="80" t="s">
        <v>322</v>
      </c>
      <c r="K1743" s="80" t="s">
        <v>319</v>
      </c>
      <c r="L1743" s="80" t="s">
        <v>352</v>
      </c>
      <c r="M1743" s="81">
        <v>8.33</v>
      </c>
      <c r="N1743" s="82">
        <v>266.56</v>
      </c>
    </row>
    <row r="1744" spans="1:14" x14ac:dyDescent="0.25">
      <c r="A1744" s="10" t="str">
        <f>_xlfn.IFNA(
    IF(J1744=
        "PCB-0001",
        "CSS",
        IF(
            ISNUMBER(MATCH(_xlfn.TEXTBEFORE(J1744,"-"), {"CSS","CSN","PCB","PCF","BEC","CSD","PCM"}, 0)),
            _xlfn.TEXTBEFORE(J1744,"-"),
            "Other"
        )
    ),
"Add")</f>
        <v>PCM</v>
      </c>
      <c r="B1744" s="10" t="str">
        <f t="shared" si="28"/>
        <v>0116</v>
      </c>
      <c r="C1744" s="10" t="str">
        <f>_xlfn.LET(
    _xlpm.val, IF(Datadetails[[#This Row],[Activity]]="D02","C20",Datadetails[[#This Row],[Activity]]),
    IF(ISNUMBER(MATCH(_xlpm.val,{"D04","C30","c40","C20"},0)), _xlpm.val, "Other")
)</f>
        <v>C40</v>
      </c>
      <c r="D1744" s="10" t="str">
        <f>IFERROR(VLOOKUP(Datadetails[[#This Row],[Taskcode]],Dashboard!A:A,1,FALSE),"00 Err Missing")</f>
        <v>0116</v>
      </c>
      <c r="E1744" s="79">
        <v>45875</v>
      </c>
      <c r="F1744" s="80" t="s">
        <v>323</v>
      </c>
      <c r="G1744" s="60" t="s">
        <v>40</v>
      </c>
      <c r="H1744" s="80" t="s">
        <v>283</v>
      </c>
      <c r="I1744" s="80" t="s">
        <v>341</v>
      </c>
      <c r="J1744" s="80" t="s">
        <v>429</v>
      </c>
      <c r="K1744" s="80" t="s">
        <v>346</v>
      </c>
      <c r="L1744" s="80" t="s">
        <v>344</v>
      </c>
      <c r="M1744" s="81">
        <v>2</v>
      </c>
      <c r="N1744" s="82">
        <v>120</v>
      </c>
    </row>
    <row r="1745" spans="1:14" x14ac:dyDescent="0.25">
      <c r="A1745" s="10" t="str">
        <f>_xlfn.IFNA(
    IF(J1745=
        "PCB-0001",
        "CSS",
        IF(
            ISNUMBER(MATCH(_xlfn.TEXTBEFORE(J1745,"-"), {"CSS","CSN","PCB","PCF","BEC","CSD","PCM"}, 0)),
            _xlfn.TEXTBEFORE(J1745,"-"),
            "Other"
        )
    ),
"Add")</f>
        <v>PCB</v>
      </c>
      <c r="B1745" s="10" t="str">
        <f t="shared" si="28"/>
        <v>0019</v>
      </c>
      <c r="C1745" s="10" t="str">
        <f>_xlfn.LET(
    _xlpm.val, IF(Datadetails[[#This Row],[Activity]]="D02","C20",Datadetails[[#This Row],[Activity]]),
    IF(ISNUMBER(MATCH(_xlpm.val,{"D04","C30","c40","C20"},0)), _xlpm.val, "Other")
)</f>
        <v>C30</v>
      </c>
      <c r="D1745" s="10" t="str">
        <f>IFERROR(VLOOKUP(Datadetails[[#This Row],[Taskcode]],Dashboard!A:A,1,FALSE),"00 Err Missing")</f>
        <v>0019</v>
      </c>
      <c r="E1745" s="79">
        <v>45875</v>
      </c>
      <c r="F1745" s="80" t="s">
        <v>329</v>
      </c>
      <c r="G1745" s="60" t="s">
        <v>40</v>
      </c>
      <c r="H1745" s="80" t="s">
        <v>186</v>
      </c>
      <c r="I1745" s="80" t="s">
        <v>34</v>
      </c>
      <c r="J1745" s="80" t="s">
        <v>397</v>
      </c>
      <c r="K1745" s="80" t="s">
        <v>347</v>
      </c>
      <c r="L1745" s="80" t="s">
        <v>343</v>
      </c>
      <c r="M1745" s="81">
        <v>0.17</v>
      </c>
      <c r="N1745" s="82">
        <v>12.750000000000002</v>
      </c>
    </row>
    <row r="1746" spans="1:14" x14ac:dyDescent="0.25">
      <c r="A1746" s="10" t="str">
        <f>_xlfn.IFNA(
    IF(J1746=
        "PCB-0001",
        "CSS",
        IF(
            ISNUMBER(MATCH(_xlfn.TEXTBEFORE(J1746,"-"), {"CSS","CSN","PCB","PCF","BEC","CSD","PCM"}, 0)),
            _xlfn.TEXTBEFORE(J1746,"-"),
            "Other"
        )
    ),
"Add")</f>
        <v>PCB</v>
      </c>
      <c r="B1746" s="10" t="str">
        <f t="shared" si="28"/>
        <v>0039</v>
      </c>
      <c r="C1746" s="10" t="str">
        <f>_xlfn.LET(
    _xlpm.val, IF(Datadetails[[#This Row],[Activity]]="D02","C20",Datadetails[[#This Row],[Activity]]),
    IF(ISNUMBER(MATCH(_xlpm.val,{"D04","C30","c40","C20"},0)), _xlpm.val, "Other")
)</f>
        <v>C30</v>
      </c>
      <c r="D1746" s="10" t="str">
        <f>IFERROR(VLOOKUP(Datadetails[[#This Row],[Taskcode]],Dashboard!A:A,1,FALSE),"00 Err Missing")</f>
        <v>0039</v>
      </c>
      <c r="E1746" s="79">
        <v>45875</v>
      </c>
      <c r="F1746" s="80" t="s">
        <v>329</v>
      </c>
      <c r="G1746" s="60" t="s">
        <v>40</v>
      </c>
      <c r="H1746" s="80" t="s">
        <v>206</v>
      </c>
      <c r="I1746" s="80" t="s">
        <v>34</v>
      </c>
      <c r="J1746" s="80" t="s">
        <v>367</v>
      </c>
      <c r="K1746" s="80" t="s">
        <v>347</v>
      </c>
      <c r="L1746" s="80" t="s">
        <v>343</v>
      </c>
      <c r="M1746" s="81">
        <v>0.17</v>
      </c>
      <c r="N1746" s="82">
        <v>12.750000000000002</v>
      </c>
    </row>
    <row r="1747" spans="1:14" x14ac:dyDescent="0.25">
      <c r="A1747" s="10" t="str">
        <f>_xlfn.IFNA(
    IF(J1747=
        "PCB-0001",
        "CSS",
        IF(
            ISNUMBER(MATCH(_xlfn.TEXTBEFORE(J1747,"-"), {"CSS","CSN","PCB","PCF","BEC","CSD","PCM"}, 0)),
            _xlfn.TEXTBEFORE(J1747,"-"),
            "Other"
        )
    ),
"Add")</f>
        <v>PCB</v>
      </c>
      <c r="B1747" s="10" t="str">
        <f t="shared" si="28"/>
        <v>0092</v>
      </c>
      <c r="C1747" s="10" t="str">
        <f>_xlfn.LET(
    _xlpm.val, IF(Datadetails[[#This Row],[Activity]]="D02","C20",Datadetails[[#This Row],[Activity]]),
    IF(ISNUMBER(MATCH(_xlpm.val,{"D04","C30","c40","C20"},0)), _xlpm.val, "Other")
)</f>
        <v>C30</v>
      </c>
      <c r="D1747" s="10" t="str">
        <f>IFERROR(VLOOKUP(Datadetails[[#This Row],[Taskcode]],Dashboard!A:A,1,FALSE),"00 Err Missing")</f>
        <v>0092</v>
      </c>
      <c r="E1747" s="79">
        <v>45875</v>
      </c>
      <c r="F1747" s="80" t="s">
        <v>329</v>
      </c>
      <c r="G1747" s="60" t="s">
        <v>40</v>
      </c>
      <c r="H1747" s="80" t="s">
        <v>259</v>
      </c>
      <c r="I1747" s="80" t="s">
        <v>34</v>
      </c>
      <c r="J1747" s="80" t="s">
        <v>407</v>
      </c>
      <c r="K1747" s="80" t="s">
        <v>347</v>
      </c>
      <c r="L1747" s="80" t="s">
        <v>343</v>
      </c>
      <c r="M1747" s="81">
        <v>0.25</v>
      </c>
      <c r="N1747" s="82">
        <v>18.75</v>
      </c>
    </row>
    <row r="1748" spans="1:14" x14ac:dyDescent="0.25">
      <c r="A1748" s="10" t="str">
        <f>_xlfn.IFNA(
    IF(J1748=
        "PCB-0001",
        "CSS",
        IF(
            ISNUMBER(MATCH(_xlfn.TEXTBEFORE(J1748,"-"), {"CSS","CSN","PCB","PCF","BEC","CSD","PCM"}, 0)),
            _xlfn.TEXTBEFORE(J1748,"-"),
            "Other"
        )
    ),
"Add")</f>
        <v>PCB</v>
      </c>
      <c r="B1748" s="10" t="str">
        <f t="shared" si="28"/>
        <v>0081</v>
      </c>
      <c r="C1748" s="10" t="str">
        <f>_xlfn.LET(
    _xlpm.val, IF(Datadetails[[#This Row],[Activity]]="D02","C20",Datadetails[[#This Row],[Activity]]),
    IF(ISNUMBER(MATCH(_xlpm.val,{"D04","C30","c40","C20"},0)), _xlpm.val, "Other")
)</f>
        <v>C30</v>
      </c>
      <c r="D1748" s="10" t="str">
        <f>IFERROR(VLOOKUP(Datadetails[[#This Row],[Taskcode]],Dashboard!A:A,1,FALSE),"00 Err Missing")</f>
        <v>0081</v>
      </c>
      <c r="E1748" s="79">
        <v>45875</v>
      </c>
      <c r="F1748" s="80" t="s">
        <v>329</v>
      </c>
      <c r="G1748" s="60" t="s">
        <v>40</v>
      </c>
      <c r="H1748" s="80" t="s">
        <v>248</v>
      </c>
      <c r="I1748" s="80" t="s">
        <v>34</v>
      </c>
      <c r="J1748" s="80" t="s">
        <v>385</v>
      </c>
      <c r="K1748" s="80" t="s">
        <v>347</v>
      </c>
      <c r="L1748" s="80" t="s">
        <v>343</v>
      </c>
      <c r="M1748" s="81">
        <v>0.25</v>
      </c>
      <c r="N1748" s="82">
        <v>18.75</v>
      </c>
    </row>
    <row r="1749" spans="1:14" x14ac:dyDescent="0.25">
      <c r="A1749" s="10" t="str">
        <f>_xlfn.IFNA(
    IF(J1749=
        "PCB-0001",
        "CSS",
        IF(
            ISNUMBER(MATCH(_xlfn.TEXTBEFORE(J1749,"-"), {"CSS","CSN","PCB","PCF","BEC","CSD","PCM"}, 0)),
            _xlfn.TEXTBEFORE(J1749,"-"),
            "Other"
        )
    ),
"Add")</f>
        <v>PCB</v>
      </c>
      <c r="B1749" s="10" t="str">
        <f t="shared" si="28"/>
        <v>0080</v>
      </c>
      <c r="C1749" s="10" t="str">
        <f>_xlfn.LET(
    _xlpm.val, IF(Datadetails[[#This Row],[Activity]]="D02","C20",Datadetails[[#This Row],[Activity]]),
    IF(ISNUMBER(MATCH(_xlpm.val,{"D04","C30","c40","C20"},0)), _xlpm.val, "Other")
)</f>
        <v>C30</v>
      </c>
      <c r="D1749" s="10" t="str">
        <f>IFERROR(VLOOKUP(Datadetails[[#This Row],[Taskcode]],Dashboard!A:A,1,FALSE),"00 Err Missing")</f>
        <v>0080</v>
      </c>
      <c r="E1749" s="79">
        <v>45875</v>
      </c>
      <c r="F1749" s="80" t="s">
        <v>329</v>
      </c>
      <c r="G1749" s="60" t="s">
        <v>40</v>
      </c>
      <c r="H1749" s="80" t="s">
        <v>247</v>
      </c>
      <c r="I1749" s="80" t="s">
        <v>34</v>
      </c>
      <c r="J1749" s="80" t="s">
        <v>375</v>
      </c>
      <c r="K1749" s="80" t="s">
        <v>347</v>
      </c>
      <c r="L1749" s="80" t="s">
        <v>343</v>
      </c>
      <c r="M1749" s="81">
        <v>0.25</v>
      </c>
      <c r="N1749" s="82">
        <v>18.75</v>
      </c>
    </row>
    <row r="1750" spans="1:14" x14ac:dyDescent="0.25">
      <c r="A1750" s="10" t="str">
        <f>_xlfn.IFNA(
    IF(J1750=
        "PCB-0001",
        "CSS",
        IF(
            ISNUMBER(MATCH(_xlfn.TEXTBEFORE(J1750,"-"), {"CSS","CSN","PCB","PCF","BEC","CSD","PCM"}, 0)),
            _xlfn.TEXTBEFORE(J1750,"-"),
            "Other"
        )
    ),
"Add")</f>
        <v>PCB</v>
      </c>
      <c r="B1750" s="10" t="str">
        <f t="shared" si="28"/>
        <v>0101</v>
      </c>
      <c r="C1750" s="10" t="str">
        <f>_xlfn.LET(
    _xlpm.val, IF(Datadetails[[#This Row],[Activity]]="D02","C20",Datadetails[[#This Row],[Activity]]),
    IF(ISNUMBER(MATCH(_xlpm.val,{"D04","C30","c40","C20"},0)), _xlpm.val, "Other")
)</f>
        <v>C30</v>
      </c>
      <c r="D1750" s="10" t="str">
        <f>IFERROR(VLOOKUP(Datadetails[[#This Row],[Taskcode]],Dashboard!A:A,1,FALSE),"00 Err Missing")</f>
        <v>0101</v>
      </c>
      <c r="E1750" s="79">
        <v>45875</v>
      </c>
      <c r="F1750" s="80" t="s">
        <v>329</v>
      </c>
      <c r="G1750" s="60" t="s">
        <v>40</v>
      </c>
      <c r="H1750" s="80" t="s">
        <v>268</v>
      </c>
      <c r="I1750" s="80" t="s">
        <v>34</v>
      </c>
      <c r="J1750" s="80" t="s">
        <v>386</v>
      </c>
      <c r="K1750" s="80" t="s">
        <v>347</v>
      </c>
      <c r="L1750" s="80" t="s">
        <v>343</v>
      </c>
      <c r="M1750" s="81">
        <v>0.25</v>
      </c>
      <c r="N1750" s="82">
        <v>18.75</v>
      </c>
    </row>
    <row r="1751" spans="1:14" x14ac:dyDescent="0.25">
      <c r="A1751" s="10" t="str">
        <f>_xlfn.IFNA(
    IF(J1751=
        "PCB-0001",
        "CSS",
        IF(
            ISNUMBER(MATCH(_xlfn.TEXTBEFORE(J1751,"-"), {"CSS","CSN","PCB","PCF","BEC","CSD","PCM"}, 0)),
            _xlfn.TEXTBEFORE(J1751,"-"),
            "Other"
        )
    ),
"Add")</f>
        <v>PCB</v>
      </c>
      <c r="B1751" s="10" t="str">
        <f t="shared" si="28"/>
        <v>0132</v>
      </c>
      <c r="C1751" s="10" t="str">
        <f>_xlfn.LET(
    _xlpm.val, IF(Datadetails[[#This Row],[Activity]]="D02","C20",Datadetails[[#This Row],[Activity]]),
    IF(ISNUMBER(MATCH(_xlpm.val,{"D04","C30","c40","C20"},0)), _xlpm.val, "Other")
)</f>
        <v>C20</v>
      </c>
      <c r="D1751" s="10" t="str">
        <f>IFERROR(VLOOKUP(Datadetails[[#This Row],[Taskcode]],Dashboard!A:A,1,FALSE),"00 Err Missing")</f>
        <v>0132</v>
      </c>
      <c r="E1751" s="79">
        <v>45875</v>
      </c>
      <c r="F1751" s="80" t="s">
        <v>329</v>
      </c>
      <c r="G1751" s="60" t="s">
        <v>40</v>
      </c>
      <c r="H1751" s="80" t="s">
        <v>299</v>
      </c>
      <c r="I1751" s="80" t="s">
        <v>312</v>
      </c>
      <c r="J1751" s="80" t="s">
        <v>455</v>
      </c>
      <c r="K1751" s="80" t="s">
        <v>347</v>
      </c>
      <c r="L1751" s="80" t="s">
        <v>350</v>
      </c>
      <c r="M1751" s="81">
        <v>0.75</v>
      </c>
      <c r="N1751" s="82">
        <v>56.25</v>
      </c>
    </row>
    <row r="1752" spans="1:14" x14ac:dyDescent="0.25">
      <c r="A1752" s="10" t="str">
        <f>_xlfn.IFNA(
    IF(J1752=
        "PCB-0001",
        "CSS",
        IF(
            ISNUMBER(MATCH(_xlfn.TEXTBEFORE(J1752,"-"), {"CSS","CSN","PCB","PCF","BEC","CSD","PCM"}, 0)),
            _xlfn.TEXTBEFORE(J1752,"-"),
            "Other"
        )
    ),
"Add")</f>
        <v>BEC</v>
      </c>
      <c r="B1752" s="10" t="str">
        <f t="shared" si="28"/>
        <v>0001</v>
      </c>
      <c r="C1752" s="10" t="str">
        <f>_xlfn.LET(
    _xlpm.val, IF(Datadetails[[#This Row],[Activity]]="D02","C20",Datadetails[[#This Row],[Activity]]),
    IF(ISNUMBER(MATCH(_xlpm.val,{"D04","C30","c40","C20"},0)), _xlpm.val, "Other")
)</f>
        <v>D04</v>
      </c>
      <c r="D1752" s="10" t="str">
        <f>IFERROR(VLOOKUP(Datadetails[[#This Row],[Taskcode]],Dashboard!A:A,1,FALSE),"00 Err Missing")</f>
        <v>0001</v>
      </c>
      <c r="E1752" s="79">
        <v>45875</v>
      </c>
      <c r="F1752" s="80" t="s">
        <v>332</v>
      </c>
      <c r="G1752" s="60" t="s">
        <v>40</v>
      </c>
      <c r="H1752" s="80" t="s">
        <v>314</v>
      </c>
      <c r="I1752" s="80" t="s">
        <v>35</v>
      </c>
      <c r="J1752" s="80" t="s">
        <v>359</v>
      </c>
      <c r="K1752" s="80" t="s">
        <v>339</v>
      </c>
      <c r="L1752" s="80" t="s">
        <v>352</v>
      </c>
      <c r="M1752" s="81">
        <v>7.5</v>
      </c>
      <c r="N1752" s="82">
        <v>300</v>
      </c>
    </row>
    <row r="1753" spans="1:14" x14ac:dyDescent="0.25">
      <c r="A1753" s="10" t="str">
        <f>_xlfn.IFNA(
    IF(J1753=
        "PCB-0001",
        "CSS",
        IF(
            ISNUMBER(MATCH(_xlfn.TEXTBEFORE(J1753,"-"), {"CSS","CSN","PCB","PCF","BEC","CSD","PCM"}, 0)),
            _xlfn.TEXTBEFORE(J1753,"-"),
            "Other"
        )
    ),
"Add")</f>
        <v>BEC</v>
      </c>
      <c r="B1753" s="10" t="str">
        <f t="shared" si="28"/>
        <v>0001</v>
      </c>
      <c r="C1753" s="10" t="str">
        <f>_xlfn.LET(
    _xlpm.val, IF(Datadetails[[#This Row],[Activity]]="D02","C20",Datadetails[[#This Row],[Activity]]),
    IF(ISNUMBER(MATCH(_xlpm.val,{"D04","C30","c40","C20"},0)), _xlpm.val, "Other")
)</f>
        <v>D04</v>
      </c>
      <c r="D1753" s="10" t="str">
        <f>IFERROR(VLOOKUP(Datadetails[[#This Row],[Taskcode]],Dashboard!A:A,1,FALSE),"00 Err Missing")</f>
        <v>0001</v>
      </c>
      <c r="E1753" s="79">
        <v>45875</v>
      </c>
      <c r="F1753" s="80" t="s">
        <v>324</v>
      </c>
      <c r="G1753" s="60" t="s">
        <v>40</v>
      </c>
      <c r="H1753" s="80" t="s">
        <v>314</v>
      </c>
      <c r="I1753" s="80" t="s">
        <v>35</v>
      </c>
      <c r="J1753" s="80" t="s">
        <v>359</v>
      </c>
      <c r="K1753" s="80" t="s">
        <v>339</v>
      </c>
      <c r="L1753" s="80" t="s">
        <v>352</v>
      </c>
      <c r="M1753" s="81">
        <v>6.75</v>
      </c>
      <c r="N1753" s="82">
        <v>506.25</v>
      </c>
    </row>
    <row r="1754" spans="1:14" x14ac:dyDescent="0.25">
      <c r="A1754" s="10" t="str">
        <f>_xlfn.IFNA(
    IF(J1754=
        "PCB-0001",
        "CSS",
        IF(
            ISNUMBER(MATCH(_xlfn.TEXTBEFORE(J1754,"-"), {"CSS","CSN","PCB","PCF","BEC","CSD","PCM"}, 0)),
            _xlfn.TEXTBEFORE(J1754,"-"),
            "Other"
        )
    ),
"Add")</f>
        <v>CSD</v>
      </c>
      <c r="B1754" s="10" t="str">
        <f t="shared" si="28"/>
        <v>0001</v>
      </c>
      <c r="C1754" s="10" t="str">
        <f>_xlfn.LET(
    _xlpm.val, IF(Datadetails[[#This Row],[Activity]]="D02","C20",Datadetails[[#This Row],[Activity]]),
    IF(ISNUMBER(MATCH(_xlpm.val,{"D04","C30","c40","C20"},0)), _xlpm.val, "Other")
)</f>
        <v>D04</v>
      </c>
      <c r="D1754" s="10" t="str">
        <f>IFERROR(VLOOKUP(Datadetails[[#This Row],[Taskcode]],Dashboard!A:A,1,FALSE),"00 Err Missing")</f>
        <v>0001</v>
      </c>
      <c r="E1754" s="79">
        <v>45876</v>
      </c>
      <c r="F1754" s="80" t="s">
        <v>327</v>
      </c>
      <c r="G1754" s="60" t="s">
        <v>40</v>
      </c>
      <c r="H1754" s="80" t="s">
        <v>320</v>
      </c>
      <c r="I1754" s="80" t="s">
        <v>35</v>
      </c>
      <c r="J1754" s="80" t="s">
        <v>322</v>
      </c>
      <c r="K1754" s="80" t="s">
        <v>319</v>
      </c>
      <c r="L1754" s="80" t="s">
        <v>352</v>
      </c>
      <c r="M1754" s="81">
        <v>8.67</v>
      </c>
      <c r="N1754" s="82">
        <v>277.44</v>
      </c>
    </row>
    <row r="1755" spans="1:14" x14ac:dyDescent="0.25">
      <c r="A1755" s="10" t="str">
        <f>_xlfn.IFNA(
    IF(J1755=
        "PCB-0001",
        "CSS",
        IF(
            ISNUMBER(MATCH(_xlfn.TEXTBEFORE(J1755,"-"), {"CSS","CSN","PCB","PCF","BEC","CSD","PCM"}, 0)),
            _xlfn.TEXTBEFORE(J1755,"-"),
            "Other"
        )
    ),
"Add")</f>
        <v>PCM</v>
      </c>
      <c r="B1755" s="10" t="str">
        <f t="shared" si="28"/>
        <v>0115</v>
      </c>
      <c r="C1755" s="10" t="str">
        <f>_xlfn.LET(
    _xlpm.val, IF(Datadetails[[#This Row],[Activity]]="D02","C20",Datadetails[[#This Row],[Activity]]),
    IF(ISNUMBER(MATCH(_xlpm.val,{"D04","C30","c40","C20"},0)), _xlpm.val, "Other")
)</f>
        <v>C40</v>
      </c>
      <c r="D1755" s="10" t="str">
        <f>IFERROR(VLOOKUP(Datadetails[[#This Row],[Taskcode]],Dashboard!A:A,1,FALSE),"00 Err Missing")</f>
        <v>0115</v>
      </c>
      <c r="E1755" s="79">
        <v>45876</v>
      </c>
      <c r="F1755" s="80" t="s">
        <v>323</v>
      </c>
      <c r="G1755" s="60" t="s">
        <v>40</v>
      </c>
      <c r="H1755" s="80" t="s">
        <v>282</v>
      </c>
      <c r="I1755" s="80" t="s">
        <v>341</v>
      </c>
      <c r="J1755" s="80" t="s">
        <v>451</v>
      </c>
      <c r="K1755" s="80" t="s">
        <v>346</v>
      </c>
      <c r="L1755" s="80" t="s">
        <v>344</v>
      </c>
      <c r="M1755" s="81">
        <v>0.5</v>
      </c>
      <c r="N1755" s="82">
        <v>30</v>
      </c>
    </row>
    <row r="1756" spans="1:14" x14ac:dyDescent="0.25">
      <c r="A1756" s="10" t="str">
        <f>_xlfn.IFNA(
    IF(J1756=
        "PCB-0001",
        "CSS",
        IF(
            ISNUMBER(MATCH(_xlfn.TEXTBEFORE(J1756,"-"), {"CSS","CSN","PCB","PCF","BEC","CSD","PCM"}, 0)),
            _xlfn.TEXTBEFORE(J1756,"-"),
            "Other"
        )
    ),
"Add")</f>
        <v>PCB</v>
      </c>
      <c r="B1756" s="10" t="str">
        <f t="shared" si="28"/>
        <v>0134</v>
      </c>
      <c r="C1756" s="10" t="str">
        <f>_xlfn.LET(
    _xlpm.val, IF(Datadetails[[#This Row],[Activity]]="D02","C20",Datadetails[[#This Row],[Activity]]),
    IF(ISNUMBER(MATCH(_xlpm.val,{"D04","C30","c40","C20"},0)), _xlpm.val, "Other")
)</f>
        <v>C30</v>
      </c>
      <c r="D1756" s="10" t="str">
        <f>IFERROR(VLOOKUP(Datadetails[[#This Row],[Taskcode]],Dashboard!A:A,1,FALSE),"00 Err Missing")</f>
        <v>0134</v>
      </c>
      <c r="E1756" s="79">
        <v>45876</v>
      </c>
      <c r="F1756" s="80" t="s">
        <v>329</v>
      </c>
      <c r="G1756" s="60" t="s">
        <v>40</v>
      </c>
      <c r="H1756" s="80" t="s">
        <v>301</v>
      </c>
      <c r="I1756" s="80" t="s">
        <v>34</v>
      </c>
      <c r="J1756" s="80" t="s">
        <v>371</v>
      </c>
      <c r="K1756" s="80" t="s">
        <v>347</v>
      </c>
      <c r="L1756" s="80" t="s">
        <v>343</v>
      </c>
      <c r="M1756" s="81">
        <v>0.17</v>
      </c>
      <c r="N1756" s="82">
        <v>12.750000000000002</v>
      </c>
    </row>
    <row r="1757" spans="1:14" x14ac:dyDescent="0.25">
      <c r="A1757" s="10" t="str">
        <f>_xlfn.IFNA(
    IF(J1757=
        "PCB-0001",
        "CSS",
        IF(
            ISNUMBER(MATCH(_xlfn.TEXTBEFORE(J1757,"-"), {"CSS","CSN","PCB","PCF","BEC","CSD","PCM"}, 0)),
            _xlfn.TEXTBEFORE(J1757,"-"),
            "Other"
        )
    ),
"Add")</f>
        <v>PCB</v>
      </c>
      <c r="B1757" s="10" t="str">
        <f t="shared" si="28"/>
        <v>0126</v>
      </c>
      <c r="C1757" s="10" t="str">
        <f>_xlfn.LET(
    _xlpm.val, IF(Datadetails[[#This Row],[Activity]]="D02","C20",Datadetails[[#This Row],[Activity]]),
    IF(ISNUMBER(MATCH(_xlpm.val,{"D04","C30","c40","C20"},0)), _xlpm.val, "Other")
)</f>
        <v>C30</v>
      </c>
      <c r="D1757" s="10" t="str">
        <f>IFERROR(VLOOKUP(Datadetails[[#This Row],[Taskcode]],Dashboard!A:A,1,FALSE),"00 Err Missing")</f>
        <v>0126</v>
      </c>
      <c r="E1757" s="79">
        <v>45876</v>
      </c>
      <c r="F1757" s="80" t="s">
        <v>329</v>
      </c>
      <c r="G1757" s="60" t="s">
        <v>40</v>
      </c>
      <c r="H1757" s="80" t="s">
        <v>293</v>
      </c>
      <c r="I1757" s="80" t="s">
        <v>34</v>
      </c>
      <c r="J1757" s="80" t="s">
        <v>376</v>
      </c>
      <c r="K1757" s="80" t="s">
        <v>347</v>
      </c>
      <c r="L1757" s="80" t="s">
        <v>343</v>
      </c>
      <c r="M1757" s="81">
        <v>0.17</v>
      </c>
      <c r="N1757" s="82">
        <v>12.750000000000002</v>
      </c>
    </row>
    <row r="1758" spans="1:14" x14ac:dyDescent="0.25">
      <c r="A1758" s="10" t="str">
        <f>_xlfn.IFNA(
    IF(J1758=
        "PCB-0001",
        "CSS",
        IF(
            ISNUMBER(MATCH(_xlfn.TEXTBEFORE(J1758,"-"), {"CSS","CSN","PCB","PCF","BEC","CSD","PCM"}, 0)),
            _xlfn.TEXTBEFORE(J1758,"-"),
            "Other"
        )
    ),
"Add")</f>
        <v>PCB</v>
      </c>
      <c r="B1758" s="10" t="str">
        <f t="shared" si="28"/>
        <v>0080</v>
      </c>
      <c r="C1758" s="10" t="str">
        <f>_xlfn.LET(
    _xlpm.val, IF(Datadetails[[#This Row],[Activity]]="D02","C20",Datadetails[[#This Row],[Activity]]),
    IF(ISNUMBER(MATCH(_xlpm.val,{"D04","C30","c40","C20"},0)), _xlpm.val, "Other")
)</f>
        <v>C30</v>
      </c>
      <c r="D1758" s="10" t="str">
        <f>IFERROR(VLOOKUP(Datadetails[[#This Row],[Taskcode]],Dashboard!A:A,1,FALSE),"00 Err Missing")</f>
        <v>0080</v>
      </c>
      <c r="E1758" s="79">
        <v>45876</v>
      </c>
      <c r="F1758" s="80" t="s">
        <v>329</v>
      </c>
      <c r="G1758" s="60" t="s">
        <v>40</v>
      </c>
      <c r="H1758" s="80" t="s">
        <v>247</v>
      </c>
      <c r="I1758" s="80" t="s">
        <v>34</v>
      </c>
      <c r="J1758" s="80" t="s">
        <v>375</v>
      </c>
      <c r="K1758" s="80" t="s">
        <v>347</v>
      </c>
      <c r="L1758" s="80" t="s">
        <v>343</v>
      </c>
      <c r="M1758" s="81">
        <v>0.25</v>
      </c>
      <c r="N1758" s="82">
        <v>18.75</v>
      </c>
    </row>
    <row r="1759" spans="1:14" x14ac:dyDescent="0.25">
      <c r="A1759" s="10" t="str">
        <f>_xlfn.IFNA(
    IF(J1759=
        "PCB-0001",
        "CSS",
        IF(
            ISNUMBER(MATCH(_xlfn.TEXTBEFORE(J1759,"-"), {"CSS","CSN","PCB","PCF","BEC","CSD","PCM"}, 0)),
            _xlfn.TEXTBEFORE(J1759,"-"),
            "Other"
        )
    ),
"Add")</f>
        <v>BEC</v>
      </c>
      <c r="B1759" s="10" t="str">
        <f t="shared" si="28"/>
        <v>0001</v>
      </c>
      <c r="C1759" s="10" t="str">
        <f>_xlfn.LET(
    _xlpm.val, IF(Datadetails[[#This Row],[Activity]]="D02","C20",Datadetails[[#This Row],[Activity]]),
    IF(ISNUMBER(MATCH(_xlpm.val,{"D04","C30","c40","C20"},0)), _xlpm.val, "Other")
)</f>
        <v>D04</v>
      </c>
      <c r="D1759" s="10" t="str">
        <f>IFERROR(VLOOKUP(Datadetails[[#This Row],[Taskcode]],Dashboard!A:A,1,FALSE),"00 Err Missing")</f>
        <v>0001</v>
      </c>
      <c r="E1759" s="79">
        <v>45876</v>
      </c>
      <c r="F1759" s="80" t="s">
        <v>332</v>
      </c>
      <c r="G1759" s="60" t="s">
        <v>40</v>
      </c>
      <c r="H1759" s="80" t="s">
        <v>314</v>
      </c>
      <c r="I1759" s="80" t="s">
        <v>35</v>
      </c>
      <c r="J1759" s="80" t="s">
        <v>359</v>
      </c>
      <c r="K1759" s="80" t="s">
        <v>339</v>
      </c>
      <c r="L1759" s="80" t="s">
        <v>352</v>
      </c>
      <c r="M1759" s="81">
        <v>8.33</v>
      </c>
      <c r="N1759" s="82">
        <v>333.2</v>
      </c>
    </row>
    <row r="1760" spans="1:14" x14ac:dyDescent="0.25">
      <c r="A1760" s="10" t="str">
        <f>_xlfn.IFNA(
    IF(J1760=
        "PCB-0001",
        "CSS",
        IF(
            ISNUMBER(MATCH(_xlfn.TEXTBEFORE(J1760,"-"), {"CSS","CSN","PCB","PCF","BEC","CSD","PCM"}, 0)),
            _xlfn.TEXTBEFORE(J1760,"-"),
            "Other"
        )
    ),
"Add")</f>
        <v>BEC</v>
      </c>
      <c r="B1760" s="10" t="str">
        <f t="shared" si="28"/>
        <v>0001</v>
      </c>
      <c r="C1760" s="10" t="str">
        <f>_xlfn.LET(
    _xlpm.val, IF(Datadetails[[#This Row],[Activity]]="D02","C20",Datadetails[[#This Row],[Activity]]),
    IF(ISNUMBER(MATCH(_xlpm.val,{"D04","C30","c40","C20"},0)), _xlpm.val, "Other")
)</f>
        <v>D04</v>
      </c>
      <c r="D1760" s="10" t="str">
        <f>IFERROR(VLOOKUP(Datadetails[[#This Row],[Taskcode]],Dashboard!A:A,1,FALSE),"00 Err Missing")</f>
        <v>0001</v>
      </c>
      <c r="E1760" s="79">
        <v>45876</v>
      </c>
      <c r="F1760" s="80" t="s">
        <v>324</v>
      </c>
      <c r="G1760" s="60" t="s">
        <v>40</v>
      </c>
      <c r="H1760" s="80" t="s">
        <v>314</v>
      </c>
      <c r="I1760" s="80" t="s">
        <v>35</v>
      </c>
      <c r="J1760" s="80" t="s">
        <v>359</v>
      </c>
      <c r="K1760" s="80" t="s">
        <v>339</v>
      </c>
      <c r="L1760" s="80" t="s">
        <v>352</v>
      </c>
      <c r="M1760" s="81">
        <v>5.5</v>
      </c>
      <c r="N1760" s="82">
        <v>412.5</v>
      </c>
    </row>
    <row r="1761" spans="1:14" x14ac:dyDescent="0.25">
      <c r="A1761" s="10" t="str">
        <f>_xlfn.IFNA(
    IF(J1761=
        "PCB-0001",
        "CSS",
        IF(
            ISNUMBER(MATCH(_xlfn.TEXTBEFORE(J1761,"-"), {"CSS","CSN","PCB","PCF","BEC","CSD","PCM"}, 0)),
            _xlfn.TEXTBEFORE(J1761,"-"),
            "Other"
        )
    ),
"Add")</f>
        <v>CSN</v>
      </c>
      <c r="B1761" s="10" t="str">
        <f t="shared" si="28"/>
        <v>0001</v>
      </c>
      <c r="C1761" s="10" t="str">
        <f>_xlfn.LET(
    _xlpm.val, IF(Datadetails[[#This Row],[Activity]]="D02","C20",Datadetails[[#This Row],[Activity]]),
    IF(ISNUMBER(MATCH(_xlpm.val,{"D04","C30","c40","C20"},0)), _xlpm.val, "Other")
)</f>
        <v>D04</v>
      </c>
      <c r="D1761" s="10" t="str">
        <f>IFERROR(VLOOKUP(Datadetails[[#This Row],[Taskcode]],Dashboard!A:A,1,FALSE),"00 Err Missing")</f>
        <v>0001</v>
      </c>
      <c r="E1761" s="79">
        <v>45877</v>
      </c>
      <c r="F1761" s="80" t="s">
        <v>329</v>
      </c>
      <c r="G1761" s="60" t="s">
        <v>40</v>
      </c>
      <c r="H1761" s="80" t="s">
        <v>316</v>
      </c>
      <c r="I1761" s="80" t="s">
        <v>35</v>
      </c>
      <c r="J1761" s="80" t="s">
        <v>338</v>
      </c>
      <c r="K1761" s="80" t="s">
        <v>337</v>
      </c>
      <c r="L1761" s="80" t="s">
        <v>352</v>
      </c>
      <c r="M1761" s="81">
        <v>0.75</v>
      </c>
      <c r="N1761" s="82">
        <v>56.25</v>
      </c>
    </row>
    <row r="1762" spans="1:14" x14ac:dyDescent="0.25">
      <c r="A1762" s="10" t="str">
        <f>_xlfn.IFNA(
    IF(J1762=
        "PCB-0001",
        "CSS",
        IF(
            ISNUMBER(MATCH(_xlfn.TEXTBEFORE(J1762,"-"), {"CSS","CSN","PCB","PCF","BEC","CSD","PCM"}, 0)),
            _xlfn.TEXTBEFORE(J1762,"-"),
            "Other"
        )
    ),
"Add")</f>
        <v>CSD</v>
      </c>
      <c r="B1762" s="10" t="str">
        <f t="shared" si="28"/>
        <v>0001</v>
      </c>
      <c r="C1762" s="10" t="str">
        <f>_xlfn.LET(
    _xlpm.val, IF(Datadetails[[#This Row],[Activity]]="D02","C20",Datadetails[[#This Row],[Activity]]),
    IF(ISNUMBER(MATCH(_xlpm.val,{"D04","C30","c40","C20"},0)), _xlpm.val, "Other")
)</f>
        <v>D04</v>
      </c>
      <c r="D1762" s="10" t="str">
        <f>IFERROR(VLOOKUP(Datadetails[[#This Row],[Taskcode]],Dashboard!A:A,1,FALSE),"00 Err Missing")</f>
        <v>0001</v>
      </c>
      <c r="E1762" s="79">
        <v>45877</v>
      </c>
      <c r="F1762" s="80" t="s">
        <v>327</v>
      </c>
      <c r="G1762" s="60" t="s">
        <v>40</v>
      </c>
      <c r="H1762" s="80" t="s">
        <v>320</v>
      </c>
      <c r="I1762" s="80" t="s">
        <v>35</v>
      </c>
      <c r="J1762" s="80" t="s">
        <v>322</v>
      </c>
      <c r="K1762" s="80" t="s">
        <v>319</v>
      </c>
      <c r="L1762" s="80" t="s">
        <v>352</v>
      </c>
      <c r="M1762" s="81">
        <v>8.42</v>
      </c>
      <c r="N1762" s="82">
        <v>269.44</v>
      </c>
    </row>
    <row r="1763" spans="1:14" x14ac:dyDescent="0.25">
      <c r="A1763" s="10" t="str">
        <f>_xlfn.IFNA(
    IF(J1763=
        "PCB-0001",
        "CSS",
        IF(
            ISNUMBER(MATCH(_xlfn.TEXTBEFORE(J1763,"-"), {"CSS","CSN","PCB","PCF","BEC","CSD","PCM"}, 0)),
            _xlfn.TEXTBEFORE(J1763,"-"),
            "Other"
        )
    ),
"Add")</f>
        <v>PCB</v>
      </c>
      <c r="B1763" s="10" t="str">
        <f t="shared" si="28"/>
        <v>0121</v>
      </c>
      <c r="C1763" s="10" t="str">
        <f>_xlfn.LET(
    _xlpm.val, IF(Datadetails[[#This Row],[Activity]]="D02","C20",Datadetails[[#This Row],[Activity]]),
    IF(ISNUMBER(MATCH(_xlpm.val,{"D04","C30","c40","C20"},0)), _xlpm.val, "Other")
)</f>
        <v>C40</v>
      </c>
      <c r="D1763" s="10" t="str">
        <f>IFERROR(VLOOKUP(Datadetails[[#This Row],[Taskcode]],Dashboard!A:A,1,FALSE),"00 Err Missing")</f>
        <v>0121</v>
      </c>
      <c r="E1763" s="79">
        <v>45877</v>
      </c>
      <c r="F1763" s="80" t="s">
        <v>329</v>
      </c>
      <c r="G1763" s="60" t="s">
        <v>40</v>
      </c>
      <c r="H1763" s="80" t="s">
        <v>288</v>
      </c>
      <c r="I1763" s="80" t="s">
        <v>341</v>
      </c>
      <c r="J1763" s="80" t="s">
        <v>405</v>
      </c>
      <c r="K1763" s="80" t="s">
        <v>347</v>
      </c>
      <c r="L1763" s="80" t="s">
        <v>344</v>
      </c>
      <c r="M1763" s="81">
        <v>0.75</v>
      </c>
      <c r="N1763" s="82">
        <v>56.25</v>
      </c>
    </row>
    <row r="1764" spans="1:14" x14ac:dyDescent="0.25">
      <c r="A1764" s="10" t="str">
        <f>_xlfn.IFNA(
    IF(J1764=
        "PCB-0001",
        "CSS",
        IF(
            ISNUMBER(MATCH(_xlfn.TEXTBEFORE(J1764,"-"), {"CSS","CSN","PCB","PCF","BEC","CSD","PCM"}, 0)),
            _xlfn.TEXTBEFORE(J1764,"-"),
            "Other"
        )
    ),
"Add")</f>
        <v>PCF</v>
      </c>
      <c r="B1764" s="10" t="str">
        <f t="shared" si="28"/>
        <v>0008</v>
      </c>
      <c r="C1764" s="10" t="str">
        <f>_xlfn.LET(
    _xlpm.val, IF(Datadetails[[#This Row],[Activity]]="D02","C20",Datadetails[[#This Row],[Activity]]),
    IF(ISNUMBER(MATCH(_xlpm.val,{"D04","C30","c40","C20"},0)), _xlpm.val, "Other")
)</f>
        <v>C20</v>
      </c>
      <c r="D1764" s="10" t="str">
        <f>IFERROR(VLOOKUP(Datadetails[[#This Row],[Taskcode]],Dashboard!A:A,1,FALSE),"00 Err Missing")</f>
        <v>0008</v>
      </c>
      <c r="E1764" s="79">
        <v>45877</v>
      </c>
      <c r="F1764" s="80" t="s">
        <v>326</v>
      </c>
      <c r="G1764" s="60" t="s">
        <v>40</v>
      </c>
      <c r="H1764" s="80" t="s">
        <v>175</v>
      </c>
      <c r="I1764" s="80" t="s">
        <v>36</v>
      </c>
      <c r="J1764" s="80" t="s">
        <v>388</v>
      </c>
      <c r="K1764" s="80" t="s">
        <v>348</v>
      </c>
      <c r="L1764" s="80" t="s">
        <v>342</v>
      </c>
      <c r="M1764" s="81">
        <v>0.5</v>
      </c>
      <c r="N1764" s="82">
        <v>30</v>
      </c>
    </row>
    <row r="1765" spans="1:14" x14ac:dyDescent="0.25">
      <c r="A1765" s="10" t="str">
        <f>_xlfn.IFNA(
    IF(J1765=
        "PCB-0001",
        "CSS",
        IF(
            ISNUMBER(MATCH(_xlfn.TEXTBEFORE(J1765,"-"), {"CSS","CSN","PCB","PCF","BEC","CSD","PCM"}, 0)),
            _xlfn.TEXTBEFORE(J1765,"-"),
            "Other"
        )
    ),
"Add")</f>
        <v>PCF</v>
      </c>
      <c r="B1765" s="10" t="str">
        <f t="shared" si="28"/>
        <v>0060</v>
      </c>
      <c r="C1765" s="10" t="str">
        <f>_xlfn.LET(
    _xlpm.val, IF(Datadetails[[#This Row],[Activity]]="D02","C20",Datadetails[[#This Row],[Activity]]),
    IF(ISNUMBER(MATCH(_xlpm.val,{"D04","C30","c40","C20"},0)), _xlpm.val, "Other")
)</f>
        <v>C20</v>
      </c>
      <c r="D1765" s="10" t="str">
        <f>IFERROR(VLOOKUP(Datadetails[[#This Row],[Taskcode]],Dashboard!A:A,1,FALSE),"00 Err Missing")</f>
        <v>0060</v>
      </c>
      <c r="E1765" s="79">
        <v>45877</v>
      </c>
      <c r="F1765" s="80" t="s">
        <v>326</v>
      </c>
      <c r="G1765" s="60" t="s">
        <v>40</v>
      </c>
      <c r="H1765" s="80" t="s">
        <v>227</v>
      </c>
      <c r="I1765" s="80" t="s">
        <v>36</v>
      </c>
      <c r="J1765" s="80" t="s">
        <v>453</v>
      </c>
      <c r="K1765" s="80" t="s">
        <v>348</v>
      </c>
      <c r="L1765" s="80" t="s">
        <v>342</v>
      </c>
      <c r="M1765" s="81">
        <v>0.25</v>
      </c>
      <c r="N1765" s="82">
        <v>15</v>
      </c>
    </row>
    <row r="1766" spans="1:14" x14ac:dyDescent="0.25">
      <c r="A1766" s="10" t="str">
        <f>_xlfn.IFNA(
    IF(J1766=
        "PCB-0001",
        "CSS",
        IF(
            ISNUMBER(MATCH(_xlfn.TEXTBEFORE(J1766,"-"), {"CSS","CSN","PCB","PCF","BEC","CSD","PCM"}, 0)),
            _xlfn.TEXTBEFORE(J1766,"-"),
            "Other"
        )
    ),
"Add")</f>
        <v>BEC</v>
      </c>
      <c r="B1766" s="10" t="str">
        <f t="shared" si="28"/>
        <v>0001</v>
      </c>
      <c r="C1766" s="10" t="str">
        <f>_xlfn.LET(
    _xlpm.val, IF(Datadetails[[#This Row],[Activity]]="D02","C20",Datadetails[[#This Row],[Activity]]),
    IF(ISNUMBER(MATCH(_xlpm.val,{"D04","C30","c40","C20"},0)), _xlpm.val, "Other")
)</f>
        <v>D04</v>
      </c>
      <c r="D1766" s="10" t="str">
        <f>IFERROR(VLOOKUP(Datadetails[[#This Row],[Taskcode]],Dashboard!A:A,1,FALSE),"00 Err Missing")</f>
        <v>0001</v>
      </c>
      <c r="E1766" s="79">
        <v>45877</v>
      </c>
      <c r="F1766" s="80" t="s">
        <v>332</v>
      </c>
      <c r="G1766" s="60" t="s">
        <v>40</v>
      </c>
      <c r="H1766" s="80" t="s">
        <v>314</v>
      </c>
      <c r="I1766" s="80" t="s">
        <v>35</v>
      </c>
      <c r="J1766" s="80" t="s">
        <v>359</v>
      </c>
      <c r="K1766" s="80" t="s">
        <v>339</v>
      </c>
      <c r="L1766" s="80" t="s">
        <v>352</v>
      </c>
      <c r="M1766" s="81">
        <v>5.5</v>
      </c>
      <c r="N1766" s="82">
        <v>220</v>
      </c>
    </row>
    <row r="1767" spans="1:14" x14ac:dyDescent="0.25">
      <c r="A1767" s="10" t="str">
        <f>_xlfn.IFNA(
    IF(J1767=
        "PCB-0001",
        "CSS",
        IF(
            ISNUMBER(MATCH(_xlfn.TEXTBEFORE(J1767,"-"), {"CSS","CSN","PCB","PCF","BEC","CSD","PCM"}, 0)),
            _xlfn.TEXTBEFORE(J1767,"-"),
            "Other"
        )
    ),
"Add")</f>
        <v>BEC</v>
      </c>
      <c r="B1767" s="10" t="str">
        <f t="shared" si="28"/>
        <v>0001</v>
      </c>
      <c r="C1767" s="10" t="str">
        <f>_xlfn.LET(
    _xlpm.val, IF(Datadetails[[#This Row],[Activity]]="D02","C20",Datadetails[[#This Row],[Activity]]),
    IF(ISNUMBER(MATCH(_xlpm.val,{"D04","C30","c40","C20"},0)), _xlpm.val, "Other")
)</f>
        <v>D04</v>
      </c>
      <c r="D1767" s="10" t="str">
        <f>IFERROR(VLOOKUP(Datadetails[[#This Row],[Taskcode]],Dashboard!A:A,1,FALSE),"00 Err Missing")</f>
        <v>0001</v>
      </c>
      <c r="E1767" s="79">
        <v>45877</v>
      </c>
      <c r="F1767" s="80" t="s">
        <v>324</v>
      </c>
      <c r="G1767" s="60" t="s">
        <v>40</v>
      </c>
      <c r="H1767" s="80" t="s">
        <v>314</v>
      </c>
      <c r="I1767" s="80" t="s">
        <v>35</v>
      </c>
      <c r="J1767" s="80" t="s">
        <v>359</v>
      </c>
      <c r="K1767" s="80" t="s">
        <v>339</v>
      </c>
      <c r="L1767" s="80" t="s">
        <v>352</v>
      </c>
      <c r="M1767" s="81">
        <v>3.67</v>
      </c>
      <c r="N1767" s="82">
        <v>275.25</v>
      </c>
    </row>
    <row r="1768" spans="1:14" x14ac:dyDescent="0.25">
      <c r="A1768" s="10" t="str">
        <f>_xlfn.IFNA(
    IF(J1768=
        "PCB-0001",
        "CSS",
        IF(
            ISNUMBER(MATCH(_xlfn.TEXTBEFORE(J1768,"-"), {"CSS","CSN","PCB","PCF","BEC","CSD","PCM"}, 0)),
            _xlfn.TEXTBEFORE(J1768,"-"),
            "Other"
        )
    ),
"Add")</f>
        <v>BEC</v>
      </c>
      <c r="B1768" s="10" t="str">
        <f t="shared" si="28"/>
        <v>0001</v>
      </c>
      <c r="C1768" s="10" t="str">
        <f>_xlfn.LET(
    _xlpm.val, IF(Datadetails[[#This Row],[Activity]]="D02","C20",Datadetails[[#This Row],[Activity]]),
    IF(ISNUMBER(MATCH(_xlpm.val,{"D04","C30","c40","C20"},0)), _xlpm.val, "Other")
)</f>
        <v>D04</v>
      </c>
      <c r="D1768" s="10" t="str">
        <f>IFERROR(VLOOKUP(Datadetails[[#This Row],[Taskcode]],Dashboard!A:A,1,FALSE),"00 Err Missing")</f>
        <v>0001</v>
      </c>
      <c r="E1768" s="79">
        <v>45878</v>
      </c>
      <c r="F1768" s="80" t="s">
        <v>332</v>
      </c>
      <c r="G1768" s="60" t="s">
        <v>40</v>
      </c>
      <c r="H1768" s="80" t="s">
        <v>314</v>
      </c>
      <c r="I1768" s="80" t="s">
        <v>35</v>
      </c>
      <c r="J1768" s="80" t="s">
        <v>359</v>
      </c>
      <c r="K1768" s="80" t="s">
        <v>339</v>
      </c>
      <c r="L1768" s="80" t="s">
        <v>352</v>
      </c>
      <c r="M1768" s="81">
        <v>3</v>
      </c>
      <c r="N1768" s="82">
        <v>120</v>
      </c>
    </row>
    <row r="1769" spans="1:14" x14ac:dyDescent="0.25">
      <c r="A1769" s="10" t="str">
        <f>_xlfn.IFNA(
    IF(J1769=
        "PCB-0001",
        "CSS",
        IF(
            ISNUMBER(MATCH(_xlfn.TEXTBEFORE(J1769,"-"), {"CSS","CSN","PCB","PCF","BEC","CSD","PCM"}, 0)),
            _xlfn.TEXTBEFORE(J1769,"-"),
            "Other"
        )
    ),
"Add")</f>
        <v>CSD</v>
      </c>
      <c r="B1769" s="10" t="str">
        <f t="shared" si="28"/>
        <v>0001</v>
      </c>
      <c r="C1769" s="10" t="str">
        <f>_xlfn.LET(
    _xlpm.val, IF(Datadetails[[#This Row],[Activity]]="D02","C20",Datadetails[[#This Row],[Activity]]),
    IF(ISNUMBER(MATCH(_xlpm.val,{"D04","C30","c40","C20"},0)), _xlpm.val, "Other")
)</f>
        <v>D04</v>
      </c>
      <c r="D1769" s="10" t="str">
        <f>IFERROR(VLOOKUP(Datadetails[[#This Row],[Taskcode]],Dashboard!A:A,1,FALSE),"00 Err Missing")</f>
        <v>0001</v>
      </c>
      <c r="E1769" s="79">
        <v>45880</v>
      </c>
      <c r="F1769" s="80" t="s">
        <v>333</v>
      </c>
      <c r="G1769" s="60" t="s">
        <v>40</v>
      </c>
      <c r="H1769" s="80" t="s">
        <v>320</v>
      </c>
      <c r="I1769" s="80" t="s">
        <v>35</v>
      </c>
      <c r="J1769" s="80" t="s">
        <v>322</v>
      </c>
      <c r="K1769" s="80" t="s">
        <v>319</v>
      </c>
      <c r="L1769" s="80" t="s">
        <v>352</v>
      </c>
      <c r="M1769" s="81">
        <v>6.85</v>
      </c>
      <c r="N1769" s="82">
        <v>219.2</v>
      </c>
    </row>
    <row r="1770" spans="1:14" x14ac:dyDescent="0.25">
      <c r="A1770" s="10" t="str">
        <f>_xlfn.IFNA(
    IF(J1770=
        "PCB-0001",
        "CSS",
        IF(
            ISNUMBER(MATCH(_xlfn.TEXTBEFORE(J1770,"-"), {"CSS","CSN","PCB","PCF","BEC","CSD","PCM"}, 0)),
            _xlfn.TEXTBEFORE(J1770,"-"),
            "Other"
        )
    ),
"Add")</f>
        <v>CSD</v>
      </c>
      <c r="B1770" s="10" t="str">
        <f t="shared" si="28"/>
        <v>0001</v>
      </c>
      <c r="C1770" s="10" t="str">
        <f>_xlfn.LET(
    _xlpm.val, IF(Datadetails[[#This Row],[Activity]]="D02","C20",Datadetails[[#This Row],[Activity]]),
    IF(ISNUMBER(MATCH(_xlpm.val,{"D04","C30","c40","C20"},0)), _xlpm.val, "Other")
)</f>
        <v>D04</v>
      </c>
      <c r="D1770" s="10" t="str">
        <f>IFERROR(VLOOKUP(Datadetails[[#This Row],[Taskcode]],Dashboard!A:A,1,FALSE),"00 Err Missing")</f>
        <v>0001</v>
      </c>
      <c r="E1770" s="79">
        <v>45880</v>
      </c>
      <c r="F1770" s="80" t="s">
        <v>327</v>
      </c>
      <c r="G1770" s="60" t="s">
        <v>40</v>
      </c>
      <c r="H1770" s="80" t="s">
        <v>320</v>
      </c>
      <c r="I1770" s="80" t="s">
        <v>35</v>
      </c>
      <c r="J1770" s="80" t="s">
        <v>322</v>
      </c>
      <c r="K1770" s="80" t="s">
        <v>319</v>
      </c>
      <c r="L1770" s="80" t="s">
        <v>352</v>
      </c>
      <c r="M1770" s="81">
        <v>7.42</v>
      </c>
      <c r="N1770" s="82">
        <v>237.44</v>
      </c>
    </row>
    <row r="1771" spans="1:14" x14ac:dyDescent="0.25">
      <c r="A1771" s="10" t="str">
        <f>_xlfn.IFNA(
    IF(J1771=
        "PCB-0001",
        "CSS",
        IF(
            ISNUMBER(MATCH(_xlfn.TEXTBEFORE(J1771,"-"), {"CSS","CSN","PCB","PCF","BEC","CSD","PCM"}, 0)),
            _xlfn.TEXTBEFORE(J1771,"-"),
            "Other"
        )
    ),
"Add")</f>
        <v>PCB</v>
      </c>
      <c r="B1771" s="10" t="str">
        <f t="shared" si="28"/>
        <v>0029</v>
      </c>
      <c r="C1771" s="10" t="str">
        <f>_xlfn.LET(
    _xlpm.val, IF(Datadetails[[#This Row],[Activity]]="D02","C20",Datadetails[[#This Row],[Activity]]),
    IF(ISNUMBER(MATCH(_xlpm.val,{"D04","C30","c40","C20"},0)), _xlpm.val, "Other")
)</f>
        <v>C30</v>
      </c>
      <c r="D1771" s="10" t="str">
        <f>IFERROR(VLOOKUP(Datadetails[[#This Row],[Taskcode]],Dashboard!A:A,1,FALSE),"00 Err Missing")</f>
        <v>0029</v>
      </c>
      <c r="E1771" s="79">
        <v>45880</v>
      </c>
      <c r="F1771" s="80" t="s">
        <v>330</v>
      </c>
      <c r="G1771" s="60" t="s">
        <v>40</v>
      </c>
      <c r="H1771" s="80" t="s">
        <v>196</v>
      </c>
      <c r="I1771" s="80" t="s">
        <v>34</v>
      </c>
      <c r="J1771" s="80" t="s">
        <v>446</v>
      </c>
      <c r="K1771" s="80" t="s">
        <v>347</v>
      </c>
      <c r="L1771" s="80" t="s">
        <v>343</v>
      </c>
      <c r="M1771" s="81">
        <v>0.25</v>
      </c>
      <c r="N1771" s="82">
        <v>15</v>
      </c>
    </row>
    <row r="1772" spans="1:14" x14ac:dyDescent="0.25">
      <c r="A1772" s="10" t="str">
        <f>_xlfn.IFNA(
    IF(J1772=
        "PCB-0001",
        "CSS",
        IF(
            ISNUMBER(MATCH(_xlfn.TEXTBEFORE(J1772,"-"), {"CSS","CSN","PCB","PCF","BEC","CSD","PCM"}, 0)),
            _xlfn.TEXTBEFORE(J1772,"-"),
            "Other"
        )
    ),
"Add")</f>
        <v>PCB</v>
      </c>
      <c r="B1772" s="10" t="str">
        <f t="shared" si="28"/>
        <v>0017</v>
      </c>
      <c r="C1772" s="10" t="str">
        <f>_xlfn.LET(
    _xlpm.val, IF(Datadetails[[#This Row],[Activity]]="D02","C20",Datadetails[[#This Row],[Activity]]),
    IF(ISNUMBER(MATCH(_xlpm.val,{"D04","C30","c40","C20"},0)), _xlpm.val, "Other")
)</f>
        <v>C30</v>
      </c>
      <c r="D1772" s="10" t="str">
        <f>IFERROR(VLOOKUP(Datadetails[[#This Row],[Taskcode]],Dashboard!A:A,1,FALSE),"00 Err Missing")</f>
        <v>0017</v>
      </c>
      <c r="E1772" s="79">
        <v>45880</v>
      </c>
      <c r="F1772" s="80" t="s">
        <v>330</v>
      </c>
      <c r="G1772" s="60" t="s">
        <v>40</v>
      </c>
      <c r="H1772" s="80" t="s">
        <v>184</v>
      </c>
      <c r="I1772" s="80" t="s">
        <v>34</v>
      </c>
      <c r="J1772" s="80" t="s">
        <v>459</v>
      </c>
      <c r="K1772" s="80" t="s">
        <v>347</v>
      </c>
      <c r="L1772" s="80" t="s">
        <v>343</v>
      </c>
      <c r="M1772" s="81">
        <v>0.25</v>
      </c>
      <c r="N1772" s="82">
        <v>15</v>
      </c>
    </row>
    <row r="1773" spans="1:14" x14ac:dyDescent="0.25">
      <c r="A1773" s="10" t="str">
        <f>_xlfn.IFNA(
    IF(J1773=
        "PCB-0001",
        "CSS",
        IF(
            ISNUMBER(MATCH(_xlfn.TEXTBEFORE(J1773,"-"), {"CSS","CSN","PCB","PCF","BEC","CSD","PCM"}, 0)),
            _xlfn.TEXTBEFORE(J1773,"-"),
            "Other"
        )
    ),
"Add")</f>
        <v>PCB</v>
      </c>
      <c r="B1773" s="10" t="str">
        <f t="shared" si="28"/>
        <v>0048</v>
      </c>
      <c r="C1773" s="10" t="str">
        <f>_xlfn.LET(
    _xlpm.val, IF(Datadetails[[#This Row],[Activity]]="D02","C20",Datadetails[[#This Row],[Activity]]),
    IF(ISNUMBER(MATCH(_xlpm.val,{"D04","C30","c40","C20"},0)), _xlpm.val, "Other")
)</f>
        <v>C30</v>
      </c>
      <c r="D1773" s="10" t="str">
        <f>IFERROR(VLOOKUP(Datadetails[[#This Row],[Taskcode]],Dashboard!A:A,1,FALSE),"00 Err Missing")</f>
        <v>0048</v>
      </c>
      <c r="E1773" s="79">
        <v>45880</v>
      </c>
      <c r="F1773" s="80" t="s">
        <v>330</v>
      </c>
      <c r="G1773" s="60" t="s">
        <v>40</v>
      </c>
      <c r="H1773" s="80" t="s">
        <v>215</v>
      </c>
      <c r="I1773" s="80" t="s">
        <v>34</v>
      </c>
      <c r="J1773" s="80" t="s">
        <v>450</v>
      </c>
      <c r="K1773" s="80" t="s">
        <v>347</v>
      </c>
      <c r="L1773" s="80" t="s">
        <v>343</v>
      </c>
      <c r="M1773" s="81">
        <v>0.42</v>
      </c>
      <c r="N1773" s="82">
        <v>25.2</v>
      </c>
    </row>
    <row r="1774" spans="1:14" x14ac:dyDescent="0.25">
      <c r="A1774" s="10" t="str">
        <f>_xlfn.IFNA(
    IF(J1774=
        "PCB-0001",
        "CSS",
        IF(
            ISNUMBER(MATCH(_xlfn.TEXTBEFORE(J1774,"-"), {"CSS","CSN","PCB","PCF","BEC","CSD","PCM"}, 0)),
            _xlfn.TEXTBEFORE(J1774,"-"),
            "Other"
        )
    ),
"Add")</f>
        <v>PCB</v>
      </c>
      <c r="B1774" s="10" t="str">
        <f t="shared" si="28"/>
        <v>0055</v>
      </c>
      <c r="C1774" s="10" t="str">
        <f>_xlfn.LET(
    _xlpm.val, IF(Datadetails[[#This Row],[Activity]]="D02","C20",Datadetails[[#This Row],[Activity]]),
    IF(ISNUMBER(MATCH(_xlpm.val,{"D04","C30","c40","C20"},0)), _xlpm.val, "Other")
)</f>
        <v>C30</v>
      </c>
      <c r="D1774" s="10" t="str">
        <f>IFERROR(VLOOKUP(Datadetails[[#This Row],[Taskcode]],Dashboard!A:A,1,FALSE),"00 Err Missing")</f>
        <v>0055</v>
      </c>
      <c r="E1774" s="79">
        <v>45880</v>
      </c>
      <c r="F1774" s="80" t="s">
        <v>330</v>
      </c>
      <c r="G1774" s="60" t="s">
        <v>40</v>
      </c>
      <c r="H1774" s="80" t="s">
        <v>222</v>
      </c>
      <c r="I1774" s="80" t="s">
        <v>34</v>
      </c>
      <c r="J1774" s="80" t="s">
        <v>447</v>
      </c>
      <c r="K1774" s="80" t="s">
        <v>347</v>
      </c>
      <c r="L1774" s="80" t="s">
        <v>343</v>
      </c>
      <c r="M1774" s="81">
        <v>0.5</v>
      </c>
      <c r="N1774" s="82">
        <v>30</v>
      </c>
    </row>
    <row r="1775" spans="1:14" x14ac:dyDescent="0.25">
      <c r="A1775" s="10" t="str">
        <f>_xlfn.IFNA(
    IF(J1775=
        "PCB-0001",
        "CSS",
        IF(
            ISNUMBER(MATCH(_xlfn.TEXTBEFORE(J1775,"-"), {"CSS","CSN","PCB","PCF","BEC","CSD","PCM"}, 0)),
            _xlfn.TEXTBEFORE(J1775,"-"),
            "Other"
        )
    ),
"Add")</f>
        <v>PCB</v>
      </c>
      <c r="B1775" s="10" t="str">
        <f t="shared" si="28"/>
        <v>0094</v>
      </c>
      <c r="C1775" s="10" t="str">
        <f>_xlfn.LET(
    _xlpm.val, IF(Datadetails[[#This Row],[Activity]]="D02","C20",Datadetails[[#This Row],[Activity]]),
    IF(ISNUMBER(MATCH(_xlpm.val,{"D04","C30","c40","C20"},0)), _xlpm.val, "Other")
)</f>
        <v>C30</v>
      </c>
      <c r="D1775" s="10" t="str">
        <f>IFERROR(VLOOKUP(Datadetails[[#This Row],[Taskcode]],Dashboard!A:A,1,FALSE),"00 Err Missing")</f>
        <v>0094</v>
      </c>
      <c r="E1775" s="79">
        <v>45880</v>
      </c>
      <c r="F1775" s="80" t="s">
        <v>330</v>
      </c>
      <c r="G1775" s="60" t="s">
        <v>40</v>
      </c>
      <c r="H1775" s="80" t="s">
        <v>261</v>
      </c>
      <c r="I1775" s="80" t="s">
        <v>34</v>
      </c>
      <c r="J1775" s="80" t="s">
        <v>444</v>
      </c>
      <c r="K1775" s="80" t="s">
        <v>347</v>
      </c>
      <c r="L1775" s="80" t="s">
        <v>343</v>
      </c>
      <c r="M1775" s="81">
        <v>0.5</v>
      </c>
      <c r="N1775" s="82">
        <v>30</v>
      </c>
    </row>
    <row r="1776" spans="1:14" x14ac:dyDescent="0.25">
      <c r="A1776" s="10" t="str">
        <f>_xlfn.IFNA(
    IF(J1776=
        "PCB-0001",
        "CSS",
        IF(
            ISNUMBER(MATCH(_xlfn.TEXTBEFORE(J1776,"-"), {"CSS","CSN","PCB","PCF","BEC","CSD","PCM"}, 0)),
            _xlfn.TEXTBEFORE(J1776,"-"),
            "Other"
        )
    ),
"Add")</f>
        <v>PCB</v>
      </c>
      <c r="B1776" s="10" t="str">
        <f t="shared" si="28"/>
        <v>0096</v>
      </c>
      <c r="C1776" s="10" t="str">
        <f>_xlfn.LET(
    _xlpm.val, IF(Datadetails[[#This Row],[Activity]]="D02","C20",Datadetails[[#This Row],[Activity]]),
    IF(ISNUMBER(MATCH(_xlpm.val,{"D04","C30","c40","C20"},0)), _xlpm.val, "Other")
)</f>
        <v>C40</v>
      </c>
      <c r="D1776" s="10" t="str">
        <f>IFERROR(VLOOKUP(Datadetails[[#This Row],[Taskcode]],Dashboard!A:A,1,FALSE),"00 Err Missing")</f>
        <v>0096</v>
      </c>
      <c r="E1776" s="79">
        <v>45880</v>
      </c>
      <c r="F1776" s="80" t="s">
        <v>330</v>
      </c>
      <c r="G1776" s="60" t="s">
        <v>40</v>
      </c>
      <c r="H1776" s="80" t="s">
        <v>263</v>
      </c>
      <c r="I1776" s="80" t="s">
        <v>341</v>
      </c>
      <c r="J1776" s="80" t="s">
        <v>383</v>
      </c>
      <c r="K1776" s="80" t="s">
        <v>347</v>
      </c>
      <c r="L1776" s="80" t="s">
        <v>344</v>
      </c>
      <c r="M1776" s="81">
        <v>1.75</v>
      </c>
      <c r="N1776" s="82">
        <v>105</v>
      </c>
    </row>
    <row r="1777" spans="1:14" x14ac:dyDescent="0.25">
      <c r="A1777" s="10" t="str">
        <f>_xlfn.IFNA(
    IF(J1777=
        "PCB-0001",
        "CSS",
        IF(
            ISNUMBER(MATCH(_xlfn.TEXTBEFORE(J1777,"-"), {"CSS","CSN","PCB","PCF","BEC","CSD","PCM"}, 0)),
            _xlfn.TEXTBEFORE(J1777,"-"),
            "Other"
        )
    ),
"Add")</f>
        <v>BEC</v>
      </c>
      <c r="B1777" s="10" t="str">
        <f t="shared" si="28"/>
        <v>0001</v>
      </c>
      <c r="C1777" s="10" t="str">
        <f>_xlfn.LET(
    _xlpm.val, IF(Datadetails[[#This Row],[Activity]]="D02","C20",Datadetails[[#This Row],[Activity]]),
    IF(ISNUMBER(MATCH(_xlpm.val,{"D04","C30","c40","C20"},0)), _xlpm.val, "Other")
)</f>
        <v>D04</v>
      </c>
      <c r="D1777" s="10" t="str">
        <f>IFERROR(VLOOKUP(Datadetails[[#This Row],[Taskcode]],Dashboard!A:A,1,FALSE),"00 Err Missing")</f>
        <v>0001</v>
      </c>
      <c r="E1777" s="79">
        <v>45880</v>
      </c>
      <c r="F1777" s="80" t="s">
        <v>332</v>
      </c>
      <c r="G1777" s="60" t="s">
        <v>40</v>
      </c>
      <c r="H1777" s="80" t="s">
        <v>314</v>
      </c>
      <c r="I1777" s="80" t="s">
        <v>35</v>
      </c>
      <c r="J1777" s="80" t="s">
        <v>359</v>
      </c>
      <c r="K1777" s="80" t="s">
        <v>339</v>
      </c>
      <c r="L1777" s="80" t="s">
        <v>352</v>
      </c>
      <c r="M1777" s="81">
        <v>8.17</v>
      </c>
      <c r="N1777" s="82">
        <v>326.8</v>
      </c>
    </row>
    <row r="1778" spans="1:14" x14ac:dyDescent="0.25">
      <c r="A1778" s="10" t="str">
        <f>_xlfn.IFNA(
    IF(J1778=
        "PCB-0001",
        "CSS",
        IF(
            ISNUMBER(MATCH(_xlfn.TEXTBEFORE(J1778,"-"), {"CSS","CSN","PCB","PCF","BEC","CSD","PCM"}, 0)),
            _xlfn.TEXTBEFORE(J1778,"-"),
            "Other"
        )
    ),
"Add")</f>
        <v>BEC</v>
      </c>
      <c r="B1778" s="10" t="str">
        <f t="shared" si="28"/>
        <v>0001</v>
      </c>
      <c r="C1778" s="10" t="str">
        <f>_xlfn.LET(
    _xlpm.val, IF(Datadetails[[#This Row],[Activity]]="D02","C20",Datadetails[[#This Row],[Activity]]),
    IF(ISNUMBER(MATCH(_xlpm.val,{"D04","C30","c40","C20"},0)), _xlpm.val, "Other")
)</f>
        <v>D04</v>
      </c>
      <c r="D1778" s="10" t="str">
        <f>IFERROR(VLOOKUP(Datadetails[[#This Row],[Taskcode]],Dashboard!A:A,1,FALSE),"00 Err Missing")</f>
        <v>0001</v>
      </c>
      <c r="E1778" s="79">
        <v>45880</v>
      </c>
      <c r="F1778" s="80" t="s">
        <v>324</v>
      </c>
      <c r="G1778" s="60" t="s">
        <v>40</v>
      </c>
      <c r="H1778" s="80" t="s">
        <v>314</v>
      </c>
      <c r="I1778" s="80" t="s">
        <v>35</v>
      </c>
      <c r="J1778" s="80" t="s">
        <v>359</v>
      </c>
      <c r="K1778" s="80" t="s">
        <v>339</v>
      </c>
      <c r="L1778" s="80" t="s">
        <v>352</v>
      </c>
      <c r="M1778" s="81">
        <v>5.75</v>
      </c>
      <c r="N1778" s="82">
        <v>431.25</v>
      </c>
    </row>
    <row r="1779" spans="1:14" x14ac:dyDescent="0.25">
      <c r="A1779" s="10" t="str">
        <f>_xlfn.IFNA(
    IF(J1779=
        "PCB-0001",
        "CSS",
        IF(
            ISNUMBER(MATCH(_xlfn.TEXTBEFORE(J1779,"-"), {"CSS","CSN","PCB","PCF","BEC","CSD","PCM"}, 0)),
            _xlfn.TEXTBEFORE(J1779,"-"),
            "Other"
        )
    ),
"Add")</f>
        <v>CSD</v>
      </c>
      <c r="B1779" s="10" t="str">
        <f t="shared" si="28"/>
        <v>0001</v>
      </c>
      <c r="C1779" s="10" t="str">
        <f>_xlfn.LET(
    _xlpm.val, IF(Datadetails[[#This Row],[Activity]]="D02","C20",Datadetails[[#This Row],[Activity]]),
    IF(ISNUMBER(MATCH(_xlpm.val,{"D04","C30","c40","C20"},0)), _xlpm.val, "Other")
)</f>
        <v>D04</v>
      </c>
      <c r="D1779" s="10" t="str">
        <f>IFERROR(VLOOKUP(Datadetails[[#This Row],[Taskcode]],Dashboard!A:A,1,FALSE),"00 Err Missing")</f>
        <v>0001</v>
      </c>
      <c r="E1779" s="79">
        <v>45881</v>
      </c>
      <c r="F1779" s="80" t="s">
        <v>333</v>
      </c>
      <c r="G1779" s="60" t="s">
        <v>40</v>
      </c>
      <c r="H1779" s="80" t="s">
        <v>320</v>
      </c>
      <c r="I1779" s="80" t="s">
        <v>35</v>
      </c>
      <c r="J1779" s="80" t="s">
        <v>322</v>
      </c>
      <c r="K1779" s="80" t="s">
        <v>319</v>
      </c>
      <c r="L1779" s="80" t="s">
        <v>352</v>
      </c>
      <c r="M1779" s="81">
        <v>7.43</v>
      </c>
      <c r="N1779" s="82">
        <v>237.76</v>
      </c>
    </row>
    <row r="1780" spans="1:14" x14ac:dyDescent="0.25">
      <c r="A1780" s="10" t="str">
        <f>_xlfn.IFNA(
    IF(J1780=
        "PCB-0001",
        "CSS",
        IF(
            ISNUMBER(MATCH(_xlfn.TEXTBEFORE(J1780,"-"), {"CSS","CSN","PCB","PCF","BEC","CSD","PCM"}, 0)),
            _xlfn.TEXTBEFORE(J1780,"-"),
            "Other"
        )
    ),
"Add")</f>
        <v>CSD</v>
      </c>
      <c r="B1780" s="10" t="str">
        <f t="shared" si="28"/>
        <v>0001</v>
      </c>
      <c r="C1780" s="10" t="str">
        <f>_xlfn.LET(
    _xlpm.val, IF(Datadetails[[#This Row],[Activity]]="D02","C20",Datadetails[[#This Row],[Activity]]),
    IF(ISNUMBER(MATCH(_xlpm.val,{"D04","C30","c40","C20"},0)), _xlpm.val, "Other")
)</f>
        <v>D04</v>
      </c>
      <c r="D1780" s="10" t="str">
        <f>IFERROR(VLOOKUP(Datadetails[[#This Row],[Taskcode]],Dashboard!A:A,1,FALSE),"00 Err Missing")</f>
        <v>0001</v>
      </c>
      <c r="E1780" s="79">
        <v>45881</v>
      </c>
      <c r="F1780" s="80" t="s">
        <v>327</v>
      </c>
      <c r="G1780" s="60" t="s">
        <v>40</v>
      </c>
      <c r="H1780" s="80" t="s">
        <v>320</v>
      </c>
      <c r="I1780" s="80" t="s">
        <v>35</v>
      </c>
      <c r="J1780" s="80" t="s">
        <v>322</v>
      </c>
      <c r="K1780" s="80" t="s">
        <v>319</v>
      </c>
      <c r="L1780" s="80" t="s">
        <v>352</v>
      </c>
      <c r="M1780" s="81">
        <v>7.42</v>
      </c>
      <c r="N1780" s="82">
        <v>237.44</v>
      </c>
    </row>
    <row r="1781" spans="1:14" x14ac:dyDescent="0.25">
      <c r="A1781" s="10" t="str">
        <f>_xlfn.IFNA(
    IF(J1781=
        "PCB-0001",
        "CSS",
        IF(
            ISNUMBER(MATCH(_xlfn.TEXTBEFORE(J1781,"-"), {"CSS","CSN","PCB","PCF","BEC","CSD","PCM"}, 0)),
            _xlfn.TEXTBEFORE(J1781,"-"),
            "Other"
        )
    ),
"Add")</f>
        <v>PCM</v>
      </c>
      <c r="B1781" s="10" t="str">
        <f t="shared" si="28"/>
        <v>0113</v>
      </c>
      <c r="C1781" s="10" t="str">
        <f>_xlfn.LET(
    _xlpm.val, IF(Datadetails[[#This Row],[Activity]]="D02","C20",Datadetails[[#This Row],[Activity]]),
    IF(ISNUMBER(MATCH(_xlpm.val,{"D04","C30","c40","C20"},0)), _xlpm.val, "Other")
)</f>
        <v>C40</v>
      </c>
      <c r="D1781" s="10" t="str">
        <f>IFERROR(VLOOKUP(Datadetails[[#This Row],[Taskcode]],Dashboard!A:A,1,FALSE),"00 Err Missing")</f>
        <v>0113</v>
      </c>
      <c r="E1781" s="79">
        <v>45881</v>
      </c>
      <c r="F1781" s="80" t="s">
        <v>323</v>
      </c>
      <c r="G1781" s="60" t="s">
        <v>40</v>
      </c>
      <c r="H1781" s="80" t="s">
        <v>280</v>
      </c>
      <c r="I1781" s="80" t="s">
        <v>341</v>
      </c>
      <c r="J1781" s="80" t="s">
        <v>445</v>
      </c>
      <c r="K1781" s="80" t="s">
        <v>346</v>
      </c>
      <c r="L1781" s="80" t="s">
        <v>344</v>
      </c>
      <c r="M1781" s="81">
        <v>1.5</v>
      </c>
      <c r="N1781" s="82">
        <v>90</v>
      </c>
    </row>
    <row r="1782" spans="1:14" x14ac:dyDescent="0.25">
      <c r="A1782" s="10" t="str">
        <f>_xlfn.IFNA(
    IF(J1782=
        "PCB-0001",
        "CSS",
        IF(
            ISNUMBER(MATCH(_xlfn.TEXTBEFORE(J1782,"-"), {"CSS","CSN","PCB","PCF","BEC","CSD","PCM"}, 0)),
            _xlfn.TEXTBEFORE(J1782,"-"),
            "Other"
        )
    ),
"Add")</f>
        <v>PCM</v>
      </c>
      <c r="B1782" s="10" t="str">
        <f t="shared" si="28"/>
        <v>0114</v>
      </c>
      <c r="C1782" s="10" t="str">
        <f>_xlfn.LET(
    _xlpm.val, IF(Datadetails[[#This Row],[Activity]]="D02","C20",Datadetails[[#This Row],[Activity]]),
    IF(ISNUMBER(MATCH(_xlpm.val,{"D04","C30","c40","C20"},0)), _xlpm.val, "Other")
)</f>
        <v>C40</v>
      </c>
      <c r="D1782" s="10" t="str">
        <f>IFERROR(VLOOKUP(Datadetails[[#This Row],[Taskcode]],Dashboard!A:A,1,FALSE),"00 Err Missing")</f>
        <v>0114</v>
      </c>
      <c r="E1782" s="79">
        <v>45881</v>
      </c>
      <c r="F1782" s="80" t="s">
        <v>323</v>
      </c>
      <c r="G1782" s="60" t="s">
        <v>40</v>
      </c>
      <c r="H1782" s="80" t="s">
        <v>281</v>
      </c>
      <c r="I1782" s="80" t="s">
        <v>341</v>
      </c>
      <c r="J1782" s="80" t="s">
        <v>430</v>
      </c>
      <c r="K1782" s="80" t="s">
        <v>346</v>
      </c>
      <c r="L1782" s="80" t="s">
        <v>344</v>
      </c>
      <c r="M1782" s="81">
        <v>1.5</v>
      </c>
      <c r="N1782" s="82">
        <v>90</v>
      </c>
    </row>
    <row r="1783" spans="1:14" x14ac:dyDescent="0.25">
      <c r="A1783" s="10" t="str">
        <f>_xlfn.IFNA(
    IF(J1783=
        "PCB-0001",
        "CSS",
        IF(
            ISNUMBER(MATCH(_xlfn.TEXTBEFORE(J1783,"-"), {"CSS","CSN","PCB","PCF","BEC","CSD","PCM"}, 0)),
            _xlfn.TEXTBEFORE(J1783,"-"),
            "Other"
        )
    ),
"Add")</f>
        <v>PCM</v>
      </c>
      <c r="B1783" s="10" t="str">
        <f t="shared" si="28"/>
        <v>0115</v>
      </c>
      <c r="C1783" s="10" t="str">
        <f>_xlfn.LET(
    _xlpm.val, IF(Datadetails[[#This Row],[Activity]]="D02","C20",Datadetails[[#This Row],[Activity]]),
    IF(ISNUMBER(MATCH(_xlpm.val,{"D04","C30","c40","C20"},0)), _xlpm.val, "Other")
)</f>
        <v>C40</v>
      </c>
      <c r="D1783" s="10" t="str">
        <f>IFERROR(VLOOKUP(Datadetails[[#This Row],[Taskcode]],Dashboard!A:A,1,FALSE),"00 Err Missing")</f>
        <v>0115</v>
      </c>
      <c r="E1783" s="79">
        <v>45881</v>
      </c>
      <c r="F1783" s="80" t="s">
        <v>323</v>
      </c>
      <c r="G1783" s="60" t="s">
        <v>40</v>
      </c>
      <c r="H1783" s="80" t="s">
        <v>282</v>
      </c>
      <c r="I1783" s="80" t="s">
        <v>341</v>
      </c>
      <c r="J1783" s="80" t="s">
        <v>451</v>
      </c>
      <c r="K1783" s="80" t="s">
        <v>346</v>
      </c>
      <c r="L1783" s="80" t="s">
        <v>344</v>
      </c>
      <c r="M1783" s="81">
        <v>1.5</v>
      </c>
      <c r="N1783" s="82">
        <v>90</v>
      </c>
    </row>
    <row r="1784" spans="1:14" x14ac:dyDescent="0.25">
      <c r="A1784" s="10" t="str">
        <f>_xlfn.IFNA(
    IF(J1784=
        "PCB-0001",
        "CSS",
        IF(
            ISNUMBER(MATCH(_xlfn.TEXTBEFORE(J1784,"-"), {"CSS","CSN","PCB","PCF","BEC","CSD","PCM"}, 0)),
            _xlfn.TEXTBEFORE(J1784,"-"),
            "Other"
        )
    ),
"Add")</f>
        <v>CSN</v>
      </c>
      <c r="B1784" s="10" t="str">
        <f t="shared" si="28"/>
        <v>0001</v>
      </c>
      <c r="C1784" s="10" t="str">
        <f>_xlfn.LET(
    _xlpm.val, IF(Datadetails[[#This Row],[Activity]]="D02","C20",Datadetails[[#This Row],[Activity]]),
    IF(ISNUMBER(MATCH(_xlpm.val,{"D04","C30","c40","C20"},0)), _xlpm.val, "Other")
)</f>
        <v>D04</v>
      </c>
      <c r="D1784" s="10" t="str">
        <f>IFERROR(VLOOKUP(Datadetails[[#This Row],[Taskcode]],Dashboard!A:A,1,FALSE),"00 Err Missing")</f>
        <v>0001</v>
      </c>
      <c r="E1784" s="79">
        <v>45882</v>
      </c>
      <c r="F1784" s="80" t="s">
        <v>329</v>
      </c>
      <c r="G1784" s="60" t="s">
        <v>40</v>
      </c>
      <c r="H1784" s="80" t="s">
        <v>316</v>
      </c>
      <c r="I1784" s="80" t="s">
        <v>35</v>
      </c>
      <c r="J1784" s="80" t="s">
        <v>338</v>
      </c>
      <c r="K1784" s="80" t="s">
        <v>337</v>
      </c>
      <c r="L1784" s="80" t="s">
        <v>352</v>
      </c>
      <c r="M1784" s="81">
        <v>0.17</v>
      </c>
      <c r="N1784" s="82">
        <v>12.750000000000002</v>
      </c>
    </row>
    <row r="1785" spans="1:14" x14ac:dyDescent="0.25">
      <c r="A1785" s="10" t="str">
        <f>_xlfn.IFNA(
    IF(J1785=
        "PCB-0001",
        "CSS",
        IF(
            ISNUMBER(MATCH(_xlfn.TEXTBEFORE(J1785,"-"), {"CSS","CSN","PCB","PCF","BEC","CSD","PCM"}, 0)),
            _xlfn.TEXTBEFORE(J1785,"-"),
            "Other"
        )
    ),
"Add")</f>
        <v>CSD</v>
      </c>
      <c r="B1785" s="10" t="str">
        <f t="shared" si="28"/>
        <v>0001</v>
      </c>
      <c r="C1785" s="10" t="str">
        <f>_xlfn.LET(
    _xlpm.val, IF(Datadetails[[#This Row],[Activity]]="D02","C20",Datadetails[[#This Row],[Activity]]),
    IF(ISNUMBER(MATCH(_xlpm.val,{"D04","C30","c40","C20"},0)), _xlpm.val, "Other")
)</f>
        <v>D04</v>
      </c>
      <c r="D1785" s="10" t="str">
        <f>IFERROR(VLOOKUP(Datadetails[[#This Row],[Taskcode]],Dashboard!A:A,1,FALSE),"00 Err Missing")</f>
        <v>0001</v>
      </c>
      <c r="E1785" s="79">
        <v>45882</v>
      </c>
      <c r="F1785" s="80" t="s">
        <v>333</v>
      </c>
      <c r="G1785" s="60" t="s">
        <v>40</v>
      </c>
      <c r="H1785" s="80" t="s">
        <v>320</v>
      </c>
      <c r="I1785" s="80" t="s">
        <v>35</v>
      </c>
      <c r="J1785" s="80" t="s">
        <v>322</v>
      </c>
      <c r="K1785" s="80" t="s">
        <v>319</v>
      </c>
      <c r="L1785" s="80" t="s">
        <v>352</v>
      </c>
      <c r="M1785" s="81">
        <v>7.48</v>
      </c>
      <c r="N1785" s="82">
        <v>239.36</v>
      </c>
    </row>
    <row r="1786" spans="1:14" x14ac:dyDescent="0.25">
      <c r="A1786" s="10" t="str">
        <f>_xlfn.IFNA(
    IF(J1786=
        "PCB-0001",
        "CSS",
        IF(
            ISNUMBER(MATCH(_xlfn.TEXTBEFORE(J1786,"-"), {"CSS","CSN","PCB","PCF","BEC","CSD","PCM"}, 0)),
            _xlfn.TEXTBEFORE(J1786,"-"),
            "Other"
        )
    ),
"Add")</f>
        <v>CSD</v>
      </c>
      <c r="B1786" s="10" t="str">
        <f t="shared" si="28"/>
        <v>0001</v>
      </c>
      <c r="C1786" s="10" t="str">
        <f>_xlfn.LET(
    _xlpm.val, IF(Datadetails[[#This Row],[Activity]]="D02","C20",Datadetails[[#This Row],[Activity]]),
    IF(ISNUMBER(MATCH(_xlpm.val,{"D04","C30","c40","C20"},0)), _xlpm.val, "Other")
)</f>
        <v>D04</v>
      </c>
      <c r="D1786" s="10" t="str">
        <f>IFERROR(VLOOKUP(Datadetails[[#This Row],[Taskcode]],Dashboard!A:A,1,FALSE),"00 Err Missing")</f>
        <v>0001</v>
      </c>
      <c r="E1786" s="79">
        <v>45882</v>
      </c>
      <c r="F1786" s="80" t="s">
        <v>327</v>
      </c>
      <c r="G1786" s="60" t="s">
        <v>40</v>
      </c>
      <c r="H1786" s="80" t="s">
        <v>320</v>
      </c>
      <c r="I1786" s="80" t="s">
        <v>35</v>
      </c>
      <c r="J1786" s="80" t="s">
        <v>322</v>
      </c>
      <c r="K1786" s="80" t="s">
        <v>319</v>
      </c>
      <c r="L1786" s="80" t="s">
        <v>352</v>
      </c>
      <c r="M1786" s="81">
        <v>7.25</v>
      </c>
      <c r="N1786" s="82">
        <v>232</v>
      </c>
    </row>
    <row r="1787" spans="1:14" x14ac:dyDescent="0.25">
      <c r="A1787" s="10" t="str">
        <f>_xlfn.IFNA(
    IF(J1787=
        "PCB-0001",
        "CSS",
        IF(
            ISNUMBER(MATCH(_xlfn.TEXTBEFORE(J1787,"-"), {"CSS","CSN","PCB","PCF","BEC","CSD","PCM"}, 0)),
            _xlfn.TEXTBEFORE(J1787,"-"),
            "Other"
        )
    ),
"Add")</f>
        <v>PCB</v>
      </c>
      <c r="B1787" s="10" t="str">
        <f t="shared" si="28"/>
        <v>0088</v>
      </c>
      <c r="C1787" s="10" t="str">
        <f>_xlfn.LET(
    _xlpm.val, IF(Datadetails[[#This Row],[Activity]]="D02","C20",Datadetails[[#This Row],[Activity]]),
    IF(ISNUMBER(MATCH(_xlpm.val,{"D04","C30","c40","C20"},0)), _xlpm.val, "Other")
)</f>
        <v>C30</v>
      </c>
      <c r="D1787" s="10" t="str">
        <f>IFERROR(VLOOKUP(Datadetails[[#This Row],[Taskcode]],Dashboard!A:A,1,FALSE),"00 Err Missing")</f>
        <v>0088</v>
      </c>
      <c r="E1787" s="79">
        <v>45882</v>
      </c>
      <c r="F1787" s="80" t="s">
        <v>330</v>
      </c>
      <c r="G1787" s="60" t="s">
        <v>40</v>
      </c>
      <c r="H1787" s="80" t="s">
        <v>255</v>
      </c>
      <c r="I1787" s="80" t="s">
        <v>34</v>
      </c>
      <c r="J1787" s="80" t="s">
        <v>462</v>
      </c>
      <c r="K1787" s="80" t="s">
        <v>347</v>
      </c>
      <c r="L1787" s="80" t="s">
        <v>343</v>
      </c>
      <c r="M1787" s="81">
        <v>0.5</v>
      </c>
      <c r="N1787" s="82">
        <v>30</v>
      </c>
    </row>
    <row r="1788" spans="1:14" x14ac:dyDescent="0.25">
      <c r="A1788" s="10" t="str">
        <f>_xlfn.IFNA(
    IF(J1788=
        "PCB-0001",
        "CSS",
        IF(
            ISNUMBER(MATCH(_xlfn.TEXTBEFORE(J1788,"-"), {"CSS","CSN","PCB","PCF","BEC","CSD","PCM"}, 0)),
            _xlfn.TEXTBEFORE(J1788,"-"),
            "Other"
        )
    ),
"Add")</f>
        <v>PCB</v>
      </c>
      <c r="B1788" s="10" t="str">
        <f t="shared" si="28"/>
        <v>0082</v>
      </c>
      <c r="C1788" s="10" t="str">
        <f>_xlfn.LET(
    _xlpm.val, IF(Datadetails[[#This Row],[Activity]]="D02","C20",Datadetails[[#This Row],[Activity]]),
    IF(ISNUMBER(MATCH(_xlpm.val,{"D04","C30","c40","C20"},0)), _xlpm.val, "Other")
)</f>
        <v>C30</v>
      </c>
      <c r="D1788" s="10" t="str">
        <f>IFERROR(VLOOKUP(Datadetails[[#This Row],[Taskcode]],Dashboard!A:A,1,FALSE),"00 Err Missing")</f>
        <v>0082</v>
      </c>
      <c r="E1788" s="79">
        <v>45882</v>
      </c>
      <c r="F1788" s="80" t="s">
        <v>325</v>
      </c>
      <c r="G1788" s="60" t="s">
        <v>40</v>
      </c>
      <c r="H1788" s="80" t="s">
        <v>249</v>
      </c>
      <c r="I1788" s="80" t="s">
        <v>34</v>
      </c>
      <c r="J1788" s="80" t="s">
        <v>409</v>
      </c>
      <c r="K1788" s="80" t="s">
        <v>347</v>
      </c>
      <c r="L1788" s="80" t="s">
        <v>343</v>
      </c>
      <c r="M1788" s="81">
        <v>0.17</v>
      </c>
      <c r="N1788" s="82">
        <v>12.750000000000002</v>
      </c>
    </row>
    <row r="1789" spans="1:14" x14ac:dyDescent="0.25">
      <c r="A1789" s="10" t="str">
        <f>_xlfn.IFNA(
    IF(J1789=
        "PCB-0001",
        "CSS",
        IF(
            ISNUMBER(MATCH(_xlfn.TEXTBEFORE(J1789,"-"), {"CSS","CSN","PCB","PCF","BEC","CSD","PCM"}, 0)),
            _xlfn.TEXTBEFORE(J1789,"-"),
            "Other"
        )
    ),
"Add")</f>
        <v>PCB</v>
      </c>
      <c r="B1789" s="10" t="str">
        <f t="shared" si="28"/>
        <v>0111</v>
      </c>
      <c r="C1789" s="10" t="str">
        <f>_xlfn.LET(
    _xlpm.val, IF(Datadetails[[#This Row],[Activity]]="D02","C20",Datadetails[[#This Row],[Activity]]),
    IF(ISNUMBER(MATCH(_xlpm.val,{"D04","C30","c40","C20"},0)), _xlpm.val, "Other")
)</f>
        <v>C30</v>
      </c>
      <c r="D1789" s="10" t="str">
        <f>IFERROR(VLOOKUP(Datadetails[[#This Row],[Taskcode]],Dashboard!A:A,1,FALSE),"00 Err Missing")</f>
        <v>0111</v>
      </c>
      <c r="E1789" s="79">
        <v>45882</v>
      </c>
      <c r="F1789" s="80" t="s">
        <v>325</v>
      </c>
      <c r="G1789" s="60" t="s">
        <v>40</v>
      </c>
      <c r="H1789" s="80" t="s">
        <v>278</v>
      </c>
      <c r="I1789" s="80" t="s">
        <v>34</v>
      </c>
      <c r="J1789" s="80" t="s">
        <v>452</v>
      </c>
      <c r="K1789" s="80" t="s">
        <v>347</v>
      </c>
      <c r="L1789" s="80" t="s">
        <v>343</v>
      </c>
      <c r="M1789" s="81">
        <v>0.25</v>
      </c>
      <c r="N1789" s="82">
        <v>18.75</v>
      </c>
    </row>
    <row r="1790" spans="1:14" x14ac:dyDescent="0.25">
      <c r="A1790" s="10" t="str">
        <f>_xlfn.IFNA(
    IF(J1790=
        "PCB-0001",
        "CSS",
        IF(
            ISNUMBER(MATCH(_xlfn.TEXTBEFORE(J1790,"-"), {"CSS","CSN","PCB","PCF","BEC","CSD","PCM"}, 0)),
            _xlfn.TEXTBEFORE(J1790,"-"),
            "Other"
        )
    ),
"Add")</f>
        <v>PCB</v>
      </c>
      <c r="B1790" s="10" t="str">
        <f t="shared" si="28"/>
        <v>0110</v>
      </c>
      <c r="C1790" s="10" t="str">
        <f>_xlfn.LET(
    _xlpm.val, IF(Datadetails[[#This Row],[Activity]]="D02","C20",Datadetails[[#This Row],[Activity]]),
    IF(ISNUMBER(MATCH(_xlpm.val,{"D04","C30","c40","C20"},0)), _xlpm.val, "Other")
)</f>
        <v>C30</v>
      </c>
      <c r="D1790" s="10" t="str">
        <f>IFERROR(VLOOKUP(Datadetails[[#This Row],[Taskcode]],Dashboard!A:A,1,FALSE),"00 Err Missing")</f>
        <v>0110</v>
      </c>
      <c r="E1790" s="79">
        <v>45882</v>
      </c>
      <c r="F1790" s="80" t="s">
        <v>325</v>
      </c>
      <c r="G1790" s="60" t="s">
        <v>40</v>
      </c>
      <c r="H1790" s="80" t="s">
        <v>277</v>
      </c>
      <c r="I1790" s="80" t="s">
        <v>34</v>
      </c>
      <c r="J1790" s="80" t="s">
        <v>353</v>
      </c>
      <c r="K1790" s="80" t="s">
        <v>347</v>
      </c>
      <c r="L1790" s="80" t="s">
        <v>343</v>
      </c>
      <c r="M1790" s="81">
        <v>0.17</v>
      </c>
      <c r="N1790" s="82">
        <v>12.750000000000002</v>
      </c>
    </row>
    <row r="1791" spans="1:14" x14ac:dyDescent="0.25">
      <c r="A1791" s="10" t="str">
        <f>_xlfn.IFNA(
    IF(J1791=
        "PCB-0001",
        "CSS",
        IF(
            ISNUMBER(MATCH(_xlfn.TEXTBEFORE(J1791,"-"), {"CSS","CSN","PCB","PCF","BEC","CSD","PCM"}, 0)),
            _xlfn.TEXTBEFORE(J1791,"-"),
            "Other"
        )
    ),
"Add")</f>
        <v>PCF</v>
      </c>
      <c r="B1791" s="10" t="str">
        <f t="shared" si="28"/>
        <v>0021</v>
      </c>
      <c r="C1791" s="10" t="str">
        <f>_xlfn.LET(
    _xlpm.val, IF(Datadetails[[#This Row],[Activity]]="D02","C20",Datadetails[[#This Row],[Activity]]),
    IF(ISNUMBER(MATCH(_xlpm.val,{"D04","C30","c40","C20"},0)), _xlpm.val, "Other")
)</f>
        <v>C20</v>
      </c>
      <c r="D1791" s="10" t="str">
        <f>IFERROR(VLOOKUP(Datadetails[[#This Row],[Taskcode]],Dashboard!A:A,1,FALSE),"00 Err Missing")</f>
        <v>0021</v>
      </c>
      <c r="E1791" s="79">
        <v>45882</v>
      </c>
      <c r="F1791" s="80" t="s">
        <v>326</v>
      </c>
      <c r="G1791" s="60" t="s">
        <v>40</v>
      </c>
      <c r="H1791" s="80" t="s">
        <v>188</v>
      </c>
      <c r="I1791" s="80" t="s">
        <v>36</v>
      </c>
      <c r="J1791" s="80" t="s">
        <v>356</v>
      </c>
      <c r="K1791" s="80" t="s">
        <v>348</v>
      </c>
      <c r="L1791" s="80" t="s">
        <v>342</v>
      </c>
      <c r="M1791" s="81">
        <v>1.17</v>
      </c>
      <c r="N1791" s="82">
        <v>70.199999999999989</v>
      </c>
    </row>
    <row r="1792" spans="1:14" x14ac:dyDescent="0.25">
      <c r="A1792" s="10" t="str">
        <f>_xlfn.IFNA(
    IF(J1792=
        "PCB-0001",
        "CSS",
        IF(
            ISNUMBER(MATCH(_xlfn.TEXTBEFORE(J1792,"-"), {"CSS","CSN","PCB","PCF","BEC","CSD","PCM"}, 0)),
            _xlfn.TEXTBEFORE(J1792,"-"),
            "Other"
        )
    ),
"Add")</f>
        <v>PCF</v>
      </c>
      <c r="B1792" s="10" t="str">
        <f t="shared" si="28"/>
        <v>0060</v>
      </c>
      <c r="C1792" s="10" t="str">
        <f>_xlfn.LET(
    _xlpm.val, IF(Datadetails[[#This Row],[Activity]]="D02","C20",Datadetails[[#This Row],[Activity]]),
    IF(ISNUMBER(MATCH(_xlpm.val,{"D04","C30","c40","C20"},0)), _xlpm.val, "Other")
)</f>
        <v>C30</v>
      </c>
      <c r="D1792" s="10" t="str">
        <f>IFERROR(VLOOKUP(Datadetails[[#This Row],[Taskcode]],Dashboard!A:A,1,FALSE),"00 Err Missing")</f>
        <v>0060</v>
      </c>
      <c r="E1792" s="79">
        <v>45882</v>
      </c>
      <c r="F1792" s="80" t="s">
        <v>326</v>
      </c>
      <c r="G1792" s="60" t="s">
        <v>40</v>
      </c>
      <c r="H1792" s="80" t="s">
        <v>227</v>
      </c>
      <c r="I1792" s="80" t="s">
        <v>34</v>
      </c>
      <c r="J1792" s="80" t="s">
        <v>453</v>
      </c>
      <c r="K1792" s="80" t="s">
        <v>348</v>
      </c>
      <c r="L1792" s="80" t="s">
        <v>343</v>
      </c>
      <c r="M1792" s="81">
        <v>0.75</v>
      </c>
      <c r="N1792" s="82">
        <v>45</v>
      </c>
    </row>
    <row r="1793" spans="1:14" x14ac:dyDescent="0.25">
      <c r="A1793" s="10" t="str">
        <f>_xlfn.IFNA(
    IF(J1793=
        "PCB-0001",
        "CSS",
        IF(
            ISNUMBER(MATCH(_xlfn.TEXTBEFORE(J1793,"-"), {"CSS","CSN","PCB","PCF","BEC","CSD","PCM"}, 0)),
            _xlfn.TEXTBEFORE(J1793,"-"),
            "Other"
        )
    ),
"Add")</f>
        <v>PCF</v>
      </c>
      <c r="B1793" s="10" t="str">
        <f t="shared" si="28"/>
        <v>0098</v>
      </c>
      <c r="C1793" s="10" t="str">
        <f>_xlfn.LET(
    _xlpm.val, IF(Datadetails[[#This Row],[Activity]]="D02","C20",Datadetails[[#This Row],[Activity]]),
    IF(ISNUMBER(MATCH(_xlpm.val,{"D04","C30","c40","C20"},0)), _xlpm.val, "Other")
)</f>
        <v>C30</v>
      </c>
      <c r="D1793" s="10" t="str">
        <f>IFERROR(VLOOKUP(Datadetails[[#This Row],[Taskcode]],Dashboard!A:A,1,FALSE),"00 Err Missing")</f>
        <v>0098</v>
      </c>
      <c r="E1793" s="79">
        <v>45882</v>
      </c>
      <c r="F1793" s="80" t="s">
        <v>326</v>
      </c>
      <c r="G1793" s="60" t="s">
        <v>40</v>
      </c>
      <c r="H1793" s="80" t="s">
        <v>265</v>
      </c>
      <c r="I1793" s="80" t="s">
        <v>34</v>
      </c>
      <c r="J1793" s="80" t="s">
        <v>358</v>
      </c>
      <c r="K1793" s="80" t="s">
        <v>348</v>
      </c>
      <c r="L1793" s="80" t="s">
        <v>343</v>
      </c>
      <c r="M1793" s="81">
        <v>0.5</v>
      </c>
      <c r="N1793" s="82">
        <v>30</v>
      </c>
    </row>
    <row r="1794" spans="1:14" x14ac:dyDescent="0.25">
      <c r="A1794" s="10" t="str">
        <f>_xlfn.IFNA(
    IF(J1794=
        "PCB-0001",
        "CSS",
        IF(
            ISNUMBER(MATCH(_xlfn.TEXTBEFORE(J1794,"-"), {"CSS","CSN","PCB","PCF","BEC","CSD","PCM"}, 0)),
            _xlfn.TEXTBEFORE(J1794,"-"),
            "Other"
        )
    ),
"Add")</f>
        <v>BEC</v>
      </c>
      <c r="B1794" s="10" t="str">
        <f t="shared" si="28"/>
        <v>0001</v>
      </c>
      <c r="C1794" s="10" t="str">
        <f>_xlfn.LET(
    _xlpm.val, IF(Datadetails[[#This Row],[Activity]]="D02","C20",Datadetails[[#This Row],[Activity]]),
    IF(ISNUMBER(MATCH(_xlpm.val,{"D04","C30","c40","C20"},0)), _xlpm.val, "Other")
)</f>
        <v>D04</v>
      </c>
      <c r="D1794" s="10" t="str">
        <f>IFERROR(VLOOKUP(Datadetails[[#This Row],[Taskcode]],Dashboard!A:A,1,FALSE),"00 Err Missing")</f>
        <v>0001</v>
      </c>
      <c r="E1794" s="79">
        <v>45882</v>
      </c>
      <c r="F1794" s="80" t="s">
        <v>332</v>
      </c>
      <c r="G1794" s="60" t="s">
        <v>40</v>
      </c>
      <c r="H1794" s="80" t="s">
        <v>314</v>
      </c>
      <c r="I1794" s="80" t="s">
        <v>35</v>
      </c>
      <c r="J1794" s="80" t="s">
        <v>359</v>
      </c>
      <c r="K1794" s="80" t="s">
        <v>339</v>
      </c>
      <c r="L1794" s="80" t="s">
        <v>352</v>
      </c>
      <c r="M1794" s="81">
        <v>1.83</v>
      </c>
      <c r="N1794" s="82">
        <v>73.2</v>
      </c>
    </row>
    <row r="1795" spans="1:14" x14ac:dyDescent="0.25">
      <c r="A1795" s="10" t="str">
        <f>_xlfn.IFNA(
    IF(J1795=
        "PCB-0001",
        "CSS",
        IF(
            ISNUMBER(MATCH(_xlfn.TEXTBEFORE(J1795,"-"), {"CSS","CSN","PCB","PCF","BEC","CSD","PCM"}, 0)),
            _xlfn.TEXTBEFORE(J1795,"-"),
            "Other"
        )
    ),
"Add")</f>
        <v>CSD</v>
      </c>
      <c r="B1795" s="10" t="str">
        <f t="shared" si="28"/>
        <v>0001</v>
      </c>
      <c r="C1795" s="10" t="str">
        <f>_xlfn.LET(
    _xlpm.val, IF(Datadetails[[#This Row],[Activity]]="D02","C20",Datadetails[[#This Row],[Activity]]),
    IF(ISNUMBER(MATCH(_xlpm.val,{"D04","C30","c40","C20"},0)), _xlpm.val, "Other")
)</f>
        <v>D04</v>
      </c>
      <c r="D1795" s="10" t="str">
        <f>IFERROR(VLOOKUP(Datadetails[[#This Row],[Taskcode]],Dashboard!A:A,1,FALSE),"00 Err Missing")</f>
        <v>0001</v>
      </c>
      <c r="E1795" s="79">
        <v>45883</v>
      </c>
      <c r="F1795" s="80" t="s">
        <v>333</v>
      </c>
      <c r="G1795" s="60" t="s">
        <v>40</v>
      </c>
      <c r="H1795" s="80" t="s">
        <v>320</v>
      </c>
      <c r="I1795" s="80" t="s">
        <v>35</v>
      </c>
      <c r="J1795" s="80" t="s">
        <v>322</v>
      </c>
      <c r="K1795" s="80" t="s">
        <v>319</v>
      </c>
      <c r="L1795" s="80" t="s">
        <v>352</v>
      </c>
      <c r="M1795" s="81">
        <v>7.6</v>
      </c>
      <c r="N1795" s="82">
        <v>243.2</v>
      </c>
    </row>
    <row r="1796" spans="1:14" x14ac:dyDescent="0.25">
      <c r="A1796" s="10" t="str">
        <f>_xlfn.IFNA(
    IF(J1796=
        "PCB-0001",
        "CSS",
        IF(
            ISNUMBER(MATCH(_xlfn.TEXTBEFORE(J1796,"-"), {"CSS","CSN","PCB","PCF","BEC","CSD","PCM"}, 0)),
            _xlfn.TEXTBEFORE(J1796,"-"),
            "Other"
        )
    ),
"Add")</f>
        <v>CSD</v>
      </c>
      <c r="B1796" s="10" t="str">
        <f t="shared" ref="B1796:B1859" si="29">_xlfn.IFNA(_xlfn.TEXTAFTER(J1796,"-"),"Data to C2")</f>
        <v>0001</v>
      </c>
      <c r="C1796" s="10" t="str">
        <f>_xlfn.LET(
    _xlpm.val, IF(Datadetails[[#This Row],[Activity]]="D02","C20",Datadetails[[#This Row],[Activity]]),
    IF(ISNUMBER(MATCH(_xlpm.val,{"D04","C30","c40","C20"},0)), _xlpm.val, "Other")
)</f>
        <v>D04</v>
      </c>
      <c r="D1796" s="10" t="str">
        <f>IFERROR(VLOOKUP(Datadetails[[#This Row],[Taskcode]],Dashboard!A:A,1,FALSE),"00 Err Missing")</f>
        <v>0001</v>
      </c>
      <c r="E1796" s="79">
        <v>45883</v>
      </c>
      <c r="F1796" s="80" t="s">
        <v>327</v>
      </c>
      <c r="G1796" s="60" t="s">
        <v>40</v>
      </c>
      <c r="H1796" s="80" t="s">
        <v>320</v>
      </c>
      <c r="I1796" s="80" t="s">
        <v>35</v>
      </c>
      <c r="J1796" s="80" t="s">
        <v>322</v>
      </c>
      <c r="K1796" s="80" t="s">
        <v>319</v>
      </c>
      <c r="L1796" s="80" t="s">
        <v>352</v>
      </c>
      <c r="M1796" s="81">
        <v>7.5</v>
      </c>
      <c r="N1796" s="82">
        <v>240</v>
      </c>
    </row>
    <row r="1797" spans="1:14" x14ac:dyDescent="0.25">
      <c r="A1797" s="10" t="str">
        <f>_xlfn.IFNA(
    IF(J1797=
        "PCB-0001",
        "CSS",
        IF(
            ISNUMBER(MATCH(_xlfn.TEXTBEFORE(J1797,"-"), {"CSS","CSN","PCB","PCF","BEC","CSD","PCM"}, 0)),
            _xlfn.TEXTBEFORE(J1797,"-"),
            "Other"
        )
    ),
"Add")</f>
        <v>PCB</v>
      </c>
      <c r="B1797" s="10" t="str">
        <f t="shared" si="29"/>
        <v>0088</v>
      </c>
      <c r="C1797" s="10" t="str">
        <f>_xlfn.LET(
    _xlpm.val, IF(Datadetails[[#This Row],[Activity]]="D02","C20",Datadetails[[#This Row],[Activity]]),
    IF(ISNUMBER(MATCH(_xlpm.val,{"D04","C30","c40","C20"},0)), _xlpm.val, "Other")
)</f>
        <v>C30</v>
      </c>
      <c r="D1797" s="10" t="str">
        <f>IFERROR(VLOOKUP(Datadetails[[#This Row],[Taskcode]],Dashboard!A:A,1,FALSE),"00 Err Missing")</f>
        <v>0088</v>
      </c>
      <c r="E1797" s="79">
        <v>45883</v>
      </c>
      <c r="F1797" s="80" t="s">
        <v>330</v>
      </c>
      <c r="G1797" s="60" t="s">
        <v>40</v>
      </c>
      <c r="H1797" s="80" t="s">
        <v>255</v>
      </c>
      <c r="I1797" s="80" t="s">
        <v>34</v>
      </c>
      <c r="J1797" s="80" t="s">
        <v>462</v>
      </c>
      <c r="K1797" s="80" t="s">
        <v>347</v>
      </c>
      <c r="L1797" s="80" t="s">
        <v>343</v>
      </c>
      <c r="M1797" s="81">
        <v>0.5</v>
      </c>
      <c r="N1797" s="82">
        <v>30</v>
      </c>
    </row>
    <row r="1798" spans="1:14" x14ac:dyDescent="0.25">
      <c r="A1798" s="10" t="str">
        <f>_xlfn.IFNA(
    IF(J1798=
        "PCB-0001",
        "CSS",
        IF(
            ISNUMBER(MATCH(_xlfn.TEXTBEFORE(J1798,"-"), {"CSS","CSN","PCB","PCF","BEC","CSD","PCM"}, 0)),
            _xlfn.TEXTBEFORE(J1798,"-"),
            "Other"
        )
    ),
"Add")</f>
        <v>BEC</v>
      </c>
      <c r="B1798" s="10" t="str">
        <f t="shared" si="29"/>
        <v>0001</v>
      </c>
      <c r="C1798" s="10" t="str">
        <f>_xlfn.LET(
    _xlpm.val, IF(Datadetails[[#This Row],[Activity]]="D02","C20",Datadetails[[#This Row],[Activity]]),
    IF(ISNUMBER(MATCH(_xlpm.val,{"D04","C30","c40","C20"},0)), _xlpm.val, "Other")
)</f>
        <v>D04</v>
      </c>
      <c r="D1798" s="10" t="str">
        <f>IFERROR(VLOOKUP(Datadetails[[#This Row],[Taskcode]],Dashboard!A:A,1,FALSE),"00 Err Missing")</f>
        <v>0001</v>
      </c>
      <c r="E1798" s="79">
        <v>45883</v>
      </c>
      <c r="F1798" s="80" t="s">
        <v>332</v>
      </c>
      <c r="G1798" s="60" t="s">
        <v>40</v>
      </c>
      <c r="H1798" s="80" t="s">
        <v>314</v>
      </c>
      <c r="I1798" s="80" t="s">
        <v>35</v>
      </c>
      <c r="J1798" s="80" t="s">
        <v>359</v>
      </c>
      <c r="K1798" s="80" t="s">
        <v>339</v>
      </c>
      <c r="L1798" s="80" t="s">
        <v>352</v>
      </c>
      <c r="M1798" s="81">
        <v>7.5</v>
      </c>
      <c r="N1798" s="82">
        <v>300</v>
      </c>
    </row>
    <row r="1799" spans="1:14" x14ac:dyDescent="0.25">
      <c r="A1799" s="10" t="str">
        <f>_xlfn.IFNA(
    IF(J1799=
        "PCB-0001",
        "CSS",
        IF(
            ISNUMBER(MATCH(_xlfn.TEXTBEFORE(J1799,"-"), {"CSS","CSN","PCB","PCF","BEC","CSD","PCM"}, 0)),
            _xlfn.TEXTBEFORE(J1799,"-"),
            "Other"
        )
    ),
"Add")</f>
        <v>BEC</v>
      </c>
      <c r="B1799" s="10" t="str">
        <f t="shared" si="29"/>
        <v>0001</v>
      </c>
      <c r="C1799" s="10" t="str">
        <f>_xlfn.LET(
    _xlpm.val, IF(Datadetails[[#This Row],[Activity]]="D02","C20",Datadetails[[#This Row],[Activity]]),
    IF(ISNUMBER(MATCH(_xlpm.val,{"D04","C30","c40","C20"},0)), _xlpm.val, "Other")
)</f>
        <v>D04</v>
      </c>
      <c r="D1799" s="10" t="str">
        <f>IFERROR(VLOOKUP(Datadetails[[#This Row],[Taskcode]],Dashboard!A:A,1,FALSE),"00 Err Missing")</f>
        <v>0001</v>
      </c>
      <c r="E1799" s="79">
        <v>45883</v>
      </c>
      <c r="F1799" s="80" t="s">
        <v>324</v>
      </c>
      <c r="G1799" s="60" t="s">
        <v>40</v>
      </c>
      <c r="H1799" s="80" t="s">
        <v>314</v>
      </c>
      <c r="I1799" s="80" t="s">
        <v>35</v>
      </c>
      <c r="J1799" s="80" t="s">
        <v>359</v>
      </c>
      <c r="K1799" s="80" t="s">
        <v>339</v>
      </c>
      <c r="L1799" s="80" t="s">
        <v>352</v>
      </c>
      <c r="M1799" s="81">
        <v>4</v>
      </c>
      <c r="N1799" s="82">
        <v>300</v>
      </c>
    </row>
    <row r="1800" spans="1:14" x14ac:dyDescent="0.25">
      <c r="A1800" s="10" t="str">
        <f>_xlfn.IFNA(
    IF(J1800=
        "PCB-0001",
        "CSS",
        IF(
            ISNUMBER(MATCH(_xlfn.TEXTBEFORE(J1800,"-"), {"CSS","CSN","PCB","PCF","BEC","CSD","PCM"}, 0)),
            _xlfn.TEXTBEFORE(J1800,"-"),
            "Other"
        )
    ),
"Add")</f>
        <v>CSD</v>
      </c>
      <c r="B1800" s="10" t="str">
        <f t="shared" si="29"/>
        <v>0001</v>
      </c>
      <c r="C1800" s="10" t="str">
        <f>_xlfn.LET(
    _xlpm.val, IF(Datadetails[[#This Row],[Activity]]="D02","C20",Datadetails[[#This Row],[Activity]]),
    IF(ISNUMBER(MATCH(_xlpm.val,{"D04","C30","c40","C20"},0)), _xlpm.val, "Other")
)</f>
        <v>D04</v>
      </c>
      <c r="D1800" s="10" t="str">
        <f>IFERROR(VLOOKUP(Datadetails[[#This Row],[Taskcode]],Dashboard!A:A,1,FALSE),"00 Err Missing")</f>
        <v>0001</v>
      </c>
      <c r="E1800" s="79">
        <v>45884</v>
      </c>
      <c r="F1800" s="80" t="s">
        <v>333</v>
      </c>
      <c r="G1800" s="60" t="s">
        <v>40</v>
      </c>
      <c r="H1800" s="80" t="s">
        <v>320</v>
      </c>
      <c r="I1800" s="80" t="s">
        <v>35</v>
      </c>
      <c r="J1800" s="80" t="s">
        <v>322</v>
      </c>
      <c r="K1800" s="80" t="s">
        <v>319</v>
      </c>
      <c r="L1800" s="80" t="s">
        <v>352</v>
      </c>
      <c r="M1800" s="81">
        <v>6.78</v>
      </c>
      <c r="N1800" s="82">
        <v>216.96</v>
      </c>
    </row>
    <row r="1801" spans="1:14" x14ac:dyDescent="0.25">
      <c r="A1801" s="10" t="str">
        <f>_xlfn.IFNA(
    IF(J1801=
        "PCB-0001",
        "CSS",
        IF(
            ISNUMBER(MATCH(_xlfn.TEXTBEFORE(J1801,"-"), {"CSS","CSN","PCB","PCF","BEC","CSD","PCM"}, 0)),
            _xlfn.TEXTBEFORE(J1801,"-"),
            "Other"
        )
    ),
"Add")</f>
        <v>CSD</v>
      </c>
      <c r="B1801" s="10" t="str">
        <f t="shared" si="29"/>
        <v>0001</v>
      </c>
      <c r="C1801" s="10" t="str">
        <f>_xlfn.LET(
    _xlpm.val, IF(Datadetails[[#This Row],[Activity]]="D02","C20",Datadetails[[#This Row],[Activity]]),
    IF(ISNUMBER(MATCH(_xlpm.val,{"D04","C30","c40","C20"},0)), _xlpm.val, "Other")
)</f>
        <v>D04</v>
      </c>
      <c r="D1801" s="10" t="str">
        <f>IFERROR(VLOOKUP(Datadetails[[#This Row],[Taskcode]],Dashboard!A:A,1,FALSE),"00 Err Missing")</f>
        <v>0001</v>
      </c>
      <c r="E1801" s="79">
        <v>45884</v>
      </c>
      <c r="F1801" s="80" t="s">
        <v>327</v>
      </c>
      <c r="G1801" s="60" t="s">
        <v>40</v>
      </c>
      <c r="H1801" s="80" t="s">
        <v>320</v>
      </c>
      <c r="I1801" s="80" t="s">
        <v>35</v>
      </c>
      <c r="J1801" s="80" t="s">
        <v>322</v>
      </c>
      <c r="K1801" s="80" t="s">
        <v>319</v>
      </c>
      <c r="L1801" s="80" t="s">
        <v>352</v>
      </c>
      <c r="M1801" s="81">
        <v>7.17</v>
      </c>
      <c r="N1801" s="82">
        <v>229.44</v>
      </c>
    </row>
    <row r="1802" spans="1:14" x14ac:dyDescent="0.25">
      <c r="A1802" s="10" t="str">
        <f>_xlfn.IFNA(
    IF(J1802=
        "PCB-0001",
        "CSS",
        IF(
            ISNUMBER(MATCH(_xlfn.TEXTBEFORE(J1802,"-"), {"CSS","CSN","PCB","PCF","BEC","CSD","PCM"}, 0)),
            _xlfn.TEXTBEFORE(J1802,"-"),
            "Other"
        )
    ),
"Add")</f>
        <v>PCB</v>
      </c>
      <c r="B1802" s="10" t="str">
        <f t="shared" si="29"/>
        <v>0106</v>
      </c>
      <c r="C1802" s="10" t="str">
        <f>_xlfn.LET(
    _xlpm.val, IF(Datadetails[[#This Row],[Activity]]="D02","C20",Datadetails[[#This Row],[Activity]]),
    IF(ISNUMBER(MATCH(_xlpm.val,{"D04","C30","c40","C20"},0)), _xlpm.val, "Other")
)</f>
        <v>C30</v>
      </c>
      <c r="D1802" s="10" t="str">
        <f>IFERROR(VLOOKUP(Datadetails[[#This Row],[Taskcode]],Dashboard!A:A,1,FALSE),"00 Err Missing")</f>
        <v>0106</v>
      </c>
      <c r="E1802" s="79">
        <v>45884</v>
      </c>
      <c r="F1802" s="80" t="s">
        <v>330</v>
      </c>
      <c r="G1802" s="60" t="s">
        <v>40</v>
      </c>
      <c r="H1802" s="80" t="s">
        <v>273</v>
      </c>
      <c r="I1802" s="80" t="s">
        <v>34</v>
      </c>
      <c r="J1802" s="80" t="s">
        <v>469</v>
      </c>
      <c r="K1802" s="80" t="s">
        <v>347</v>
      </c>
      <c r="L1802" s="80" t="s">
        <v>343</v>
      </c>
      <c r="M1802" s="81">
        <v>2</v>
      </c>
      <c r="N1802" s="82">
        <v>120</v>
      </c>
    </row>
    <row r="1803" spans="1:14" x14ac:dyDescent="0.25">
      <c r="A1803" s="10" t="str">
        <f>_xlfn.IFNA(
    IF(J1803=
        "PCB-0001",
        "CSS",
        IF(
            ISNUMBER(MATCH(_xlfn.TEXTBEFORE(J1803,"-"), {"CSS","CSN","PCB","PCF","BEC","CSD","PCM"}, 0)),
            _xlfn.TEXTBEFORE(J1803,"-"),
            "Other"
        )
    ),
"Add")</f>
        <v>PCF</v>
      </c>
      <c r="B1803" s="10" t="str">
        <f t="shared" si="29"/>
        <v>0060</v>
      </c>
      <c r="C1803" s="10" t="str">
        <f>_xlfn.LET(
    _xlpm.val, IF(Datadetails[[#This Row],[Activity]]="D02","C20",Datadetails[[#This Row],[Activity]]),
    IF(ISNUMBER(MATCH(_xlpm.val,{"D04","C30","c40","C20"},0)), _xlpm.val, "Other")
)</f>
        <v>C20</v>
      </c>
      <c r="D1803" s="10" t="str">
        <f>IFERROR(VLOOKUP(Datadetails[[#This Row],[Taskcode]],Dashboard!A:A,1,FALSE),"00 Err Missing")</f>
        <v>0060</v>
      </c>
      <c r="E1803" s="79">
        <v>45884</v>
      </c>
      <c r="F1803" s="80" t="s">
        <v>326</v>
      </c>
      <c r="G1803" s="60" t="s">
        <v>40</v>
      </c>
      <c r="H1803" s="80" t="s">
        <v>227</v>
      </c>
      <c r="I1803" s="80" t="s">
        <v>36</v>
      </c>
      <c r="J1803" s="80" t="s">
        <v>453</v>
      </c>
      <c r="K1803" s="80" t="s">
        <v>348</v>
      </c>
      <c r="L1803" s="80" t="s">
        <v>342</v>
      </c>
      <c r="M1803" s="81">
        <v>1.17</v>
      </c>
      <c r="N1803" s="82">
        <v>70.199999999999989</v>
      </c>
    </row>
    <row r="1804" spans="1:14" x14ac:dyDescent="0.25">
      <c r="A1804" s="10" t="str">
        <f>_xlfn.IFNA(
    IF(J1804=
        "PCB-0001",
        "CSS",
        IF(
            ISNUMBER(MATCH(_xlfn.TEXTBEFORE(J1804,"-"), {"CSS","CSN","PCB","PCF","BEC","CSD","PCM"}, 0)),
            _xlfn.TEXTBEFORE(J1804,"-"),
            "Other"
        )
    ),
"Add")</f>
        <v>PCF</v>
      </c>
      <c r="B1804" s="10" t="str">
        <f t="shared" si="29"/>
        <v>0008</v>
      </c>
      <c r="C1804" s="10" t="str">
        <f>_xlfn.LET(
    _xlpm.val, IF(Datadetails[[#This Row],[Activity]]="D02","C20",Datadetails[[#This Row],[Activity]]),
    IF(ISNUMBER(MATCH(_xlpm.val,{"D04","C30","c40","C20"},0)), _xlpm.val, "Other")
)</f>
        <v>C40</v>
      </c>
      <c r="D1804" s="10" t="str">
        <f>IFERROR(VLOOKUP(Datadetails[[#This Row],[Taskcode]],Dashboard!A:A,1,FALSE),"00 Err Missing")</f>
        <v>0008</v>
      </c>
      <c r="E1804" s="79">
        <v>45884</v>
      </c>
      <c r="F1804" s="80" t="s">
        <v>326</v>
      </c>
      <c r="G1804" s="60" t="s">
        <v>40</v>
      </c>
      <c r="H1804" s="80" t="s">
        <v>175</v>
      </c>
      <c r="I1804" s="80" t="s">
        <v>341</v>
      </c>
      <c r="J1804" s="80" t="s">
        <v>388</v>
      </c>
      <c r="K1804" s="80" t="s">
        <v>348</v>
      </c>
      <c r="L1804" s="80" t="s">
        <v>344</v>
      </c>
      <c r="M1804" s="81">
        <v>1</v>
      </c>
      <c r="N1804" s="82">
        <v>60</v>
      </c>
    </row>
    <row r="1805" spans="1:14" x14ac:dyDescent="0.25">
      <c r="A1805" s="10" t="str">
        <f>_xlfn.IFNA(
    IF(J1805=
        "PCB-0001",
        "CSS",
        IF(
            ISNUMBER(MATCH(_xlfn.TEXTBEFORE(J1805,"-"), {"CSS","CSN","PCB","PCF","BEC","CSD","PCM"}, 0)),
            _xlfn.TEXTBEFORE(J1805,"-"),
            "Other"
        )
    ),
"Add")</f>
        <v>BEC</v>
      </c>
      <c r="B1805" s="10" t="str">
        <f t="shared" si="29"/>
        <v>0001</v>
      </c>
      <c r="C1805" s="10" t="str">
        <f>_xlfn.LET(
    _xlpm.val, IF(Datadetails[[#This Row],[Activity]]="D02","C20",Datadetails[[#This Row],[Activity]]),
    IF(ISNUMBER(MATCH(_xlpm.val,{"D04","C30","c40","C20"},0)), _xlpm.val, "Other")
)</f>
        <v>D04</v>
      </c>
      <c r="D1805" s="10" t="str">
        <f>IFERROR(VLOOKUP(Datadetails[[#This Row],[Taskcode]],Dashboard!A:A,1,FALSE),"00 Err Missing")</f>
        <v>0001</v>
      </c>
      <c r="E1805" s="79">
        <v>45884</v>
      </c>
      <c r="F1805" s="80" t="s">
        <v>332</v>
      </c>
      <c r="G1805" s="60" t="s">
        <v>40</v>
      </c>
      <c r="H1805" s="80" t="s">
        <v>314</v>
      </c>
      <c r="I1805" s="80" t="s">
        <v>35</v>
      </c>
      <c r="J1805" s="80" t="s">
        <v>359</v>
      </c>
      <c r="K1805" s="80" t="s">
        <v>339</v>
      </c>
      <c r="L1805" s="80" t="s">
        <v>352</v>
      </c>
      <c r="M1805" s="81">
        <v>7.5</v>
      </c>
      <c r="N1805" s="82">
        <v>300</v>
      </c>
    </row>
    <row r="1806" spans="1:14" x14ac:dyDescent="0.25">
      <c r="A1806" s="10" t="str">
        <f>_xlfn.IFNA(
    IF(J1806=
        "PCB-0001",
        "CSS",
        IF(
            ISNUMBER(MATCH(_xlfn.TEXTBEFORE(J1806,"-"), {"CSS","CSN","PCB","PCF","BEC","CSD","PCM"}, 0)),
            _xlfn.TEXTBEFORE(J1806,"-"),
            "Other"
        )
    ),
"Add")</f>
        <v>BEC</v>
      </c>
      <c r="B1806" s="10" t="str">
        <f t="shared" si="29"/>
        <v>0001</v>
      </c>
      <c r="C1806" s="10" t="str">
        <f>_xlfn.LET(
    _xlpm.val, IF(Datadetails[[#This Row],[Activity]]="D02","C20",Datadetails[[#This Row],[Activity]]),
    IF(ISNUMBER(MATCH(_xlpm.val,{"D04","C30","c40","C20"},0)), _xlpm.val, "Other")
)</f>
        <v>D04</v>
      </c>
      <c r="D1806" s="10" t="str">
        <f>IFERROR(VLOOKUP(Datadetails[[#This Row],[Taskcode]],Dashboard!A:A,1,FALSE),"00 Err Missing")</f>
        <v>0001</v>
      </c>
      <c r="E1806" s="79">
        <v>45884</v>
      </c>
      <c r="F1806" s="80" t="s">
        <v>324</v>
      </c>
      <c r="G1806" s="60" t="s">
        <v>40</v>
      </c>
      <c r="H1806" s="80" t="s">
        <v>314</v>
      </c>
      <c r="I1806" s="80" t="s">
        <v>35</v>
      </c>
      <c r="J1806" s="80" t="s">
        <v>359</v>
      </c>
      <c r="K1806" s="80" t="s">
        <v>339</v>
      </c>
      <c r="L1806" s="80" t="s">
        <v>352</v>
      </c>
      <c r="M1806" s="81">
        <v>4.67</v>
      </c>
      <c r="N1806" s="82">
        <v>350.25</v>
      </c>
    </row>
    <row r="1807" spans="1:14" x14ac:dyDescent="0.25">
      <c r="A1807" s="10" t="str">
        <f>_xlfn.IFNA(
    IF(J1807=
        "PCB-0001",
        "CSS",
        IF(
            ISNUMBER(MATCH(_xlfn.TEXTBEFORE(J1807,"-"), {"CSS","CSN","PCB","PCF","BEC","CSD","PCM"}, 0)),
            _xlfn.TEXTBEFORE(J1807,"-"),
            "Other"
        )
    ),
"Add")</f>
        <v>BEC</v>
      </c>
      <c r="B1807" s="10" t="str">
        <f t="shared" si="29"/>
        <v>0001</v>
      </c>
      <c r="C1807" s="10" t="str">
        <f>_xlfn.LET(
    _xlpm.val, IF(Datadetails[[#This Row],[Activity]]="D02","C20",Datadetails[[#This Row],[Activity]]),
    IF(ISNUMBER(MATCH(_xlpm.val,{"D04","C30","c40","C20"},0)), _xlpm.val, "Other")
)</f>
        <v>D04</v>
      </c>
      <c r="D1807" s="10" t="str">
        <f>IFERROR(VLOOKUP(Datadetails[[#This Row],[Taskcode]],Dashboard!A:A,1,FALSE),"00 Err Missing")</f>
        <v>0001</v>
      </c>
      <c r="E1807" s="79">
        <v>45885</v>
      </c>
      <c r="F1807" s="80" t="s">
        <v>332</v>
      </c>
      <c r="G1807" s="60" t="s">
        <v>40</v>
      </c>
      <c r="H1807" s="80" t="s">
        <v>314</v>
      </c>
      <c r="I1807" s="80" t="s">
        <v>35</v>
      </c>
      <c r="J1807" s="80" t="s">
        <v>359</v>
      </c>
      <c r="K1807" s="80" t="s">
        <v>339</v>
      </c>
      <c r="L1807" s="80" t="s">
        <v>352</v>
      </c>
      <c r="M1807" s="81">
        <v>4</v>
      </c>
      <c r="N1807" s="82">
        <v>160</v>
      </c>
    </row>
    <row r="1808" spans="1:14" x14ac:dyDescent="0.25">
      <c r="A1808" s="10" t="str">
        <f>_xlfn.IFNA(
    IF(J1808=
        "PCB-0001",
        "CSS",
        IF(
            ISNUMBER(MATCH(_xlfn.TEXTBEFORE(J1808,"-"), {"CSS","CSN","PCB","PCF","BEC","CSD","PCM"}, 0)),
            _xlfn.TEXTBEFORE(J1808,"-"),
            "Other"
        )
    ),
"Add")</f>
        <v>CSD</v>
      </c>
      <c r="B1808" s="10" t="str">
        <f t="shared" si="29"/>
        <v>0001</v>
      </c>
      <c r="C1808" s="10" t="str">
        <f>_xlfn.LET(
    _xlpm.val, IF(Datadetails[[#This Row],[Activity]]="D02","C20",Datadetails[[#This Row],[Activity]]),
    IF(ISNUMBER(MATCH(_xlpm.val,{"D04","C30","c40","C20"},0)), _xlpm.val, "Other")
)</f>
        <v>D04</v>
      </c>
      <c r="D1808" s="10" t="str">
        <f>IFERROR(VLOOKUP(Datadetails[[#This Row],[Taskcode]],Dashboard!A:A,1,FALSE),"00 Err Missing")</f>
        <v>0001</v>
      </c>
      <c r="E1808" s="79">
        <v>45887</v>
      </c>
      <c r="F1808" s="80" t="s">
        <v>333</v>
      </c>
      <c r="G1808" s="60" t="s">
        <v>40</v>
      </c>
      <c r="H1808" s="80" t="s">
        <v>320</v>
      </c>
      <c r="I1808" s="80" t="s">
        <v>35</v>
      </c>
      <c r="J1808" s="80" t="s">
        <v>322</v>
      </c>
      <c r="K1808" s="80" t="s">
        <v>319</v>
      </c>
      <c r="L1808" s="80" t="s">
        <v>352</v>
      </c>
      <c r="M1808" s="81">
        <v>7.25</v>
      </c>
      <c r="N1808" s="82">
        <v>232</v>
      </c>
    </row>
    <row r="1809" spans="1:14" x14ac:dyDescent="0.25">
      <c r="A1809" s="10" t="str">
        <f>_xlfn.IFNA(
    IF(J1809=
        "PCB-0001",
        "CSS",
        IF(
            ISNUMBER(MATCH(_xlfn.TEXTBEFORE(J1809,"-"), {"CSS","CSN","PCB","PCF","BEC","CSD","PCM"}, 0)),
            _xlfn.TEXTBEFORE(J1809,"-"),
            "Other"
        )
    ),
"Add")</f>
        <v>CSD</v>
      </c>
      <c r="B1809" s="10" t="str">
        <f t="shared" si="29"/>
        <v>0001</v>
      </c>
      <c r="C1809" s="10" t="str">
        <f>_xlfn.LET(
    _xlpm.val, IF(Datadetails[[#This Row],[Activity]]="D02","C20",Datadetails[[#This Row],[Activity]]),
    IF(ISNUMBER(MATCH(_xlpm.val,{"D04","C30","c40","C20"},0)), _xlpm.val, "Other")
)</f>
        <v>D04</v>
      </c>
      <c r="D1809" s="10" t="str">
        <f>IFERROR(VLOOKUP(Datadetails[[#This Row],[Taskcode]],Dashboard!A:A,1,FALSE),"00 Err Missing")</f>
        <v>0001</v>
      </c>
      <c r="E1809" s="79">
        <v>45887</v>
      </c>
      <c r="F1809" s="80" t="s">
        <v>327</v>
      </c>
      <c r="G1809" s="60" t="s">
        <v>40</v>
      </c>
      <c r="H1809" s="80" t="s">
        <v>320</v>
      </c>
      <c r="I1809" s="80" t="s">
        <v>35</v>
      </c>
      <c r="J1809" s="80" t="s">
        <v>322</v>
      </c>
      <c r="K1809" s="80" t="s">
        <v>319</v>
      </c>
      <c r="L1809" s="80" t="s">
        <v>352</v>
      </c>
      <c r="M1809" s="81">
        <v>7.5</v>
      </c>
      <c r="N1809" s="82">
        <v>240</v>
      </c>
    </row>
    <row r="1810" spans="1:14" x14ac:dyDescent="0.25">
      <c r="A1810" s="10" t="str">
        <f>_xlfn.IFNA(
    IF(J1810=
        "PCB-0001",
        "CSS",
        IF(
            ISNUMBER(MATCH(_xlfn.TEXTBEFORE(J1810,"-"), {"CSS","CSN","PCB","PCF","BEC","CSD","PCM"}, 0)),
            _xlfn.TEXTBEFORE(J1810,"-"),
            "Other"
        )
    ),
"Add")</f>
        <v>PCB</v>
      </c>
      <c r="B1810" s="10" t="str">
        <f t="shared" si="29"/>
        <v>0075</v>
      </c>
      <c r="C1810" s="10" t="str">
        <f>_xlfn.LET(
    _xlpm.val, IF(Datadetails[[#This Row],[Activity]]="D02","C20",Datadetails[[#This Row],[Activity]]),
    IF(ISNUMBER(MATCH(_xlpm.val,{"D04","C30","c40","C20"},0)), _xlpm.val, "Other")
)</f>
        <v>C30</v>
      </c>
      <c r="D1810" s="10" t="str">
        <f>IFERROR(VLOOKUP(Datadetails[[#This Row],[Taskcode]],Dashboard!A:A,1,FALSE),"00 Err Missing")</f>
        <v>0075</v>
      </c>
      <c r="E1810" s="79">
        <v>45887</v>
      </c>
      <c r="F1810" s="80" t="s">
        <v>329</v>
      </c>
      <c r="G1810" s="60" t="s">
        <v>40</v>
      </c>
      <c r="H1810" s="80" t="s">
        <v>242</v>
      </c>
      <c r="I1810" s="80" t="s">
        <v>34</v>
      </c>
      <c r="J1810" s="80" t="s">
        <v>404</v>
      </c>
      <c r="K1810" s="80" t="s">
        <v>347</v>
      </c>
      <c r="L1810" s="80" t="s">
        <v>343</v>
      </c>
      <c r="M1810" s="81">
        <v>0.5</v>
      </c>
      <c r="N1810" s="82">
        <v>37.5</v>
      </c>
    </row>
    <row r="1811" spans="1:14" x14ac:dyDescent="0.25">
      <c r="A1811" s="10" t="str">
        <f>_xlfn.IFNA(
    IF(J1811=
        "PCB-0001",
        "CSS",
        IF(
            ISNUMBER(MATCH(_xlfn.TEXTBEFORE(J1811,"-"), {"CSS","CSN","PCB","PCF","BEC","CSD","PCM"}, 0)),
            _xlfn.TEXTBEFORE(J1811,"-"),
            "Other"
        )
    ),
"Add")</f>
        <v>PCB</v>
      </c>
      <c r="B1811" s="10" t="str">
        <f t="shared" si="29"/>
        <v>0129</v>
      </c>
      <c r="C1811" s="10" t="str">
        <f>_xlfn.LET(
    _xlpm.val, IF(Datadetails[[#This Row],[Activity]]="D02","C20",Datadetails[[#This Row],[Activity]]),
    IF(ISNUMBER(MATCH(_xlpm.val,{"D04","C30","c40","C20"},0)), _xlpm.val, "Other")
)</f>
        <v>C30</v>
      </c>
      <c r="D1811" s="10" t="str">
        <f>IFERROR(VLOOKUP(Datadetails[[#This Row],[Taskcode]],Dashboard!A:A,1,FALSE),"00 Err Missing")</f>
        <v>0129</v>
      </c>
      <c r="E1811" s="79">
        <v>45887</v>
      </c>
      <c r="F1811" s="80" t="s">
        <v>329</v>
      </c>
      <c r="G1811" s="60" t="s">
        <v>40</v>
      </c>
      <c r="H1811" s="80" t="s">
        <v>296</v>
      </c>
      <c r="I1811" s="80" t="s">
        <v>34</v>
      </c>
      <c r="J1811" s="80" t="s">
        <v>411</v>
      </c>
      <c r="K1811" s="80" t="s">
        <v>347</v>
      </c>
      <c r="L1811" s="80" t="s">
        <v>343</v>
      </c>
      <c r="M1811" s="81">
        <v>0.08</v>
      </c>
      <c r="N1811" s="82">
        <v>6</v>
      </c>
    </row>
    <row r="1812" spans="1:14" x14ac:dyDescent="0.25">
      <c r="A1812" s="10" t="str">
        <f>_xlfn.IFNA(
    IF(J1812=
        "PCB-0001",
        "CSS",
        IF(
            ISNUMBER(MATCH(_xlfn.TEXTBEFORE(J1812,"-"), {"CSS","CSN","PCB","PCF","BEC","CSD","PCM"}, 0)),
            _xlfn.TEXTBEFORE(J1812,"-"),
            "Other"
        )
    ),
"Add")</f>
        <v>PCB</v>
      </c>
      <c r="B1812" s="10" t="str">
        <f t="shared" si="29"/>
        <v>0092</v>
      </c>
      <c r="C1812" s="10" t="str">
        <f>_xlfn.LET(
    _xlpm.val, IF(Datadetails[[#This Row],[Activity]]="D02","C20",Datadetails[[#This Row],[Activity]]),
    IF(ISNUMBER(MATCH(_xlpm.val,{"D04","C30","c40","C20"},0)), _xlpm.val, "Other")
)</f>
        <v>C30</v>
      </c>
      <c r="D1812" s="10" t="str">
        <f>IFERROR(VLOOKUP(Datadetails[[#This Row],[Taskcode]],Dashboard!A:A,1,FALSE),"00 Err Missing")</f>
        <v>0092</v>
      </c>
      <c r="E1812" s="79">
        <v>45887</v>
      </c>
      <c r="F1812" s="80" t="s">
        <v>329</v>
      </c>
      <c r="G1812" s="60" t="s">
        <v>40</v>
      </c>
      <c r="H1812" s="80" t="s">
        <v>259</v>
      </c>
      <c r="I1812" s="80" t="s">
        <v>34</v>
      </c>
      <c r="J1812" s="80" t="s">
        <v>407</v>
      </c>
      <c r="K1812" s="80" t="s">
        <v>347</v>
      </c>
      <c r="L1812" s="80" t="s">
        <v>343</v>
      </c>
      <c r="M1812" s="81">
        <v>0.08</v>
      </c>
      <c r="N1812" s="82">
        <v>6</v>
      </c>
    </row>
    <row r="1813" spans="1:14" x14ac:dyDescent="0.25">
      <c r="A1813" s="10" t="str">
        <f>_xlfn.IFNA(
    IF(J1813=
        "PCB-0001",
        "CSS",
        IF(
            ISNUMBER(MATCH(_xlfn.TEXTBEFORE(J1813,"-"), {"CSS","CSN","PCB","PCF","BEC","CSD","PCM"}, 0)),
            _xlfn.TEXTBEFORE(J1813,"-"),
            "Other"
        )
    ),
"Add")</f>
        <v>PCB</v>
      </c>
      <c r="B1813" s="10" t="str">
        <f t="shared" si="29"/>
        <v>0138</v>
      </c>
      <c r="C1813" s="10" t="str">
        <f>_xlfn.LET(
    _xlpm.val, IF(Datadetails[[#This Row],[Activity]]="D02","C20",Datadetails[[#This Row],[Activity]]),
    IF(ISNUMBER(MATCH(_xlpm.val,{"D04","C30","c40","C20"},0)), _xlpm.val, "Other")
)</f>
        <v>C30</v>
      </c>
      <c r="D1813" s="10" t="str">
        <f>IFERROR(VLOOKUP(Datadetails[[#This Row],[Taskcode]],Dashboard!A:A,1,FALSE),"00 Err Missing")</f>
        <v>0138</v>
      </c>
      <c r="E1813" s="79">
        <v>45887</v>
      </c>
      <c r="F1813" s="80" t="s">
        <v>325</v>
      </c>
      <c r="G1813" s="60" t="s">
        <v>40</v>
      </c>
      <c r="H1813" s="80" t="s">
        <v>305</v>
      </c>
      <c r="I1813" s="80" t="s">
        <v>34</v>
      </c>
      <c r="J1813" s="80" t="s">
        <v>382</v>
      </c>
      <c r="K1813" s="80" t="s">
        <v>347</v>
      </c>
      <c r="L1813" s="80" t="s">
        <v>343</v>
      </c>
      <c r="M1813" s="81">
        <v>0.25</v>
      </c>
      <c r="N1813" s="82">
        <v>18.75</v>
      </c>
    </row>
    <row r="1814" spans="1:14" x14ac:dyDescent="0.25">
      <c r="A1814" s="10" t="str">
        <f>_xlfn.IFNA(
    IF(J1814=
        "PCB-0001",
        "CSS",
        IF(
            ISNUMBER(MATCH(_xlfn.TEXTBEFORE(J1814,"-"), {"CSS","CSN","PCB","PCF","BEC","CSD","PCM"}, 0)),
            _xlfn.TEXTBEFORE(J1814,"-"),
            "Other"
        )
    ),
"Add")</f>
        <v>PCB</v>
      </c>
      <c r="B1814" s="10" t="str">
        <f t="shared" si="29"/>
        <v>0088</v>
      </c>
      <c r="C1814" s="10" t="str">
        <f>_xlfn.LET(
    _xlpm.val, IF(Datadetails[[#This Row],[Activity]]="D02","C20",Datadetails[[#This Row],[Activity]]),
    IF(ISNUMBER(MATCH(_xlpm.val,{"D04","C30","c40","C20"},0)), _xlpm.val, "Other")
)</f>
        <v>C40</v>
      </c>
      <c r="D1814" s="10" t="str">
        <f>IFERROR(VLOOKUP(Datadetails[[#This Row],[Taskcode]],Dashboard!A:A,1,FALSE),"00 Err Missing")</f>
        <v>0088</v>
      </c>
      <c r="E1814" s="79">
        <v>45887</v>
      </c>
      <c r="F1814" s="80" t="s">
        <v>330</v>
      </c>
      <c r="G1814" s="60" t="s">
        <v>40</v>
      </c>
      <c r="H1814" s="80" t="s">
        <v>255</v>
      </c>
      <c r="I1814" s="80" t="s">
        <v>341</v>
      </c>
      <c r="J1814" s="80" t="s">
        <v>462</v>
      </c>
      <c r="K1814" s="80" t="s">
        <v>347</v>
      </c>
      <c r="L1814" s="80" t="s">
        <v>344</v>
      </c>
      <c r="M1814" s="81">
        <v>0.5</v>
      </c>
      <c r="N1814" s="82">
        <v>30</v>
      </c>
    </row>
    <row r="1815" spans="1:14" x14ac:dyDescent="0.25">
      <c r="A1815" s="10" t="str">
        <f>_xlfn.IFNA(
    IF(J1815=
        "PCB-0001",
        "CSS",
        IF(
            ISNUMBER(MATCH(_xlfn.TEXTBEFORE(J1815,"-"), {"CSS","CSN","PCB","PCF","BEC","CSD","PCM"}, 0)),
            _xlfn.TEXTBEFORE(J1815,"-"),
            "Other"
        )
    ),
"Add")</f>
        <v>BEC</v>
      </c>
      <c r="B1815" s="10" t="str">
        <f t="shared" si="29"/>
        <v>0001</v>
      </c>
      <c r="C1815" s="10" t="str">
        <f>_xlfn.LET(
    _xlpm.val, IF(Datadetails[[#This Row],[Activity]]="D02","C20",Datadetails[[#This Row],[Activity]]),
    IF(ISNUMBER(MATCH(_xlpm.val,{"D04","C30","c40","C20"},0)), _xlpm.val, "Other")
)</f>
        <v>D04</v>
      </c>
      <c r="D1815" s="10" t="str">
        <f>IFERROR(VLOOKUP(Datadetails[[#This Row],[Taskcode]],Dashboard!A:A,1,FALSE),"00 Err Missing")</f>
        <v>0001</v>
      </c>
      <c r="E1815" s="79">
        <v>45887</v>
      </c>
      <c r="F1815" s="80" t="s">
        <v>324</v>
      </c>
      <c r="G1815" s="60" t="s">
        <v>40</v>
      </c>
      <c r="H1815" s="80" t="s">
        <v>314</v>
      </c>
      <c r="I1815" s="80" t="s">
        <v>35</v>
      </c>
      <c r="J1815" s="80" t="s">
        <v>359</v>
      </c>
      <c r="K1815" s="80" t="s">
        <v>339</v>
      </c>
      <c r="L1815" s="80" t="s">
        <v>352</v>
      </c>
      <c r="M1815" s="81">
        <v>4</v>
      </c>
      <c r="N1815" s="82">
        <v>300</v>
      </c>
    </row>
    <row r="1816" spans="1:14" x14ac:dyDescent="0.25">
      <c r="A1816" s="10" t="str">
        <f>_xlfn.IFNA(
    IF(J1816=
        "PCB-0001",
        "CSS",
        IF(
            ISNUMBER(MATCH(_xlfn.TEXTBEFORE(J1816,"-"), {"CSS","CSN","PCB","PCF","BEC","CSD","PCM"}, 0)),
            _xlfn.TEXTBEFORE(J1816,"-"),
            "Other"
        )
    ),
"Add")</f>
        <v>BEC</v>
      </c>
      <c r="B1816" s="10" t="str">
        <f t="shared" si="29"/>
        <v>0001</v>
      </c>
      <c r="C1816" s="10" t="str">
        <f>_xlfn.LET(
    _xlpm.val, IF(Datadetails[[#This Row],[Activity]]="D02","C20",Datadetails[[#This Row],[Activity]]),
    IF(ISNUMBER(MATCH(_xlpm.val,{"D04","C30","c40","C20"},0)), _xlpm.val, "Other")
)</f>
        <v>D04</v>
      </c>
      <c r="D1816" s="10" t="str">
        <f>IFERROR(VLOOKUP(Datadetails[[#This Row],[Taskcode]],Dashboard!A:A,1,FALSE),"00 Err Missing")</f>
        <v>0001</v>
      </c>
      <c r="E1816" s="79">
        <v>45887</v>
      </c>
      <c r="F1816" s="80" t="s">
        <v>332</v>
      </c>
      <c r="G1816" s="60" t="s">
        <v>40</v>
      </c>
      <c r="H1816" s="80" t="s">
        <v>314</v>
      </c>
      <c r="I1816" s="80" t="s">
        <v>35</v>
      </c>
      <c r="J1816" s="80" t="s">
        <v>359</v>
      </c>
      <c r="K1816" s="80" t="s">
        <v>339</v>
      </c>
      <c r="L1816" s="80" t="s">
        <v>352</v>
      </c>
      <c r="M1816" s="81">
        <v>5.5</v>
      </c>
      <c r="N1816" s="82">
        <v>220</v>
      </c>
    </row>
    <row r="1817" spans="1:14" x14ac:dyDescent="0.25">
      <c r="A1817" s="10" t="str">
        <f>_xlfn.IFNA(
    IF(J1817=
        "PCB-0001",
        "CSS",
        IF(
            ISNUMBER(MATCH(_xlfn.TEXTBEFORE(J1817,"-"), {"CSS","CSN","PCB","PCF","BEC","CSD","PCM"}, 0)),
            _xlfn.TEXTBEFORE(J1817,"-"),
            "Other"
        )
    ),
"Add")</f>
        <v>CSN</v>
      </c>
      <c r="B1817" s="10" t="str">
        <f t="shared" si="29"/>
        <v>0001</v>
      </c>
      <c r="C1817" s="10" t="str">
        <f>_xlfn.LET(
    _xlpm.val, IF(Datadetails[[#This Row],[Activity]]="D02","C20",Datadetails[[#This Row],[Activity]]),
    IF(ISNUMBER(MATCH(_xlpm.val,{"D04","C30","c40","C20"},0)), _xlpm.val, "Other")
)</f>
        <v>D04</v>
      </c>
      <c r="D1817" s="10" t="str">
        <f>IFERROR(VLOOKUP(Datadetails[[#This Row],[Taskcode]],Dashboard!A:A,1,FALSE),"00 Err Missing")</f>
        <v>0001</v>
      </c>
      <c r="E1817" s="79">
        <v>45888</v>
      </c>
      <c r="F1817" s="80" t="s">
        <v>329</v>
      </c>
      <c r="G1817" s="60" t="s">
        <v>40</v>
      </c>
      <c r="H1817" s="80" t="s">
        <v>316</v>
      </c>
      <c r="I1817" s="80" t="s">
        <v>35</v>
      </c>
      <c r="J1817" s="80" t="s">
        <v>338</v>
      </c>
      <c r="K1817" s="80" t="s">
        <v>337</v>
      </c>
      <c r="L1817" s="80" t="s">
        <v>352</v>
      </c>
      <c r="M1817" s="81">
        <v>0.42</v>
      </c>
      <c r="N1817" s="82">
        <v>31.5</v>
      </c>
    </row>
    <row r="1818" spans="1:14" x14ac:dyDescent="0.25">
      <c r="A1818" s="10" t="str">
        <f>_xlfn.IFNA(
    IF(J1818=
        "PCB-0001",
        "CSS",
        IF(
            ISNUMBER(MATCH(_xlfn.TEXTBEFORE(J1818,"-"), {"CSS","CSN","PCB","PCF","BEC","CSD","PCM"}, 0)),
            _xlfn.TEXTBEFORE(J1818,"-"),
            "Other"
        )
    ),
"Add")</f>
        <v>CSD</v>
      </c>
      <c r="B1818" s="10" t="str">
        <f t="shared" si="29"/>
        <v>0001</v>
      </c>
      <c r="C1818" s="10" t="str">
        <f>_xlfn.LET(
    _xlpm.val, IF(Datadetails[[#This Row],[Activity]]="D02","C20",Datadetails[[#This Row],[Activity]]),
    IF(ISNUMBER(MATCH(_xlpm.val,{"D04","C30","c40","C20"},0)), _xlpm.val, "Other")
)</f>
        <v>D04</v>
      </c>
      <c r="D1818" s="10" t="str">
        <f>IFERROR(VLOOKUP(Datadetails[[#This Row],[Taskcode]],Dashboard!A:A,1,FALSE),"00 Err Missing")</f>
        <v>0001</v>
      </c>
      <c r="E1818" s="79">
        <v>45888</v>
      </c>
      <c r="F1818" s="80" t="s">
        <v>333</v>
      </c>
      <c r="G1818" s="60" t="s">
        <v>40</v>
      </c>
      <c r="H1818" s="80" t="s">
        <v>320</v>
      </c>
      <c r="I1818" s="80" t="s">
        <v>35</v>
      </c>
      <c r="J1818" s="80" t="s">
        <v>322</v>
      </c>
      <c r="K1818" s="80" t="s">
        <v>319</v>
      </c>
      <c r="L1818" s="80" t="s">
        <v>352</v>
      </c>
      <c r="M1818" s="81">
        <v>7.4</v>
      </c>
      <c r="N1818" s="82">
        <v>236.8</v>
      </c>
    </row>
    <row r="1819" spans="1:14" x14ac:dyDescent="0.25">
      <c r="A1819" s="10" t="str">
        <f>_xlfn.IFNA(
    IF(J1819=
        "PCB-0001",
        "CSS",
        IF(
            ISNUMBER(MATCH(_xlfn.TEXTBEFORE(J1819,"-"), {"CSS","CSN","PCB","PCF","BEC","CSD","PCM"}, 0)),
            _xlfn.TEXTBEFORE(J1819,"-"),
            "Other"
        )
    ),
"Add")</f>
        <v>CSD</v>
      </c>
      <c r="B1819" s="10" t="str">
        <f t="shared" si="29"/>
        <v>0001</v>
      </c>
      <c r="C1819" s="10" t="str">
        <f>_xlfn.LET(
    _xlpm.val, IF(Datadetails[[#This Row],[Activity]]="D02","C20",Datadetails[[#This Row],[Activity]]),
    IF(ISNUMBER(MATCH(_xlpm.val,{"D04","C30","c40","C20"},0)), _xlpm.val, "Other")
)</f>
        <v>D04</v>
      </c>
      <c r="D1819" s="10" t="str">
        <f>IFERROR(VLOOKUP(Datadetails[[#This Row],[Taskcode]],Dashboard!A:A,1,FALSE),"00 Err Missing")</f>
        <v>0001</v>
      </c>
      <c r="E1819" s="79">
        <v>45888</v>
      </c>
      <c r="F1819" s="80" t="s">
        <v>327</v>
      </c>
      <c r="G1819" s="60" t="s">
        <v>40</v>
      </c>
      <c r="H1819" s="80" t="s">
        <v>320</v>
      </c>
      <c r="I1819" s="80" t="s">
        <v>35</v>
      </c>
      <c r="J1819" s="80" t="s">
        <v>322</v>
      </c>
      <c r="K1819" s="80" t="s">
        <v>319</v>
      </c>
      <c r="L1819" s="80" t="s">
        <v>352</v>
      </c>
      <c r="M1819" s="81">
        <v>7.42</v>
      </c>
      <c r="N1819" s="82">
        <v>237.44</v>
      </c>
    </row>
    <row r="1820" spans="1:14" x14ac:dyDescent="0.25">
      <c r="A1820" s="10" t="str">
        <f>_xlfn.IFNA(
    IF(J1820=
        "PCB-0001",
        "CSS",
        IF(
            ISNUMBER(MATCH(_xlfn.TEXTBEFORE(J1820,"-"), {"CSS","CSN","PCB","PCF","BEC","CSD","PCM"}, 0)),
            _xlfn.TEXTBEFORE(J1820,"-"),
            "Other"
        )
    ),
"Add")</f>
        <v>PCB</v>
      </c>
      <c r="B1820" s="10" t="str">
        <f t="shared" si="29"/>
        <v>0085</v>
      </c>
      <c r="C1820" s="10" t="str">
        <f>_xlfn.LET(
    _xlpm.val, IF(Datadetails[[#This Row],[Activity]]="D02","C20",Datadetails[[#This Row],[Activity]]),
    IF(ISNUMBER(MATCH(_xlpm.val,{"D04","C30","c40","C20"},0)), _xlpm.val, "Other")
)</f>
        <v>C20</v>
      </c>
      <c r="D1820" s="10" t="str">
        <f>IFERROR(VLOOKUP(Datadetails[[#This Row],[Taskcode]],Dashboard!A:A,1,FALSE),"00 Err Missing")</f>
        <v>0085</v>
      </c>
      <c r="E1820" s="79">
        <v>45888</v>
      </c>
      <c r="F1820" s="80" t="s">
        <v>330</v>
      </c>
      <c r="G1820" s="60" t="s">
        <v>40</v>
      </c>
      <c r="H1820" s="80" t="s">
        <v>252</v>
      </c>
      <c r="I1820" s="80" t="s">
        <v>36</v>
      </c>
      <c r="J1820" s="80" t="s">
        <v>416</v>
      </c>
      <c r="K1820" s="80" t="s">
        <v>347</v>
      </c>
      <c r="L1820" s="80" t="s">
        <v>342</v>
      </c>
      <c r="M1820" s="81">
        <v>0.5</v>
      </c>
      <c r="N1820" s="82">
        <v>30</v>
      </c>
    </row>
    <row r="1821" spans="1:14" x14ac:dyDescent="0.25">
      <c r="A1821" s="10" t="str">
        <f>_xlfn.IFNA(
    IF(J1821=
        "PCB-0001",
        "CSS",
        IF(
            ISNUMBER(MATCH(_xlfn.TEXTBEFORE(J1821,"-"), {"CSS","CSN","PCB","PCF","BEC","CSD","PCM"}, 0)),
            _xlfn.TEXTBEFORE(J1821,"-"),
            "Other"
        )
    ),
"Add")</f>
        <v>BEC</v>
      </c>
      <c r="B1821" s="10" t="str">
        <f t="shared" si="29"/>
        <v>0001</v>
      </c>
      <c r="C1821" s="10" t="str">
        <f>_xlfn.LET(
    _xlpm.val, IF(Datadetails[[#This Row],[Activity]]="D02","C20",Datadetails[[#This Row],[Activity]]),
    IF(ISNUMBER(MATCH(_xlpm.val,{"D04","C30","c40","C20"},0)), _xlpm.val, "Other")
)</f>
        <v>D04</v>
      </c>
      <c r="D1821" s="10" t="str">
        <f>IFERROR(VLOOKUP(Datadetails[[#This Row],[Taskcode]],Dashboard!A:A,1,FALSE),"00 Err Missing")</f>
        <v>0001</v>
      </c>
      <c r="E1821" s="79">
        <v>45888</v>
      </c>
      <c r="F1821" s="80" t="s">
        <v>324</v>
      </c>
      <c r="G1821" s="60" t="s">
        <v>40</v>
      </c>
      <c r="H1821" s="80" t="s">
        <v>314</v>
      </c>
      <c r="I1821" s="80" t="s">
        <v>35</v>
      </c>
      <c r="J1821" s="80" t="s">
        <v>359</v>
      </c>
      <c r="K1821" s="80" t="s">
        <v>339</v>
      </c>
      <c r="L1821" s="80" t="s">
        <v>352</v>
      </c>
      <c r="M1821" s="81">
        <v>4.75</v>
      </c>
      <c r="N1821" s="82">
        <v>356.25</v>
      </c>
    </row>
    <row r="1822" spans="1:14" x14ac:dyDescent="0.25">
      <c r="A1822" s="10" t="str">
        <f>_xlfn.IFNA(
    IF(J1822=
        "PCB-0001",
        "CSS",
        IF(
            ISNUMBER(MATCH(_xlfn.TEXTBEFORE(J1822,"-"), {"CSS","CSN","PCB","PCF","BEC","CSD","PCM"}, 0)),
            _xlfn.TEXTBEFORE(J1822,"-"),
            "Other"
        )
    ),
"Add")</f>
        <v>BEC</v>
      </c>
      <c r="B1822" s="10" t="str">
        <f t="shared" si="29"/>
        <v>0001</v>
      </c>
      <c r="C1822" s="10" t="str">
        <f>_xlfn.LET(
    _xlpm.val, IF(Datadetails[[#This Row],[Activity]]="D02","C20",Datadetails[[#This Row],[Activity]]),
    IF(ISNUMBER(MATCH(_xlpm.val,{"D04","C30","c40","C20"},0)), _xlpm.val, "Other")
)</f>
        <v>D04</v>
      </c>
      <c r="D1822" s="10" t="str">
        <f>IFERROR(VLOOKUP(Datadetails[[#This Row],[Taskcode]],Dashboard!A:A,1,FALSE),"00 Err Missing")</f>
        <v>0001</v>
      </c>
      <c r="E1822" s="79">
        <v>45888</v>
      </c>
      <c r="F1822" s="80" t="s">
        <v>332</v>
      </c>
      <c r="G1822" s="60" t="s">
        <v>40</v>
      </c>
      <c r="H1822" s="80" t="s">
        <v>314</v>
      </c>
      <c r="I1822" s="80" t="s">
        <v>35</v>
      </c>
      <c r="J1822" s="80" t="s">
        <v>359</v>
      </c>
      <c r="K1822" s="80" t="s">
        <v>339</v>
      </c>
      <c r="L1822" s="80" t="s">
        <v>352</v>
      </c>
      <c r="M1822" s="81">
        <v>7</v>
      </c>
      <c r="N1822" s="82">
        <v>280</v>
      </c>
    </row>
    <row r="1823" spans="1:14" x14ac:dyDescent="0.25">
      <c r="A1823" s="10" t="str">
        <f>_xlfn.IFNA(
    IF(J1823=
        "PCB-0001",
        "CSS",
        IF(
            ISNUMBER(MATCH(_xlfn.TEXTBEFORE(J1823,"-"), {"CSS","CSN","PCB","PCF","BEC","CSD","PCM"}, 0)),
            _xlfn.TEXTBEFORE(J1823,"-"),
            "Other"
        )
    ),
"Add")</f>
        <v>CSD</v>
      </c>
      <c r="B1823" s="10" t="str">
        <f t="shared" si="29"/>
        <v>0001</v>
      </c>
      <c r="C1823" s="10" t="str">
        <f>_xlfn.LET(
    _xlpm.val, IF(Datadetails[[#This Row],[Activity]]="D02","C20",Datadetails[[#This Row],[Activity]]),
    IF(ISNUMBER(MATCH(_xlpm.val,{"D04","C30","c40","C20"},0)), _xlpm.val, "Other")
)</f>
        <v>D04</v>
      </c>
      <c r="D1823" s="10" t="str">
        <f>IFERROR(VLOOKUP(Datadetails[[#This Row],[Taskcode]],Dashboard!A:A,1,FALSE),"00 Err Missing")</f>
        <v>0001</v>
      </c>
      <c r="E1823" s="79">
        <v>45889</v>
      </c>
      <c r="F1823" s="80" t="s">
        <v>333</v>
      </c>
      <c r="G1823" s="60" t="s">
        <v>40</v>
      </c>
      <c r="H1823" s="80" t="s">
        <v>320</v>
      </c>
      <c r="I1823" s="80" t="s">
        <v>35</v>
      </c>
      <c r="J1823" s="80" t="s">
        <v>322</v>
      </c>
      <c r="K1823" s="80" t="s">
        <v>319</v>
      </c>
      <c r="L1823" s="80" t="s">
        <v>352</v>
      </c>
      <c r="M1823" s="81">
        <v>7.43</v>
      </c>
      <c r="N1823" s="82">
        <v>237.76</v>
      </c>
    </row>
    <row r="1824" spans="1:14" x14ac:dyDescent="0.25">
      <c r="A1824" s="10" t="str">
        <f>_xlfn.IFNA(
    IF(J1824=
        "PCB-0001",
        "CSS",
        IF(
            ISNUMBER(MATCH(_xlfn.TEXTBEFORE(J1824,"-"), {"CSS","CSN","PCB","PCF","BEC","CSD","PCM"}, 0)),
            _xlfn.TEXTBEFORE(J1824,"-"),
            "Other"
        )
    ),
"Add")</f>
        <v>CSD</v>
      </c>
      <c r="B1824" s="10" t="str">
        <f t="shared" si="29"/>
        <v>0001</v>
      </c>
      <c r="C1824" s="10" t="str">
        <f>_xlfn.LET(
    _xlpm.val, IF(Datadetails[[#This Row],[Activity]]="D02","C20",Datadetails[[#This Row],[Activity]]),
    IF(ISNUMBER(MATCH(_xlpm.val,{"D04","C30","c40","C20"},0)), _xlpm.val, "Other")
)</f>
        <v>D04</v>
      </c>
      <c r="D1824" s="10" t="str">
        <f>IFERROR(VLOOKUP(Datadetails[[#This Row],[Taskcode]],Dashboard!A:A,1,FALSE),"00 Err Missing")</f>
        <v>0001</v>
      </c>
      <c r="E1824" s="79">
        <v>45889</v>
      </c>
      <c r="F1824" s="80" t="s">
        <v>327</v>
      </c>
      <c r="G1824" s="60" t="s">
        <v>40</v>
      </c>
      <c r="H1824" s="80" t="s">
        <v>320</v>
      </c>
      <c r="I1824" s="80" t="s">
        <v>35</v>
      </c>
      <c r="J1824" s="80" t="s">
        <v>322</v>
      </c>
      <c r="K1824" s="80" t="s">
        <v>319</v>
      </c>
      <c r="L1824" s="80" t="s">
        <v>352</v>
      </c>
      <c r="M1824" s="81">
        <v>7.25</v>
      </c>
      <c r="N1824" s="82">
        <v>232</v>
      </c>
    </row>
    <row r="1825" spans="1:14" x14ac:dyDescent="0.25">
      <c r="A1825" s="10" t="str">
        <f>_xlfn.IFNA(
    IF(J1825=
        "PCB-0001",
        "CSS",
        IF(
            ISNUMBER(MATCH(_xlfn.TEXTBEFORE(J1825,"-"), {"CSS","CSN","PCB","PCF","BEC","CSD","PCM"}, 0)),
            _xlfn.TEXTBEFORE(J1825,"-"),
            "Other"
        )
    ),
"Add")</f>
        <v>PCM</v>
      </c>
      <c r="B1825" s="10" t="str">
        <f t="shared" si="29"/>
        <v>0064</v>
      </c>
      <c r="C1825" s="10" t="str">
        <f>_xlfn.LET(
    _xlpm.val, IF(Datadetails[[#This Row],[Activity]]="D02","C20",Datadetails[[#This Row],[Activity]]),
    IF(ISNUMBER(MATCH(_xlpm.val,{"D04","C30","c40","C20"},0)), _xlpm.val, "Other")
)</f>
        <v>C20</v>
      </c>
      <c r="D1825" s="10" t="str">
        <f>IFERROR(VLOOKUP(Datadetails[[#This Row],[Taskcode]],Dashboard!A:A,1,FALSE),"00 Err Missing")</f>
        <v>0064</v>
      </c>
      <c r="E1825" s="79">
        <v>45889</v>
      </c>
      <c r="F1825" s="80" t="s">
        <v>323</v>
      </c>
      <c r="G1825" s="60" t="s">
        <v>40</v>
      </c>
      <c r="H1825" s="80" t="s">
        <v>231</v>
      </c>
      <c r="I1825" s="80" t="s">
        <v>36</v>
      </c>
      <c r="J1825" s="80" t="s">
        <v>420</v>
      </c>
      <c r="K1825" s="80" t="s">
        <v>346</v>
      </c>
      <c r="L1825" s="80" t="s">
        <v>342</v>
      </c>
      <c r="M1825" s="81">
        <v>0.33</v>
      </c>
      <c r="N1825" s="82">
        <v>19.8</v>
      </c>
    </row>
    <row r="1826" spans="1:14" x14ac:dyDescent="0.25">
      <c r="A1826" s="10" t="str">
        <f>_xlfn.IFNA(
    IF(J1826=
        "PCB-0001",
        "CSS",
        IF(
            ISNUMBER(MATCH(_xlfn.TEXTBEFORE(J1826,"-"), {"CSS","CSN","PCB","PCF","BEC","CSD","PCM"}, 0)),
            _xlfn.TEXTBEFORE(J1826,"-"),
            "Other"
        )
    ),
"Add")</f>
        <v>PCB</v>
      </c>
      <c r="B1826" s="10" t="str">
        <f t="shared" si="29"/>
        <v>0085</v>
      </c>
      <c r="C1826" s="10" t="str">
        <f>_xlfn.LET(
    _xlpm.val, IF(Datadetails[[#This Row],[Activity]]="D02","C20",Datadetails[[#This Row],[Activity]]),
    IF(ISNUMBER(MATCH(_xlpm.val,{"D04","C30","c40","C20"},0)), _xlpm.val, "Other")
)</f>
        <v>C20</v>
      </c>
      <c r="D1826" s="10" t="str">
        <f>IFERROR(VLOOKUP(Datadetails[[#This Row],[Taskcode]],Dashboard!A:A,1,FALSE),"00 Err Missing")</f>
        <v>0085</v>
      </c>
      <c r="E1826" s="79">
        <v>45889</v>
      </c>
      <c r="F1826" s="80" t="s">
        <v>330</v>
      </c>
      <c r="G1826" s="60" t="s">
        <v>40</v>
      </c>
      <c r="H1826" s="80" t="s">
        <v>252</v>
      </c>
      <c r="I1826" s="80" t="s">
        <v>36</v>
      </c>
      <c r="J1826" s="80" t="s">
        <v>416</v>
      </c>
      <c r="K1826" s="80" t="s">
        <v>347</v>
      </c>
      <c r="L1826" s="80" t="s">
        <v>342</v>
      </c>
      <c r="M1826" s="81">
        <v>4</v>
      </c>
      <c r="N1826" s="82">
        <v>240</v>
      </c>
    </row>
    <row r="1827" spans="1:14" x14ac:dyDescent="0.25">
      <c r="A1827" s="10" t="str">
        <f>_xlfn.IFNA(
    IF(J1827=
        "PCB-0001",
        "CSS",
        IF(
            ISNUMBER(MATCH(_xlfn.TEXTBEFORE(J1827,"-"), {"CSS","CSN","PCB","PCF","BEC","CSD","PCM"}, 0)),
            _xlfn.TEXTBEFORE(J1827,"-"),
            "Other"
        )
    ),
"Add")</f>
        <v>PCB</v>
      </c>
      <c r="B1827" s="10" t="str">
        <f t="shared" si="29"/>
        <v>0012</v>
      </c>
      <c r="C1827" s="10" t="str">
        <f>_xlfn.LET(
    _xlpm.val, IF(Datadetails[[#This Row],[Activity]]="D02","C20",Datadetails[[#This Row],[Activity]]),
    IF(ISNUMBER(MATCH(_xlpm.val,{"D04","C30","c40","C20"},0)), _xlpm.val, "Other")
)</f>
        <v>C30</v>
      </c>
      <c r="D1827" s="10" t="str">
        <f>IFERROR(VLOOKUP(Datadetails[[#This Row],[Taskcode]],Dashboard!A:A,1,FALSE),"00 Err Missing")</f>
        <v>0012</v>
      </c>
      <c r="E1827" s="79">
        <v>45889</v>
      </c>
      <c r="F1827" s="80" t="s">
        <v>325</v>
      </c>
      <c r="G1827" s="60" t="s">
        <v>40</v>
      </c>
      <c r="H1827" s="80" t="s">
        <v>179</v>
      </c>
      <c r="I1827" s="80" t="s">
        <v>34</v>
      </c>
      <c r="J1827" s="80" t="s">
        <v>422</v>
      </c>
      <c r="K1827" s="80" t="s">
        <v>347</v>
      </c>
      <c r="L1827" s="80" t="s">
        <v>343</v>
      </c>
      <c r="M1827" s="81">
        <v>0.25</v>
      </c>
      <c r="N1827" s="82">
        <v>18.75</v>
      </c>
    </row>
    <row r="1828" spans="1:14" x14ac:dyDescent="0.25">
      <c r="A1828" s="10" t="str">
        <f>_xlfn.IFNA(
    IF(J1828=
        "PCB-0001",
        "CSS",
        IF(
            ISNUMBER(MATCH(_xlfn.TEXTBEFORE(J1828,"-"), {"CSS","CSN","PCB","PCF","BEC","CSD","PCM"}, 0)),
            _xlfn.TEXTBEFORE(J1828,"-"),
            "Other"
        )
    ),
"Add")</f>
        <v>PCF</v>
      </c>
      <c r="B1828" s="10" t="str">
        <f t="shared" si="29"/>
        <v>0008</v>
      </c>
      <c r="C1828" s="10" t="str">
        <f>_xlfn.LET(
    _xlpm.val, IF(Datadetails[[#This Row],[Activity]]="D02","C20",Datadetails[[#This Row],[Activity]]),
    IF(ISNUMBER(MATCH(_xlpm.val,{"D04","C30","c40","C20"},0)), _xlpm.val, "Other")
)</f>
        <v>C20</v>
      </c>
      <c r="D1828" s="10" t="str">
        <f>IFERROR(VLOOKUP(Datadetails[[#This Row],[Taskcode]],Dashboard!A:A,1,FALSE),"00 Err Missing")</f>
        <v>0008</v>
      </c>
      <c r="E1828" s="79">
        <v>45889</v>
      </c>
      <c r="F1828" s="80" t="s">
        <v>326</v>
      </c>
      <c r="G1828" s="60" t="s">
        <v>40</v>
      </c>
      <c r="H1828" s="80" t="s">
        <v>175</v>
      </c>
      <c r="I1828" s="80" t="s">
        <v>36</v>
      </c>
      <c r="J1828" s="80" t="s">
        <v>388</v>
      </c>
      <c r="K1828" s="80" t="s">
        <v>348</v>
      </c>
      <c r="L1828" s="80" t="s">
        <v>342</v>
      </c>
      <c r="M1828" s="81">
        <v>1</v>
      </c>
      <c r="N1828" s="82">
        <v>60</v>
      </c>
    </row>
    <row r="1829" spans="1:14" x14ac:dyDescent="0.25">
      <c r="A1829" s="10" t="str">
        <f>_xlfn.IFNA(
    IF(J1829=
        "PCB-0001",
        "CSS",
        IF(
            ISNUMBER(MATCH(_xlfn.TEXTBEFORE(J1829,"-"), {"CSS","CSN","PCB","PCF","BEC","CSD","PCM"}, 0)),
            _xlfn.TEXTBEFORE(J1829,"-"),
            "Other"
        )
    ),
"Add")</f>
        <v>PCF</v>
      </c>
      <c r="B1829" s="10" t="str">
        <f t="shared" si="29"/>
        <v>0021</v>
      </c>
      <c r="C1829" s="10" t="str">
        <f>_xlfn.LET(
    _xlpm.val, IF(Datadetails[[#This Row],[Activity]]="D02","C20",Datadetails[[#This Row],[Activity]]),
    IF(ISNUMBER(MATCH(_xlpm.val,{"D04","C30","c40","C20"},0)), _xlpm.val, "Other")
)</f>
        <v>C20</v>
      </c>
      <c r="D1829" s="10" t="str">
        <f>IFERROR(VLOOKUP(Datadetails[[#This Row],[Taskcode]],Dashboard!A:A,1,FALSE),"00 Err Missing")</f>
        <v>0021</v>
      </c>
      <c r="E1829" s="79">
        <v>45889</v>
      </c>
      <c r="F1829" s="80" t="s">
        <v>326</v>
      </c>
      <c r="G1829" s="60" t="s">
        <v>40</v>
      </c>
      <c r="H1829" s="80" t="s">
        <v>188</v>
      </c>
      <c r="I1829" s="80" t="s">
        <v>36</v>
      </c>
      <c r="J1829" s="80" t="s">
        <v>356</v>
      </c>
      <c r="K1829" s="80" t="s">
        <v>348</v>
      </c>
      <c r="L1829" s="80" t="s">
        <v>342</v>
      </c>
      <c r="M1829" s="81">
        <v>1.33</v>
      </c>
      <c r="N1829" s="82">
        <v>79.800000000000011</v>
      </c>
    </row>
    <row r="1830" spans="1:14" x14ac:dyDescent="0.25">
      <c r="A1830" s="10" t="str">
        <f>_xlfn.IFNA(
    IF(J1830=
        "PCB-0001",
        "CSS",
        IF(
            ISNUMBER(MATCH(_xlfn.TEXTBEFORE(J1830,"-"), {"CSS","CSN","PCB","PCF","BEC","CSD","PCM"}, 0)),
            _xlfn.TEXTBEFORE(J1830,"-"),
            "Other"
        )
    ),
"Add")</f>
        <v>BEC</v>
      </c>
      <c r="B1830" s="10" t="str">
        <f t="shared" si="29"/>
        <v>0001</v>
      </c>
      <c r="C1830" s="10" t="str">
        <f>_xlfn.LET(
    _xlpm.val, IF(Datadetails[[#This Row],[Activity]]="D02","C20",Datadetails[[#This Row],[Activity]]),
    IF(ISNUMBER(MATCH(_xlpm.val,{"D04","C30","c40","C20"},0)), _xlpm.val, "Other")
)</f>
        <v>D04</v>
      </c>
      <c r="D1830" s="10" t="str">
        <f>IFERROR(VLOOKUP(Datadetails[[#This Row],[Taskcode]],Dashboard!A:A,1,FALSE),"00 Err Missing")</f>
        <v>0001</v>
      </c>
      <c r="E1830" s="79">
        <v>45889</v>
      </c>
      <c r="F1830" s="80" t="s">
        <v>324</v>
      </c>
      <c r="G1830" s="60" t="s">
        <v>40</v>
      </c>
      <c r="H1830" s="80" t="s">
        <v>314</v>
      </c>
      <c r="I1830" s="80" t="s">
        <v>35</v>
      </c>
      <c r="J1830" s="80" t="s">
        <v>359</v>
      </c>
      <c r="K1830" s="80" t="s">
        <v>339</v>
      </c>
      <c r="L1830" s="80" t="s">
        <v>352</v>
      </c>
      <c r="M1830" s="81">
        <v>6</v>
      </c>
      <c r="N1830" s="82">
        <v>450</v>
      </c>
    </row>
    <row r="1831" spans="1:14" x14ac:dyDescent="0.25">
      <c r="A1831" s="10" t="str">
        <f>_xlfn.IFNA(
    IF(J1831=
        "PCB-0001",
        "CSS",
        IF(
            ISNUMBER(MATCH(_xlfn.TEXTBEFORE(J1831,"-"), {"CSS","CSN","PCB","PCF","BEC","CSD","PCM"}, 0)),
            _xlfn.TEXTBEFORE(J1831,"-"),
            "Other"
        )
    ),
"Add")</f>
        <v>BEC</v>
      </c>
      <c r="B1831" s="10" t="str">
        <f t="shared" si="29"/>
        <v>0001</v>
      </c>
      <c r="C1831" s="10" t="str">
        <f>_xlfn.LET(
    _xlpm.val, IF(Datadetails[[#This Row],[Activity]]="D02","C20",Datadetails[[#This Row],[Activity]]),
    IF(ISNUMBER(MATCH(_xlpm.val,{"D04","C30","c40","C20"},0)), _xlpm.val, "Other")
)</f>
        <v>D04</v>
      </c>
      <c r="D1831" s="10" t="str">
        <f>IFERROR(VLOOKUP(Datadetails[[#This Row],[Taskcode]],Dashboard!A:A,1,FALSE),"00 Err Missing")</f>
        <v>0001</v>
      </c>
      <c r="E1831" s="79">
        <v>45889</v>
      </c>
      <c r="F1831" s="80" t="s">
        <v>332</v>
      </c>
      <c r="G1831" s="60" t="s">
        <v>40</v>
      </c>
      <c r="H1831" s="80" t="s">
        <v>314</v>
      </c>
      <c r="I1831" s="80" t="s">
        <v>35</v>
      </c>
      <c r="J1831" s="80" t="s">
        <v>359</v>
      </c>
      <c r="K1831" s="80" t="s">
        <v>339</v>
      </c>
      <c r="L1831" s="80" t="s">
        <v>352</v>
      </c>
      <c r="M1831" s="81">
        <v>8.83</v>
      </c>
      <c r="N1831" s="82">
        <v>353.2</v>
      </c>
    </row>
    <row r="1832" spans="1:14" x14ac:dyDescent="0.25">
      <c r="A1832" s="10" t="str">
        <f>_xlfn.IFNA(
    IF(J1832=
        "PCB-0001",
        "CSS",
        IF(
            ISNUMBER(MATCH(_xlfn.TEXTBEFORE(J1832,"-"), {"CSS","CSN","PCB","PCF","BEC","CSD","PCM"}, 0)),
            _xlfn.TEXTBEFORE(J1832,"-"),
            "Other"
        )
    ),
"Add")</f>
        <v>CSN</v>
      </c>
      <c r="B1832" s="10" t="str">
        <f t="shared" si="29"/>
        <v>0001</v>
      </c>
      <c r="C1832" s="10" t="str">
        <f>_xlfn.LET(
    _xlpm.val, IF(Datadetails[[#This Row],[Activity]]="D02","C20",Datadetails[[#This Row],[Activity]]),
    IF(ISNUMBER(MATCH(_xlpm.val,{"D04","C30","c40","C20"},0)), _xlpm.val, "Other")
)</f>
        <v>D04</v>
      </c>
      <c r="D1832" s="10" t="str">
        <f>IFERROR(VLOOKUP(Datadetails[[#This Row],[Taskcode]],Dashboard!A:A,1,FALSE),"00 Err Missing")</f>
        <v>0001</v>
      </c>
      <c r="E1832" s="79">
        <v>45890</v>
      </c>
      <c r="F1832" s="80" t="s">
        <v>329</v>
      </c>
      <c r="G1832" s="60" t="s">
        <v>40</v>
      </c>
      <c r="H1832" s="80" t="s">
        <v>316</v>
      </c>
      <c r="I1832" s="80" t="s">
        <v>35</v>
      </c>
      <c r="J1832" s="80" t="s">
        <v>338</v>
      </c>
      <c r="K1832" s="80" t="s">
        <v>337</v>
      </c>
      <c r="L1832" s="80" t="s">
        <v>352</v>
      </c>
      <c r="M1832" s="81">
        <v>1</v>
      </c>
      <c r="N1832" s="82">
        <v>75</v>
      </c>
    </row>
    <row r="1833" spans="1:14" x14ac:dyDescent="0.25">
      <c r="A1833" s="10" t="str">
        <f>_xlfn.IFNA(
    IF(J1833=
        "PCB-0001",
        "CSS",
        IF(
            ISNUMBER(MATCH(_xlfn.TEXTBEFORE(J1833,"-"), {"CSS","CSN","PCB","PCF","BEC","CSD","PCM"}, 0)),
            _xlfn.TEXTBEFORE(J1833,"-"),
            "Other"
        )
    ),
"Add")</f>
        <v>PCB</v>
      </c>
      <c r="B1833" s="10" t="str">
        <f t="shared" si="29"/>
        <v>0031</v>
      </c>
      <c r="C1833" s="10" t="str">
        <f>_xlfn.LET(
    _xlpm.val, IF(Datadetails[[#This Row],[Activity]]="D02","C20",Datadetails[[#This Row],[Activity]]),
    IF(ISNUMBER(MATCH(_xlpm.val,{"D04","C30","c40","C20"},0)), _xlpm.val, "Other")
)</f>
        <v>C40</v>
      </c>
      <c r="D1833" s="10" t="str">
        <f>IFERROR(VLOOKUP(Datadetails[[#This Row],[Taskcode]],Dashboard!A:A,1,FALSE),"00 Err Missing")</f>
        <v>0031</v>
      </c>
      <c r="E1833" s="79">
        <v>45890</v>
      </c>
      <c r="F1833" s="80" t="s">
        <v>325</v>
      </c>
      <c r="G1833" s="60" t="s">
        <v>40</v>
      </c>
      <c r="H1833" s="80" t="s">
        <v>198</v>
      </c>
      <c r="I1833" s="80" t="s">
        <v>341</v>
      </c>
      <c r="J1833" s="80" t="s">
        <v>413</v>
      </c>
      <c r="K1833" s="80" t="s">
        <v>347</v>
      </c>
      <c r="L1833" s="80" t="s">
        <v>344</v>
      </c>
      <c r="M1833" s="81">
        <v>1.42</v>
      </c>
      <c r="N1833" s="82">
        <v>106.5</v>
      </c>
    </row>
    <row r="1834" spans="1:14" x14ac:dyDescent="0.25">
      <c r="A1834" s="10" t="str">
        <f>_xlfn.IFNA(
    IF(J1834=
        "PCB-0001",
        "CSS",
        IF(
            ISNUMBER(MATCH(_xlfn.TEXTBEFORE(J1834,"-"), {"CSS","CSN","PCB","PCF","BEC","CSD","PCM"}, 0)),
            _xlfn.TEXTBEFORE(J1834,"-"),
            "Other"
        )
    ),
"Add")</f>
        <v>CSD</v>
      </c>
      <c r="B1834" s="10" t="str">
        <f t="shared" si="29"/>
        <v>0001</v>
      </c>
      <c r="C1834" s="10" t="str">
        <f>_xlfn.LET(
    _xlpm.val, IF(Datadetails[[#This Row],[Activity]]="D02","C20",Datadetails[[#This Row],[Activity]]),
    IF(ISNUMBER(MATCH(_xlpm.val,{"D04","C30","c40","C20"},0)), _xlpm.val, "Other")
)</f>
        <v>D04</v>
      </c>
      <c r="D1834" s="10" t="str">
        <f>IFERROR(VLOOKUP(Datadetails[[#This Row],[Taskcode]],Dashboard!A:A,1,FALSE),"00 Err Missing")</f>
        <v>0001</v>
      </c>
      <c r="E1834" s="79">
        <v>45890</v>
      </c>
      <c r="F1834" s="80" t="s">
        <v>333</v>
      </c>
      <c r="G1834" s="60" t="s">
        <v>40</v>
      </c>
      <c r="H1834" s="80" t="s">
        <v>320</v>
      </c>
      <c r="I1834" s="80" t="s">
        <v>35</v>
      </c>
      <c r="J1834" s="80" t="s">
        <v>322</v>
      </c>
      <c r="K1834" s="80" t="s">
        <v>319</v>
      </c>
      <c r="L1834" s="80" t="s">
        <v>352</v>
      </c>
      <c r="M1834" s="81">
        <v>8.2200000000000006</v>
      </c>
      <c r="N1834" s="82">
        <v>263.04000000000002</v>
      </c>
    </row>
    <row r="1835" spans="1:14" x14ac:dyDescent="0.25">
      <c r="A1835" s="10" t="str">
        <f>_xlfn.IFNA(
    IF(J1835=
        "PCB-0001",
        "CSS",
        IF(
            ISNUMBER(MATCH(_xlfn.TEXTBEFORE(J1835,"-"), {"CSS","CSN","PCB","PCF","BEC","CSD","PCM"}, 0)),
            _xlfn.TEXTBEFORE(J1835,"-"),
            "Other"
        )
    ),
"Add")</f>
        <v>PCB</v>
      </c>
      <c r="B1835" s="10" t="str">
        <f t="shared" si="29"/>
        <v>0137</v>
      </c>
      <c r="C1835" s="10" t="str">
        <f>_xlfn.LET(
    _xlpm.val, IF(Datadetails[[#This Row],[Activity]]="D02","C20",Datadetails[[#This Row],[Activity]]),
    IF(ISNUMBER(MATCH(_xlpm.val,{"D04","C30","c40","C20"},0)), _xlpm.val, "Other")
)</f>
        <v>C30</v>
      </c>
      <c r="D1835" s="10" t="str">
        <f>IFERROR(VLOOKUP(Datadetails[[#This Row],[Taskcode]],Dashboard!A:A,1,FALSE),"00 Err Missing")</f>
        <v>0137</v>
      </c>
      <c r="E1835" s="79">
        <v>45890</v>
      </c>
      <c r="F1835" s="80" t="s">
        <v>325</v>
      </c>
      <c r="G1835" s="60" t="s">
        <v>40</v>
      </c>
      <c r="H1835" s="80" t="s">
        <v>304</v>
      </c>
      <c r="I1835" s="80" t="s">
        <v>34</v>
      </c>
      <c r="J1835" s="80" t="s">
        <v>372</v>
      </c>
      <c r="K1835" s="80" t="s">
        <v>347</v>
      </c>
      <c r="L1835" s="80" t="s">
        <v>343</v>
      </c>
      <c r="M1835" s="81">
        <v>0.33</v>
      </c>
      <c r="N1835" s="82">
        <v>24.75</v>
      </c>
    </row>
    <row r="1836" spans="1:14" x14ac:dyDescent="0.25">
      <c r="A1836" s="10" t="str">
        <f>_xlfn.IFNA(
    IF(J1836=
        "PCB-0001",
        "CSS",
        IF(
            ISNUMBER(MATCH(_xlfn.TEXTBEFORE(J1836,"-"), {"CSS","CSN","PCB","PCF","BEC","CSD","PCM"}, 0)),
            _xlfn.TEXTBEFORE(J1836,"-"),
            "Other"
        )
    ),
"Add")</f>
        <v>PCB</v>
      </c>
      <c r="B1836" s="10" t="str">
        <f t="shared" si="29"/>
        <v>0043</v>
      </c>
      <c r="C1836" s="10" t="str">
        <f>_xlfn.LET(
    _xlpm.val, IF(Datadetails[[#This Row],[Activity]]="D02","C20",Datadetails[[#This Row],[Activity]]),
    IF(ISNUMBER(MATCH(_xlpm.val,{"D04","C30","c40","C20"},0)), _xlpm.val, "Other")
)</f>
        <v>C30</v>
      </c>
      <c r="D1836" s="10" t="str">
        <f>IFERROR(VLOOKUP(Datadetails[[#This Row],[Taskcode]],Dashboard!A:A,1,FALSE),"00 Err Missing")</f>
        <v>0043</v>
      </c>
      <c r="E1836" s="79">
        <v>45890</v>
      </c>
      <c r="F1836" s="80" t="s">
        <v>325</v>
      </c>
      <c r="G1836" s="60" t="s">
        <v>40</v>
      </c>
      <c r="H1836" s="80" t="s">
        <v>210</v>
      </c>
      <c r="I1836" s="80" t="s">
        <v>34</v>
      </c>
      <c r="J1836" s="80" t="s">
        <v>399</v>
      </c>
      <c r="K1836" s="80" t="s">
        <v>347</v>
      </c>
      <c r="L1836" s="80" t="s">
        <v>343</v>
      </c>
      <c r="M1836" s="81">
        <v>0.25</v>
      </c>
      <c r="N1836" s="82">
        <v>18.75</v>
      </c>
    </row>
    <row r="1837" spans="1:14" x14ac:dyDescent="0.25">
      <c r="A1837" s="10" t="str">
        <f>_xlfn.IFNA(
    IF(J1837=
        "PCB-0001",
        "CSS",
        IF(
            ISNUMBER(MATCH(_xlfn.TEXTBEFORE(J1837,"-"), {"CSS","CSN","PCB","PCF","BEC","CSD","PCM"}, 0)),
            _xlfn.TEXTBEFORE(J1837,"-"),
            "Other"
        )
    ),
"Add")</f>
        <v>PCB</v>
      </c>
      <c r="B1837" s="10" t="str">
        <f t="shared" si="29"/>
        <v>0062</v>
      </c>
      <c r="C1837" s="10" t="str">
        <f>_xlfn.LET(
    _xlpm.val, IF(Datadetails[[#This Row],[Activity]]="D02","C20",Datadetails[[#This Row],[Activity]]),
    IF(ISNUMBER(MATCH(_xlpm.val,{"D04","C30","c40","C20"},0)), _xlpm.val, "Other")
)</f>
        <v>C30</v>
      </c>
      <c r="D1837" s="10" t="str">
        <f>IFERROR(VLOOKUP(Datadetails[[#This Row],[Taskcode]],Dashboard!A:A,1,FALSE),"00 Err Missing")</f>
        <v>0062</v>
      </c>
      <c r="E1837" s="79">
        <v>45890</v>
      </c>
      <c r="F1837" s="80" t="s">
        <v>329</v>
      </c>
      <c r="G1837" s="60" t="s">
        <v>40</v>
      </c>
      <c r="H1837" s="80" t="s">
        <v>229</v>
      </c>
      <c r="I1837" s="80" t="s">
        <v>34</v>
      </c>
      <c r="J1837" s="80" t="s">
        <v>373</v>
      </c>
      <c r="K1837" s="80" t="s">
        <v>347</v>
      </c>
      <c r="L1837" s="80" t="s">
        <v>343</v>
      </c>
      <c r="M1837" s="81">
        <v>0.67</v>
      </c>
      <c r="N1837" s="82">
        <v>50.25</v>
      </c>
    </row>
    <row r="1838" spans="1:14" x14ac:dyDescent="0.25">
      <c r="A1838" s="10" t="str">
        <f>_xlfn.IFNA(
    IF(J1838=
        "PCB-0001",
        "CSS",
        IF(
            ISNUMBER(MATCH(_xlfn.TEXTBEFORE(J1838,"-"), {"CSS","CSN","PCB","PCF","BEC","CSD","PCM"}, 0)),
            _xlfn.TEXTBEFORE(J1838,"-"),
            "Other"
        )
    ),
"Add")</f>
        <v>PCF</v>
      </c>
      <c r="B1838" s="10" t="str">
        <f t="shared" si="29"/>
        <v>0008</v>
      </c>
      <c r="C1838" s="10" t="str">
        <f>_xlfn.LET(
    _xlpm.val, IF(Datadetails[[#This Row],[Activity]]="D02","C20",Datadetails[[#This Row],[Activity]]),
    IF(ISNUMBER(MATCH(_xlpm.val,{"D04","C30","c40","C20"},0)), _xlpm.val, "Other")
)</f>
        <v>C20</v>
      </c>
      <c r="D1838" s="10" t="str">
        <f>IFERROR(VLOOKUP(Datadetails[[#This Row],[Taskcode]],Dashboard!A:A,1,FALSE),"00 Err Missing")</f>
        <v>0008</v>
      </c>
      <c r="E1838" s="79">
        <v>45890</v>
      </c>
      <c r="F1838" s="80" t="s">
        <v>326</v>
      </c>
      <c r="G1838" s="60" t="s">
        <v>40</v>
      </c>
      <c r="H1838" s="80" t="s">
        <v>175</v>
      </c>
      <c r="I1838" s="80" t="s">
        <v>36</v>
      </c>
      <c r="J1838" s="80" t="s">
        <v>388</v>
      </c>
      <c r="K1838" s="80" t="s">
        <v>348</v>
      </c>
      <c r="L1838" s="80" t="s">
        <v>342</v>
      </c>
      <c r="M1838" s="81">
        <v>0.5</v>
      </c>
      <c r="N1838" s="82">
        <v>30</v>
      </c>
    </row>
    <row r="1839" spans="1:14" x14ac:dyDescent="0.25">
      <c r="A1839" s="10" t="str">
        <f>_xlfn.IFNA(
    IF(J1839=
        "PCB-0001",
        "CSS",
        IF(
            ISNUMBER(MATCH(_xlfn.TEXTBEFORE(J1839,"-"), {"CSS","CSN","PCB","PCF","BEC","CSD","PCM"}, 0)),
            _xlfn.TEXTBEFORE(J1839,"-"),
            "Other"
        )
    ),
"Add")</f>
        <v>PCF</v>
      </c>
      <c r="B1839" s="10" t="str">
        <f t="shared" si="29"/>
        <v>0098</v>
      </c>
      <c r="C1839" s="10" t="str">
        <f>_xlfn.LET(
    _xlpm.val, IF(Datadetails[[#This Row],[Activity]]="D02","C20",Datadetails[[#This Row],[Activity]]),
    IF(ISNUMBER(MATCH(_xlpm.val,{"D04","C30","c40","C20"},0)), _xlpm.val, "Other")
)</f>
        <v>C30</v>
      </c>
      <c r="D1839" s="10" t="str">
        <f>IFERROR(VLOOKUP(Datadetails[[#This Row],[Taskcode]],Dashboard!A:A,1,FALSE),"00 Err Missing")</f>
        <v>0098</v>
      </c>
      <c r="E1839" s="79">
        <v>45890</v>
      </c>
      <c r="F1839" s="80" t="s">
        <v>326</v>
      </c>
      <c r="G1839" s="60" t="s">
        <v>40</v>
      </c>
      <c r="H1839" s="80" t="s">
        <v>265</v>
      </c>
      <c r="I1839" s="80" t="s">
        <v>34</v>
      </c>
      <c r="J1839" s="80" t="s">
        <v>358</v>
      </c>
      <c r="K1839" s="80" t="s">
        <v>348</v>
      </c>
      <c r="L1839" s="80" t="s">
        <v>343</v>
      </c>
      <c r="M1839" s="81">
        <v>0.5</v>
      </c>
      <c r="N1839" s="82">
        <v>30</v>
      </c>
    </row>
    <row r="1840" spans="1:14" x14ac:dyDescent="0.25">
      <c r="A1840" s="10" t="str">
        <f>_xlfn.IFNA(
    IF(J1840=
        "PCB-0001",
        "CSS",
        IF(
            ISNUMBER(MATCH(_xlfn.TEXTBEFORE(J1840,"-"), {"CSS","CSN","PCB","PCF","BEC","CSD","PCM"}, 0)),
            _xlfn.TEXTBEFORE(J1840,"-"),
            "Other"
        )
    ),
"Add")</f>
        <v>BEC</v>
      </c>
      <c r="B1840" s="10" t="str">
        <f t="shared" si="29"/>
        <v>0001</v>
      </c>
      <c r="C1840" s="10" t="str">
        <f>_xlfn.LET(
    _xlpm.val, IF(Datadetails[[#This Row],[Activity]]="D02","C20",Datadetails[[#This Row],[Activity]]),
    IF(ISNUMBER(MATCH(_xlpm.val,{"D04","C30","c40","C20"},0)), _xlpm.val, "Other")
)</f>
        <v>D04</v>
      </c>
      <c r="D1840" s="10" t="str">
        <f>IFERROR(VLOOKUP(Datadetails[[#This Row],[Taskcode]],Dashboard!A:A,1,FALSE),"00 Err Missing")</f>
        <v>0001</v>
      </c>
      <c r="E1840" s="79">
        <v>45890</v>
      </c>
      <c r="F1840" s="80" t="s">
        <v>324</v>
      </c>
      <c r="G1840" s="60" t="s">
        <v>40</v>
      </c>
      <c r="H1840" s="80" t="s">
        <v>314</v>
      </c>
      <c r="I1840" s="80" t="s">
        <v>35</v>
      </c>
      <c r="J1840" s="80" t="s">
        <v>359</v>
      </c>
      <c r="K1840" s="80" t="s">
        <v>339</v>
      </c>
      <c r="L1840" s="80" t="s">
        <v>352</v>
      </c>
      <c r="M1840" s="81">
        <v>4.75</v>
      </c>
      <c r="N1840" s="82">
        <v>356.25</v>
      </c>
    </row>
    <row r="1841" spans="1:14" x14ac:dyDescent="0.25">
      <c r="A1841" s="10" t="str">
        <f>_xlfn.IFNA(
    IF(J1841=
        "PCB-0001",
        "CSS",
        IF(
            ISNUMBER(MATCH(_xlfn.TEXTBEFORE(J1841,"-"), {"CSS","CSN","PCB","PCF","BEC","CSD","PCM"}, 0)),
            _xlfn.TEXTBEFORE(J1841,"-"),
            "Other"
        )
    ),
"Add")</f>
        <v>BEC</v>
      </c>
      <c r="B1841" s="10" t="str">
        <f t="shared" si="29"/>
        <v>0001</v>
      </c>
      <c r="C1841" s="10" t="str">
        <f>_xlfn.LET(
    _xlpm.val, IF(Datadetails[[#This Row],[Activity]]="D02","C20",Datadetails[[#This Row],[Activity]]),
    IF(ISNUMBER(MATCH(_xlpm.val,{"D04","C30","c40","C20"},0)), _xlpm.val, "Other")
)</f>
        <v>D04</v>
      </c>
      <c r="D1841" s="10" t="str">
        <f>IFERROR(VLOOKUP(Datadetails[[#This Row],[Taskcode]],Dashboard!A:A,1,FALSE),"00 Err Missing")</f>
        <v>0001</v>
      </c>
      <c r="E1841" s="79">
        <v>45890</v>
      </c>
      <c r="F1841" s="80" t="s">
        <v>332</v>
      </c>
      <c r="G1841" s="60" t="s">
        <v>40</v>
      </c>
      <c r="H1841" s="80" t="s">
        <v>314</v>
      </c>
      <c r="I1841" s="80" t="s">
        <v>35</v>
      </c>
      <c r="J1841" s="80" t="s">
        <v>359</v>
      </c>
      <c r="K1841" s="80" t="s">
        <v>339</v>
      </c>
      <c r="L1841" s="80" t="s">
        <v>352</v>
      </c>
      <c r="M1841" s="81">
        <v>8.5</v>
      </c>
      <c r="N1841" s="82">
        <v>340</v>
      </c>
    </row>
    <row r="1842" spans="1:14" x14ac:dyDescent="0.25">
      <c r="A1842" s="10" t="str">
        <f>_xlfn.IFNA(
    IF(J1842=
        "PCB-0001",
        "CSS",
        IF(
            ISNUMBER(MATCH(_xlfn.TEXTBEFORE(J1842,"-"), {"CSS","CSN","PCB","PCF","BEC","CSD","PCM"}, 0)),
            _xlfn.TEXTBEFORE(J1842,"-"),
            "Other"
        )
    ),
"Add")</f>
        <v>CSN</v>
      </c>
      <c r="B1842" s="10" t="str">
        <f t="shared" si="29"/>
        <v>0001</v>
      </c>
      <c r="C1842" s="10" t="str">
        <f>_xlfn.LET(
    _xlpm.val, IF(Datadetails[[#This Row],[Activity]]="D02","C20",Datadetails[[#This Row],[Activity]]),
    IF(ISNUMBER(MATCH(_xlpm.val,{"D04","C30","c40","C20"},0)), _xlpm.val, "Other")
)</f>
        <v>D04</v>
      </c>
      <c r="D1842" s="10" t="str">
        <f>IFERROR(VLOOKUP(Datadetails[[#This Row],[Taskcode]],Dashboard!A:A,1,FALSE),"00 Err Missing")</f>
        <v>0001</v>
      </c>
      <c r="E1842" s="79">
        <v>45891</v>
      </c>
      <c r="F1842" s="80" t="s">
        <v>329</v>
      </c>
      <c r="G1842" s="60" t="s">
        <v>40</v>
      </c>
      <c r="H1842" s="80" t="s">
        <v>316</v>
      </c>
      <c r="I1842" s="80" t="s">
        <v>35</v>
      </c>
      <c r="J1842" s="80" t="s">
        <v>338</v>
      </c>
      <c r="K1842" s="80" t="s">
        <v>337</v>
      </c>
      <c r="L1842" s="80" t="s">
        <v>352</v>
      </c>
      <c r="M1842" s="81">
        <v>1</v>
      </c>
      <c r="N1842" s="82">
        <v>75</v>
      </c>
    </row>
    <row r="1843" spans="1:14" x14ac:dyDescent="0.25">
      <c r="A1843" s="10" t="str">
        <f>_xlfn.IFNA(
    IF(J1843=
        "PCB-0001",
        "CSS",
        IF(
            ISNUMBER(MATCH(_xlfn.TEXTBEFORE(J1843,"-"), {"CSS","CSN","PCB","PCF","BEC","CSD","PCM"}, 0)),
            _xlfn.TEXTBEFORE(J1843,"-"),
            "Other"
        )
    ),
"Add")</f>
        <v>PCB</v>
      </c>
      <c r="B1843" s="10" t="str">
        <f t="shared" si="29"/>
        <v>0075</v>
      </c>
      <c r="C1843" s="10" t="str">
        <f>_xlfn.LET(
    _xlpm.val, IF(Datadetails[[#This Row],[Activity]]="D02","C20",Datadetails[[#This Row],[Activity]]),
    IF(ISNUMBER(MATCH(_xlpm.val,{"D04","C30","c40","C20"},0)), _xlpm.val, "Other")
)</f>
        <v>C40</v>
      </c>
      <c r="D1843" s="10" t="str">
        <f>IFERROR(VLOOKUP(Datadetails[[#This Row],[Taskcode]],Dashboard!A:A,1,FALSE),"00 Err Missing")</f>
        <v>0075</v>
      </c>
      <c r="E1843" s="79">
        <v>45891</v>
      </c>
      <c r="F1843" s="80" t="s">
        <v>329</v>
      </c>
      <c r="G1843" s="60" t="s">
        <v>40</v>
      </c>
      <c r="H1843" s="80" t="s">
        <v>242</v>
      </c>
      <c r="I1843" s="80" t="s">
        <v>341</v>
      </c>
      <c r="J1843" s="80" t="s">
        <v>404</v>
      </c>
      <c r="K1843" s="80" t="s">
        <v>347</v>
      </c>
      <c r="L1843" s="80" t="s">
        <v>344</v>
      </c>
      <c r="M1843" s="81">
        <v>0.5</v>
      </c>
      <c r="N1843" s="82">
        <v>37.5</v>
      </c>
    </row>
    <row r="1844" spans="1:14" x14ac:dyDescent="0.25">
      <c r="A1844" s="10" t="str">
        <f>_xlfn.IFNA(
    IF(J1844=
        "PCB-0001",
        "CSS",
        IF(
            ISNUMBER(MATCH(_xlfn.TEXTBEFORE(J1844,"-"), {"CSS","CSN","PCB","PCF","BEC","CSD","PCM"}, 0)),
            _xlfn.TEXTBEFORE(J1844,"-"),
            "Other"
        )
    ),
"Add")</f>
        <v>PCM</v>
      </c>
      <c r="B1844" s="10" t="str">
        <f t="shared" si="29"/>
        <v>0035</v>
      </c>
      <c r="C1844" s="10" t="str">
        <f>_xlfn.LET(
    _xlpm.val, IF(Datadetails[[#This Row],[Activity]]="D02","C20",Datadetails[[#This Row],[Activity]]),
    IF(ISNUMBER(MATCH(_xlpm.val,{"D04","C30","c40","C20"},0)), _xlpm.val, "Other")
)</f>
        <v>C20</v>
      </c>
      <c r="D1844" s="10" t="str">
        <f>IFERROR(VLOOKUP(Datadetails[[#This Row],[Taskcode]],Dashboard!A:A,1,FALSE),"00 Err Missing")</f>
        <v>0035</v>
      </c>
      <c r="E1844" s="79">
        <v>45891</v>
      </c>
      <c r="F1844" s="80" t="s">
        <v>323</v>
      </c>
      <c r="G1844" s="60" t="s">
        <v>40</v>
      </c>
      <c r="H1844" s="80" t="s">
        <v>202</v>
      </c>
      <c r="I1844" s="80" t="s">
        <v>36</v>
      </c>
      <c r="J1844" s="80" t="s">
        <v>431</v>
      </c>
      <c r="K1844" s="80" t="s">
        <v>346</v>
      </c>
      <c r="L1844" s="80" t="s">
        <v>342</v>
      </c>
      <c r="M1844" s="81">
        <v>1</v>
      </c>
      <c r="N1844" s="82">
        <v>60</v>
      </c>
    </row>
    <row r="1845" spans="1:14" x14ac:dyDescent="0.25">
      <c r="A1845" s="10" t="str">
        <f>_xlfn.IFNA(
    IF(J1845=
        "PCB-0001",
        "CSS",
        IF(
            ISNUMBER(MATCH(_xlfn.TEXTBEFORE(J1845,"-"), {"CSS","CSN","PCB","PCF","BEC","CSD","PCM"}, 0)),
            _xlfn.TEXTBEFORE(J1845,"-"),
            "Other"
        )
    ),
"Add")</f>
        <v>CSD</v>
      </c>
      <c r="B1845" s="10" t="str">
        <f t="shared" si="29"/>
        <v>0001</v>
      </c>
      <c r="C1845" s="10" t="str">
        <f>_xlfn.LET(
    _xlpm.val, IF(Datadetails[[#This Row],[Activity]]="D02","C20",Datadetails[[#This Row],[Activity]]),
    IF(ISNUMBER(MATCH(_xlpm.val,{"D04","C30","c40","C20"},0)), _xlpm.val, "Other")
)</f>
        <v>D04</v>
      </c>
      <c r="D1845" s="10" t="str">
        <f>IFERROR(VLOOKUP(Datadetails[[#This Row],[Taskcode]],Dashboard!A:A,1,FALSE),"00 Err Missing")</f>
        <v>0001</v>
      </c>
      <c r="E1845" s="79">
        <v>45891</v>
      </c>
      <c r="F1845" s="80" t="s">
        <v>327</v>
      </c>
      <c r="G1845" s="60" t="s">
        <v>40</v>
      </c>
      <c r="H1845" s="80" t="s">
        <v>320</v>
      </c>
      <c r="I1845" s="80" t="s">
        <v>35</v>
      </c>
      <c r="J1845" s="80" t="s">
        <v>322</v>
      </c>
      <c r="K1845" s="80" t="s">
        <v>319</v>
      </c>
      <c r="L1845" s="80" t="s">
        <v>352</v>
      </c>
      <c r="M1845" s="81">
        <v>7.25</v>
      </c>
      <c r="N1845" s="82">
        <v>232</v>
      </c>
    </row>
    <row r="1846" spans="1:14" x14ac:dyDescent="0.25">
      <c r="A1846" s="10" t="str">
        <f>_xlfn.IFNA(
    IF(J1846=
        "PCB-0001",
        "CSS",
        IF(
            ISNUMBER(MATCH(_xlfn.TEXTBEFORE(J1846,"-"), {"CSS","CSN","PCB","PCF","BEC","CSD","PCM"}, 0)),
            _xlfn.TEXTBEFORE(J1846,"-"),
            "Other"
        )
    ),
"Add")</f>
        <v>PCM</v>
      </c>
      <c r="B1846" s="10" t="str">
        <f t="shared" si="29"/>
        <v>0115</v>
      </c>
      <c r="C1846" s="10" t="str">
        <f>_xlfn.LET(
    _xlpm.val, IF(Datadetails[[#This Row],[Activity]]="D02","C20",Datadetails[[#This Row],[Activity]]),
    IF(ISNUMBER(MATCH(_xlpm.val,{"D04","C30","c40","C20"},0)), _xlpm.val, "Other")
)</f>
        <v>C20</v>
      </c>
      <c r="D1846" s="10" t="str">
        <f>IFERROR(VLOOKUP(Datadetails[[#This Row],[Taskcode]],Dashboard!A:A,1,FALSE),"00 Err Missing")</f>
        <v>0115</v>
      </c>
      <c r="E1846" s="79">
        <v>45891</v>
      </c>
      <c r="F1846" s="80" t="s">
        <v>323</v>
      </c>
      <c r="G1846" s="60" t="s">
        <v>40</v>
      </c>
      <c r="H1846" s="80" t="s">
        <v>282</v>
      </c>
      <c r="I1846" s="80" t="s">
        <v>36</v>
      </c>
      <c r="J1846" s="80" t="s">
        <v>451</v>
      </c>
      <c r="K1846" s="80" t="s">
        <v>346</v>
      </c>
      <c r="L1846" s="80" t="s">
        <v>342</v>
      </c>
      <c r="M1846" s="81">
        <v>0.25</v>
      </c>
      <c r="N1846" s="82">
        <v>15</v>
      </c>
    </row>
    <row r="1847" spans="1:14" x14ac:dyDescent="0.25">
      <c r="A1847" s="10" t="str">
        <f>_xlfn.IFNA(
    IF(J1847=
        "PCB-0001",
        "CSS",
        IF(
            ISNUMBER(MATCH(_xlfn.TEXTBEFORE(J1847,"-"), {"CSS","CSN","PCB","PCF","BEC","CSD","PCM"}, 0)),
            _xlfn.TEXTBEFORE(J1847,"-"),
            "Other"
        )
    ),
"Add")</f>
        <v>PCB</v>
      </c>
      <c r="B1847" s="10" t="str">
        <f t="shared" si="29"/>
        <v>0082</v>
      </c>
      <c r="C1847" s="10" t="str">
        <f>_xlfn.LET(
    _xlpm.val, IF(Datadetails[[#This Row],[Activity]]="D02","C20",Datadetails[[#This Row],[Activity]]),
    IF(ISNUMBER(MATCH(_xlpm.val,{"D04","C30","c40","C20"},0)), _xlpm.val, "Other")
)</f>
        <v>C30</v>
      </c>
      <c r="D1847" s="10" t="str">
        <f>IFERROR(VLOOKUP(Datadetails[[#This Row],[Taskcode]],Dashboard!A:A,1,FALSE),"00 Err Missing")</f>
        <v>0082</v>
      </c>
      <c r="E1847" s="79">
        <v>45891</v>
      </c>
      <c r="F1847" s="80" t="s">
        <v>325</v>
      </c>
      <c r="G1847" s="60" t="s">
        <v>40</v>
      </c>
      <c r="H1847" s="80" t="s">
        <v>249</v>
      </c>
      <c r="I1847" s="80" t="s">
        <v>34</v>
      </c>
      <c r="J1847" s="80" t="s">
        <v>409</v>
      </c>
      <c r="K1847" s="80" t="s">
        <v>347</v>
      </c>
      <c r="L1847" s="80" t="s">
        <v>343</v>
      </c>
      <c r="M1847" s="81">
        <v>0.25</v>
      </c>
      <c r="N1847" s="82">
        <v>18.75</v>
      </c>
    </row>
    <row r="1848" spans="1:14" x14ac:dyDescent="0.25">
      <c r="A1848" s="10" t="str">
        <f>_xlfn.IFNA(
    IF(J1848=
        "PCB-0001",
        "CSS",
        IF(
            ISNUMBER(MATCH(_xlfn.TEXTBEFORE(J1848,"-"), {"CSS","CSN","PCB","PCF","BEC","CSD","PCM"}, 0)),
            _xlfn.TEXTBEFORE(J1848,"-"),
            "Other"
        )
    ),
"Add")</f>
        <v>PCB</v>
      </c>
      <c r="B1848" s="10" t="str">
        <f t="shared" si="29"/>
        <v>0132</v>
      </c>
      <c r="C1848" s="10" t="str">
        <f>_xlfn.LET(
    _xlpm.val, IF(Datadetails[[#This Row],[Activity]]="D02","C20",Datadetails[[#This Row],[Activity]]),
    IF(ISNUMBER(MATCH(_xlpm.val,{"D04","C30","c40","C20"},0)), _xlpm.val, "Other")
)</f>
        <v>C20</v>
      </c>
      <c r="D1848" s="10" t="str">
        <f>IFERROR(VLOOKUP(Datadetails[[#This Row],[Taskcode]],Dashboard!A:A,1,FALSE),"00 Err Missing")</f>
        <v>0132</v>
      </c>
      <c r="E1848" s="79">
        <v>45891</v>
      </c>
      <c r="F1848" s="80" t="s">
        <v>329</v>
      </c>
      <c r="G1848" s="60" t="s">
        <v>40</v>
      </c>
      <c r="H1848" s="80" t="s">
        <v>299</v>
      </c>
      <c r="I1848" s="80" t="s">
        <v>312</v>
      </c>
      <c r="J1848" s="80" t="s">
        <v>455</v>
      </c>
      <c r="K1848" s="80" t="s">
        <v>347</v>
      </c>
      <c r="L1848" s="80" t="s">
        <v>350</v>
      </c>
      <c r="M1848" s="81">
        <v>2</v>
      </c>
      <c r="N1848" s="82">
        <v>150</v>
      </c>
    </row>
    <row r="1849" spans="1:14" x14ac:dyDescent="0.25">
      <c r="A1849" s="10" t="str">
        <f>_xlfn.IFNA(
    IF(J1849=
        "PCB-0001",
        "CSS",
        IF(
            ISNUMBER(MATCH(_xlfn.TEXTBEFORE(J1849,"-"), {"CSS","CSN","PCB","PCF","BEC","CSD","PCM"}, 0)),
            _xlfn.TEXTBEFORE(J1849,"-"),
            "Other"
        )
    ),
"Add")</f>
        <v>BEC</v>
      </c>
      <c r="B1849" s="10" t="str">
        <f t="shared" si="29"/>
        <v>0001</v>
      </c>
      <c r="C1849" s="10" t="str">
        <f>_xlfn.LET(
    _xlpm.val, IF(Datadetails[[#This Row],[Activity]]="D02","C20",Datadetails[[#This Row],[Activity]]),
    IF(ISNUMBER(MATCH(_xlpm.val,{"D04","C30","c40","C20"},0)), _xlpm.val, "Other")
)</f>
        <v>D04</v>
      </c>
      <c r="D1849" s="10" t="str">
        <f>IFERROR(VLOOKUP(Datadetails[[#This Row],[Taskcode]],Dashboard!A:A,1,FALSE),"00 Err Missing")</f>
        <v>0001</v>
      </c>
      <c r="E1849" s="79">
        <v>45891</v>
      </c>
      <c r="F1849" s="80" t="s">
        <v>324</v>
      </c>
      <c r="G1849" s="60" t="s">
        <v>40</v>
      </c>
      <c r="H1849" s="80" t="s">
        <v>314</v>
      </c>
      <c r="I1849" s="80" t="s">
        <v>35</v>
      </c>
      <c r="J1849" s="80" t="s">
        <v>359</v>
      </c>
      <c r="K1849" s="80" t="s">
        <v>339</v>
      </c>
      <c r="L1849" s="80" t="s">
        <v>352</v>
      </c>
      <c r="M1849" s="81">
        <v>3.75</v>
      </c>
      <c r="N1849" s="82">
        <v>281.25</v>
      </c>
    </row>
    <row r="1850" spans="1:14" x14ac:dyDescent="0.25">
      <c r="A1850" s="10" t="str">
        <f>_xlfn.IFNA(
    IF(J1850=
        "PCB-0001",
        "CSS",
        IF(
            ISNUMBER(MATCH(_xlfn.TEXTBEFORE(J1850,"-"), {"CSS","CSN","PCB","PCF","BEC","CSD","PCM"}, 0)),
            _xlfn.TEXTBEFORE(J1850,"-"),
            "Other"
        )
    ),
"Add")</f>
        <v>BEC</v>
      </c>
      <c r="B1850" s="10" t="str">
        <f t="shared" si="29"/>
        <v>0001</v>
      </c>
      <c r="C1850" s="10" t="str">
        <f>_xlfn.LET(
    _xlpm.val, IF(Datadetails[[#This Row],[Activity]]="D02","C20",Datadetails[[#This Row],[Activity]]),
    IF(ISNUMBER(MATCH(_xlpm.val,{"D04","C30","c40","C20"},0)), _xlpm.val, "Other")
)</f>
        <v>D04</v>
      </c>
      <c r="D1850" s="10" t="str">
        <f>IFERROR(VLOOKUP(Datadetails[[#This Row],[Taskcode]],Dashboard!A:A,1,FALSE),"00 Err Missing")</f>
        <v>0001</v>
      </c>
      <c r="E1850" s="79">
        <v>45892</v>
      </c>
      <c r="F1850" s="80" t="s">
        <v>332</v>
      </c>
      <c r="G1850" s="60" t="s">
        <v>40</v>
      </c>
      <c r="H1850" s="80" t="s">
        <v>314</v>
      </c>
      <c r="I1850" s="80" t="s">
        <v>35</v>
      </c>
      <c r="J1850" s="80" t="s">
        <v>359</v>
      </c>
      <c r="K1850" s="80" t="s">
        <v>339</v>
      </c>
      <c r="L1850" s="80" t="s">
        <v>352</v>
      </c>
      <c r="M1850" s="81">
        <v>3</v>
      </c>
      <c r="N1850" s="82">
        <v>120</v>
      </c>
    </row>
    <row r="1851" spans="1:14" x14ac:dyDescent="0.25">
      <c r="A1851" s="10" t="str">
        <f>_xlfn.IFNA(
    IF(J1851=
        "PCB-0001",
        "CSS",
        IF(
            ISNUMBER(MATCH(_xlfn.TEXTBEFORE(J1851,"-"), {"CSS","CSN","PCB","PCF","BEC","CSD","PCM"}, 0)),
            _xlfn.TEXTBEFORE(J1851,"-"),
            "Other"
        )
    ),
"Add")</f>
        <v>CSD</v>
      </c>
      <c r="B1851" s="10" t="str">
        <f t="shared" si="29"/>
        <v>0001</v>
      </c>
      <c r="C1851" s="10" t="str">
        <f>_xlfn.LET(
    _xlpm.val, IF(Datadetails[[#This Row],[Activity]]="D02","C20",Datadetails[[#This Row],[Activity]]),
    IF(ISNUMBER(MATCH(_xlpm.val,{"D04","C30","c40","C20"},0)), _xlpm.val, "Other")
)</f>
        <v>D04</v>
      </c>
      <c r="D1851" s="10" t="str">
        <f>IFERROR(VLOOKUP(Datadetails[[#This Row],[Taskcode]],Dashboard!A:A,1,FALSE),"00 Err Missing")</f>
        <v>0001</v>
      </c>
      <c r="E1851" s="79">
        <v>45895</v>
      </c>
      <c r="F1851" s="80" t="s">
        <v>333</v>
      </c>
      <c r="G1851" s="60" t="s">
        <v>40</v>
      </c>
      <c r="H1851" s="80" t="s">
        <v>320</v>
      </c>
      <c r="I1851" s="80" t="s">
        <v>35</v>
      </c>
      <c r="J1851" s="80" t="s">
        <v>322</v>
      </c>
      <c r="K1851" s="80" t="s">
        <v>319</v>
      </c>
      <c r="L1851" s="80" t="s">
        <v>352</v>
      </c>
      <c r="M1851" s="81">
        <v>7.23</v>
      </c>
      <c r="N1851" s="82">
        <v>231.36</v>
      </c>
    </row>
    <row r="1852" spans="1:14" x14ac:dyDescent="0.25">
      <c r="A1852" s="10" t="str">
        <f>_xlfn.IFNA(
    IF(J1852=
        "PCB-0001",
        "CSS",
        IF(
            ISNUMBER(MATCH(_xlfn.TEXTBEFORE(J1852,"-"), {"CSS","CSN","PCB","PCF","BEC","CSD","PCM"}, 0)),
            _xlfn.TEXTBEFORE(J1852,"-"),
            "Other"
        )
    ),
"Add")</f>
        <v>CSD</v>
      </c>
      <c r="B1852" s="10" t="str">
        <f t="shared" si="29"/>
        <v>0001</v>
      </c>
      <c r="C1852" s="10" t="str">
        <f>_xlfn.LET(
    _xlpm.val, IF(Datadetails[[#This Row],[Activity]]="D02","C20",Datadetails[[#This Row],[Activity]]),
    IF(ISNUMBER(MATCH(_xlpm.val,{"D04","C30","c40","C20"},0)), _xlpm.val, "Other")
)</f>
        <v>D04</v>
      </c>
      <c r="D1852" s="10" t="str">
        <f>IFERROR(VLOOKUP(Datadetails[[#This Row],[Taskcode]],Dashboard!A:A,1,FALSE),"00 Err Missing")</f>
        <v>0001</v>
      </c>
      <c r="E1852" s="79">
        <v>45895</v>
      </c>
      <c r="F1852" s="80" t="s">
        <v>327</v>
      </c>
      <c r="G1852" s="60" t="s">
        <v>40</v>
      </c>
      <c r="H1852" s="80" t="s">
        <v>320</v>
      </c>
      <c r="I1852" s="80" t="s">
        <v>35</v>
      </c>
      <c r="J1852" s="80" t="s">
        <v>322</v>
      </c>
      <c r="K1852" s="80" t="s">
        <v>319</v>
      </c>
      <c r="L1852" s="80" t="s">
        <v>352</v>
      </c>
      <c r="M1852" s="81">
        <v>7.5</v>
      </c>
      <c r="N1852" s="82">
        <v>240</v>
      </c>
    </row>
    <row r="1853" spans="1:14" x14ac:dyDescent="0.25">
      <c r="A1853" s="10" t="str">
        <f>_xlfn.IFNA(
    IF(J1853=
        "PCB-0001",
        "CSS",
        IF(
            ISNUMBER(MATCH(_xlfn.TEXTBEFORE(J1853,"-"), {"CSS","CSN","PCB","PCF","BEC","CSD","PCM"}, 0)),
            _xlfn.TEXTBEFORE(J1853,"-"),
            "Other"
        )
    ),
"Add")</f>
        <v>PCM</v>
      </c>
      <c r="B1853" s="10" t="str">
        <f t="shared" si="29"/>
        <v>0113</v>
      </c>
      <c r="C1853" s="10" t="str">
        <f>_xlfn.LET(
    _xlpm.val, IF(Datadetails[[#This Row],[Activity]]="D02","C20",Datadetails[[#This Row],[Activity]]),
    IF(ISNUMBER(MATCH(_xlpm.val,{"D04","C30","c40","C20"},0)), _xlpm.val, "Other")
)</f>
        <v>C20</v>
      </c>
      <c r="D1853" s="10" t="str">
        <f>IFERROR(VLOOKUP(Datadetails[[#This Row],[Taskcode]],Dashboard!A:A,1,FALSE),"00 Err Missing")</f>
        <v>0113</v>
      </c>
      <c r="E1853" s="79">
        <v>45895</v>
      </c>
      <c r="F1853" s="80" t="s">
        <v>323</v>
      </c>
      <c r="G1853" s="60" t="s">
        <v>40</v>
      </c>
      <c r="H1853" s="80" t="s">
        <v>280</v>
      </c>
      <c r="I1853" s="80" t="s">
        <v>36</v>
      </c>
      <c r="J1853" s="80" t="s">
        <v>445</v>
      </c>
      <c r="K1853" s="80" t="s">
        <v>346</v>
      </c>
      <c r="L1853" s="80" t="s">
        <v>342</v>
      </c>
      <c r="M1853" s="81">
        <v>0.5</v>
      </c>
      <c r="N1853" s="82">
        <v>30</v>
      </c>
    </row>
    <row r="1854" spans="1:14" x14ac:dyDescent="0.25">
      <c r="A1854" s="10" t="str">
        <f>_xlfn.IFNA(
    IF(J1854=
        "PCB-0001",
        "CSS",
        IF(
            ISNUMBER(MATCH(_xlfn.TEXTBEFORE(J1854,"-"), {"CSS","CSN","PCB","PCF","BEC","CSD","PCM"}, 0)),
            _xlfn.TEXTBEFORE(J1854,"-"),
            "Other"
        )
    ),
"Add")</f>
        <v>PCM</v>
      </c>
      <c r="B1854" s="10" t="str">
        <f t="shared" si="29"/>
        <v>0002</v>
      </c>
      <c r="C1854" s="10" t="str">
        <f>_xlfn.LET(
    _xlpm.val, IF(Datadetails[[#This Row],[Activity]]="D02","C20",Datadetails[[#This Row],[Activity]]),
    IF(ISNUMBER(MATCH(_xlpm.val,{"D04","C30","c40","C20"},0)), _xlpm.val, "Other")
)</f>
        <v>C30</v>
      </c>
      <c r="D1854" s="10" t="str">
        <f>IFERROR(VLOOKUP(Datadetails[[#This Row],[Taskcode]],Dashboard!A:A,1,FALSE),"00 Err Missing")</f>
        <v>0002</v>
      </c>
      <c r="E1854" s="79">
        <v>45895</v>
      </c>
      <c r="F1854" s="80" t="s">
        <v>323</v>
      </c>
      <c r="G1854" s="60" t="s">
        <v>40</v>
      </c>
      <c r="H1854" s="80" t="s">
        <v>169</v>
      </c>
      <c r="I1854" s="80" t="s">
        <v>34</v>
      </c>
      <c r="J1854" s="80" t="s">
        <v>433</v>
      </c>
      <c r="K1854" s="80" t="s">
        <v>346</v>
      </c>
      <c r="L1854" s="80" t="s">
        <v>343</v>
      </c>
      <c r="M1854" s="81">
        <v>1</v>
      </c>
      <c r="N1854" s="82">
        <v>60</v>
      </c>
    </row>
    <row r="1855" spans="1:14" x14ac:dyDescent="0.25">
      <c r="A1855" s="10" t="str">
        <f>_xlfn.IFNA(
    IF(J1855=
        "PCB-0001",
        "CSS",
        IF(
            ISNUMBER(MATCH(_xlfn.TEXTBEFORE(J1855,"-"), {"CSS","CSN","PCB","PCF","BEC","CSD","PCM"}, 0)),
            _xlfn.TEXTBEFORE(J1855,"-"),
            "Other"
        )
    ),
"Add")</f>
        <v>PCF</v>
      </c>
      <c r="B1855" s="10" t="str">
        <f t="shared" si="29"/>
        <v>0008</v>
      </c>
      <c r="C1855" s="10" t="str">
        <f>_xlfn.LET(
    _xlpm.val, IF(Datadetails[[#This Row],[Activity]]="D02","C20",Datadetails[[#This Row],[Activity]]),
    IF(ISNUMBER(MATCH(_xlpm.val,{"D04","C30","c40","C20"},0)), _xlpm.val, "Other")
)</f>
        <v>C20</v>
      </c>
      <c r="D1855" s="10" t="str">
        <f>IFERROR(VLOOKUP(Datadetails[[#This Row],[Taskcode]],Dashboard!A:A,1,FALSE),"00 Err Missing")</f>
        <v>0008</v>
      </c>
      <c r="E1855" s="79">
        <v>45895</v>
      </c>
      <c r="F1855" s="80" t="s">
        <v>326</v>
      </c>
      <c r="G1855" s="60" t="s">
        <v>40</v>
      </c>
      <c r="H1855" s="80" t="s">
        <v>175</v>
      </c>
      <c r="I1855" s="80" t="s">
        <v>36</v>
      </c>
      <c r="J1855" s="80" t="s">
        <v>388</v>
      </c>
      <c r="K1855" s="80" t="s">
        <v>348</v>
      </c>
      <c r="L1855" s="80" t="s">
        <v>342</v>
      </c>
      <c r="M1855" s="81">
        <v>0.25</v>
      </c>
      <c r="N1855" s="82">
        <v>15</v>
      </c>
    </row>
    <row r="1856" spans="1:14" x14ac:dyDescent="0.25">
      <c r="A1856" s="10" t="str">
        <f>_xlfn.IFNA(
    IF(J1856=
        "PCB-0001",
        "CSS",
        IF(
            ISNUMBER(MATCH(_xlfn.TEXTBEFORE(J1856,"-"), {"CSS","CSN","PCB","PCF","BEC","CSD","PCM"}, 0)),
            _xlfn.TEXTBEFORE(J1856,"-"),
            "Other"
        )
    ),
"Add")</f>
        <v>BEC</v>
      </c>
      <c r="B1856" s="10" t="str">
        <f t="shared" si="29"/>
        <v>0001</v>
      </c>
      <c r="C1856" s="10" t="str">
        <f>_xlfn.LET(
    _xlpm.val, IF(Datadetails[[#This Row],[Activity]]="D02","C20",Datadetails[[#This Row],[Activity]]),
    IF(ISNUMBER(MATCH(_xlpm.val,{"D04","C30","c40","C20"},0)), _xlpm.val, "Other")
)</f>
        <v>D04</v>
      </c>
      <c r="D1856" s="10" t="str">
        <f>IFERROR(VLOOKUP(Datadetails[[#This Row],[Taskcode]],Dashboard!A:A,1,FALSE),"00 Err Missing")</f>
        <v>0001</v>
      </c>
      <c r="E1856" s="79">
        <v>45895</v>
      </c>
      <c r="F1856" s="80" t="s">
        <v>332</v>
      </c>
      <c r="G1856" s="60" t="s">
        <v>40</v>
      </c>
      <c r="H1856" s="80" t="s">
        <v>314</v>
      </c>
      <c r="I1856" s="80" t="s">
        <v>35</v>
      </c>
      <c r="J1856" s="80" t="s">
        <v>359</v>
      </c>
      <c r="K1856" s="80" t="s">
        <v>339</v>
      </c>
      <c r="L1856" s="80" t="s">
        <v>352</v>
      </c>
      <c r="M1856" s="81">
        <v>7.33</v>
      </c>
      <c r="N1856" s="82">
        <v>293.2</v>
      </c>
    </row>
    <row r="1857" spans="1:14" x14ac:dyDescent="0.25">
      <c r="A1857" s="10" t="str">
        <f>_xlfn.IFNA(
    IF(J1857=
        "PCB-0001",
        "CSS",
        IF(
            ISNUMBER(MATCH(_xlfn.TEXTBEFORE(J1857,"-"), {"CSS","CSN","PCB","PCF","BEC","CSD","PCM"}, 0)),
            _xlfn.TEXTBEFORE(J1857,"-"),
            "Other"
        )
    ),
"Add")</f>
        <v>BEC</v>
      </c>
      <c r="B1857" s="10" t="str">
        <f t="shared" si="29"/>
        <v>0001</v>
      </c>
      <c r="C1857" s="10" t="str">
        <f>_xlfn.LET(
    _xlpm.val, IF(Datadetails[[#This Row],[Activity]]="D02","C20",Datadetails[[#This Row],[Activity]]),
    IF(ISNUMBER(MATCH(_xlpm.val,{"D04","C30","c40","C20"},0)), _xlpm.val, "Other")
)</f>
        <v>D04</v>
      </c>
      <c r="D1857" s="10" t="str">
        <f>IFERROR(VLOOKUP(Datadetails[[#This Row],[Taskcode]],Dashboard!A:A,1,FALSE),"00 Err Missing")</f>
        <v>0001</v>
      </c>
      <c r="E1857" s="79">
        <v>45895</v>
      </c>
      <c r="F1857" s="80" t="s">
        <v>324</v>
      </c>
      <c r="G1857" s="60" t="s">
        <v>40</v>
      </c>
      <c r="H1857" s="80" t="s">
        <v>314</v>
      </c>
      <c r="I1857" s="80" t="s">
        <v>35</v>
      </c>
      <c r="J1857" s="80" t="s">
        <v>359</v>
      </c>
      <c r="K1857" s="80" t="s">
        <v>339</v>
      </c>
      <c r="L1857" s="80" t="s">
        <v>352</v>
      </c>
      <c r="M1857" s="81">
        <v>4.42</v>
      </c>
      <c r="N1857" s="82">
        <v>331.5</v>
      </c>
    </row>
    <row r="1858" spans="1:14" x14ac:dyDescent="0.25">
      <c r="A1858" s="10" t="str">
        <f>_xlfn.IFNA(
    IF(J1858=
        "PCB-0001",
        "CSS",
        IF(
            ISNUMBER(MATCH(_xlfn.TEXTBEFORE(J1858,"-"), {"CSS","CSN","PCB","PCF","BEC","CSD","PCM"}, 0)),
            _xlfn.TEXTBEFORE(J1858,"-"),
            "Other"
        )
    ),
"Add")</f>
        <v>CSN</v>
      </c>
      <c r="B1858" s="10" t="str">
        <f t="shared" si="29"/>
        <v>0001</v>
      </c>
      <c r="C1858" s="10" t="str">
        <f>_xlfn.LET(
    _xlpm.val, IF(Datadetails[[#This Row],[Activity]]="D02","C20",Datadetails[[#This Row],[Activity]]),
    IF(ISNUMBER(MATCH(_xlpm.val,{"D04","C30","c40","C20"},0)), _xlpm.val, "Other")
)</f>
        <v>D04</v>
      </c>
      <c r="D1858" s="10" t="str">
        <f>IFERROR(VLOOKUP(Datadetails[[#This Row],[Taskcode]],Dashboard!A:A,1,FALSE),"00 Err Missing")</f>
        <v>0001</v>
      </c>
      <c r="E1858" s="79">
        <v>45896</v>
      </c>
      <c r="F1858" s="80" t="s">
        <v>329</v>
      </c>
      <c r="G1858" s="60" t="s">
        <v>40</v>
      </c>
      <c r="H1858" s="80" t="s">
        <v>316</v>
      </c>
      <c r="I1858" s="80" t="s">
        <v>35</v>
      </c>
      <c r="J1858" s="80" t="s">
        <v>338</v>
      </c>
      <c r="K1858" s="80" t="s">
        <v>337</v>
      </c>
      <c r="L1858" s="80" t="s">
        <v>352</v>
      </c>
      <c r="M1858" s="81">
        <v>1</v>
      </c>
      <c r="N1858" s="82">
        <v>75</v>
      </c>
    </row>
    <row r="1859" spans="1:14" x14ac:dyDescent="0.25">
      <c r="A1859" s="10" t="str">
        <f>_xlfn.IFNA(
    IF(J1859=
        "PCB-0001",
        "CSS",
        IF(
            ISNUMBER(MATCH(_xlfn.TEXTBEFORE(J1859,"-"), {"CSS","CSN","PCB","PCF","BEC","CSD","PCM"}, 0)),
            _xlfn.TEXTBEFORE(J1859,"-"),
            "Other"
        )
    ),
"Add")</f>
        <v>PCM</v>
      </c>
      <c r="B1859" s="10" t="str">
        <f t="shared" si="29"/>
        <v>0035</v>
      </c>
      <c r="C1859" s="10" t="str">
        <f>_xlfn.LET(
    _xlpm.val, IF(Datadetails[[#This Row],[Activity]]="D02","C20",Datadetails[[#This Row],[Activity]]),
    IF(ISNUMBER(MATCH(_xlpm.val,{"D04","C30","c40","C20"},0)), _xlpm.val, "Other")
)</f>
        <v>C20</v>
      </c>
      <c r="D1859" s="10" t="str">
        <f>IFERROR(VLOOKUP(Datadetails[[#This Row],[Taskcode]],Dashboard!A:A,1,FALSE),"00 Err Missing")</f>
        <v>0035</v>
      </c>
      <c r="E1859" s="79">
        <v>45896</v>
      </c>
      <c r="F1859" s="80" t="s">
        <v>323</v>
      </c>
      <c r="G1859" s="60" t="s">
        <v>40</v>
      </c>
      <c r="H1859" s="80" t="s">
        <v>202</v>
      </c>
      <c r="I1859" s="80" t="s">
        <v>36</v>
      </c>
      <c r="J1859" s="80" t="s">
        <v>431</v>
      </c>
      <c r="K1859" s="80" t="s">
        <v>346</v>
      </c>
      <c r="L1859" s="80" t="s">
        <v>342</v>
      </c>
      <c r="M1859" s="81">
        <v>0.25</v>
      </c>
      <c r="N1859" s="82">
        <v>15</v>
      </c>
    </row>
    <row r="1860" spans="1:14" x14ac:dyDescent="0.25">
      <c r="A1860" s="10" t="str">
        <f>_xlfn.IFNA(
    IF(J1860=
        "PCB-0001",
        "CSS",
        IF(
            ISNUMBER(MATCH(_xlfn.TEXTBEFORE(J1860,"-"), {"CSS","CSN","PCB","PCF","BEC","CSD","PCM"}, 0)),
            _xlfn.TEXTBEFORE(J1860,"-"),
            "Other"
        )
    ),
"Add")</f>
        <v>PCM</v>
      </c>
      <c r="B1860" s="10" t="str">
        <f t="shared" ref="B1860:B1923" si="30">_xlfn.IFNA(_xlfn.TEXTAFTER(J1860,"-"),"Data to C2")</f>
        <v>0045</v>
      </c>
      <c r="C1860" s="10" t="str">
        <f>_xlfn.LET(
    _xlpm.val, IF(Datadetails[[#This Row],[Activity]]="D02","C20",Datadetails[[#This Row],[Activity]]),
    IF(ISNUMBER(MATCH(_xlpm.val,{"D04","C30","c40","C20"},0)), _xlpm.val, "Other")
)</f>
        <v>C20</v>
      </c>
      <c r="D1860" s="10" t="str">
        <f>IFERROR(VLOOKUP(Datadetails[[#This Row],[Taskcode]],Dashboard!A:A,1,FALSE),"00 Err Missing")</f>
        <v>0045</v>
      </c>
      <c r="E1860" s="79">
        <v>45896</v>
      </c>
      <c r="F1860" s="80" t="s">
        <v>323</v>
      </c>
      <c r="G1860" s="60" t="s">
        <v>40</v>
      </c>
      <c r="H1860" s="80" t="s">
        <v>212</v>
      </c>
      <c r="I1860" s="80" t="s">
        <v>36</v>
      </c>
      <c r="J1860" s="80" t="s">
        <v>392</v>
      </c>
      <c r="K1860" s="80" t="s">
        <v>346</v>
      </c>
      <c r="L1860" s="80" t="s">
        <v>342</v>
      </c>
      <c r="M1860" s="81">
        <v>0.25</v>
      </c>
      <c r="N1860" s="82">
        <v>15</v>
      </c>
    </row>
    <row r="1861" spans="1:14" x14ac:dyDescent="0.25">
      <c r="A1861" s="10" t="str">
        <f>_xlfn.IFNA(
    IF(J1861=
        "PCB-0001",
        "CSS",
        IF(
            ISNUMBER(MATCH(_xlfn.TEXTBEFORE(J1861,"-"), {"CSS","CSN","PCB","PCF","BEC","CSD","PCM"}, 0)),
            _xlfn.TEXTBEFORE(J1861,"-"),
            "Other"
        )
    ),
"Add")</f>
        <v>CSD</v>
      </c>
      <c r="B1861" s="10" t="str">
        <f t="shared" si="30"/>
        <v>0001</v>
      </c>
      <c r="C1861" s="10" t="str">
        <f>_xlfn.LET(
    _xlpm.val, IF(Datadetails[[#This Row],[Activity]]="D02","C20",Datadetails[[#This Row],[Activity]]),
    IF(ISNUMBER(MATCH(_xlpm.val,{"D04","C30","c40","C20"},0)), _xlpm.val, "Other")
)</f>
        <v>D04</v>
      </c>
      <c r="D1861" s="10" t="str">
        <f>IFERROR(VLOOKUP(Datadetails[[#This Row],[Taskcode]],Dashboard!A:A,1,FALSE),"00 Err Missing")</f>
        <v>0001</v>
      </c>
      <c r="E1861" s="79">
        <v>45896</v>
      </c>
      <c r="F1861" s="80" t="s">
        <v>333</v>
      </c>
      <c r="G1861" s="60" t="s">
        <v>40</v>
      </c>
      <c r="H1861" s="80" t="s">
        <v>320</v>
      </c>
      <c r="I1861" s="80" t="s">
        <v>35</v>
      </c>
      <c r="J1861" s="80" t="s">
        <v>322</v>
      </c>
      <c r="K1861" s="80" t="s">
        <v>319</v>
      </c>
      <c r="L1861" s="80" t="s">
        <v>352</v>
      </c>
      <c r="M1861" s="81">
        <v>7</v>
      </c>
      <c r="N1861" s="82">
        <v>224</v>
      </c>
    </row>
    <row r="1862" spans="1:14" x14ac:dyDescent="0.25">
      <c r="A1862" s="10" t="str">
        <f>_xlfn.IFNA(
    IF(J1862=
        "PCB-0001",
        "CSS",
        IF(
            ISNUMBER(MATCH(_xlfn.TEXTBEFORE(J1862,"-"), {"CSS","CSN","PCB","PCF","BEC","CSD","PCM"}, 0)),
            _xlfn.TEXTBEFORE(J1862,"-"),
            "Other"
        )
    ),
"Add")</f>
        <v>CSD</v>
      </c>
      <c r="B1862" s="10" t="str">
        <f t="shared" si="30"/>
        <v>0001</v>
      </c>
      <c r="C1862" s="10" t="str">
        <f>_xlfn.LET(
    _xlpm.val, IF(Datadetails[[#This Row],[Activity]]="D02","C20",Datadetails[[#This Row],[Activity]]),
    IF(ISNUMBER(MATCH(_xlpm.val,{"D04","C30","c40","C20"},0)), _xlpm.val, "Other")
)</f>
        <v>D04</v>
      </c>
      <c r="D1862" s="10" t="str">
        <f>IFERROR(VLOOKUP(Datadetails[[#This Row],[Taskcode]],Dashboard!A:A,1,FALSE),"00 Err Missing")</f>
        <v>0001</v>
      </c>
      <c r="E1862" s="79">
        <v>45896</v>
      </c>
      <c r="F1862" s="80" t="s">
        <v>327</v>
      </c>
      <c r="G1862" s="60" t="s">
        <v>40</v>
      </c>
      <c r="H1862" s="80" t="s">
        <v>320</v>
      </c>
      <c r="I1862" s="80" t="s">
        <v>35</v>
      </c>
      <c r="J1862" s="80" t="s">
        <v>322</v>
      </c>
      <c r="K1862" s="80" t="s">
        <v>319</v>
      </c>
      <c r="L1862" s="80" t="s">
        <v>352</v>
      </c>
      <c r="M1862" s="81">
        <v>7.25</v>
      </c>
      <c r="N1862" s="82">
        <v>232</v>
      </c>
    </row>
    <row r="1863" spans="1:14" x14ac:dyDescent="0.25">
      <c r="A1863" s="10" t="str">
        <f>_xlfn.IFNA(
    IF(J1863=
        "PCB-0001",
        "CSS",
        IF(
            ISNUMBER(MATCH(_xlfn.TEXTBEFORE(J1863,"-"), {"CSS","CSN","PCB","PCF","BEC","CSD","PCM"}, 0)),
            _xlfn.TEXTBEFORE(J1863,"-"),
            "Other"
        )
    ),
"Add")</f>
        <v>PCM</v>
      </c>
      <c r="B1863" s="10" t="str">
        <f t="shared" si="30"/>
        <v>0099</v>
      </c>
      <c r="C1863" s="10" t="str">
        <f>_xlfn.LET(
    _xlpm.val, IF(Datadetails[[#This Row],[Activity]]="D02","C20",Datadetails[[#This Row],[Activity]]),
    IF(ISNUMBER(MATCH(_xlpm.val,{"D04","C30","c40","C20"},0)), _xlpm.val, "Other")
)</f>
        <v>C20</v>
      </c>
      <c r="D1863" s="10" t="str">
        <f>IFERROR(VLOOKUP(Datadetails[[#This Row],[Taskcode]],Dashboard!A:A,1,FALSE),"00 Err Missing")</f>
        <v>0099</v>
      </c>
      <c r="E1863" s="79">
        <v>45896</v>
      </c>
      <c r="F1863" s="80" t="s">
        <v>323</v>
      </c>
      <c r="G1863" s="60" t="s">
        <v>40</v>
      </c>
      <c r="H1863" s="80" t="s">
        <v>266</v>
      </c>
      <c r="I1863" s="80" t="s">
        <v>36</v>
      </c>
      <c r="J1863" s="80" t="s">
        <v>394</v>
      </c>
      <c r="K1863" s="80" t="s">
        <v>346</v>
      </c>
      <c r="L1863" s="80" t="s">
        <v>342</v>
      </c>
      <c r="M1863" s="81">
        <v>0.5</v>
      </c>
      <c r="N1863" s="82">
        <v>30</v>
      </c>
    </row>
    <row r="1864" spans="1:14" x14ac:dyDescent="0.25">
      <c r="A1864" s="10" t="str">
        <f>_xlfn.IFNA(
    IF(J1864=
        "PCB-0001",
        "CSS",
        IF(
            ISNUMBER(MATCH(_xlfn.TEXTBEFORE(J1864,"-"), {"CSS","CSN","PCB","PCF","BEC","CSD","PCM"}, 0)),
            _xlfn.TEXTBEFORE(J1864,"-"),
            "Other"
        )
    ),
"Add")</f>
        <v>PCM</v>
      </c>
      <c r="B1864" s="10" t="str">
        <f t="shared" si="30"/>
        <v>0002</v>
      </c>
      <c r="C1864" s="10" t="str">
        <f>_xlfn.LET(
    _xlpm.val, IF(Datadetails[[#This Row],[Activity]]="D02","C20",Datadetails[[#This Row],[Activity]]),
    IF(ISNUMBER(MATCH(_xlpm.val,{"D04","C30","c40","C20"},0)), _xlpm.val, "Other")
)</f>
        <v>C30</v>
      </c>
      <c r="D1864" s="10" t="str">
        <f>IFERROR(VLOOKUP(Datadetails[[#This Row],[Taskcode]],Dashboard!A:A,1,FALSE),"00 Err Missing")</f>
        <v>0002</v>
      </c>
      <c r="E1864" s="79">
        <v>45896</v>
      </c>
      <c r="F1864" s="80" t="s">
        <v>323</v>
      </c>
      <c r="G1864" s="60" t="s">
        <v>40</v>
      </c>
      <c r="H1864" s="80" t="s">
        <v>169</v>
      </c>
      <c r="I1864" s="80" t="s">
        <v>34</v>
      </c>
      <c r="J1864" s="80" t="s">
        <v>433</v>
      </c>
      <c r="K1864" s="80" t="s">
        <v>346</v>
      </c>
      <c r="L1864" s="80" t="s">
        <v>343</v>
      </c>
      <c r="M1864" s="81">
        <v>1</v>
      </c>
      <c r="N1864" s="82">
        <v>60</v>
      </c>
    </row>
    <row r="1865" spans="1:14" x14ac:dyDescent="0.25">
      <c r="A1865" s="10" t="str">
        <f>_xlfn.IFNA(
    IF(J1865=
        "PCB-0001",
        "CSS",
        IF(
            ISNUMBER(MATCH(_xlfn.TEXTBEFORE(J1865,"-"), {"CSS","CSN","PCB","PCF","BEC","CSD","PCM"}, 0)),
            _xlfn.TEXTBEFORE(J1865,"-"),
            "Other"
        )
    ),
"Add")</f>
        <v>PCB</v>
      </c>
      <c r="B1865" s="10" t="str">
        <f t="shared" si="30"/>
        <v>0085</v>
      </c>
      <c r="C1865" s="10" t="str">
        <f>_xlfn.LET(
    _xlpm.val, IF(Datadetails[[#This Row],[Activity]]="D02","C20",Datadetails[[#This Row],[Activity]]),
    IF(ISNUMBER(MATCH(_xlpm.val,{"D04","C30","c40","C20"},0)), _xlpm.val, "Other")
)</f>
        <v>C20</v>
      </c>
      <c r="D1865" s="10" t="str">
        <f>IFERROR(VLOOKUP(Datadetails[[#This Row],[Taskcode]],Dashboard!A:A,1,FALSE),"00 Err Missing")</f>
        <v>0085</v>
      </c>
      <c r="E1865" s="79">
        <v>45896</v>
      </c>
      <c r="F1865" s="80" t="s">
        <v>330</v>
      </c>
      <c r="G1865" s="60" t="s">
        <v>40</v>
      </c>
      <c r="H1865" s="80" t="s">
        <v>252</v>
      </c>
      <c r="I1865" s="80" t="s">
        <v>36</v>
      </c>
      <c r="J1865" s="80" t="s">
        <v>416</v>
      </c>
      <c r="K1865" s="80" t="s">
        <v>347</v>
      </c>
      <c r="L1865" s="80" t="s">
        <v>342</v>
      </c>
      <c r="M1865" s="81">
        <v>0.25</v>
      </c>
      <c r="N1865" s="82">
        <v>15</v>
      </c>
    </row>
    <row r="1866" spans="1:14" x14ac:dyDescent="0.25">
      <c r="A1866" s="10" t="str">
        <f>_xlfn.IFNA(
    IF(J1866=
        "PCB-0001",
        "CSS",
        IF(
            ISNUMBER(MATCH(_xlfn.TEXTBEFORE(J1866,"-"), {"CSS","CSN","PCB","PCF","BEC","CSD","PCM"}, 0)),
            _xlfn.TEXTBEFORE(J1866,"-"),
            "Other"
        )
    ),
"Add")</f>
        <v>PCB</v>
      </c>
      <c r="B1866" s="10" t="str">
        <f t="shared" si="30"/>
        <v>0086</v>
      </c>
      <c r="C1866" s="10" t="str">
        <f>_xlfn.LET(
    _xlpm.val, IF(Datadetails[[#This Row],[Activity]]="D02","C20",Datadetails[[#This Row],[Activity]]),
    IF(ISNUMBER(MATCH(_xlpm.val,{"D04","C30","c40","C20"},0)), _xlpm.val, "Other")
)</f>
        <v>C30</v>
      </c>
      <c r="D1866" s="10" t="str">
        <f>IFERROR(VLOOKUP(Datadetails[[#This Row],[Taskcode]],Dashboard!A:A,1,FALSE),"00 Err Missing")</f>
        <v>0086</v>
      </c>
      <c r="E1866" s="79">
        <v>45896</v>
      </c>
      <c r="F1866" s="80" t="s">
        <v>325</v>
      </c>
      <c r="G1866" s="60" t="s">
        <v>40</v>
      </c>
      <c r="H1866" s="80" t="s">
        <v>253</v>
      </c>
      <c r="I1866" s="80" t="s">
        <v>34</v>
      </c>
      <c r="J1866" s="80" t="s">
        <v>408</v>
      </c>
      <c r="K1866" s="80" t="s">
        <v>347</v>
      </c>
      <c r="L1866" s="80" t="s">
        <v>343</v>
      </c>
      <c r="M1866" s="81">
        <v>0.57999999999999996</v>
      </c>
      <c r="N1866" s="82">
        <v>43.5</v>
      </c>
    </row>
    <row r="1867" spans="1:14" x14ac:dyDescent="0.25">
      <c r="A1867" s="10" t="str">
        <f>_xlfn.IFNA(
    IF(J1867=
        "PCB-0001",
        "CSS",
        IF(
            ISNUMBER(MATCH(_xlfn.TEXTBEFORE(J1867,"-"), {"CSS","CSN","PCB","PCF","BEC","CSD","PCM"}, 0)),
            _xlfn.TEXTBEFORE(J1867,"-"),
            "Other"
        )
    ),
"Add")</f>
        <v>PCB</v>
      </c>
      <c r="B1867" s="10" t="str">
        <f t="shared" si="30"/>
        <v>0088</v>
      </c>
      <c r="C1867" s="10" t="str">
        <f>_xlfn.LET(
    _xlpm.val, IF(Datadetails[[#This Row],[Activity]]="D02","C20",Datadetails[[#This Row],[Activity]]),
    IF(ISNUMBER(MATCH(_xlpm.val,{"D04","C30","c40","C20"},0)), _xlpm.val, "Other")
)</f>
        <v>C30</v>
      </c>
      <c r="D1867" s="10" t="str">
        <f>IFERROR(VLOOKUP(Datadetails[[#This Row],[Taskcode]],Dashboard!A:A,1,FALSE),"00 Err Missing")</f>
        <v>0088</v>
      </c>
      <c r="E1867" s="79">
        <v>45896</v>
      </c>
      <c r="F1867" s="80" t="s">
        <v>330</v>
      </c>
      <c r="G1867" s="60" t="s">
        <v>40</v>
      </c>
      <c r="H1867" s="80" t="s">
        <v>255</v>
      </c>
      <c r="I1867" s="80" t="s">
        <v>34</v>
      </c>
      <c r="J1867" s="80" t="s">
        <v>462</v>
      </c>
      <c r="K1867" s="80" t="s">
        <v>347</v>
      </c>
      <c r="L1867" s="80" t="s">
        <v>343</v>
      </c>
      <c r="M1867" s="81">
        <v>0.42</v>
      </c>
      <c r="N1867" s="82">
        <v>25.2</v>
      </c>
    </row>
    <row r="1868" spans="1:14" x14ac:dyDescent="0.25">
      <c r="A1868" s="10" t="str">
        <f>_xlfn.IFNA(
    IF(J1868=
        "PCB-0001",
        "CSS",
        IF(
            ISNUMBER(MATCH(_xlfn.TEXTBEFORE(J1868,"-"), {"CSS","CSN","PCB","PCF","BEC","CSD","PCM"}, 0)),
            _xlfn.TEXTBEFORE(J1868,"-"),
            "Other"
        )
    ),
"Add")</f>
        <v>PCF</v>
      </c>
      <c r="B1868" s="10" t="str">
        <f t="shared" si="30"/>
        <v>0060</v>
      </c>
      <c r="C1868" s="10" t="str">
        <f>_xlfn.LET(
    _xlpm.val, IF(Datadetails[[#This Row],[Activity]]="D02","C20",Datadetails[[#This Row],[Activity]]),
    IF(ISNUMBER(MATCH(_xlpm.val,{"D04","C30","c40","C20"},0)), _xlpm.val, "Other")
)</f>
        <v>C30</v>
      </c>
      <c r="D1868" s="10" t="str">
        <f>IFERROR(VLOOKUP(Datadetails[[#This Row],[Taskcode]],Dashboard!A:A,1,FALSE),"00 Err Missing")</f>
        <v>0060</v>
      </c>
      <c r="E1868" s="79">
        <v>45896</v>
      </c>
      <c r="F1868" s="80" t="s">
        <v>326</v>
      </c>
      <c r="G1868" s="60" t="s">
        <v>40</v>
      </c>
      <c r="H1868" s="80" t="s">
        <v>227</v>
      </c>
      <c r="I1868" s="80" t="s">
        <v>34</v>
      </c>
      <c r="J1868" s="80" t="s">
        <v>453</v>
      </c>
      <c r="K1868" s="80" t="s">
        <v>348</v>
      </c>
      <c r="L1868" s="80" t="s">
        <v>343</v>
      </c>
      <c r="M1868" s="81">
        <v>0.83</v>
      </c>
      <c r="N1868" s="82">
        <v>49.8</v>
      </c>
    </row>
    <row r="1869" spans="1:14" x14ac:dyDescent="0.25">
      <c r="A1869" s="10" t="str">
        <f>_xlfn.IFNA(
    IF(J1869=
        "PCB-0001",
        "CSS",
        IF(
            ISNUMBER(MATCH(_xlfn.TEXTBEFORE(J1869,"-"), {"CSS","CSN","PCB","PCF","BEC","CSD","PCM"}, 0)),
            _xlfn.TEXTBEFORE(J1869,"-"),
            "Other"
        )
    ),
"Add")</f>
        <v>BEC</v>
      </c>
      <c r="B1869" s="10" t="str">
        <f t="shared" si="30"/>
        <v>0001</v>
      </c>
      <c r="C1869" s="10" t="str">
        <f>_xlfn.LET(
    _xlpm.val, IF(Datadetails[[#This Row],[Activity]]="D02","C20",Datadetails[[#This Row],[Activity]]),
    IF(ISNUMBER(MATCH(_xlpm.val,{"D04","C30","c40","C20"},0)), _xlpm.val, "Other")
)</f>
        <v>D04</v>
      </c>
      <c r="D1869" s="10" t="str">
        <f>IFERROR(VLOOKUP(Datadetails[[#This Row],[Taskcode]],Dashboard!A:A,1,FALSE),"00 Err Missing")</f>
        <v>0001</v>
      </c>
      <c r="E1869" s="79">
        <v>45896</v>
      </c>
      <c r="F1869" s="80" t="s">
        <v>332</v>
      </c>
      <c r="G1869" s="60" t="s">
        <v>40</v>
      </c>
      <c r="H1869" s="80" t="s">
        <v>314</v>
      </c>
      <c r="I1869" s="80" t="s">
        <v>35</v>
      </c>
      <c r="J1869" s="80" t="s">
        <v>359</v>
      </c>
      <c r="K1869" s="80" t="s">
        <v>339</v>
      </c>
      <c r="L1869" s="80" t="s">
        <v>352</v>
      </c>
      <c r="M1869" s="81">
        <v>9.33</v>
      </c>
      <c r="N1869" s="82">
        <v>373.2</v>
      </c>
    </row>
    <row r="1870" spans="1:14" x14ac:dyDescent="0.25">
      <c r="A1870" s="10" t="str">
        <f>_xlfn.IFNA(
    IF(J1870=
        "PCB-0001",
        "CSS",
        IF(
            ISNUMBER(MATCH(_xlfn.TEXTBEFORE(J1870,"-"), {"CSS","CSN","PCB","PCF","BEC","CSD","PCM"}, 0)),
            _xlfn.TEXTBEFORE(J1870,"-"),
            "Other"
        )
    ),
"Add")</f>
        <v>BEC</v>
      </c>
      <c r="B1870" s="10" t="str">
        <f t="shared" si="30"/>
        <v>0001</v>
      </c>
      <c r="C1870" s="10" t="str">
        <f>_xlfn.LET(
    _xlpm.val, IF(Datadetails[[#This Row],[Activity]]="D02","C20",Datadetails[[#This Row],[Activity]]),
    IF(ISNUMBER(MATCH(_xlpm.val,{"D04","C30","c40","C20"},0)), _xlpm.val, "Other")
)</f>
        <v>D04</v>
      </c>
      <c r="D1870" s="10" t="str">
        <f>IFERROR(VLOOKUP(Datadetails[[#This Row],[Taskcode]],Dashboard!A:A,1,FALSE),"00 Err Missing")</f>
        <v>0001</v>
      </c>
      <c r="E1870" s="79">
        <v>45896</v>
      </c>
      <c r="F1870" s="80" t="s">
        <v>324</v>
      </c>
      <c r="G1870" s="60" t="s">
        <v>40</v>
      </c>
      <c r="H1870" s="80" t="s">
        <v>314</v>
      </c>
      <c r="I1870" s="80" t="s">
        <v>35</v>
      </c>
      <c r="J1870" s="80" t="s">
        <v>359</v>
      </c>
      <c r="K1870" s="80" t="s">
        <v>339</v>
      </c>
      <c r="L1870" s="80" t="s">
        <v>352</v>
      </c>
      <c r="M1870" s="81">
        <v>3</v>
      </c>
      <c r="N1870" s="82">
        <v>225</v>
      </c>
    </row>
    <row r="1871" spans="1:14" x14ac:dyDescent="0.25">
      <c r="A1871" s="10" t="str">
        <f>_xlfn.IFNA(
    IF(J1871=
        "PCB-0001",
        "CSS",
        IF(
            ISNUMBER(MATCH(_xlfn.TEXTBEFORE(J1871,"-"), {"CSS","CSN","PCB","PCF","BEC","CSD","PCM"}, 0)),
            _xlfn.TEXTBEFORE(J1871,"-"),
            "Other"
        )
    ),
"Add")</f>
        <v>CSD</v>
      </c>
      <c r="B1871" s="10" t="str">
        <f t="shared" si="30"/>
        <v>0001</v>
      </c>
      <c r="C1871" s="10" t="str">
        <f>_xlfn.LET(
    _xlpm.val, IF(Datadetails[[#This Row],[Activity]]="D02","C20",Datadetails[[#This Row],[Activity]]),
    IF(ISNUMBER(MATCH(_xlpm.val,{"D04","C30","c40","C20"},0)), _xlpm.val, "Other")
)</f>
        <v>D04</v>
      </c>
      <c r="D1871" s="10" t="str">
        <f>IFERROR(VLOOKUP(Datadetails[[#This Row],[Taskcode]],Dashboard!A:A,1,FALSE),"00 Err Missing")</f>
        <v>0001</v>
      </c>
      <c r="E1871" s="79">
        <v>45897</v>
      </c>
      <c r="F1871" s="80" t="s">
        <v>333</v>
      </c>
      <c r="G1871" s="60" t="s">
        <v>40</v>
      </c>
      <c r="H1871" s="80" t="s">
        <v>320</v>
      </c>
      <c r="I1871" s="80" t="s">
        <v>35</v>
      </c>
      <c r="J1871" s="80" t="s">
        <v>322</v>
      </c>
      <c r="K1871" s="80" t="s">
        <v>319</v>
      </c>
      <c r="L1871" s="80" t="s">
        <v>352</v>
      </c>
      <c r="M1871" s="81">
        <v>6.12</v>
      </c>
      <c r="N1871" s="82">
        <v>195.84</v>
      </c>
    </row>
    <row r="1872" spans="1:14" x14ac:dyDescent="0.25">
      <c r="A1872" s="10" t="str">
        <f>_xlfn.IFNA(
    IF(J1872=
        "PCB-0001",
        "CSS",
        IF(
            ISNUMBER(MATCH(_xlfn.TEXTBEFORE(J1872,"-"), {"CSS","CSN","PCB","PCF","BEC","CSD","PCM"}, 0)),
            _xlfn.TEXTBEFORE(J1872,"-"),
            "Other"
        )
    ),
"Add")</f>
        <v>CSD</v>
      </c>
      <c r="B1872" s="10" t="str">
        <f t="shared" si="30"/>
        <v>0001</v>
      </c>
      <c r="C1872" s="10" t="str">
        <f>_xlfn.LET(
    _xlpm.val, IF(Datadetails[[#This Row],[Activity]]="D02","C20",Datadetails[[#This Row],[Activity]]),
    IF(ISNUMBER(MATCH(_xlpm.val,{"D04","C30","c40","C20"},0)), _xlpm.val, "Other")
)</f>
        <v>D04</v>
      </c>
      <c r="D1872" s="10" t="str">
        <f>IFERROR(VLOOKUP(Datadetails[[#This Row],[Taskcode]],Dashboard!A:A,1,FALSE),"00 Err Missing")</f>
        <v>0001</v>
      </c>
      <c r="E1872" s="79">
        <v>45897</v>
      </c>
      <c r="F1872" s="80" t="s">
        <v>327</v>
      </c>
      <c r="G1872" s="60" t="s">
        <v>40</v>
      </c>
      <c r="H1872" s="80" t="s">
        <v>320</v>
      </c>
      <c r="I1872" s="80" t="s">
        <v>35</v>
      </c>
      <c r="J1872" s="80" t="s">
        <v>322</v>
      </c>
      <c r="K1872" s="80" t="s">
        <v>319</v>
      </c>
      <c r="L1872" s="80" t="s">
        <v>352</v>
      </c>
      <c r="M1872" s="81">
        <v>4</v>
      </c>
      <c r="N1872" s="82">
        <v>128</v>
      </c>
    </row>
    <row r="1873" spans="1:14" x14ac:dyDescent="0.25">
      <c r="A1873" s="10" t="str">
        <f>_xlfn.IFNA(
    IF(J1873=
        "PCB-0001",
        "CSS",
        IF(
            ISNUMBER(MATCH(_xlfn.TEXTBEFORE(J1873,"-"), {"CSS","CSN","PCB","PCF","BEC","CSD","PCM"}, 0)),
            _xlfn.TEXTBEFORE(J1873,"-"),
            "Other"
        )
    ),
"Add")</f>
        <v>PCM</v>
      </c>
      <c r="B1873" s="10" t="str">
        <f t="shared" si="30"/>
        <v>0118</v>
      </c>
      <c r="C1873" s="10" t="str">
        <f>_xlfn.LET(
    _xlpm.val, IF(Datadetails[[#This Row],[Activity]]="D02","C20",Datadetails[[#This Row],[Activity]]),
    IF(ISNUMBER(MATCH(_xlpm.val,{"D04","C30","c40","C20"},0)), _xlpm.val, "Other")
)</f>
        <v>C20</v>
      </c>
      <c r="D1873" s="10" t="str">
        <f>IFERROR(VLOOKUP(Datadetails[[#This Row],[Taskcode]],Dashboard!A:A,1,FALSE),"00 Err Missing")</f>
        <v>0118</v>
      </c>
      <c r="E1873" s="79">
        <v>45897</v>
      </c>
      <c r="F1873" s="80" t="s">
        <v>323</v>
      </c>
      <c r="G1873" s="60" t="s">
        <v>40</v>
      </c>
      <c r="H1873" s="80" t="s">
        <v>285</v>
      </c>
      <c r="I1873" s="80" t="s">
        <v>36</v>
      </c>
      <c r="J1873" s="80" t="s">
        <v>448</v>
      </c>
      <c r="K1873" s="80" t="s">
        <v>346</v>
      </c>
      <c r="L1873" s="80" t="s">
        <v>342</v>
      </c>
      <c r="M1873" s="81">
        <v>0.17</v>
      </c>
      <c r="N1873" s="82">
        <v>10.200000000000001</v>
      </c>
    </row>
    <row r="1874" spans="1:14" x14ac:dyDescent="0.25">
      <c r="A1874" s="10" t="str">
        <f>_xlfn.IFNA(
    IF(J1874=
        "PCB-0001",
        "CSS",
        IF(
            ISNUMBER(MATCH(_xlfn.TEXTBEFORE(J1874,"-"), {"CSS","CSN","PCB","PCF","BEC","CSD","PCM"}, 0)),
            _xlfn.TEXTBEFORE(J1874,"-"),
            "Other"
        )
    ),
"Add")</f>
        <v>PCM</v>
      </c>
      <c r="B1874" s="10" t="str">
        <f t="shared" si="30"/>
        <v>0002</v>
      </c>
      <c r="C1874" s="10" t="str">
        <f>_xlfn.LET(
    _xlpm.val, IF(Datadetails[[#This Row],[Activity]]="D02","C20",Datadetails[[#This Row],[Activity]]),
    IF(ISNUMBER(MATCH(_xlpm.val,{"D04","C30","c40","C20"},0)), _xlpm.val, "Other")
)</f>
        <v>C30</v>
      </c>
      <c r="D1874" s="10" t="str">
        <f>IFERROR(VLOOKUP(Datadetails[[#This Row],[Taskcode]],Dashboard!A:A,1,FALSE),"00 Err Missing")</f>
        <v>0002</v>
      </c>
      <c r="E1874" s="79">
        <v>45897</v>
      </c>
      <c r="F1874" s="80" t="s">
        <v>323</v>
      </c>
      <c r="G1874" s="60" t="s">
        <v>40</v>
      </c>
      <c r="H1874" s="80" t="s">
        <v>169</v>
      </c>
      <c r="I1874" s="80" t="s">
        <v>34</v>
      </c>
      <c r="J1874" s="80" t="s">
        <v>433</v>
      </c>
      <c r="K1874" s="80" t="s">
        <v>346</v>
      </c>
      <c r="L1874" s="80" t="s">
        <v>343</v>
      </c>
      <c r="M1874" s="81">
        <v>0.25</v>
      </c>
      <c r="N1874" s="82">
        <v>15</v>
      </c>
    </row>
    <row r="1875" spans="1:14" x14ac:dyDescent="0.25">
      <c r="A1875" s="10" t="str">
        <f>_xlfn.IFNA(
    IF(J1875=
        "PCB-0001",
        "CSS",
        IF(
            ISNUMBER(MATCH(_xlfn.TEXTBEFORE(J1875,"-"), {"CSS","CSN","PCB","PCF","BEC","CSD","PCM"}, 0)),
            _xlfn.TEXTBEFORE(J1875,"-"),
            "Other"
        )
    ),
"Add")</f>
        <v>PCB</v>
      </c>
      <c r="B1875" s="10" t="str">
        <f t="shared" si="30"/>
        <v>0012</v>
      </c>
      <c r="C1875" s="10" t="str">
        <f>_xlfn.LET(
    _xlpm.val, IF(Datadetails[[#This Row],[Activity]]="D02","C20",Datadetails[[#This Row],[Activity]]),
    IF(ISNUMBER(MATCH(_xlpm.val,{"D04","C30","c40","C20"},0)), _xlpm.val, "Other")
)</f>
        <v>C30</v>
      </c>
      <c r="D1875" s="10" t="str">
        <f>IFERROR(VLOOKUP(Datadetails[[#This Row],[Taskcode]],Dashboard!A:A,1,FALSE),"00 Err Missing")</f>
        <v>0012</v>
      </c>
      <c r="E1875" s="79">
        <v>45897</v>
      </c>
      <c r="F1875" s="80" t="s">
        <v>325</v>
      </c>
      <c r="G1875" s="60" t="s">
        <v>40</v>
      </c>
      <c r="H1875" s="80" t="s">
        <v>179</v>
      </c>
      <c r="I1875" s="80" t="s">
        <v>34</v>
      </c>
      <c r="J1875" s="80" t="s">
        <v>422</v>
      </c>
      <c r="K1875" s="80" t="s">
        <v>347</v>
      </c>
      <c r="L1875" s="80" t="s">
        <v>343</v>
      </c>
      <c r="M1875" s="81">
        <v>0.42</v>
      </c>
      <c r="N1875" s="82">
        <v>31.5</v>
      </c>
    </row>
    <row r="1876" spans="1:14" x14ac:dyDescent="0.25">
      <c r="A1876" s="10" t="str">
        <f>_xlfn.IFNA(
    IF(J1876=
        "PCB-0001",
        "CSS",
        IF(
            ISNUMBER(MATCH(_xlfn.TEXTBEFORE(J1876,"-"), {"CSS","CSN","PCB","PCF","BEC","CSD","PCM"}, 0)),
            _xlfn.TEXTBEFORE(J1876,"-"),
            "Other"
        )
    ),
"Add")</f>
        <v>PCB</v>
      </c>
      <c r="B1876" s="10" t="str">
        <f t="shared" si="30"/>
        <v>0123</v>
      </c>
      <c r="C1876" s="10" t="str">
        <f>_xlfn.LET(
    _xlpm.val, IF(Datadetails[[#This Row],[Activity]]="D02","C20",Datadetails[[#This Row],[Activity]]),
    IF(ISNUMBER(MATCH(_xlpm.val,{"D04","C30","c40","C20"},0)), _xlpm.val, "Other")
)</f>
        <v>C30</v>
      </c>
      <c r="D1876" s="10" t="str">
        <f>IFERROR(VLOOKUP(Datadetails[[#This Row],[Taskcode]],Dashboard!A:A,1,FALSE),"00 Err Missing")</f>
        <v>0123</v>
      </c>
      <c r="E1876" s="79">
        <v>45897</v>
      </c>
      <c r="F1876" s="80" t="s">
        <v>325</v>
      </c>
      <c r="G1876" s="60" t="s">
        <v>40</v>
      </c>
      <c r="H1876" s="80" t="s">
        <v>290</v>
      </c>
      <c r="I1876" s="80" t="s">
        <v>34</v>
      </c>
      <c r="J1876" s="80" t="s">
        <v>428</v>
      </c>
      <c r="K1876" s="80" t="s">
        <v>347</v>
      </c>
      <c r="L1876" s="80" t="s">
        <v>343</v>
      </c>
      <c r="M1876" s="81">
        <v>0.17</v>
      </c>
      <c r="N1876" s="82">
        <v>12.750000000000002</v>
      </c>
    </row>
    <row r="1877" spans="1:14" x14ac:dyDescent="0.25">
      <c r="A1877" s="10" t="str">
        <f>_xlfn.IFNA(
    IF(J1877=
        "PCB-0001",
        "CSS",
        IF(
            ISNUMBER(MATCH(_xlfn.TEXTBEFORE(J1877,"-"), {"CSS","CSN","PCB","PCF","BEC","CSD","PCM"}, 0)),
            _xlfn.TEXTBEFORE(J1877,"-"),
            "Other"
        )
    ),
"Add")</f>
        <v>PCB</v>
      </c>
      <c r="B1877" s="10" t="str">
        <f t="shared" si="30"/>
        <v>0131</v>
      </c>
      <c r="C1877" s="10" t="str">
        <f>_xlfn.LET(
    _xlpm.val, IF(Datadetails[[#This Row],[Activity]]="D02","C20",Datadetails[[#This Row],[Activity]]),
    IF(ISNUMBER(MATCH(_xlpm.val,{"D04","C30","c40","C20"},0)), _xlpm.val, "Other")
)</f>
        <v>C30</v>
      </c>
      <c r="D1877" s="10" t="str">
        <f>IFERROR(VLOOKUP(Datadetails[[#This Row],[Taskcode]],Dashboard!A:A,1,FALSE),"00 Err Missing")</f>
        <v>0131</v>
      </c>
      <c r="E1877" s="79">
        <v>45897</v>
      </c>
      <c r="F1877" s="80" t="s">
        <v>325</v>
      </c>
      <c r="G1877" s="60" t="s">
        <v>40</v>
      </c>
      <c r="H1877" s="80" t="s">
        <v>298</v>
      </c>
      <c r="I1877" s="80" t="s">
        <v>34</v>
      </c>
      <c r="J1877" s="80" t="s">
        <v>406</v>
      </c>
      <c r="K1877" s="80" t="s">
        <v>347</v>
      </c>
      <c r="L1877" s="80" t="s">
        <v>343</v>
      </c>
      <c r="M1877" s="81">
        <v>0.25</v>
      </c>
      <c r="N1877" s="82">
        <v>18.75</v>
      </c>
    </row>
    <row r="1878" spans="1:14" x14ac:dyDescent="0.25">
      <c r="A1878" s="10" t="str">
        <f>_xlfn.IFNA(
    IF(J1878=
        "PCB-0001",
        "CSS",
        IF(
            ISNUMBER(MATCH(_xlfn.TEXTBEFORE(J1878,"-"), {"CSS","CSN","PCB","PCF","BEC","CSD","PCM"}, 0)),
            _xlfn.TEXTBEFORE(J1878,"-"),
            "Other"
        )
    ),
"Add")</f>
        <v>PCB</v>
      </c>
      <c r="B1878" s="10" t="str">
        <f t="shared" si="30"/>
        <v>0086</v>
      </c>
      <c r="C1878" s="10" t="str">
        <f>_xlfn.LET(
    _xlpm.val, IF(Datadetails[[#This Row],[Activity]]="D02","C20",Datadetails[[#This Row],[Activity]]),
    IF(ISNUMBER(MATCH(_xlpm.val,{"D04","C30","c40","C20"},0)), _xlpm.val, "Other")
)</f>
        <v>C30</v>
      </c>
      <c r="D1878" s="10" t="str">
        <f>IFERROR(VLOOKUP(Datadetails[[#This Row],[Taskcode]],Dashboard!A:A,1,FALSE),"00 Err Missing")</f>
        <v>0086</v>
      </c>
      <c r="E1878" s="79">
        <v>45897</v>
      </c>
      <c r="F1878" s="80" t="s">
        <v>325</v>
      </c>
      <c r="G1878" s="60" t="s">
        <v>40</v>
      </c>
      <c r="H1878" s="80" t="s">
        <v>253</v>
      </c>
      <c r="I1878" s="80" t="s">
        <v>34</v>
      </c>
      <c r="J1878" s="80" t="s">
        <v>408</v>
      </c>
      <c r="K1878" s="80" t="s">
        <v>347</v>
      </c>
      <c r="L1878" s="80" t="s">
        <v>343</v>
      </c>
      <c r="M1878" s="81">
        <v>0.25</v>
      </c>
      <c r="N1878" s="82">
        <v>18.75</v>
      </c>
    </row>
    <row r="1879" spans="1:14" x14ac:dyDescent="0.25">
      <c r="A1879" s="10" t="str">
        <f>_xlfn.IFNA(
    IF(J1879=
        "PCB-0001",
        "CSS",
        IF(
            ISNUMBER(MATCH(_xlfn.TEXTBEFORE(J1879,"-"), {"CSS","CSN","PCB","PCF","BEC","CSD","PCM"}, 0)),
            _xlfn.TEXTBEFORE(J1879,"-"),
            "Other"
        )
    ),
"Add")</f>
        <v>PCF</v>
      </c>
      <c r="B1879" s="10" t="str">
        <f t="shared" si="30"/>
        <v>0021</v>
      </c>
      <c r="C1879" s="10" t="str">
        <f>_xlfn.LET(
    _xlpm.val, IF(Datadetails[[#This Row],[Activity]]="D02","C20",Datadetails[[#This Row],[Activity]]),
    IF(ISNUMBER(MATCH(_xlpm.val,{"D04","C30","c40","C20"},0)), _xlpm.val, "Other")
)</f>
        <v>C20</v>
      </c>
      <c r="D1879" s="10" t="str">
        <f>IFERROR(VLOOKUP(Datadetails[[#This Row],[Taskcode]],Dashboard!A:A,1,FALSE),"00 Err Missing")</f>
        <v>0021</v>
      </c>
      <c r="E1879" s="79">
        <v>45897</v>
      </c>
      <c r="F1879" s="80" t="s">
        <v>326</v>
      </c>
      <c r="G1879" s="60" t="s">
        <v>40</v>
      </c>
      <c r="H1879" s="80" t="s">
        <v>188</v>
      </c>
      <c r="I1879" s="80" t="s">
        <v>36</v>
      </c>
      <c r="J1879" s="80" t="s">
        <v>356</v>
      </c>
      <c r="K1879" s="80" t="s">
        <v>348</v>
      </c>
      <c r="L1879" s="80" t="s">
        <v>342</v>
      </c>
      <c r="M1879" s="81">
        <v>1</v>
      </c>
      <c r="N1879" s="82">
        <v>60</v>
      </c>
    </row>
    <row r="1880" spans="1:14" x14ac:dyDescent="0.25">
      <c r="A1880" s="10" t="str">
        <f>_xlfn.IFNA(
    IF(J1880=
        "PCB-0001",
        "CSS",
        IF(
            ISNUMBER(MATCH(_xlfn.TEXTBEFORE(J1880,"-"), {"CSS","CSN","PCB","PCF","BEC","CSD","PCM"}, 0)),
            _xlfn.TEXTBEFORE(J1880,"-"),
            "Other"
        )
    ),
"Add")</f>
        <v>PCF</v>
      </c>
      <c r="B1880" s="10" t="str">
        <f t="shared" si="30"/>
        <v>0098</v>
      </c>
      <c r="C1880" s="10" t="str">
        <f>_xlfn.LET(
    _xlpm.val, IF(Datadetails[[#This Row],[Activity]]="D02","C20",Datadetails[[#This Row],[Activity]]),
    IF(ISNUMBER(MATCH(_xlpm.val,{"D04","C30","c40","C20"},0)), _xlpm.val, "Other")
)</f>
        <v>C20</v>
      </c>
      <c r="D1880" s="10" t="str">
        <f>IFERROR(VLOOKUP(Datadetails[[#This Row],[Taskcode]],Dashboard!A:A,1,FALSE),"00 Err Missing")</f>
        <v>0098</v>
      </c>
      <c r="E1880" s="79">
        <v>45897</v>
      </c>
      <c r="F1880" s="80" t="s">
        <v>326</v>
      </c>
      <c r="G1880" s="60" t="s">
        <v>40</v>
      </c>
      <c r="H1880" s="80" t="s">
        <v>265</v>
      </c>
      <c r="I1880" s="80" t="s">
        <v>36</v>
      </c>
      <c r="J1880" s="80" t="s">
        <v>358</v>
      </c>
      <c r="K1880" s="80" t="s">
        <v>348</v>
      </c>
      <c r="L1880" s="80" t="s">
        <v>342</v>
      </c>
      <c r="M1880" s="81">
        <v>1</v>
      </c>
      <c r="N1880" s="82">
        <v>60</v>
      </c>
    </row>
    <row r="1881" spans="1:14" x14ac:dyDescent="0.25">
      <c r="A1881" s="10" t="str">
        <f>_xlfn.IFNA(
    IF(J1881=
        "PCB-0001",
        "CSS",
        IF(
            ISNUMBER(MATCH(_xlfn.TEXTBEFORE(J1881,"-"), {"CSS","CSN","PCB","PCF","BEC","CSD","PCM"}, 0)),
            _xlfn.TEXTBEFORE(J1881,"-"),
            "Other"
        )
    ),
"Add")</f>
        <v>PCF</v>
      </c>
      <c r="B1881" s="10" t="str">
        <f t="shared" si="30"/>
        <v>0060</v>
      </c>
      <c r="C1881" s="10" t="str">
        <f>_xlfn.LET(
    _xlpm.val, IF(Datadetails[[#This Row],[Activity]]="D02","C20",Datadetails[[#This Row],[Activity]]),
    IF(ISNUMBER(MATCH(_xlpm.val,{"D04","C30","c40","C20"},0)), _xlpm.val, "Other")
)</f>
        <v>C30</v>
      </c>
      <c r="D1881" s="10" t="str">
        <f>IFERROR(VLOOKUP(Datadetails[[#This Row],[Taskcode]],Dashboard!A:A,1,FALSE),"00 Err Missing")</f>
        <v>0060</v>
      </c>
      <c r="E1881" s="79">
        <v>45897</v>
      </c>
      <c r="F1881" s="80" t="s">
        <v>326</v>
      </c>
      <c r="G1881" s="60" t="s">
        <v>40</v>
      </c>
      <c r="H1881" s="80" t="s">
        <v>227</v>
      </c>
      <c r="I1881" s="80" t="s">
        <v>34</v>
      </c>
      <c r="J1881" s="80" t="s">
        <v>453</v>
      </c>
      <c r="K1881" s="80" t="s">
        <v>348</v>
      </c>
      <c r="L1881" s="80" t="s">
        <v>343</v>
      </c>
      <c r="M1881" s="81">
        <v>0.83</v>
      </c>
      <c r="N1881" s="82">
        <v>49.8</v>
      </c>
    </row>
    <row r="1882" spans="1:14" x14ac:dyDescent="0.25">
      <c r="A1882" s="10" t="str">
        <f>_xlfn.IFNA(
    IF(J1882=
        "PCB-0001",
        "CSS",
        IF(
            ISNUMBER(MATCH(_xlfn.TEXTBEFORE(J1882,"-"), {"CSS","CSN","PCB","PCF","BEC","CSD","PCM"}, 0)),
            _xlfn.TEXTBEFORE(J1882,"-"),
            "Other"
        )
    ),
"Add")</f>
        <v>BEC</v>
      </c>
      <c r="B1882" s="10" t="str">
        <f t="shared" si="30"/>
        <v>0001</v>
      </c>
      <c r="C1882" s="10" t="str">
        <f>_xlfn.LET(
    _xlpm.val, IF(Datadetails[[#This Row],[Activity]]="D02","C20",Datadetails[[#This Row],[Activity]]),
    IF(ISNUMBER(MATCH(_xlpm.val,{"D04","C30","c40","C20"},0)), _xlpm.val, "Other")
)</f>
        <v>D04</v>
      </c>
      <c r="D1882" s="10" t="str">
        <f>IFERROR(VLOOKUP(Datadetails[[#This Row],[Taskcode]],Dashboard!A:A,1,FALSE),"00 Err Missing")</f>
        <v>0001</v>
      </c>
      <c r="E1882" s="79">
        <v>45897</v>
      </c>
      <c r="F1882" s="80" t="s">
        <v>332</v>
      </c>
      <c r="G1882" s="60" t="s">
        <v>40</v>
      </c>
      <c r="H1882" s="80" t="s">
        <v>314</v>
      </c>
      <c r="I1882" s="80" t="s">
        <v>35</v>
      </c>
      <c r="J1882" s="80" t="s">
        <v>359</v>
      </c>
      <c r="K1882" s="80" t="s">
        <v>339</v>
      </c>
      <c r="L1882" s="80" t="s">
        <v>352</v>
      </c>
      <c r="M1882" s="81">
        <v>2</v>
      </c>
      <c r="N1882" s="82">
        <v>80</v>
      </c>
    </row>
    <row r="1883" spans="1:14" x14ac:dyDescent="0.25">
      <c r="A1883" s="10" t="str">
        <f>_xlfn.IFNA(
    IF(J1883=
        "PCB-0001",
        "CSS",
        IF(
            ISNUMBER(MATCH(_xlfn.TEXTBEFORE(J1883,"-"), {"CSS","CSN","PCB","PCF","BEC","CSD","PCM"}, 0)),
            _xlfn.TEXTBEFORE(J1883,"-"),
            "Other"
        )
    ),
"Add")</f>
        <v>CSD</v>
      </c>
      <c r="B1883" s="10" t="str">
        <f t="shared" si="30"/>
        <v>0001</v>
      </c>
      <c r="C1883" s="10" t="str">
        <f>_xlfn.LET(
    _xlpm.val, IF(Datadetails[[#This Row],[Activity]]="D02","C20",Datadetails[[#This Row],[Activity]]),
    IF(ISNUMBER(MATCH(_xlpm.val,{"D04","C30","c40","C20"},0)), _xlpm.val, "Other")
)</f>
        <v>D04</v>
      </c>
      <c r="D1883" s="10" t="str">
        <f>IFERROR(VLOOKUP(Datadetails[[#This Row],[Taskcode]],Dashboard!A:A,1,FALSE),"00 Err Missing")</f>
        <v>0001</v>
      </c>
      <c r="E1883" s="79">
        <v>45898</v>
      </c>
      <c r="F1883" s="80" t="s">
        <v>327</v>
      </c>
      <c r="G1883" s="60" t="s">
        <v>40</v>
      </c>
      <c r="H1883" s="80" t="s">
        <v>320</v>
      </c>
      <c r="I1883" s="80" t="s">
        <v>35</v>
      </c>
      <c r="J1883" s="80" t="s">
        <v>322</v>
      </c>
      <c r="K1883" s="80" t="s">
        <v>319</v>
      </c>
      <c r="L1883" s="80" t="s">
        <v>352</v>
      </c>
      <c r="M1883" s="81">
        <v>7.5</v>
      </c>
      <c r="N1883" s="82">
        <v>240</v>
      </c>
    </row>
    <row r="1884" spans="1:14" x14ac:dyDescent="0.25">
      <c r="A1884" s="10" t="str">
        <f>_xlfn.IFNA(
    IF(J1884=
        "PCB-0001",
        "CSS",
        IF(
            ISNUMBER(MATCH(_xlfn.TEXTBEFORE(J1884,"-"), {"CSS","CSN","PCB","PCF","BEC","CSD","PCM"}, 0)),
            _xlfn.TEXTBEFORE(J1884,"-"),
            "Other"
        )
    ),
"Add")</f>
        <v>PCB</v>
      </c>
      <c r="B1884" s="10" t="str">
        <f t="shared" si="30"/>
        <v>0012</v>
      </c>
      <c r="C1884" s="10" t="str">
        <f>_xlfn.LET(
    _xlpm.val, IF(Datadetails[[#This Row],[Activity]]="D02","C20",Datadetails[[#This Row],[Activity]]),
    IF(ISNUMBER(MATCH(_xlpm.val,{"D04","C30","c40","C20"},0)), _xlpm.val, "Other")
)</f>
        <v>C30</v>
      </c>
      <c r="D1884" s="10" t="str">
        <f>IFERROR(VLOOKUP(Datadetails[[#This Row],[Taskcode]],Dashboard!A:A,1,FALSE),"00 Err Missing")</f>
        <v>0012</v>
      </c>
      <c r="E1884" s="79">
        <v>45898</v>
      </c>
      <c r="F1884" s="80" t="s">
        <v>325</v>
      </c>
      <c r="G1884" s="60" t="s">
        <v>40</v>
      </c>
      <c r="H1884" s="80" t="s">
        <v>179</v>
      </c>
      <c r="I1884" s="80" t="s">
        <v>34</v>
      </c>
      <c r="J1884" s="80" t="s">
        <v>422</v>
      </c>
      <c r="K1884" s="80" t="s">
        <v>347</v>
      </c>
      <c r="L1884" s="80" t="s">
        <v>343</v>
      </c>
      <c r="M1884" s="81">
        <v>0.25</v>
      </c>
      <c r="N1884" s="82">
        <v>18.75</v>
      </c>
    </row>
    <row r="1885" spans="1:14" x14ac:dyDescent="0.25">
      <c r="A1885" s="10" t="str">
        <f>_xlfn.IFNA(
    IF(J1885=
        "PCB-0001",
        "CSS",
        IF(
            ISNUMBER(MATCH(_xlfn.TEXTBEFORE(J1885,"-"), {"CSS","CSN","PCB","PCF","BEC","CSD","PCM"}, 0)),
            _xlfn.TEXTBEFORE(J1885,"-"),
            "Other"
        )
    ),
"Add")</f>
        <v>BEC</v>
      </c>
      <c r="B1885" s="10" t="str">
        <f t="shared" si="30"/>
        <v>0001</v>
      </c>
      <c r="C1885" s="10" t="str">
        <f>_xlfn.LET(
    _xlpm.val, IF(Datadetails[[#This Row],[Activity]]="D02","C20",Datadetails[[#This Row],[Activity]]),
    IF(ISNUMBER(MATCH(_xlpm.val,{"D04","C30","c40","C20"},0)), _xlpm.val, "Other")
)</f>
        <v>D04</v>
      </c>
      <c r="D1885" s="10" t="str">
        <f>IFERROR(VLOOKUP(Datadetails[[#This Row],[Taskcode]],Dashboard!A:A,1,FALSE),"00 Err Missing")</f>
        <v>0001</v>
      </c>
      <c r="E1885" s="79">
        <v>45898</v>
      </c>
      <c r="F1885" s="80" t="s">
        <v>332</v>
      </c>
      <c r="G1885" s="60" t="s">
        <v>40</v>
      </c>
      <c r="H1885" s="80" t="s">
        <v>314</v>
      </c>
      <c r="I1885" s="80" t="s">
        <v>35</v>
      </c>
      <c r="J1885" s="80" t="s">
        <v>359</v>
      </c>
      <c r="K1885" s="80" t="s">
        <v>339</v>
      </c>
      <c r="L1885" s="80" t="s">
        <v>352</v>
      </c>
      <c r="M1885" s="81">
        <v>9.33</v>
      </c>
      <c r="N1885" s="82">
        <v>373.2</v>
      </c>
    </row>
    <row r="1886" spans="1:14" x14ac:dyDescent="0.25">
      <c r="A1886" s="10" t="str">
        <f>_xlfn.IFNA(
    IF(J1886=
        "PCB-0001",
        "CSS",
        IF(
            ISNUMBER(MATCH(_xlfn.TEXTBEFORE(J1886,"-"), {"CSS","CSN","PCB","PCF","BEC","CSD","PCM"}, 0)),
            _xlfn.TEXTBEFORE(J1886,"-"),
            "Other"
        )
    ),
"Add")</f>
        <v>BEC</v>
      </c>
      <c r="B1886" s="10" t="str">
        <f t="shared" si="30"/>
        <v>0001</v>
      </c>
      <c r="C1886" s="10" t="str">
        <f>_xlfn.LET(
    _xlpm.val, IF(Datadetails[[#This Row],[Activity]]="D02","C20",Datadetails[[#This Row],[Activity]]),
    IF(ISNUMBER(MATCH(_xlpm.val,{"D04","C30","c40","C20"},0)), _xlpm.val, "Other")
)</f>
        <v>D04</v>
      </c>
      <c r="D1886" s="10" t="str">
        <f>IFERROR(VLOOKUP(Datadetails[[#This Row],[Taskcode]],Dashboard!A:A,1,FALSE),"00 Err Missing")</f>
        <v>0001</v>
      </c>
      <c r="E1886" s="79">
        <v>45898</v>
      </c>
      <c r="F1886" s="80" t="s">
        <v>324</v>
      </c>
      <c r="G1886" s="60" t="s">
        <v>40</v>
      </c>
      <c r="H1886" s="80" t="s">
        <v>314</v>
      </c>
      <c r="I1886" s="80" t="s">
        <v>35</v>
      </c>
      <c r="J1886" s="80" t="s">
        <v>359</v>
      </c>
      <c r="K1886" s="80" t="s">
        <v>339</v>
      </c>
      <c r="L1886" s="80" t="s">
        <v>352</v>
      </c>
      <c r="M1886" s="81">
        <v>3.67</v>
      </c>
      <c r="N1886" s="82">
        <v>275.25</v>
      </c>
    </row>
    <row r="1887" spans="1:14" x14ac:dyDescent="0.25">
      <c r="A1887" s="10" t="str">
        <f>_xlfn.IFNA(
    IF(J1887=
        "PCB-0001",
        "CSS",
        IF(
            ISNUMBER(MATCH(_xlfn.TEXTBEFORE(J1887,"-"), {"CSS","CSN","PCB","PCF","BEC","CSD","PCM"}, 0)),
            _xlfn.TEXTBEFORE(J1887,"-"),
            "Other"
        )
    ),
"Add")</f>
        <v>BEC</v>
      </c>
      <c r="B1887" s="10" t="str">
        <f t="shared" si="30"/>
        <v>0001</v>
      </c>
      <c r="C1887" s="10" t="str">
        <f>_xlfn.LET(
    _xlpm.val, IF(Datadetails[[#This Row],[Activity]]="D02","C20",Datadetails[[#This Row],[Activity]]),
    IF(ISNUMBER(MATCH(_xlpm.val,{"D04","C30","c40","C20"},0)), _xlpm.val, "Other")
)</f>
        <v>D04</v>
      </c>
      <c r="D1887" s="10" t="str">
        <f>IFERROR(VLOOKUP(Datadetails[[#This Row],[Taskcode]],Dashboard!A:A,1,FALSE),"00 Err Missing")</f>
        <v>0001</v>
      </c>
      <c r="E1887" s="79">
        <v>45899</v>
      </c>
      <c r="F1887" s="80" t="s">
        <v>332</v>
      </c>
      <c r="G1887" s="60" t="s">
        <v>40</v>
      </c>
      <c r="H1887" s="80" t="s">
        <v>314</v>
      </c>
      <c r="I1887" s="80" t="s">
        <v>35</v>
      </c>
      <c r="J1887" s="80" t="s">
        <v>359</v>
      </c>
      <c r="K1887" s="80" t="s">
        <v>339</v>
      </c>
      <c r="L1887" s="80" t="s">
        <v>352</v>
      </c>
      <c r="M1887" s="81">
        <v>4</v>
      </c>
      <c r="N1887" s="82">
        <v>160</v>
      </c>
    </row>
    <row r="1888" spans="1:14" x14ac:dyDescent="0.25">
      <c r="A1888" s="10" t="str">
        <f>_xlfn.IFNA(
    IF(J1888=
        "PCB-0001",
        "CSS",
        IF(
            ISNUMBER(MATCH(_xlfn.TEXTBEFORE(J1888,"-"), {"CSS","CSN","PCB","PCF","BEC","CSD","PCM"}, 0)),
            _xlfn.TEXTBEFORE(J1888,"-"),
            "Other"
        )
    ),
"Add")</f>
        <v>PCB</v>
      </c>
      <c r="B1888" s="10" t="str">
        <f t="shared" si="30"/>
        <v>0030</v>
      </c>
      <c r="C1888" s="10" t="str">
        <f>_xlfn.LET(
    _xlpm.val, IF(Datadetails[[#This Row],[Activity]]="D02","C20",Datadetails[[#This Row],[Activity]]),
    IF(ISNUMBER(MATCH(_xlpm.val,{"D04","C30","c40","C20"},0)), _xlpm.val, "Other")
)</f>
        <v>C40</v>
      </c>
      <c r="D1888" s="10" t="str">
        <f>IFERROR(VLOOKUP(Datadetails[[#This Row],[Taskcode]],Dashboard!A:A,1,FALSE),"00 Err Missing")</f>
        <v>0030</v>
      </c>
      <c r="E1888" s="79">
        <v>45901</v>
      </c>
      <c r="F1888" s="80" t="s">
        <v>329</v>
      </c>
      <c r="G1888" s="60" t="s">
        <v>40</v>
      </c>
      <c r="H1888" s="80" t="s">
        <v>197</v>
      </c>
      <c r="I1888" s="80" t="s">
        <v>341</v>
      </c>
      <c r="J1888" s="80" t="s">
        <v>366</v>
      </c>
      <c r="K1888" s="80" t="s">
        <v>347</v>
      </c>
      <c r="L1888" s="80" t="s">
        <v>344</v>
      </c>
      <c r="M1888" s="81">
        <v>0.5</v>
      </c>
      <c r="N1888" s="82">
        <v>37.5</v>
      </c>
    </row>
    <row r="1889" spans="1:14" x14ac:dyDescent="0.25">
      <c r="A1889" s="10" t="str">
        <f>_xlfn.IFNA(
    IF(J1889=
        "PCB-0001",
        "CSS",
        IF(
            ISNUMBER(MATCH(_xlfn.TEXTBEFORE(J1889,"-"), {"CSS","CSN","PCB","PCF","BEC","CSD","PCM"}, 0)),
            _xlfn.TEXTBEFORE(J1889,"-"),
            "Other"
        )
    ),
"Add")</f>
        <v>CSD</v>
      </c>
      <c r="B1889" s="10" t="str">
        <f t="shared" si="30"/>
        <v>0001</v>
      </c>
      <c r="C1889" s="10" t="str">
        <f>_xlfn.LET(
    _xlpm.val, IF(Datadetails[[#This Row],[Activity]]="D02","C20",Datadetails[[#This Row],[Activity]]),
    IF(ISNUMBER(MATCH(_xlpm.val,{"D04","C30","c40","C20"},0)), _xlpm.val, "Other")
)</f>
        <v>D04</v>
      </c>
      <c r="D1889" s="10" t="str">
        <f>IFERROR(VLOOKUP(Datadetails[[#This Row],[Taskcode]],Dashboard!A:A,1,FALSE),"00 Err Missing")</f>
        <v>0001</v>
      </c>
      <c r="E1889" s="79">
        <v>45901</v>
      </c>
      <c r="F1889" s="80" t="s">
        <v>333</v>
      </c>
      <c r="G1889" s="60" t="s">
        <v>40</v>
      </c>
      <c r="H1889" s="80" t="s">
        <v>320</v>
      </c>
      <c r="I1889" s="80" t="s">
        <v>35</v>
      </c>
      <c r="J1889" s="80" t="s">
        <v>322</v>
      </c>
      <c r="K1889" s="80" t="s">
        <v>319</v>
      </c>
      <c r="L1889" s="80" t="s">
        <v>352</v>
      </c>
      <c r="M1889" s="81">
        <v>7.67</v>
      </c>
      <c r="N1889" s="82">
        <v>245.44</v>
      </c>
    </row>
    <row r="1890" spans="1:14" x14ac:dyDescent="0.25">
      <c r="A1890" s="10" t="str">
        <f>_xlfn.IFNA(
    IF(J1890=
        "PCB-0001",
        "CSS",
        IF(
            ISNUMBER(MATCH(_xlfn.TEXTBEFORE(J1890,"-"), {"CSS","CSN","PCB","PCF","BEC","CSD","PCM"}, 0)),
            _xlfn.TEXTBEFORE(J1890,"-"),
            "Other"
        )
    ),
"Add")</f>
        <v>CSD</v>
      </c>
      <c r="B1890" s="10" t="str">
        <f t="shared" si="30"/>
        <v>0001</v>
      </c>
      <c r="C1890" s="10" t="str">
        <f>_xlfn.LET(
    _xlpm.val, IF(Datadetails[[#This Row],[Activity]]="D02","C20",Datadetails[[#This Row],[Activity]]),
    IF(ISNUMBER(MATCH(_xlpm.val,{"D04","C30","c40","C20"},0)), _xlpm.val, "Other")
)</f>
        <v>D04</v>
      </c>
      <c r="D1890" s="10" t="str">
        <f>IFERROR(VLOOKUP(Datadetails[[#This Row],[Taskcode]],Dashboard!A:A,1,FALSE),"00 Err Missing")</f>
        <v>0001</v>
      </c>
      <c r="E1890" s="79">
        <v>45901</v>
      </c>
      <c r="F1890" s="80" t="s">
        <v>327</v>
      </c>
      <c r="G1890" s="60" t="s">
        <v>40</v>
      </c>
      <c r="H1890" s="80" t="s">
        <v>320</v>
      </c>
      <c r="I1890" s="80" t="s">
        <v>35</v>
      </c>
      <c r="J1890" s="80" t="s">
        <v>322</v>
      </c>
      <c r="K1890" s="80" t="s">
        <v>319</v>
      </c>
      <c r="L1890" s="80" t="s">
        <v>352</v>
      </c>
      <c r="M1890" s="81">
        <v>7.42</v>
      </c>
      <c r="N1890" s="82">
        <v>237.44</v>
      </c>
    </row>
    <row r="1891" spans="1:14" x14ac:dyDescent="0.25">
      <c r="A1891" s="10" t="str">
        <f>_xlfn.IFNA(
    IF(J1891=
        "PCB-0001",
        "CSS",
        IF(
            ISNUMBER(MATCH(_xlfn.TEXTBEFORE(J1891,"-"), {"CSS","CSN","PCB","PCF","BEC","CSD","PCM"}, 0)),
            _xlfn.TEXTBEFORE(J1891,"-"),
            "Other"
        )
    ),
"Add")</f>
        <v>PCB</v>
      </c>
      <c r="B1891" s="10" t="str">
        <f t="shared" si="30"/>
        <v>0015</v>
      </c>
      <c r="C1891" s="10" t="str">
        <f>_xlfn.LET(
    _xlpm.val, IF(Datadetails[[#This Row],[Activity]]="D02","C20",Datadetails[[#This Row],[Activity]]),
    IF(ISNUMBER(MATCH(_xlpm.val,{"D04","C30","c40","C20"},0)), _xlpm.val, "Other")
)</f>
        <v>C30</v>
      </c>
      <c r="D1891" s="10" t="str">
        <f>IFERROR(VLOOKUP(Datadetails[[#This Row],[Taskcode]],Dashboard!A:A,1,FALSE),"00 Err Missing")</f>
        <v>0015</v>
      </c>
      <c r="E1891" s="79">
        <v>45901</v>
      </c>
      <c r="F1891" s="80" t="s">
        <v>325</v>
      </c>
      <c r="G1891" s="60" t="s">
        <v>40</v>
      </c>
      <c r="H1891" s="80" t="s">
        <v>182</v>
      </c>
      <c r="I1891" s="80" t="s">
        <v>34</v>
      </c>
      <c r="J1891" s="80" t="s">
        <v>467</v>
      </c>
      <c r="K1891" s="80" t="s">
        <v>347</v>
      </c>
      <c r="L1891" s="80" t="s">
        <v>343</v>
      </c>
      <c r="M1891" s="81">
        <v>0.17</v>
      </c>
      <c r="N1891" s="82">
        <v>12.750000000000002</v>
      </c>
    </row>
    <row r="1892" spans="1:14" x14ac:dyDescent="0.25">
      <c r="A1892" s="10" t="str">
        <f>_xlfn.IFNA(
    IF(J1892=
        "PCB-0001",
        "CSS",
        IF(
            ISNUMBER(MATCH(_xlfn.TEXTBEFORE(J1892,"-"), {"CSS","CSN","PCB","PCF","BEC","CSD","PCM"}, 0)),
            _xlfn.TEXTBEFORE(J1892,"-"),
            "Other"
        )
    ),
"Add")</f>
        <v>BEC</v>
      </c>
      <c r="B1892" s="10" t="str">
        <f t="shared" si="30"/>
        <v>0001</v>
      </c>
      <c r="C1892" s="10" t="str">
        <f>_xlfn.LET(
    _xlpm.val, IF(Datadetails[[#This Row],[Activity]]="D02","C20",Datadetails[[#This Row],[Activity]]),
    IF(ISNUMBER(MATCH(_xlpm.val,{"D04","C30","c40","C20"},0)), _xlpm.val, "Other")
)</f>
        <v>D04</v>
      </c>
      <c r="D1892" s="10" t="str">
        <f>IFERROR(VLOOKUP(Datadetails[[#This Row],[Taskcode]],Dashboard!A:A,1,FALSE),"00 Err Missing")</f>
        <v>0001</v>
      </c>
      <c r="E1892" s="79">
        <v>45901</v>
      </c>
      <c r="F1892" s="80" t="s">
        <v>332</v>
      </c>
      <c r="G1892" s="60" t="s">
        <v>40</v>
      </c>
      <c r="H1892" s="80" t="s">
        <v>314</v>
      </c>
      <c r="I1892" s="80" t="s">
        <v>35</v>
      </c>
      <c r="J1892" s="80" t="s">
        <v>359</v>
      </c>
      <c r="K1892" s="80" t="s">
        <v>339</v>
      </c>
      <c r="L1892" s="80" t="s">
        <v>352</v>
      </c>
      <c r="M1892" s="81">
        <v>9.33</v>
      </c>
      <c r="N1892" s="82">
        <v>373.2</v>
      </c>
    </row>
    <row r="1893" spans="1:14" x14ac:dyDescent="0.25">
      <c r="A1893" s="10" t="str">
        <f>_xlfn.IFNA(
    IF(J1893=
        "PCB-0001",
        "CSS",
        IF(
            ISNUMBER(MATCH(_xlfn.TEXTBEFORE(J1893,"-"), {"CSS","CSN","PCB","PCF","BEC","CSD","PCM"}, 0)),
            _xlfn.TEXTBEFORE(J1893,"-"),
            "Other"
        )
    ),
"Add")</f>
        <v>BEC</v>
      </c>
      <c r="B1893" s="10" t="str">
        <f t="shared" si="30"/>
        <v>0001</v>
      </c>
      <c r="C1893" s="10" t="str">
        <f>_xlfn.LET(
    _xlpm.val, IF(Datadetails[[#This Row],[Activity]]="D02","C20",Datadetails[[#This Row],[Activity]]),
    IF(ISNUMBER(MATCH(_xlpm.val,{"D04","C30","c40","C20"},0)), _xlpm.val, "Other")
)</f>
        <v>D04</v>
      </c>
      <c r="D1893" s="10" t="str">
        <f>IFERROR(VLOOKUP(Datadetails[[#This Row],[Taskcode]],Dashboard!A:A,1,FALSE),"00 Err Missing")</f>
        <v>0001</v>
      </c>
      <c r="E1893" s="79">
        <v>45901</v>
      </c>
      <c r="F1893" s="80" t="s">
        <v>324</v>
      </c>
      <c r="G1893" s="60" t="s">
        <v>40</v>
      </c>
      <c r="H1893" s="80" t="s">
        <v>314</v>
      </c>
      <c r="I1893" s="80" t="s">
        <v>35</v>
      </c>
      <c r="J1893" s="80" t="s">
        <v>359</v>
      </c>
      <c r="K1893" s="80" t="s">
        <v>339</v>
      </c>
      <c r="L1893" s="80" t="s">
        <v>352</v>
      </c>
      <c r="M1893" s="81">
        <v>4.75</v>
      </c>
      <c r="N1893" s="82">
        <v>356.25</v>
      </c>
    </row>
    <row r="1894" spans="1:14" x14ac:dyDescent="0.25">
      <c r="A1894" s="10" t="str">
        <f>_xlfn.IFNA(
    IF(J1894=
        "PCB-0001",
        "CSS",
        IF(
            ISNUMBER(MATCH(_xlfn.TEXTBEFORE(J1894,"-"), {"CSS","CSN","PCB","PCF","BEC","CSD","PCM"}, 0)),
            _xlfn.TEXTBEFORE(J1894,"-"),
            "Other"
        )
    ),
"Add")</f>
        <v>CSN</v>
      </c>
      <c r="B1894" s="10" t="str">
        <f t="shared" si="30"/>
        <v>0001</v>
      </c>
      <c r="C1894" s="10" t="str">
        <f>_xlfn.LET(
    _xlpm.val, IF(Datadetails[[#This Row],[Activity]]="D02","C20",Datadetails[[#This Row],[Activity]]),
    IF(ISNUMBER(MATCH(_xlpm.val,{"D04","C30","c40","C20"},0)), _xlpm.val, "Other")
)</f>
        <v>D04</v>
      </c>
      <c r="D1894" s="10" t="str">
        <f>IFERROR(VLOOKUP(Datadetails[[#This Row],[Taskcode]],Dashboard!A:A,1,FALSE),"00 Err Missing")</f>
        <v>0001</v>
      </c>
      <c r="E1894" s="79">
        <v>45902</v>
      </c>
      <c r="F1894" s="80" t="s">
        <v>329</v>
      </c>
      <c r="G1894" s="60" t="s">
        <v>40</v>
      </c>
      <c r="H1894" s="80" t="s">
        <v>316</v>
      </c>
      <c r="I1894" s="80" t="s">
        <v>35</v>
      </c>
      <c r="J1894" s="80" t="s">
        <v>338</v>
      </c>
      <c r="K1894" s="80" t="s">
        <v>337</v>
      </c>
      <c r="L1894" s="80" t="s">
        <v>352</v>
      </c>
      <c r="M1894" s="81">
        <v>0.83</v>
      </c>
      <c r="N1894" s="82">
        <v>62.25</v>
      </c>
    </row>
    <row r="1895" spans="1:14" x14ac:dyDescent="0.25">
      <c r="A1895" s="10" t="str">
        <f>_xlfn.IFNA(
    IF(J1895=
        "PCB-0001",
        "CSS",
        IF(
            ISNUMBER(MATCH(_xlfn.TEXTBEFORE(J1895,"-"), {"CSS","CSN","PCB","PCF","BEC","CSD","PCM"}, 0)),
            _xlfn.TEXTBEFORE(J1895,"-"),
            "Other"
        )
    ),
"Add")</f>
        <v>PCB</v>
      </c>
      <c r="B1895" s="10" t="str">
        <f t="shared" si="30"/>
        <v>0029</v>
      </c>
      <c r="C1895" s="10" t="str">
        <f>_xlfn.LET(
    _xlpm.val, IF(Datadetails[[#This Row],[Activity]]="D02","C20",Datadetails[[#This Row],[Activity]]),
    IF(ISNUMBER(MATCH(_xlpm.val,{"D04","C30","c40","C20"},0)), _xlpm.val, "Other")
)</f>
        <v>C40</v>
      </c>
      <c r="D1895" s="10" t="str">
        <f>IFERROR(VLOOKUP(Datadetails[[#This Row],[Taskcode]],Dashboard!A:A,1,FALSE),"00 Err Missing")</f>
        <v>0029</v>
      </c>
      <c r="E1895" s="79">
        <v>45902</v>
      </c>
      <c r="F1895" s="80" t="s">
        <v>330</v>
      </c>
      <c r="G1895" s="60" t="s">
        <v>40</v>
      </c>
      <c r="H1895" s="80" t="s">
        <v>196</v>
      </c>
      <c r="I1895" s="80" t="s">
        <v>341</v>
      </c>
      <c r="J1895" s="80" t="s">
        <v>446</v>
      </c>
      <c r="K1895" s="80" t="s">
        <v>347</v>
      </c>
      <c r="L1895" s="80" t="s">
        <v>344</v>
      </c>
      <c r="M1895" s="81">
        <v>0.67</v>
      </c>
      <c r="N1895" s="82">
        <v>40.200000000000003</v>
      </c>
    </row>
    <row r="1896" spans="1:14" x14ac:dyDescent="0.25">
      <c r="A1896" s="10" t="str">
        <f>_xlfn.IFNA(
    IF(J1896=
        "PCB-0001",
        "CSS",
        IF(
            ISNUMBER(MATCH(_xlfn.TEXTBEFORE(J1896,"-"), {"CSS","CSN","PCB","PCF","BEC","CSD","PCM"}, 0)),
            _xlfn.TEXTBEFORE(J1896,"-"),
            "Other"
        )
    ),
"Add")</f>
        <v>PCB</v>
      </c>
      <c r="B1896" s="10" t="str">
        <f t="shared" si="30"/>
        <v>0019</v>
      </c>
      <c r="C1896" s="10" t="str">
        <f>_xlfn.LET(
    _xlpm.val, IF(Datadetails[[#This Row],[Activity]]="D02","C20",Datadetails[[#This Row],[Activity]]),
    IF(ISNUMBER(MATCH(_xlpm.val,{"D04","C30","c40","C20"},0)), _xlpm.val, "Other")
)</f>
        <v>C40</v>
      </c>
      <c r="D1896" s="10" t="str">
        <f>IFERROR(VLOOKUP(Datadetails[[#This Row],[Taskcode]],Dashboard!A:A,1,FALSE),"00 Err Missing")</f>
        <v>0019</v>
      </c>
      <c r="E1896" s="79">
        <v>45902</v>
      </c>
      <c r="F1896" s="80" t="s">
        <v>329</v>
      </c>
      <c r="G1896" s="60" t="s">
        <v>40</v>
      </c>
      <c r="H1896" s="80" t="s">
        <v>186</v>
      </c>
      <c r="I1896" s="80" t="s">
        <v>341</v>
      </c>
      <c r="J1896" s="80" t="s">
        <v>397</v>
      </c>
      <c r="K1896" s="80" t="s">
        <v>347</v>
      </c>
      <c r="L1896" s="80" t="s">
        <v>344</v>
      </c>
      <c r="M1896" s="81">
        <v>1</v>
      </c>
      <c r="N1896" s="82">
        <v>75</v>
      </c>
    </row>
    <row r="1897" spans="1:14" x14ac:dyDescent="0.25">
      <c r="A1897" s="10" t="str">
        <f>_xlfn.IFNA(
    IF(J1897=
        "PCB-0001",
        "CSS",
        IF(
            ISNUMBER(MATCH(_xlfn.TEXTBEFORE(J1897,"-"), {"CSS","CSN","PCB","PCF","BEC","CSD","PCM"}, 0)),
            _xlfn.TEXTBEFORE(J1897,"-"),
            "Other"
        )
    ),
"Add")</f>
        <v>PCM</v>
      </c>
      <c r="B1897" s="10" t="str">
        <f t="shared" si="30"/>
        <v>0002</v>
      </c>
      <c r="C1897" s="10" t="str">
        <f>_xlfn.LET(
    _xlpm.val, IF(Datadetails[[#This Row],[Activity]]="D02","C20",Datadetails[[#This Row],[Activity]]),
    IF(ISNUMBER(MATCH(_xlpm.val,{"D04","C30","c40","C20"},0)), _xlpm.val, "Other")
)</f>
        <v>C20</v>
      </c>
      <c r="D1897" s="10" t="str">
        <f>IFERROR(VLOOKUP(Datadetails[[#This Row],[Taskcode]],Dashboard!A:A,1,FALSE),"00 Err Missing")</f>
        <v>0002</v>
      </c>
      <c r="E1897" s="79">
        <v>45902</v>
      </c>
      <c r="F1897" s="80" t="s">
        <v>323</v>
      </c>
      <c r="G1897" s="60" t="s">
        <v>40</v>
      </c>
      <c r="H1897" s="80" t="s">
        <v>169</v>
      </c>
      <c r="I1897" s="80" t="s">
        <v>36</v>
      </c>
      <c r="J1897" s="80" t="s">
        <v>433</v>
      </c>
      <c r="K1897" s="80" t="s">
        <v>346</v>
      </c>
      <c r="L1897" s="80" t="s">
        <v>342</v>
      </c>
      <c r="M1897" s="81">
        <v>1</v>
      </c>
      <c r="N1897" s="82">
        <v>60</v>
      </c>
    </row>
    <row r="1898" spans="1:14" x14ac:dyDescent="0.25">
      <c r="A1898" s="10" t="str">
        <f>_xlfn.IFNA(
    IF(J1898=
        "PCB-0001",
        "CSS",
        IF(
            ISNUMBER(MATCH(_xlfn.TEXTBEFORE(J1898,"-"), {"CSS","CSN","PCB","PCF","BEC","CSD","PCM"}, 0)),
            _xlfn.TEXTBEFORE(J1898,"-"),
            "Other"
        )
    ),
"Add")</f>
        <v>CSD</v>
      </c>
      <c r="B1898" s="10" t="str">
        <f t="shared" si="30"/>
        <v>0001</v>
      </c>
      <c r="C1898" s="10" t="str">
        <f>_xlfn.LET(
    _xlpm.val, IF(Datadetails[[#This Row],[Activity]]="D02","C20",Datadetails[[#This Row],[Activity]]),
    IF(ISNUMBER(MATCH(_xlpm.val,{"D04","C30","c40","C20"},0)), _xlpm.val, "Other")
)</f>
        <v>D04</v>
      </c>
      <c r="D1898" s="10" t="str">
        <f>IFERROR(VLOOKUP(Datadetails[[#This Row],[Taskcode]],Dashboard!A:A,1,FALSE),"00 Err Missing")</f>
        <v>0001</v>
      </c>
      <c r="E1898" s="79">
        <v>45902</v>
      </c>
      <c r="F1898" s="80" t="s">
        <v>333</v>
      </c>
      <c r="G1898" s="60" t="s">
        <v>40</v>
      </c>
      <c r="H1898" s="80" t="s">
        <v>320</v>
      </c>
      <c r="I1898" s="80" t="s">
        <v>35</v>
      </c>
      <c r="J1898" s="80" t="s">
        <v>322</v>
      </c>
      <c r="K1898" s="80" t="s">
        <v>319</v>
      </c>
      <c r="L1898" s="80" t="s">
        <v>352</v>
      </c>
      <c r="M1898" s="81">
        <v>6.98</v>
      </c>
      <c r="N1898" s="82">
        <v>223.36</v>
      </c>
    </row>
    <row r="1899" spans="1:14" x14ac:dyDescent="0.25">
      <c r="A1899" s="10" t="str">
        <f>_xlfn.IFNA(
    IF(J1899=
        "PCB-0001",
        "CSS",
        IF(
            ISNUMBER(MATCH(_xlfn.TEXTBEFORE(J1899,"-"), {"CSS","CSN","PCB","PCF","BEC","CSD","PCM"}, 0)),
            _xlfn.TEXTBEFORE(J1899,"-"),
            "Other"
        )
    ),
"Add")</f>
        <v>CSD</v>
      </c>
      <c r="B1899" s="10" t="str">
        <f t="shared" si="30"/>
        <v>0001</v>
      </c>
      <c r="C1899" s="10" t="str">
        <f>_xlfn.LET(
    _xlpm.val, IF(Datadetails[[#This Row],[Activity]]="D02","C20",Datadetails[[#This Row],[Activity]]),
    IF(ISNUMBER(MATCH(_xlpm.val,{"D04","C30","c40","C20"},0)), _xlpm.val, "Other")
)</f>
        <v>D04</v>
      </c>
      <c r="D1899" s="10" t="str">
        <f>IFERROR(VLOOKUP(Datadetails[[#This Row],[Taskcode]],Dashboard!A:A,1,FALSE),"00 Err Missing")</f>
        <v>0001</v>
      </c>
      <c r="E1899" s="79">
        <v>45902</v>
      </c>
      <c r="F1899" s="80" t="s">
        <v>327</v>
      </c>
      <c r="G1899" s="60" t="s">
        <v>40</v>
      </c>
      <c r="H1899" s="80" t="s">
        <v>320</v>
      </c>
      <c r="I1899" s="80" t="s">
        <v>35</v>
      </c>
      <c r="J1899" s="80" t="s">
        <v>322</v>
      </c>
      <c r="K1899" s="80" t="s">
        <v>319</v>
      </c>
      <c r="L1899" s="80" t="s">
        <v>352</v>
      </c>
      <c r="M1899" s="81">
        <v>7.42</v>
      </c>
      <c r="N1899" s="82">
        <v>237.44</v>
      </c>
    </row>
    <row r="1900" spans="1:14" x14ac:dyDescent="0.25">
      <c r="A1900" s="10" t="str">
        <f>_xlfn.IFNA(
    IF(J1900=
        "PCB-0001",
        "CSS",
        IF(
            ISNUMBER(MATCH(_xlfn.TEXTBEFORE(J1900,"-"), {"CSS","CSN","PCB","PCF","BEC","CSD","PCM"}, 0)),
            _xlfn.TEXTBEFORE(J1900,"-"),
            "Other"
        )
    ),
"Add")</f>
        <v>PCB</v>
      </c>
      <c r="B1900" s="10" t="str">
        <f t="shared" si="30"/>
        <v>0085</v>
      </c>
      <c r="C1900" s="10" t="str">
        <f>_xlfn.LET(
    _xlpm.val, IF(Datadetails[[#This Row],[Activity]]="D02","C20",Datadetails[[#This Row],[Activity]]),
    IF(ISNUMBER(MATCH(_xlpm.val,{"D04","C30","c40","C20"},0)), _xlpm.val, "Other")
)</f>
        <v>C20</v>
      </c>
      <c r="D1900" s="10" t="str">
        <f>IFERROR(VLOOKUP(Datadetails[[#This Row],[Taskcode]],Dashboard!A:A,1,FALSE),"00 Err Missing")</f>
        <v>0085</v>
      </c>
      <c r="E1900" s="79">
        <v>45902</v>
      </c>
      <c r="F1900" s="80" t="s">
        <v>330</v>
      </c>
      <c r="G1900" s="60" t="s">
        <v>40</v>
      </c>
      <c r="H1900" s="80" t="s">
        <v>252</v>
      </c>
      <c r="I1900" s="80" t="s">
        <v>36</v>
      </c>
      <c r="J1900" s="80" t="s">
        <v>416</v>
      </c>
      <c r="K1900" s="80" t="s">
        <v>347</v>
      </c>
      <c r="L1900" s="80" t="s">
        <v>342</v>
      </c>
      <c r="M1900" s="81">
        <v>1</v>
      </c>
      <c r="N1900" s="82">
        <v>60</v>
      </c>
    </row>
    <row r="1901" spans="1:14" x14ac:dyDescent="0.25">
      <c r="A1901" s="10" t="str">
        <f>_xlfn.IFNA(
    IF(J1901=
        "PCB-0001",
        "CSS",
        IF(
            ISNUMBER(MATCH(_xlfn.TEXTBEFORE(J1901,"-"), {"CSS","CSN","PCB","PCF","BEC","CSD","PCM"}, 0)),
            _xlfn.TEXTBEFORE(J1901,"-"),
            "Other"
        )
    ),
"Add")</f>
        <v>PCB</v>
      </c>
      <c r="B1901" s="10" t="str">
        <f t="shared" si="30"/>
        <v>0012</v>
      </c>
      <c r="C1901" s="10" t="str">
        <f>_xlfn.LET(
    _xlpm.val, IF(Datadetails[[#This Row],[Activity]]="D02","C20",Datadetails[[#This Row],[Activity]]),
    IF(ISNUMBER(MATCH(_xlpm.val,{"D04","C30","c40","C20"},0)), _xlpm.val, "Other")
)</f>
        <v>C30</v>
      </c>
      <c r="D1901" s="10" t="str">
        <f>IFERROR(VLOOKUP(Datadetails[[#This Row],[Taskcode]],Dashboard!A:A,1,FALSE),"00 Err Missing")</f>
        <v>0012</v>
      </c>
      <c r="E1901" s="79">
        <v>45902</v>
      </c>
      <c r="F1901" s="80" t="s">
        <v>325</v>
      </c>
      <c r="G1901" s="60" t="s">
        <v>40</v>
      </c>
      <c r="H1901" s="80" t="s">
        <v>179</v>
      </c>
      <c r="I1901" s="80" t="s">
        <v>34</v>
      </c>
      <c r="J1901" s="80" t="s">
        <v>422</v>
      </c>
      <c r="K1901" s="80" t="s">
        <v>347</v>
      </c>
      <c r="L1901" s="80" t="s">
        <v>343</v>
      </c>
      <c r="M1901" s="81">
        <v>0.17</v>
      </c>
      <c r="N1901" s="82">
        <v>12.750000000000002</v>
      </c>
    </row>
    <row r="1902" spans="1:14" x14ac:dyDescent="0.25">
      <c r="A1902" s="10" t="str">
        <f>_xlfn.IFNA(
    IF(J1902=
        "PCB-0001",
        "CSS",
        IF(
            ISNUMBER(MATCH(_xlfn.TEXTBEFORE(J1902,"-"), {"CSS","CSN","PCB","PCF","BEC","CSD","PCM"}, 0)),
            _xlfn.TEXTBEFORE(J1902,"-"),
            "Other"
        )
    ),
"Add")</f>
        <v>PCB</v>
      </c>
      <c r="B1902" s="10" t="str">
        <f t="shared" si="30"/>
        <v>0137</v>
      </c>
      <c r="C1902" s="10" t="str">
        <f>_xlfn.LET(
    _xlpm.val, IF(Datadetails[[#This Row],[Activity]]="D02","C20",Datadetails[[#This Row],[Activity]]),
    IF(ISNUMBER(MATCH(_xlpm.val,{"D04","C30","c40","C20"},0)), _xlpm.val, "Other")
)</f>
        <v>C30</v>
      </c>
      <c r="D1902" s="10" t="str">
        <f>IFERROR(VLOOKUP(Datadetails[[#This Row],[Taskcode]],Dashboard!A:A,1,FALSE),"00 Err Missing")</f>
        <v>0137</v>
      </c>
      <c r="E1902" s="79">
        <v>45902</v>
      </c>
      <c r="F1902" s="80" t="s">
        <v>325</v>
      </c>
      <c r="G1902" s="60" t="s">
        <v>40</v>
      </c>
      <c r="H1902" s="80" t="s">
        <v>304</v>
      </c>
      <c r="I1902" s="80" t="s">
        <v>34</v>
      </c>
      <c r="J1902" s="80" t="s">
        <v>372</v>
      </c>
      <c r="K1902" s="80" t="s">
        <v>347</v>
      </c>
      <c r="L1902" s="80" t="s">
        <v>343</v>
      </c>
      <c r="M1902" s="81">
        <v>0.17</v>
      </c>
      <c r="N1902" s="82">
        <v>12.750000000000002</v>
      </c>
    </row>
    <row r="1903" spans="1:14" x14ac:dyDescent="0.25">
      <c r="A1903" s="10" t="str">
        <f>_xlfn.IFNA(
    IF(J1903=
        "PCB-0001",
        "CSS",
        IF(
            ISNUMBER(MATCH(_xlfn.TEXTBEFORE(J1903,"-"), {"CSS","CSN","PCB","PCF","BEC","CSD","PCM"}, 0)),
            _xlfn.TEXTBEFORE(J1903,"-"),
            "Other"
        )
    ),
"Add")</f>
        <v>PCB</v>
      </c>
      <c r="B1903" s="10" t="str">
        <f t="shared" si="30"/>
        <v>0086</v>
      </c>
      <c r="C1903" s="10" t="str">
        <f>_xlfn.LET(
    _xlpm.val, IF(Datadetails[[#This Row],[Activity]]="D02","C20",Datadetails[[#This Row],[Activity]]),
    IF(ISNUMBER(MATCH(_xlpm.val,{"D04","C30","c40","C20"},0)), _xlpm.val, "Other")
)</f>
        <v>C30</v>
      </c>
      <c r="D1903" s="10" t="str">
        <f>IFERROR(VLOOKUP(Datadetails[[#This Row],[Taskcode]],Dashboard!A:A,1,FALSE),"00 Err Missing")</f>
        <v>0086</v>
      </c>
      <c r="E1903" s="79">
        <v>45902</v>
      </c>
      <c r="F1903" s="80" t="s">
        <v>325</v>
      </c>
      <c r="G1903" s="60" t="s">
        <v>40</v>
      </c>
      <c r="H1903" s="80" t="s">
        <v>253</v>
      </c>
      <c r="I1903" s="80" t="s">
        <v>34</v>
      </c>
      <c r="J1903" s="80" t="s">
        <v>408</v>
      </c>
      <c r="K1903" s="80" t="s">
        <v>347</v>
      </c>
      <c r="L1903" s="80" t="s">
        <v>343</v>
      </c>
      <c r="M1903" s="81">
        <v>0.57999999999999996</v>
      </c>
      <c r="N1903" s="82">
        <v>43.5</v>
      </c>
    </row>
    <row r="1904" spans="1:14" x14ac:dyDescent="0.25">
      <c r="A1904" s="10" t="str">
        <f>_xlfn.IFNA(
    IF(J1904=
        "PCB-0001",
        "CSS",
        IF(
            ISNUMBER(MATCH(_xlfn.TEXTBEFORE(J1904,"-"), {"CSS","CSN","PCB","PCF","BEC","CSD","PCM"}, 0)),
            _xlfn.TEXTBEFORE(J1904,"-"),
            "Other"
        )
    ),
"Add")</f>
        <v>PCB</v>
      </c>
      <c r="B1904" s="10" t="str">
        <f t="shared" si="30"/>
        <v>0092</v>
      </c>
      <c r="C1904" s="10" t="str">
        <f>_xlfn.LET(
    _xlpm.val, IF(Datadetails[[#This Row],[Activity]]="D02","C20",Datadetails[[#This Row],[Activity]]),
    IF(ISNUMBER(MATCH(_xlpm.val,{"D04","C30","c40","C20"},0)), _xlpm.val, "Other")
)</f>
        <v>C30</v>
      </c>
      <c r="D1904" s="10" t="str">
        <f>IFERROR(VLOOKUP(Datadetails[[#This Row],[Taskcode]],Dashboard!A:A,1,FALSE),"00 Err Missing")</f>
        <v>0092</v>
      </c>
      <c r="E1904" s="79">
        <v>45902</v>
      </c>
      <c r="F1904" s="80" t="s">
        <v>329</v>
      </c>
      <c r="G1904" s="60" t="s">
        <v>40</v>
      </c>
      <c r="H1904" s="80" t="s">
        <v>259</v>
      </c>
      <c r="I1904" s="80" t="s">
        <v>34</v>
      </c>
      <c r="J1904" s="80" t="s">
        <v>407</v>
      </c>
      <c r="K1904" s="80" t="s">
        <v>347</v>
      </c>
      <c r="L1904" s="80" t="s">
        <v>343</v>
      </c>
      <c r="M1904" s="81">
        <v>0.25</v>
      </c>
      <c r="N1904" s="82">
        <v>18.75</v>
      </c>
    </row>
    <row r="1905" spans="1:14" x14ac:dyDescent="0.25">
      <c r="A1905" s="10" t="str">
        <f>_xlfn.IFNA(
    IF(J1905=
        "PCB-0001",
        "CSS",
        IF(
            ISNUMBER(MATCH(_xlfn.TEXTBEFORE(J1905,"-"), {"CSS","CSN","PCB","PCF","BEC","CSD","PCM"}, 0)),
            _xlfn.TEXTBEFORE(J1905,"-"),
            "Other"
        )
    ),
"Add")</f>
        <v>PCB</v>
      </c>
      <c r="B1905" s="10" t="str">
        <f t="shared" si="30"/>
        <v>0110</v>
      </c>
      <c r="C1905" s="10" t="str">
        <f>_xlfn.LET(
    _xlpm.val, IF(Datadetails[[#This Row],[Activity]]="D02","C20",Datadetails[[#This Row],[Activity]]),
    IF(ISNUMBER(MATCH(_xlpm.val,{"D04","C30","c40","C20"},0)), _xlpm.val, "Other")
)</f>
        <v>C30</v>
      </c>
      <c r="D1905" s="10" t="str">
        <f>IFERROR(VLOOKUP(Datadetails[[#This Row],[Taskcode]],Dashboard!A:A,1,FALSE),"00 Err Missing")</f>
        <v>0110</v>
      </c>
      <c r="E1905" s="79">
        <v>45902</v>
      </c>
      <c r="F1905" s="80" t="s">
        <v>325</v>
      </c>
      <c r="G1905" s="60" t="s">
        <v>40</v>
      </c>
      <c r="H1905" s="80" t="s">
        <v>277</v>
      </c>
      <c r="I1905" s="80" t="s">
        <v>34</v>
      </c>
      <c r="J1905" s="80" t="s">
        <v>353</v>
      </c>
      <c r="K1905" s="80" t="s">
        <v>347</v>
      </c>
      <c r="L1905" s="80" t="s">
        <v>343</v>
      </c>
      <c r="M1905" s="81">
        <v>0.17</v>
      </c>
      <c r="N1905" s="82">
        <v>12.750000000000002</v>
      </c>
    </row>
    <row r="1906" spans="1:14" x14ac:dyDescent="0.25">
      <c r="A1906" s="10" t="str">
        <f>_xlfn.IFNA(
    IF(J1906=
        "PCB-0001",
        "CSS",
        IF(
            ISNUMBER(MATCH(_xlfn.TEXTBEFORE(J1906,"-"), {"CSS","CSN","PCB","PCF","BEC","CSD","PCM"}, 0)),
            _xlfn.TEXTBEFORE(J1906,"-"),
            "Other"
        )
    ),
"Add")</f>
        <v>PCB</v>
      </c>
      <c r="B1906" s="10" t="str">
        <f t="shared" si="30"/>
        <v>0092</v>
      </c>
      <c r="C1906" s="10" t="str">
        <f>_xlfn.LET(
    _xlpm.val, IF(Datadetails[[#This Row],[Activity]]="D02","C20",Datadetails[[#This Row],[Activity]]),
    IF(ISNUMBER(MATCH(_xlpm.val,{"D04","C30","c40","C20"},0)), _xlpm.val, "Other")
)</f>
        <v>C40</v>
      </c>
      <c r="D1906" s="10" t="str">
        <f>IFERROR(VLOOKUP(Datadetails[[#This Row],[Taskcode]],Dashboard!A:A,1,FALSE),"00 Err Missing")</f>
        <v>0092</v>
      </c>
      <c r="E1906" s="79">
        <v>45902</v>
      </c>
      <c r="F1906" s="80" t="s">
        <v>330</v>
      </c>
      <c r="G1906" s="60" t="s">
        <v>40</v>
      </c>
      <c r="H1906" s="80" t="s">
        <v>259</v>
      </c>
      <c r="I1906" s="80" t="s">
        <v>341</v>
      </c>
      <c r="J1906" s="80" t="s">
        <v>407</v>
      </c>
      <c r="K1906" s="80" t="s">
        <v>347</v>
      </c>
      <c r="L1906" s="80" t="s">
        <v>344</v>
      </c>
      <c r="M1906" s="81">
        <v>0.75</v>
      </c>
      <c r="N1906" s="82">
        <v>45</v>
      </c>
    </row>
    <row r="1907" spans="1:14" x14ac:dyDescent="0.25">
      <c r="A1907" s="10" t="str">
        <f>_xlfn.IFNA(
    IF(J1907=
        "PCB-0001",
        "CSS",
        IF(
            ISNUMBER(MATCH(_xlfn.TEXTBEFORE(J1907,"-"), {"CSS","CSN","PCB","PCF","BEC","CSD","PCM"}, 0)),
            _xlfn.TEXTBEFORE(J1907,"-"),
            "Other"
        )
    ),
"Add")</f>
        <v>PCF</v>
      </c>
      <c r="B1907" s="10" t="str">
        <f t="shared" si="30"/>
        <v>0008</v>
      </c>
      <c r="C1907" s="10" t="str">
        <f>_xlfn.LET(
    _xlpm.val, IF(Datadetails[[#This Row],[Activity]]="D02","C20",Datadetails[[#This Row],[Activity]]),
    IF(ISNUMBER(MATCH(_xlpm.val,{"D04","C30","c40","C20"},0)), _xlpm.val, "Other")
)</f>
        <v>C30</v>
      </c>
      <c r="D1907" s="10" t="str">
        <f>IFERROR(VLOOKUP(Datadetails[[#This Row],[Taskcode]],Dashboard!A:A,1,FALSE),"00 Err Missing")</f>
        <v>0008</v>
      </c>
      <c r="E1907" s="79">
        <v>45902</v>
      </c>
      <c r="F1907" s="80" t="s">
        <v>326</v>
      </c>
      <c r="G1907" s="60" t="s">
        <v>40</v>
      </c>
      <c r="H1907" s="80" t="s">
        <v>175</v>
      </c>
      <c r="I1907" s="80" t="s">
        <v>34</v>
      </c>
      <c r="J1907" s="80" t="s">
        <v>388</v>
      </c>
      <c r="K1907" s="80" t="s">
        <v>348</v>
      </c>
      <c r="L1907" s="80" t="s">
        <v>343</v>
      </c>
      <c r="M1907" s="81">
        <v>0.67</v>
      </c>
      <c r="N1907" s="82">
        <v>40.200000000000003</v>
      </c>
    </row>
    <row r="1908" spans="1:14" x14ac:dyDescent="0.25">
      <c r="A1908" s="10" t="str">
        <f>_xlfn.IFNA(
    IF(J1908=
        "PCB-0001",
        "CSS",
        IF(
            ISNUMBER(MATCH(_xlfn.TEXTBEFORE(J1908,"-"), {"CSS","CSN","PCB","PCF","BEC","CSD","PCM"}, 0)),
            _xlfn.TEXTBEFORE(J1908,"-"),
            "Other"
        )
    ),
"Add")</f>
        <v>BEC</v>
      </c>
      <c r="B1908" s="10" t="str">
        <f t="shared" si="30"/>
        <v>0001</v>
      </c>
      <c r="C1908" s="10" t="str">
        <f>_xlfn.LET(
    _xlpm.val, IF(Datadetails[[#This Row],[Activity]]="D02","C20",Datadetails[[#This Row],[Activity]]),
    IF(ISNUMBER(MATCH(_xlpm.val,{"D04","C30","c40","C20"},0)), _xlpm.val, "Other")
)</f>
        <v>D04</v>
      </c>
      <c r="D1908" s="10" t="str">
        <f>IFERROR(VLOOKUP(Datadetails[[#This Row],[Taskcode]],Dashboard!A:A,1,FALSE),"00 Err Missing")</f>
        <v>0001</v>
      </c>
      <c r="E1908" s="79">
        <v>45902</v>
      </c>
      <c r="F1908" s="80" t="s">
        <v>332</v>
      </c>
      <c r="G1908" s="60" t="s">
        <v>40</v>
      </c>
      <c r="H1908" s="80" t="s">
        <v>314</v>
      </c>
      <c r="I1908" s="80" t="s">
        <v>35</v>
      </c>
      <c r="J1908" s="80" t="s">
        <v>359</v>
      </c>
      <c r="K1908" s="80" t="s">
        <v>339</v>
      </c>
      <c r="L1908" s="80" t="s">
        <v>352</v>
      </c>
      <c r="M1908" s="81">
        <v>8.67</v>
      </c>
      <c r="N1908" s="82">
        <v>346.8</v>
      </c>
    </row>
    <row r="1909" spans="1:14" x14ac:dyDescent="0.25">
      <c r="A1909" s="10" t="str">
        <f>_xlfn.IFNA(
    IF(J1909=
        "PCB-0001",
        "CSS",
        IF(
            ISNUMBER(MATCH(_xlfn.TEXTBEFORE(J1909,"-"), {"CSS","CSN","PCB","PCF","BEC","CSD","PCM"}, 0)),
            _xlfn.TEXTBEFORE(J1909,"-"),
            "Other"
        )
    ),
"Add")</f>
        <v>BEC</v>
      </c>
      <c r="B1909" s="10" t="str">
        <f t="shared" si="30"/>
        <v>0001</v>
      </c>
      <c r="C1909" s="10" t="str">
        <f>_xlfn.LET(
    _xlpm.val, IF(Datadetails[[#This Row],[Activity]]="D02","C20",Datadetails[[#This Row],[Activity]]),
    IF(ISNUMBER(MATCH(_xlpm.val,{"D04","C30","c40","C20"},0)), _xlpm.val, "Other")
)</f>
        <v>D04</v>
      </c>
      <c r="D1909" s="10" t="str">
        <f>IFERROR(VLOOKUP(Datadetails[[#This Row],[Taskcode]],Dashboard!A:A,1,FALSE),"00 Err Missing")</f>
        <v>0001</v>
      </c>
      <c r="E1909" s="79">
        <v>45902</v>
      </c>
      <c r="F1909" s="80" t="s">
        <v>324</v>
      </c>
      <c r="G1909" s="60" t="s">
        <v>40</v>
      </c>
      <c r="H1909" s="80" t="s">
        <v>314</v>
      </c>
      <c r="I1909" s="80" t="s">
        <v>35</v>
      </c>
      <c r="J1909" s="80" t="s">
        <v>359</v>
      </c>
      <c r="K1909" s="80" t="s">
        <v>339</v>
      </c>
      <c r="L1909" s="80" t="s">
        <v>352</v>
      </c>
      <c r="M1909" s="81">
        <v>5.25</v>
      </c>
      <c r="N1909" s="82">
        <v>393.75</v>
      </c>
    </row>
    <row r="1910" spans="1:14" x14ac:dyDescent="0.25">
      <c r="A1910" s="10" t="str">
        <f>_xlfn.IFNA(
    IF(J1910=
        "PCB-0001",
        "CSS",
        IF(
            ISNUMBER(MATCH(_xlfn.TEXTBEFORE(J1910,"-"), {"CSS","CSN","PCB","PCF","BEC","CSD","PCM"}, 0)),
            _xlfn.TEXTBEFORE(J1910,"-"),
            "Other"
        )
    ),
"Add")</f>
        <v>CSN</v>
      </c>
      <c r="B1910" s="10" t="str">
        <f t="shared" si="30"/>
        <v>0001</v>
      </c>
      <c r="C1910" s="10" t="str">
        <f>_xlfn.LET(
    _xlpm.val, IF(Datadetails[[#This Row],[Activity]]="D02","C20",Datadetails[[#This Row],[Activity]]),
    IF(ISNUMBER(MATCH(_xlpm.val,{"D04","C30","c40","C20"},0)), _xlpm.val, "Other")
)</f>
        <v>D04</v>
      </c>
      <c r="D1910" s="10" t="str">
        <f>IFERROR(VLOOKUP(Datadetails[[#This Row],[Taskcode]],Dashboard!A:A,1,FALSE),"00 Err Missing")</f>
        <v>0001</v>
      </c>
      <c r="E1910" s="79">
        <v>45903</v>
      </c>
      <c r="F1910" s="80" t="s">
        <v>329</v>
      </c>
      <c r="G1910" s="60" t="s">
        <v>40</v>
      </c>
      <c r="H1910" s="80" t="s">
        <v>316</v>
      </c>
      <c r="I1910" s="80" t="s">
        <v>35</v>
      </c>
      <c r="J1910" s="80" t="s">
        <v>338</v>
      </c>
      <c r="K1910" s="80" t="s">
        <v>337</v>
      </c>
      <c r="L1910" s="80" t="s">
        <v>352</v>
      </c>
      <c r="M1910" s="81">
        <v>1.5</v>
      </c>
      <c r="N1910" s="82">
        <v>112.5</v>
      </c>
    </row>
    <row r="1911" spans="1:14" x14ac:dyDescent="0.25">
      <c r="A1911" s="10" t="str">
        <f>_xlfn.IFNA(
    IF(J1911=
        "PCB-0001",
        "CSS",
        IF(
            ISNUMBER(MATCH(_xlfn.TEXTBEFORE(J1911,"-"), {"CSS","CSN","PCB","PCF","BEC","CSD","PCM"}, 0)),
            _xlfn.TEXTBEFORE(J1911,"-"),
            "Other"
        )
    ),
"Add")</f>
        <v>PCB</v>
      </c>
      <c r="B1911" s="10" t="str">
        <f t="shared" si="30"/>
        <v>0134</v>
      </c>
      <c r="C1911" s="10" t="str">
        <f>_xlfn.LET(
    _xlpm.val, IF(Datadetails[[#This Row],[Activity]]="D02","C20",Datadetails[[#This Row],[Activity]]),
    IF(ISNUMBER(MATCH(_xlpm.val,{"D04","C30","c40","C20"},0)), _xlpm.val, "Other")
)</f>
        <v>C40</v>
      </c>
      <c r="D1911" s="10" t="str">
        <f>IFERROR(VLOOKUP(Datadetails[[#This Row],[Taskcode]],Dashboard!A:A,1,FALSE),"00 Err Missing")</f>
        <v>0134</v>
      </c>
      <c r="E1911" s="79">
        <v>45903</v>
      </c>
      <c r="F1911" s="80" t="s">
        <v>329</v>
      </c>
      <c r="G1911" s="60" t="s">
        <v>40</v>
      </c>
      <c r="H1911" s="80" t="s">
        <v>301</v>
      </c>
      <c r="I1911" s="80" t="s">
        <v>341</v>
      </c>
      <c r="J1911" s="80" t="s">
        <v>371</v>
      </c>
      <c r="K1911" s="80" t="s">
        <v>347</v>
      </c>
      <c r="L1911" s="80" t="s">
        <v>344</v>
      </c>
      <c r="M1911" s="81">
        <v>1</v>
      </c>
      <c r="N1911" s="82">
        <v>75</v>
      </c>
    </row>
    <row r="1912" spans="1:14" x14ac:dyDescent="0.25">
      <c r="A1912" s="10" t="str">
        <f>_xlfn.IFNA(
    IF(J1912=
        "PCB-0001",
        "CSS",
        IF(
            ISNUMBER(MATCH(_xlfn.TEXTBEFORE(J1912,"-"), {"CSS","CSN","PCB","PCF","BEC","CSD","PCM"}, 0)),
            _xlfn.TEXTBEFORE(J1912,"-"),
            "Other"
        )
    ),
"Add")</f>
        <v>PCM</v>
      </c>
      <c r="B1912" s="10" t="str">
        <f t="shared" si="30"/>
        <v>0002</v>
      </c>
      <c r="C1912" s="10" t="str">
        <f>_xlfn.LET(
    _xlpm.val, IF(Datadetails[[#This Row],[Activity]]="D02","C20",Datadetails[[#This Row],[Activity]]),
    IF(ISNUMBER(MATCH(_xlpm.val,{"D04","C30","c40","C20"},0)), _xlpm.val, "Other")
)</f>
        <v>C20</v>
      </c>
      <c r="D1912" s="10" t="str">
        <f>IFERROR(VLOOKUP(Datadetails[[#This Row],[Taskcode]],Dashboard!A:A,1,FALSE),"00 Err Missing")</f>
        <v>0002</v>
      </c>
      <c r="E1912" s="79">
        <v>45903</v>
      </c>
      <c r="F1912" s="80" t="s">
        <v>323</v>
      </c>
      <c r="G1912" s="60" t="s">
        <v>40</v>
      </c>
      <c r="H1912" s="80" t="s">
        <v>169</v>
      </c>
      <c r="I1912" s="80" t="s">
        <v>36</v>
      </c>
      <c r="J1912" s="80" t="s">
        <v>433</v>
      </c>
      <c r="K1912" s="80" t="s">
        <v>346</v>
      </c>
      <c r="L1912" s="80" t="s">
        <v>342</v>
      </c>
      <c r="M1912" s="81">
        <v>0.5</v>
      </c>
      <c r="N1912" s="82">
        <v>30</v>
      </c>
    </row>
    <row r="1913" spans="1:14" x14ac:dyDescent="0.25">
      <c r="A1913" s="10" t="str">
        <f>_xlfn.IFNA(
    IF(J1913=
        "PCB-0001",
        "CSS",
        IF(
            ISNUMBER(MATCH(_xlfn.TEXTBEFORE(J1913,"-"), {"CSS","CSN","PCB","PCF","BEC","CSD","PCM"}, 0)),
            _xlfn.TEXTBEFORE(J1913,"-"),
            "Other"
        )
    ),
"Add")</f>
        <v>PCM</v>
      </c>
      <c r="B1913" s="10" t="str">
        <f t="shared" si="30"/>
        <v>0045</v>
      </c>
      <c r="C1913" s="10" t="str">
        <f>_xlfn.LET(
    _xlpm.val, IF(Datadetails[[#This Row],[Activity]]="D02","C20",Datadetails[[#This Row],[Activity]]),
    IF(ISNUMBER(MATCH(_xlpm.val,{"D04","C30","c40","C20"},0)), _xlpm.val, "Other")
)</f>
        <v>C20</v>
      </c>
      <c r="D1913" s="10" t="str">
        <f>IFERROR(VLOOKUP(Datadetails[[#This Row],[Taskcode]],Dashboard!A:A,1,FALSE),"00 Err Missing")</f>
        <v>0045</v>
      </c>
      <c r="E1913" s="79">
        <v>45903</v>
      </c>
      <c r="F1913" s="80" t="s">
        <v>323</v>
      </c>
      <c r="G1913" s="60" t="s">
        <v>40</v>
      </c>
      <c r="H1913" s="80" t="s">
        <v>212</v>
      </c>
      <c r="I1913" s="80" t="s">
        <v>36</v>
      </c>
      <c r="J1913" s="80" t="s">
        <v>392</v>
      </c>
      <c r="K1913" s="80" t="s">
        <v>346</v>
      </c>
      <c r="L1913" s="80" t="s">
        <v>342</v>
      </c>
      <c r="M1913" s="81">
        <v>0.33</v>
      </c>
      <c r="N1913" s="82">
        <v>19.8</v>
      </c>
    </row>
    <row r="1914" spans="1:14" x14ac:dyDescent="0.25">
      <c r="A1914" s="10" t="str">
        <f>_xlfn.IFNA(
    IF(J1914=
        "PCB-0001",
        "CSS",
        IF(
            ISNUMBER(MATCH(_xlfn.TEXTBEFORE(J1914,"-"), {"CSS","CSN","PCB","PCF","BEC","CSD","PCM"}, 0)),
            _xlfn.TEXTBEFORE(J1914,"-"),
            "Other"
        )
    ),
"Add")</f>
        <v>CSD</v>
      </c>
      <c r="B1914" s="10" t="str">
        <f t="shared" si="30"/>
        <v>0001</v>
      </c>
      <c r="C1914" s="10" t="str">
        <f>_xlfn.LET(
    _xlpm.val, IF(Datadetails[[#This Row],[Activity]]="D02","C20",Datadetails[[#This Row],[Activity]]),
    IF(ISNUMBER(MATCH(_xlpm.val,{"D04","C30","c40","C20"},0)), _xlpm.val, "Other")
)</f>
        <v>D04</v>
      </c>
      <c r="D1914" s="10" t="str">
        <f>IFERROR(VLOOKUP(Datadetails[[#This Row],[Taskcode]],Dashboard!A:A,1,FALSE),"00 Err Missing")</f>
        <v>0001</v>
      </c>
      <c r="E1914" s="79">
        <v>45903</v>
      </c>
      <c r="F1914" s="80" t="s">
        <v>333</v>
      </c>
      <c r="G1914" s="60" t="s">
        <v>40</v>
      </c>
      <c r="H1914" s="80" t="s">
        <v>320</v>
      </c>
      <c r="I1914" s="80" t="s">
        <v>35</v>
      </c>
      <c r="J1914" s="80" t="s">
        <v>322</v>
      </c>
      <c r="K1914" s="80" t="s">
        <v>319</v>
      </c>
      <c r="L1914" s="80" t="s">
        <v>352</v>
      </c>
      <c r="M1914" s="81">
        <v>7.48</v>
      </c>
      <c r="N1914" s="82">
        <v>239.36</v>
      </c>
    </row>
    <row r="1915" spans="1:14" x14ac:dyDescent="0.25">
      <c r="A1915" s="10" t="str">
        <f>_xlfn.IFNA(
    IF(J1915=
        "PCB-0001",
        "CSS",
        IF(
            ISNUMBER(MATCH(_xlfn.TEXTBEFORE(J1915,"-"), {"CSS","CSN","PCB","PCF","BEC","CSD","PCM"}, 0)),
            _xlfn.TEXTBEFORE(J1915,"-"),
            "Other"
        )
    ),
"Add")</f>
        <v>CSD</v>
      </c>
      <c r="B1915" s="10" t="str">
        <f t="shared" si="30"/>
        <v>0001</v>
      </c>
      <c r="C1915" s="10" t="str">
        <f>_xlfn.LET(
    _xlpm.val, IF(Datadetails[[#This Row],[Activity]]="D02","C20",Datadetails[[#This Row],[Activity]]),
    IF(ISNUMBER(MATCH(_xlpm.val,{"D04","C30","c40","C20"},0)), _xlpm.val, "Other")
)</f>
        <v>D04</v>
      </c>
      <c r="D1915" s="10" t="str">
        <f>IFERROR(VLOOKUP(Datadetails[[#This Row],[Taskcode]],Dashboard!A:A,1,FALSE),"00 Err Missing")</f>
        <v>0001</v>
      </c>
      <c r="E1915" s="79">
        <v>45903</v>
      </c>
      <c r="F1915" s="80" t="s">
        <v>327</v>
      </c>
      <c r="G1915" s="60" t="s">
        <v>40</v>
      </c>
      <c r="H1915" s="80" t="s">
        <v>320</v>
      </c>
      <c r="I1915" s="80" t="s">
        <v>35</v>
      </c>
      <c r="J1915" s="80" t="s">
        <v>322</v>
      </c>
      <c r="K1915" s="80" t="s">
        <v>319</v>
      </c>
      <c r="L1915" s="80" t="s">
        <v>352</v>
      </c>
      <c r="M1915" s="81">
        <v>7.5</v>
      </c>
      <c r="N1915" s="82">
        <v>240</v>
      </c>
    </row>
    <row r="1916" spans="1:14" x14ac:dyDescent="0.25">
      <c r="A1916" s="10" t="str">
        <f>_xlfn.IFNA(
    IF(J1916=
        "PCB-0001",
        "CSS",
        IF(
            ISNUMBER(MATCH(_xlfn.TEXTBEFORE(J1916,"-"), {"CSS","CSN","PCB","PCF","BEC","CSD","PCM"}, 0)),
            _xlfn.TEXTBEFORE(J1916,"-"),
            "Other"
        )
    ),
"Add")</f>
        <v>PCM</v>
      </c>
      <c r="B1916" s="10" t="str">
        <f t="shared" si="30"/>
        <v>0064</v>
      </c>
      <c r="C1916" s="10" t="str">
        <f>_xlfn.LET(
    _xlpm.val, IF(Datadetails[[#This Row],[Activity]]="D02","C20",Datadetails[[#This Row],[Activity]]),
    IF(ISNUMBER(MATCH(_xlpm.val,{"D04","C30","c40","C20"},0)), _xlpm.val, "Other")
)</f>
        <v>C30</v>
      </c>
      <c r="D1916" s="10" t="str">
        <f>IFERROR(VLOOKUP(Datadetails[[#This Row],[Taskcode]],Dashboard!A:A,1,FALSE),"00 Err Missing")</f>
        <v>0064</v>
      </c>
      <c r="E1916" s="79">
        <v>45903</v>
      </c>
      <c r="F1916" s="80" t="s">
        <v>323</v>
      </c>
      <c r="G1916" s="60" t="s">
        <v>40</v>
      </c>
      <c r="H1916" s="80" t="s">
        <v>231</v>
      </c>
      <c r="I1916" s="80" t="s">
        <v>34</v>
      </c>
      <c r="J1916" s="80" t="s">
        <v>420</v>
      </c>
      <c r="K1916" s="80" t="s">
        <v>346</v>
      </c>
      <c r="L1916" s="80" t="s">
        <v>343</v>
      </c>
      <c r="M1916" s="81">
        <v>0.5</v>
      </c>
      <c r="N1916" s="82">
        <v>30</v>
      </c>
    </row>
    <row r="1917" spans="1:14" x14ac:dyDescent="0.25">
      <c r="A1917" s="10" t="str">
        <f>_xlfn.IFNA(
    IF(J1917=
        "PCB-0001",
        "CSS",
        IF(
            ISNUMBER(MATCH(_xlfn.TEXTBEFORE(J1917,"-"), {"CSS","CSN","PCB","PCF","BEC","CSD","PCM"}, 0)),
            _xlfn.TEXTBEFORE(J1917,"-"),
            "Other"
        )
    ),
"Add")</f>
        <v>PCM</v>
      </c>
      <c r="B1917" s="10" t="str">
        <f t="shared" si="30"/>
        <v>0035</v>
      </c>
      <c r="C1917" s="10" t="str">
        <f>_xlfn.LET(
    _xlpm.val, IF(Datadetails[[#This Row],[Activity]]="D02","C20",Datadetails[[#This Row],[Activity]]),
    IF(ISNUMBER(MATCH(_xlpm.val,{"D04","C30","c40","C20"},0)), _xlpm.val, "Other")
)</f>
        <v>C30</v>
      </c>
      <c r="D1917" s="10" t="str">
        <f>IFERROR(VLOOKUP(Datadetails[[#This Row],[Taskcode]],Dashboard!A:A,1,FALSE),"00 Err Missing")</f>
        <v>0035</v>
      </c>
      <c r="E1917" s="79">
        <v>45903</v>
      </c>
      <c r="F1917" s="80" t="s">
        <v>323</v>
      </c>
      <c r="G1917" s="60" t="s">
        <v>40</v>
      </c>
      <c r="H1917" s="80" t="s">
        <v>202</v>
      </c>
      <c r="I1917" s="80" t="s">
        <v>34</v>
      </c>
      <c r="J1917" s="80" t="s">
        <v>431</v>
      </c>
      <c r="K1917" s="80" t="s">
        <v>346</v>
      </c>
      <c r="L1917" s="80" t="s">
        <v>343</v>
      </c>
      <c r="M1917" s="81">
        <v>0.5</v>
      </c>
      <c r="N1917" s="82">
        <v>30</v>
      </c>
    </row>
    <row r="1918" spans="1:14" x14ac:dyDescent="0.25">
      <c r="A1918" s="10" t="str">
        <f>_xlfn.IFNA(
    IF(J1918=
        "PCB-0001",
        "CSS",
        IF(
            ISNUMBER(MATCH(_xlfn.TEXTBEFORE(J1918,"-"), {"CSS","CSN","PCB","PCF","BEC","CSD","PCM"}, 0)),
            _xlfn.TEXTBEFORE(J1918,"-"),
            "Other"
        )
    ),
"Add")</f>
        <v>PCM</v>
      </c>
      <c r="B1918" s="10" t="str">
        <f t="shared" si="30"/>
        <v>0116</v>
      </c>
      <c r="C1918" s="10" t="str">
        <f>_xlfn.LET(
    _xlpm.val, IF(Datadetails[[#This Row],[Activity]]="D02","C20",Datadetails[[#This Row],[Activity]]),
    IF(ISNUMBER(MATCH(_xlpm.val,{"D04","C30","c40","C20"},0)), _xlpm.val, "Other")
)</f>
        <v>C30</v>
      </c>
      <c r="D1918" s="10" t="str">
        <f>IFERROR(VLOOKUP(Datadetails[[#This Row],[Taskcode]],Dashboard!A:A,1,FALSE),"00 Err Missing")</f>
        <v>0116</v>
      </c>
      <c r="E1918" s="79">
        <v>45903</v>
      </c>
      <c r="F1918" s="80" t="s">
        <v>323</v>
      </c>
      <c r="G1918" s="60" t="s">
        <v>40</v>
      </c>
      <c r="H1918" s="80" t="s">
        <v>283</v>
      </c>
      <c r="I1918" s="80" t="s">
        <v>34</v>
      </c>
      <c r="J1918" s="80" t="s">
        <v>429</v>
      </c>
      <c r="K1918" s="80" t="s">
        <v>346</v>
      </c>
      <c r="L1918" s="80" t="s">
        <v>343</v>
      </c>
      <c r="M1918" s="81">
        <v>0.5</v>
      </c>
      <c r="N1918" s="82">
        <v>30</v>
      </c>
    </row>
    <row r="1919" spans="1:14" x14ac:dyDescent="0.25">
      <c r="A1919" s="10" t="str">
        <f>_xlfn.IFNA(
    IF(J1919=
        "PCB-0001",
        "CSS",
        IF(
            ISNUMBER(MATCH(_xlfn.TEXTBEFORE(J1919,"-"), {"CSS","CSN","PCB","PCF","BEC","CSD","PCM"}, 0)),
            _xlfn.TEXTBEFORE(J1919,"-"),
            "Other"
        )
    ),
"Add")</f>
        <v>PCB</v>
      </c>
      <c r="B1919" s="10" t="str">
        <f t="shared" si="30"/>
        <v>0019</v>
      </c>
      <c r="C1919" s="10" t="str">
        <f>_xlfn.LET(
    _xlpm.val, IF(Datadetails[[#This Row],[Activity]]="D02","C20",Datadetails[[#This Row],[Activity]]),
    IF(ISNUMBER(MATCH(_xlpm.val,{"D04","C30","c40","C20"},0)), _xlpm.val, "Other")
)</f>
        <v>C30</v>
      </c>
      <c r="D1919" s="10" t="str">
        <f>IFERROR(VLOOKUP(Datadetails[[#This Row],[Taskcode]],Dashboard!A:A,1,FALSE),"00 Err Missing")</f>
        <v>0019</v>
      </c>
      <c r="E1919" s="79">
        <v>45903</v>
      </c>
      <c r="F1919" s="80" t="s">
        <v>329</v>
      </c>
      <c r="G1919" s="60" t="s">
        <v>40</v>
      </c>
      <c r="H1919" s="80" t="s">
        <v>186</v>
      </c>
      <c r="I1919" s="80" t="s">
        <v>34</v>
      </c>
      <c r="J1919" s="80" t="s">
        <v>397</v>
      </c>
      <c r="K1919" s="80" t="s">
        <v>347</v>
      </c>
      <c r="L1919" s="80" t="s">
        <v>343</v>
      </c>
      <c r="M1919" s="81">
        <v>0.33</v>
      </c>
      <c r="N1919" s="82">
        <v>24.75</v>
      </c>
    </row>
    <row r="1920" spans="1:14" x14ac:dyDescent="0.25">
      <c r="A1920" s="10" t="str">
        <f>_xlfn.IFNA(
    IF(J1920=
        "PCB-0001",
        "CSS",
        IF(
            ISNUMBER(MATCH(_xlfn.TEXTBEFORE(J1920,"-"), {"CSS","CSN","PCB","PCF","BEC","CSD","PCM"}, 0)),
            _xlfn.TEXTBEFORE(J1920,"-"),
            "Other"
        )
    ),
"Add")</f>
        <v>PCB</v>
      </c>
      <c r="B1920" s="10" t="str">
        <f t="shared" si="30"/>
        <v>0085</v>
      </c>
      <c r="C1920" s="10" t="str">
        <f>_xlfn.LET(
    _xlpm.val, IF(Datadetails[[#This Row],[Activity]]="D02","C20",Datadetails[[#This Row],[Activity]]),
    IF(ISNUMBER(MATCH(_xlpm.val,{"D04","C30","c40","C20"},0)), _xlpm.val, "Other")
)</f>
        <v>C20</v>
      </c>
      <c r="D1920" s="10" t="str">
        <f>IFERROR(VLOOKUP(Datadetails[[#This Row],[Taskcode]],Dashboard!A:A,1,FALSE),"00 Err Missing")</f>
        <v>0085</v>
      </c>
      <c r="E1920" s="79">
        <v>45903</v>
      </c>
      <c r="F1920" s="80" t="s">
        <v>330</v>
      </c>
      <c r="G1920" s="60" t="s">
        <v>40</v>
      </c>
      <c r="H1920" s="80" t="s">
        <v>252</v>
      </c>
      <c r="I1920" s="80" t="s">
        <v>36</v>
      </c>
      <c r="J1920" s="80" t="s">
        <v>416</v>
      </c>
      <c r="K1920" s="80" t="s">
        <v>347</v>
      </c>
      <c r="L1920" s="80" t="s">
        <v>342</v>
      </c>
      <c r="M1920" s="81">
        <v>0.5</v>
      </c>
      <c r="N1920" s="82">
        <v>30</v>
      </c>
    </row>
    <row r="1921" spans="1:14" x14ac:dyDescent="0.25">
      <c r="A1921" s="10" t="str">
        <f>_xlfn.IFNA(
    IF(J1921=
        "PCB-0001",
        "CSS",
        IF(
            ISNUMBER(MATCH(_xlfn.TEXTBEFORE(J1921,"-"), {"CSS","CSN","PCB","PCF","BEC","CSD","PCM"}, 0)),
            _xlfn.TEXTBEFORE(J1921,"-"),
            "Other"
        )
    ),
"Add")</f>
        <v>PCB</v>
      </c>
      <c r="B1921" s="10" t="str">
        <f t="shared" si="30"/>
        <v>0012</v>
      </c>
      <c r="C1921" s="10" t="str">
        <f>_xlfn.LET(
    _xlpm.val, IF(Datadetails[[#This Row],[Activity]]="D02","C20",Datadetails[[#This Row],[Activity]]),
    IF(ISNUMBER(MATCH(_xlpm.val,{"D04","C30","c40","C20"},0)), _xlpm.val, "Other")
)</f>
        <v>C30</v>
      </c>
      <c r="D1921" s="10" t="str">
        <f>IFERROR(VLOOKUP(Datadetails[[#This Row],[Taskcode]],Dashboard!A:A,1,FALSE),"00 Err Missing")</f>
        <v>0012</v>
      </c>
      <c r="E1921" s="79">
        <v>45903</v>
      </c>
      <c r="F1921" s="80" t="s">
        <v>325</v>
      </c>
      <c r="G1921" s="60" t="s">
        <v>40</v>
      </c>
      <c r="H1921" s="80" t="s">
        <v>179</v>
      </c>
      <c r="I1921" s="80" t="s">
        <v>34</v>
      </c>
      <c r="J1921" s="80" t="s">
        <v>422</v>
      </c>
      <c r="K1921" s="80" t="s">
        <v>347</v>
      </c>
      <c r="L1921" s="80" t="s">
        <v>343</v>
      </c>
      <c r="M1921" s="81">
        <v>0.25</v>
      </c>
      <c r="N1921" s="82">
        <v>18.75</v>
      </c>
    </row>
    <row r="1922" spans="1:14" x14ac:dyDescent="0.25">
      <c r="A1922" s="10" t="str">
        <f>_xlfn.IFNA(
    IF(J1922=
        "PCB-0001",
        "CSS",
        IF(
            ISNUMBER(MATCH(_xlfn.TEXTBEFORE(J1922,"-"), {"CSS","CSN","PCB","PCF","BEC","CSD","PCM"}, 0)),
            _xlfn.TEXTBEFORE(J1922,"-"),
            "Other"
        )
    ),
"Add")</f>
        <v>PCB</v>
      </c>
      <c r="B1922" s="10" t="str">
        <f t="shared" si="30"/>
        <v>0135</v>
      </c>
      <c r="C1922" s="10" t="str">
        <f>_xlfn.LET(
    _xlpm.val, IF(Datadetails[[#This Row],[Activity]]="D02","C20",Datadetails[[#This Row],[Activity]]),
    IF(ISNUMBER(MATCH(_xlpm.val,{"D04","C30","c40","C20"},0)), _xlpm.val, "Other")
)</f>
        <v>C30</v>
      </c>
      <c r="D1922" s="10" t="str">
        <f>IFERROR(VLOOKUP(Datadetails[[#This Row],[Taskcode]],Dashboard!A:A,1,FALSE),"00 Err Missing")</f>
        <v>0135</v>
      </c>
      <c r="E1922" s="79">
        <v>45903</v>
      </c>
      <c r="F1922" s="80" t="s">
        <v>329</v>
      </c>
      <c r="G1922" s="60" t="s">
        <v>40</v>
      </c>
      <c r="H1922" s="80" t="s">
        <v>302</v>
      </c>
      <c r="I1922" s="80" t="s">
        <v>34</v>
      </c>
      <c r="J1922" s="80" t="s">
        <v>398</v>
      </c>
      <c r="K1922" s="80" t="s">
        <v>347</v>
      </c>
      <c r="L1922" s="80" t="s">
        <v>343</v>
      </c>
      <c r="M1922" s="81">
        <v>0.17</v>
      </c>
      <c r="N1922" s="82">
        <v>12.750000000000002</v>
      </c>
    </row>
    <row r="1923" spans="1:14" x14ac:dyDescent="0.25">
      <c r="A1923" s="10" t="str">
        <f>_xlfn.IFNA(
    IF(J1923=
        "PCB-0001",
        "CSS",
        IF(
            ISNUMBER(MATCH(_xlfn.TEXTBEFORE(J1923,"-"), {"CSS","CSN","PCB","PCF","BEC","CSD","PCM"}, 0)),
            _xlfn.TEXTBEFORE(J1923,"-"),
            "Other"
        )
    ),
"Add")</f>
        <v>PCB</v>
      </c>
      <c r="B1923" s="10" t="str">
        <f t="shared" si="30"/>
        <v>0134</v>
      </c>
      <c r="C1923" s="10" t="str">
        <f>_xlfn.LET(
    _xlpm.val, IF(Datadetails[[#This Row],[Activity]]="D02","C20",Datadetails[[#This Row],[Activity]]),
    IF(ISNUMBER(MATCH(_xlpm.val,{"D04","C30","c40","C20"},0)), _xlpm.val, "Other")
)</f>
        <v>C30</v>
      </c>
      <c r="D1923" s="10" t="str">
        <f>IFERROR(VLOOKUP(Datadetails[[#This Row],[Taskcode]],Dashboard!A:A,1,FALSE),"00 Err Missing")</f>
        <v>0134</v>
      </c>
      <c r="E1923" s="79">
        <v>45903</v>
      </c>
      <c r="F1923" s="80" t="s">
        <v>329</v>
      </c>
      <c r="G1923" s="60" t="s">
        <v>40</v>
      </c>
      <c r="H1923" s="80" t="s">
        <v>301</v>
      </c>
      <c r="I1923" s="80" t="s">
        <v>34</v>
      </c>
      <c r="J1923" s="80" t="s">
        <v>371</v>
      </c>
      <c r="K1923" s="80" t="s">
        <v>347</v>
      </c>
      <c r="L1923" s="80" t="s">
        <v>343</v>
      </c>
      <c r="M1923" s="81">
        <v>0.5</v>
      </c>
      <c r="N1923" s="82">
        <v>37.5</v>
      </c>
    </row>
    <row r="1924" spans="1:14" x14ac:dyDescent="0.25">
      <c r="A1924" s="10" t="str">
        <f>_xlfn.IFNA(
    IF(J1924=
        "PCB-0001",
        "CSS",
        IF(
            ISNUMBER(MATCH(_xlfn.TEXTBEFORE(J1924,"-"), {"CSS","CSN","PCB","PCF","BEC","CSD","PCM"}, 0)),
            _xlfn.TEXTBEFORE(J1924,"-"),
            "Other"
        )
    ),
"Add")</f>
        <v>PCB</v>
      </c>
      <c r="B1924" s="10" t="str">
        <f t="shared" ref="B1924:B1987" si="31">_xlfn.IFNA(_xlfn.TEXTAFTER(J1924,"-"),"Data to C2")</f>
        <v>0136</v>
      </c>
      <c r="C1924" s="10" t="str">
        <f>_xlfn.LET(
    _xlpm.val, IF(Datadetails[[#This Row],[Activity]]="D02","C20",Datadetails[[#This Row],[Activity]]),
    IF(ISNUMBER(MATCH(_xlpm.val,{"D04","C30","c40","C20"},0)), _xlpm.val, "Other")
)</f>
        <v>C30</v>
      </c>
      <c r="D1924" s="10" t="str">
        <f>IFERROR(VLOOKUP(Datadetails[[#This Row],[Taskcode]],Dashboard!A:A,1,FALSE),"00 Err Missing")</f>
        <v>0136</v>
      </c>
      <c r="E1924" s="79">
        <v>45903</v>
      </c>
      <c r="F1924" s="80" t="s">
        <v>329</v>
      </c>
      <c r="G1924" s="60" t="s">
        <v>40</v>
      </c>
      <c r="H1924" s="80" t="s">
        <v>303</v>
      </c>
      <c r="I1924" s="80" t="s">
        <v>34</v>
      </c>
      <c r="J1924" s="80" t="s">
        <v>400</v>
      </c>
      <c r="K1924" s="80" t="s">
        <v>347</v>
      </c>
      <c r="L1924" s="80" t="s">
        <v>343</v>
      </c>
      <c r="M1924" s="81">
        <v>0.17</v>
      </c>
      <c r="N1924" s="82">
        <v>12.750000000000002</v>
      </c>
    </row>
    <row r="1925" spans="1:14" x14ac:dyDescent="0.25">
      <c r="A1925" s="10" t="str">
        <f>_xlfn.IFNA(
    IF(J1925=
        "PCB-0001",
        "CSS",
        IF(
            ISNUMBER(MATCH(_xlfn.TEXTBEFORE(J1925,"-"), {"CSS","CSN","PCB","PCF","BEC","CSD","PCM"}, 0)),
            _xlfn.TEXTBEFORE(J1925,"-"),
            "Other"
        )
    ),
"Add")</f>
        <v>PCB</v>
      </c>
      <c r="B1925" s="10" t="str">
        <f t="shared" si="31"/>
        <v>0126</v>
      </c>
      <c r="C1925" s="10" t="str">
        <f>_xlfn.LET(
    _xlpm.val, IF(Datadetails[[#This Row],[Activity]]="D02","C20",Datadetails[[#This Row],[Activity]]),
    IF(ISNUMBER(MATCH(_xlpm.val,{"D04","C30","c40","C20"},0)), _xlpm.val, "Other")
)</f>
        <v>C30</v>
      </c>
      <c r="D1925" s="10" t="str">
        <f>IFERROR(VLOOKUP(Datadetails[[#This Row],[Taskcode]],Dashboard!A:A,1,FALSE),"00 Err Missing")</f>
        <v>0126</v>
      </c>
      <c r="E1925" s="79">
        <v>45903</v>
      </c>
      <c r="F1925" s="80" t="s">
        <v>329</v>
      </c>
      <c r="G1925" s="60" t="s">
        <v>40</v>
      </c>
      <c r="H1925" s="80" t="s">
        <v>293</v>
      </c>
      <c r="I1925" s="80" t="s">
        <v>34</v>
      </c>
      <c r="J1925" s="80" t="s">
        <v>376</v>
      </c>
      <c r="K1925" s="80" t="s">
        <v>347</v>
      </c>
      <c r="L1925" s="80" t="s">
        <v>343</v>
      </c>
      <c r="M1925" s="81">
        <v>0.17</v>
      </c>
      <c r="N1925" s="82">
        <v>12.750000000000002</v>
      </c>
    </row>
    <row r="1926" spans="1:14" x14ac:dyDescent="0.25">
      <c r="A1926" s="10" t="str">
        <f>_xlfn.IFNA(
    IF(J1926=
        "PCB-0001",
        "CSS",
        IF(
            ISNUMBER(MATCH(_xlfn.TEXTBEFORE(J1926,"-"), {"CSS","CSN","PCB","PCF","BEC","CSD","PCM"}, 0)),
            _xlfn.TEXTBEFORE(J1926,"-"),
            "Other"
        )
    ),
"Add")</f>
        <v>PCB</v>
      </c>
      <c r="B1926" s="10" t="str">
        <f t="shared" si="31"/>
        <v>0127</v>
      </c>
      <c r="C1926" s="10" t="str">
        <f>_xlfn.LET(
    _xlpm.val, IF(Datadetails[[#This Row],[Activity]]="D02","C20",Datadetails[[#This Row],[Activity]]),
    IF(ISNUMBER(MATCH(_xlpm.val,{"D04","C30","c40","C20"},0)), _xlpm.val, "Other")
)</f>
        <v>C30</v>
      </c>
      <c r="D1926" s="10" t="str">
        <f>IFERROR(VLOOKUP(Datadetails[[#This Row],[Taskcode]],Dashboard!A:A,1,FALSE),"00 Err Missing")</f>
        <v>0127</v>
      </c>
      <c r="E1926" s="79">
        <v>45903</v>
      </c>
      <c r="F1926" s="80" t="s">
        <v>329</v>
      </c>
      <c r="G1926" s="60" t="s">
        <v>40</v>
      </c>
      <c r="H1926" s="80" t="s">
        <v>294</v>
      </c>
      <c r="I1926" s="80" t="s">
        <v>34</v>
      </c>
      <c r="J1926" s="80" t="s">
        <v>377</v>
      </c>
      <c r="K1926" s="80" t="s">
        <v>347</v>
      </c>
      <c r="L1926" s="80" t="s">
        <v>343</v>
      </c>
      <c r="M1926" s="81">
        <v>0.17</v>
      </c>
      <c r="N1926" s="82">
        <v>12.750000000000002</v>
      </c>
    </row>
    <row r="1927" spans="1:14" x14ac:dyDescent="0.25">
      <c r="A1927" s="10" t="str">
        <f>_xlfn.IFNA(
    IF(J1927=
        "PCB-0001",
        "CSS",
        IF(
            ISNUMBER(MATCH(_xlfn.TEXTBEFORE(J1927,"-"), {"CSS","CSN","PCB","PCF","BEC","CSD","PCM"}, 0)),
            _xlfn.TEXTBEFORE(J1927,"-"),
            "Other"
        )
    ),
"Add")</f>
        <v>PCB</v>
      </c>
      <c r="B1927" s="10" t="str">
        <f t="shared" si="31"/>
        <v>0128</v>
      </c>
      <c r="C1927" s="10" t="str">
        <f>_xlfn.LET(
    _xlpm.val, IF(Datadetails[[#This Row],[Activity]]="D02","C20",Datadetails[[#This Row],[Activity]]),
    IF(ISNUMBER(MATCH(_xlpm.val,{"D04","C30","c40","C20"},0)), _xlpm.val, "Other")
)</f>
        <v>C30</v>
      </c>
      <c r="D1927" s="10" t="str">
        <f>IFERROR(VLOOKUP(Datadetails[[#This Row],[Taskcode]],Dashboard!A:A,1,FALSE),"00 Err Missing")</f>
        <v>0128</v>
      </c>
      <c r="E1927" s="79">
        <v>45903</v>
      </c>
      <c r="F1927" s="80" t="s">
        <v>329</v>
      </c>
      <c r="G1927" s="60" t="s">
        <v>40</v>
      </c>
      <c r="H1927" s="80" t="s">
        <v>295</v>
      </c>
      <c r="I1927" s="80" t="s">
        <v>34</v>
      </c>
      <c r="J1927" s="80" t="s">
        <v>379</v>
      </c>
      <c r="K1927" s="80" t="s">
        <v>347</v>
      </c>
      <c r="L1927" s="80" t="s">
        <v>343</v>
      </c>
      <c r="M1927" s="81">
        <v>0.17</v>
      </c>
      <c r="N1927" s="82">
        <v>12.750000000000002</v>
      </c>
    </row>
    <row r="1928" spans="1:14" x14ac:dyDescent="0.25">
      <c r="A1928" s="10" t="str">
        <f>_xlfn.IFNA(
    IF(J1928=
        "PCB-0001",
        "CSS",
        IF(
            ISNUMBER(MATCH(_xlfn.TEXTBEFORE(J1928,"-"), {"CSS","CSN","PCB","PCF","BEC","CSD","PCM"}, 0)),
            _xlfn.TEXTBEFORE(J1928,"-"),
            "Other"
        )
    ),
"Add")</f>
        <v>PCB</v>
      </c>
      <c r="B1928" s="10" t="str">
        <f t="shared" si="31"/>
        <v>0095</v>
      </c>
      <c r="C1928" s="10" t="str">
        <f>_xlfn.LET(
    _xlpm.val, IF(Datadetails[[#This Row],[Activity]]="D02","C20",Datadetails[[#This Row],[Activity]]),
    IF(ISNUMBER(MATCH(_xlpm.val,{"D04","C30","c40","C20"},0)), _xlpm.val, "Other")
)</f>
        <v>C30</v>
      </c>
      <c r="D1928" s="10" t="str">
        <f>IFERROR(VLOOKUP(Datadetails[[#This Row],[Taskcode]],Dashboard!A:A,1,FALSE),"00 Err Missing")</f>
        <v>0095</v>
      </c>
      <c r="E1928" s="79">
        <v>45903</v>
      </c>
      <c r="F1928" s="80" t="s">
        <v>325</v>
      </c>
      <c r="G1928" s="60" t="s">
        <v>40</v>
      </c>
      <c r="H1928" s="80" t="s">
        <v>262</v>
      </c>
      <c r="I1928" s="80" t="s">
        <v>34</v>
      </c>
      <c r="J1928" s="80" t="s">
        <v>442</v>
      </c>
      <c r="K1928" s="80" t="s">
        <v>347</v>
      </c>
      <c r="L1928" s="80" t="s">
        <v>343</v>
      </c>
      <c r="M1928" s="81">
        <v>0.17</v>
      </c>
      <c r="N1928" s="82">
        <v>12.750000000000002</v>
      </c>
    </row>
    <row r="1929" spans="1:14" x14ac:dyDescent="0.25">
      <c r="A1929" s="10" t="str">
        <f>_xlfn.IFNA(
    IF(J1929=
        "PCB-0001",
        "CSS",
        IF(
            ISNUMBER(MATCH(_xlfn.TEXTBEFORE(J1929,"-"), {"CSS","CSN","PCB","PCF","BEC","CSD","PCM"}, 0)),
            _xlfn.TEXTBEFORE(J1929,"-"),
            "Other"
        )
    ),
"Add")</f>
        <v>PCB</v>
      </c>
      <c r="B1929" s="10" t="str">
        <f t="shared" si="31"/>
        <v>0080</v>
      </c>
      <c r="C1929" s="10" t="str">
        <f>_xlfn.LET(
    _xlpm.val, IF(Datadetails[[#This Row],[Activity]]="D02","C20",Datadetails[[#This Row],[Activity]]),
    IF(ISNUMBER(MATCH(_xlpm.val,{"D04","C30","c40","C20"},0)), _xlpm.val, "Other")
)</f>
        <v>C30</v>
      </c>
      <c r="D1929" s="10" t="str">
        <f>IFERROR(VLOOKUP(Datadetails[[#This Row],[Taskcode]],Dashboard!A:A,1,FALSE),"00 Err Missing")</f>
        <v>0080</v>
      </c>
      <c r="E1929" s="79">
        <v>45903</v>
      </c>
      <c r="F1929" s="80" t="s">
        <v>329</v>
      </c>
      <c r="G1929" s="60" t="s">
        <v>40</v>
      </c>
      <c r="H1929" s="80" t="s">
        <v>247</v>
      </c>
      <c r="I1929" s="80" t="s">
        <v>34</v>
      </c>
      <c r="J1929" s="80" t="s">
        <v>375</v>
      </c>
      <c r="K1929" s="80" t="s">
        <v>347</v>
      </c>
      <c r="L1929" s="80" t="s">
        <v>343</v>
      </c>
      <c r="M1929" s="81">
        <v>0.33</v>
      </c>
      <c r="N1929" s="82">
        <v>24.75</v>
      </c>
    </row>
    <row r="1930" spans="1:14" x14ac:dyDescent="0.25">
      <c r="A1930" s="10" t="str">
        <f>_xlfn.IFNA(
    IF(J1930=
        "PCB-0001",
        "CSS",
        IF(
            ISNUMBER(MATCH(_xlfn.TEXTBEFORE(J1930,"-"), {"CSS","CSN","PCB","PCF","BEC","CSD","PCM"}, 0)),
            _xlfn.TEXTBEFORE(J1930,"-"),
            "Other"
        )
    ),
"Add")</f>
        <v>PCB</v>
      </c>
      <c r="B1930" s="10" t="str">
        <f t="shared" si="31"/>
        <v>0132</v>
      </c>
      <c r="C1930" s="10" t="str">
        <f>_xlfn.LET(
    _xlpm.val, IF(Datadetails[[#This Row],[Activity]]="D02","C20",Datadetails[[#This Row],[Activity]]),
    IF(ISNUMBER(MATCH(_xlpm.val,{"D04","C30","c40","C20"},0)), _xlpm.val, "Other")
)</f>
        <v>C20</v>
      </c>
      <c r="D1930" s="10" t="str">
        <f>IFERROR(VLOOKUP(Datadetails[[#This Row],[Taskcode]],Dashboard!A:A,1,FALSE),"00 Err Missing")</f>
        <v>0132</v>
      </c>
      <c r="E1930" s="79">
        <v>45903</v>
      </c>
      <c r="F1930" s="80" t="s">
        <v>329</v>
      </c>
      <c r="G1930" s="60" t="s">
        <v>40</v>
      </c>
      <c r="H1930" s="80" t="s">
        <v>299</v>
      </c>
      <c r="I1930" s="80" t="s">
        <v>312</v>
      </c>
      <c r="J1930" s="80" t="s">
        <v>455</v>
      </c>
      <c r="K1930" s="80" t="s">
        <v>347</v>
      </c>
      <c r="L1930" s="80" t="s">
        <v>350</v>
      </c>
      <c r="M1930" s="81">
        <v>0.33</v>
      </c>
      <c r="N1930" s="82">
        <v>24.75</v>
      </c>
    </row>
    <row r="1931" spans="1:14" x14ac:dyDescent="0.25">
      <c r="A1931" s="10" t="str">
        <f>_xlfn.IFNA(
    IF(J1931=
        "PCB-0001",
        "CSS",
        IF(
            ISNUMBER(MATCH(_xlfn.TEXTBEFORE(J1931,"-"), {"CSS","CSN","PCB","PCF","BEC","CSD","PCM"}, 0)),
            _xlfn.TEXTBEFORE(J1931,"-"),
            "Other"
        )
    ),
"Add")</f>
        <v>PCF</v>
      </c>
      <c r="B1931" s="10" t="str">
        <f t="shared" si="31"/>
        <v>0098</v>
      </c>
      <c r="C1931" s="10" t="str">
        <f>_xlfn.LET(
    _xlpm.val, IF(Datadetails[[#This Row],[Activity]]="D02","C20",Datadetails[[#This Row],[Activity]]),
    IF(ISNUMBER(MATCH(_xlpm.val,{"D04","C30","c40","C20"},0)), _xlpm.val, "Other")
)</f>
        <v>C30</v>
      </c>
      <c r="D1931" s="10" t="str">
        <f>IFERROR(VLOOKUP(Datadetails[[#This Row],[Taskcode]],Dashboard!A:A,1,FALSE),"00 Err Missing")</f>
        <v>0098</v>
      </c>
      <c r="E1931" s="79">
        <v>45903</v>
      </c>
      <c r="F1931" s="80" t="s">
        <v>326</v>
      </c>
      <c r="G1931" s="60" t="s">
        <v>40</v>
      </c>
      <c r="H1931" s="80" t="s">
        <v>265</v>
      </c>
      <c r="I1931" s="80" t="s">
        <v>34</v>
      </c>
      <c r="J1931" s="80" t="s">
        <v>358</v>
      </c>
      <c r="K1931" s="80" t="s">
        <v>348</v>
      </c>
      <c r="L1931" s="80" t="s">
        <v>343</v>
      </c>
      <c r="M1931" s="81">
        <v>1.33</v>
      </c>
      <c r="N1931" s="82">
        <v>79.800000000000011</v>
      </c>
    </row>
    <row r="1932" spans="1:14" x14ac:dyDescent="0.25">
      <c r="A1932" s="10" t="str">
        <f>_xlfn.IFNA(
    IF(J1932=
        "PCB-0001",
        "CSS",
        IF(
            ISNUMBER(MATCH(_xlfn.TEXTBEFORE(J1932,"-"), {"CSS","CSN","PCB","PCF","BEC","CSD","PCM"}, 0)),
            _xlfn.TEXTBEFORE(J1932,"-"),
            "Other"
        )
    ),
"Add")</f>
        <v>BEC</v>
      </c>
      <c r="B1932" s="10" t="str">
        <f t="shared" si="31"/>
        <v>0001</v>
      </c>
      <c r="C1932" s="10" t="str">
        <f>_xlfn.LET(
    _xlpm.val, IF(Datadetails[[#This Row],[Activity]]="D02","C20",Datadetails[[#This Row],[Activity]]),
    IF(ISNUMBER(MATCH(_xlpm.val,{"D04","C30","c40","C20"},0)), _xlpm.val, "Other")
)</f>
        <v>D04</v>
      </c>
      <c r="D1932" s="10" t="str">
        <f>IFERROR(VLOOKUP(Datadetails[[#This Row],[Taskcode]],Dashboard!A:A,1,FALSE),"00 Err Missing")</f>
        <v>0001</v>
      </c>
      <c r="E1932" s="79">
        <v>45903</v>
      </c>
      <c r="F1932" s="80" t="s">
        <v>332</v>
      </c>
      <c r="G1932" s="60" t="s">
        <v>40</v>
      </c>
      <c r="H1932" s="80" t="s">
        <v>314</v>
      </c>
      <c r="I1932" s="80" t="s">
        <v>35</v>
      </c>
      <c r="J1932" s="80" t="s">
        <v>359</v>
      </c>
      <c r="K1932" s="80" t="s">
        <v>339</v>
      </c>
      <c r="L1932" s="80" t="s">
        <v>352</v>
      </c>
      <c r="M1932" s="81">
        <v>8.17</v>
      </c>
      <c r="N1932" s="82">
        <v>326.8</v>
      </c>
    </row>
    <row r="1933" spans="1:14" x14ac:dyDescent="0.25">
      <c r="A1933" s="10" t="str">
        <f>_xlfn.IFNA(
    IF(J1933=
        "PCB-0001",
        "CSS",
        IF(
            ISNUMBER(MATCH(_xlfn.TEXTBEFORE(J1933,"-"), {"CSS","CSN","PCB","PCF","BEC","CSD","PCM"}, 0)),
            _xlfn.TEXTBEFORE(J1933,"-"),
            "Other"
        )
    ),
"Add")</f>
        <v>BEC</v>
      </c>
      <c r="B1933" s="10" t="str">
        <f t="shared" si="31"/>
        <v>0001</v>
      </c>
      <c r="C1933" s="10" t="str">
        <f>_xlfn.LET(
    _xlpm.val, IF(Datadetails[[#This Row],[Activity]]="D02","C20",Datadetails[[#This Row],[Activity]]),
    IF(ISNUMBER(MATCH(_xlpm.val,{"D04","C30","c40","C20"},0)), _xlpm.val, "Other")
)</f>
        <v>D04</v>
      </c>
      <c r="D1933" s="10" t="str">
        <f>IFERROR(VLOOKUP(Datadetails[[#This Row],[Taskcode]],Dashboard!A:A,1,FALSE),"00 Err Missing")</f>
        <v>0001</v>
      </c>
      <c r="E1933" s="79">
        <v>45903</v>
      </c>
      <c r="F1933" s="80" t="s">
        <v>324</v>
      </c>
      <c r="G1933" s="60" t="s">
        <v>40</v>
      </c>
      <c r="H1933" s="80" t="s">
        <v>314</v>
      </c>
      <c r="I1933" s="80" t="s">
        <v>35</v>
      </c>
      <c r="J1933" s="80" t="s">
        <v>359</v>
      </c>
      <c r="K1933" s="80" t="s">
        <v>339</v>
      </c>
      <c r="L1933" s="80" t="s">
        <v>352</v>
      </c>
      <c r="M1933" s="81">
        <v>3.42</v>
      </c>
      <c r="N1933" s="82">
        <v>256.5</v>
      </c>
    </row>
    <row r="1934" spans="1:14" x14ac:dyDescent="0.25">
      <c r="A1934" s="10" t="str">
        <f>_xlfn.IFNA(
    IF(J1934=
        "PCB-0001",
        "CSS",
        IF(
            ISNUMBER(MATCH(_xlfn.TEXTBEFORE(J1934,"-"), {"CSS","CSN","PCB","PCF","BEC","CSD","PCM"}, 0)),
            _xlfn.TEXTBEFORE(J1934,"-"),
            "Other"
        )
    ),
"Add")</f>
        <v>CSN</v>
      </c>
      <c r="B1934" s="10" t="str">
        <f t="shared" si="31"/>
        <v>0001</v>
      </c>
      <c r="C1934" s="10" t="str">
        <f>_xlfn.LET(
    _xlpm.val, IF(Datadetails[[#This Row],[Activity]]="D02","C20",Datadetails[[#This Row],[Activity]]),
    IF(ISNUMBER(MATCH(_xlpm.val,{"D04","C30","c40","C20"},0)), _xlpm.val, "Other")
)</f>
        <v>D04</v>
      </c>
      <c r="D1934" s="10" t="str">
        <f>IFERROR(VLOOKUP(Datadetails[[#This Row],[Taskcode]],Dashboard!A:A,1,FALSE),"00 Err Missing")</f>
        <v>0001</v>
      </c>
      <c r="E1934" s="79">
        <v>45904</v>
      </c>
      <c r="F1934" s="80" t="s">
        <v>329</v>
      </c>
      <c r="G1934" s="60" t="s">
        <v>40</v>
      </c>
      <c r="H1934" s="80" t="s">
        <v>316</v>
      </c>
      <c r="I1934" s="80" t="s">
        <v>35</v>
      </c>
      <c r="J1934" s="80" t="s">
        <v>338</v>
      </c>
      <c r="K1934" s="80" t="s">
        <v>337</v>
      </c>
      <c r="L1934" s="80" t="s">
        <v>352</v>
      </c>
      <c r="M1934" s="81">
        <v>1.75</v>
      </c>
      <c r="N1934" s="82">
        <v>131.25</v>
      </c>
    </row>
    <row r="1935" spans="1:14" x14ac:dyDescent="0.25">
      <c r="A1935" s="10" t="str">
        <f>_xlfn.IFNA(
    IF(J1935=
        "PCB-0001",
        "CSS",
        IF(
            ISNUMBER(MATCH(_xlfn.TEXTBEFORE(J1935,"-"), {"CSS","CSN","PCB","PCF","BEC","CSD","PCM"}, 0)),
            _xlfn.TEXTBEFORE(J1935,"-"),
            "Other"
        )
    ),
"Add")</f>
        <v>PCM</v>
      </c>
      <c r="B1935" s="10" t="str">
        <f t="shared" si="31"/>
        <v>0001</v>
      </c>
      <c r="C1935" s="10" t="str">
        <f>_xlfn.LET(
    _xlpm.val, IF(Datadetails[[#This Row],[Activity]]="D02","C20",Datadetails[[#This Row],[Activity]]),
    IF(ISNUMBER(MATCH(_xlpm.val,{"D04","C30","c40","C20"},0)), _xlpm.val, "Other")
)</f>
        <v>C20</v>
      </c>
      <c r="D1935" s="10" t="str">
        <f>IFERROR(VLOOKUP(Datadetails[[#This Row],[Taskcode]],Dashboard!A:A,1,FALSE),"00 Err Missing")</f>
        <v>0001</v>
      </c>
      <c r="E1935" s="79">
        <v>45904</v>
      </c>
      <c r="F1935" s="80" t="s">
        <v>323</v>
      </c>
      <c r="G1935" s="60" t="s">
        <v>40</v>
      </c>
      <c r="H1935" s="80" t="s">
        <v>168</v>
      </c>
      <c r="I1935" s="80" t="s">
        <v>36</v>
      </c>
      <c r="J1935" s="80" t="s">
        <v>419</v>
      </c>
      <c r="K1935" s="80" t="s">
        <v>346</v>
      </c>
      <c r="L1935" s="80" t="s">
        <v>342</v>
      </c>
      <c r="M1935" s="81">
        <v>0.5</v>
      </c>
      <c r="N1935" s="82">
        <v>30</v>
      </c>
    </row>
    <row r="1936" spans="1:14" x14ac:dyDescent="0.25">
      <c r="A1936" s="10" t="str">
        <f>_xlfn.IFNA(
    IF(J1936=
        "PCB-0001",
        "CSS",
        IF(
            ISNUMBER(MATCH(_xlfn.TEXTBEFORE(J1936,"-"), {"CSS","CSN","PCB","PCF","BEC","CSD","PCM"}, 0)),
            _xlfn.TEXTBEFORE(J1936,"-"),
            "Other"
        )
    ),
"Add")</f>
        <v>CSS</v>
      </c>
      <c r="B1936" s="10" t="str">
        <f t="shared" si="31"/>
        <v>0001</v>
      </c>
      <c r="C1936" s="10" t="str">
        <f>_xlfn.LET(
    _xlpm.val, IF(Datadetails[[#This Row],[Activity]]="D02","C20",Datadetails[[#This Row],[Activity]]),
    IF(ISNUMBER(MATCH(_xlpm.val,{"D04","C30","c40","C20"},0)), _xlpm.val, "Other")
)</f>
        <v>D04</v>
      </c>
      <c r="D1936" s="10" t="str">
        <f>IFERROR(VLOOKUP(Datadetails[[#This Row],[Taskcode]],Dashboard!A:A,1,FALSE),"00 Err Missing")</f>
        <v>0001</v>
      </c>
      <c r="E1936" s="79">
        <v>45904</v>
      </c>
      <c r="F1936" s="80" t="s">
        <v>334</v>
      </c>
      <c r="G1936" s="60" t="s">
        <v>40</v>
      </c>
      <c r="H1936" s="80" t="s">
        <v>316</v>
      </c>
      <c r="I1936" s="80" t="s">
        <v>35</v>
      </c>
      <c r="J1936" s="80" t="s">
        <v>321</v>
      </c>
      <c r="K1936" s="80" t="s">
        <v>317</v>
      </c>
      <c r="L1936" s="80" t="s">
        <v>352</v>
      </c>
      <c r="M1936" s="81">
        <v>0.42</v>
      </c>
      <c r="N1936" s="82">
        <v>13.44</v>
      </c>
    </row>
    <row r="1937" spans="1:14" x14ac:dyDescent="0.25">
      <c r="A1937" s="10" t="str">
        <f>_xlfn.IFNA(
    IF(J1937=
        "PCB-0001",
        "CSS",
        IF(
            ISNUMBER(MATCH(_xlfn.TEXTBEFORE(J1937,"-"), {"CSS","CSN","PCB","PCF","BEC","CSD","PCM"}, 0)),
            _xlfn.TEXTBEFORE(J1937,"-"),
            "Other"
        )
    ),
"Add")</f>
        <v>CSD</v>
      </c>
      <c r="B1937" s="10" t="str">
        <f t="shared" si="31"/>
        <v>0001</v>
      </c>
      <c r="C1937" s="10" t="str">
        <f>_xlfn.LET(
    _xlpm.val, IF(Datadetails[[#This Row],[Activity]]="D02","C20",Datadetails[[#This Row],[Activity]]),
    IF(ISNUMBER(MATCH(_xlpm.val,{"D04","C30","c40","C20"},0)), _xlpm.val, "Other")
)</f>
        <v>D04</v>
      </c>
      <c r="D1937" s="10" t="str">
        <f>IFERROR(VLOOKUP(Datadetails[[#This Row],[Taskcode]],Dashboard!A:A,1,FALSE),"00 Err Missing")</f>
        <v>0001</v>
      </c>
      <c r="E1937" s="79">
        <v>45904</v>
      </c>
      <c r="F1937" s="80" t="s">
        <v>333</v>
      </c>
      <c r="G1937" s="60" t="s">
        <v>40</v>
      </c>
      <c r="H1937" s="80" t="s">
        <v>320</v>
      </c>
      <c r="I1937" s="80" t="s">
        <v>35</v>
      </c>
      <c r="J1937" s="80" t="s">
        <v>322</v>
      </c>
      <c r="K1937" s="80" t="s">
        <v>319</v>
      </c>
      <c r="L1937" s="80" t="s">
        <v>352</v>
      </c>
      <c r="M1937" s="81">
        <v>7.13</v>
      </c>
      <c r="N1937" s="82">
        <v>228.16</v>
      </c>
    </row>
    <row r="1938" spans="1:14" x14ac:dyDescent="0.25">
      <c r="A1938" s="10" t="str">
        <f>_xlfn.IFNA(
    IF(J1938=
        "PCB-0001",
        "CSS",
        IF(
            ISNUMBER(MATCH(_xlfn.TEXTBEFORE(J1938,"-"), {"CSS","CSN","PCB","PCF","BEC","CSD","PCM"}, 0)),
            _xlfn.TEXTBEFORE(J1938,"-"),
            "Other"
        )
    ),
"Add")</f>
        <v>CSD</v>
      </c>
      <c r="B1938" s="10" t="str">
        <f t="shared" si="31"/>
        <v>0001</v>
      </c>
      <c r="C1938" s="10" t="str">
        <f>_xlfn.LET(
    _xlpm.val, IF(Datadetails[[#This Row],[Activity]]="D02","C20",Datadetails[[#This Row],[Activity]]),
    IF(ISNUMBER(MATCH(_xlpm.val,{"D04","C30","c40","C20"},0)), _xlpm.val, "Other")
)</f>
        <v>D04</v>
      </c>
      <c r="D1938" s="10" t="str">
        <f>IFERROR(VLOOKUP(Datadetails[[#This Row],[Taskcode]],Dashboard!A:A,1,FALSE),"00 Err Missing")</f>
        <v>0001</v>
      </c>
      <c r="E1938" s="79">
        <v>45904</v>
      </c>
      <c r="F1938" s="80" t="s">
        <v>327</v>
      </c>
      <c r="G1938" s="60" t="s">
        <v>40</v>
      </c>
      <c r="H1938" s="80" t="s">
        <v>320</v>
      </c>
      <c r="I1938" s="80" t="s">
        <v>35</v>
      </c>
      <c r="J1938" s="80" t="s">
        <v>322</v>
      </c>
      <c r="K1938" s="80" t="s">
        <v>319</v>
      </c>
      <c r="L1938" s="80" t="s">
        <v>352</v>
      </c>
      <c r="M1938" s="81">
        <v>7.25</v>
      </c>
      <c r="N1938" s="82">
        <v>232</v>
      </c>
    </row>
    <row r="1939" spans="1:14" x14ac:dyDescent="0.25">
      <c r="A1939" s="10" t="str">
        <f>_xlfn.IFNA(
    IF(J1939=
        "PCB-0001",
        "CSS",
        IF(
            ISNUMBER(MATCH(_xlfn.TEXTBEFORE(J1939,"-"), {"CSS","CSN","PCB","PCF","BEC","CSD","PCM"}, 0)),
            _xlfn.TEXTBEFORE(J1939,"-"),
            "Other"
        )
    ),
"Add")</f>
        <v>PCM</v>
      </c>
      <c r="B1939" s="10" t="str">
        <f t="shared" si="31"/>
        <v>0118</v>
      </c>
      <c r="C1939" s="10" t="str">
        <f>_xlfn.LET(
    _xlpm.val, IF(Datadetails[[#This Row],[Activity]]="D02","C20",Datadetails[[#This Row],[Activity]]),
    IF(ISNUMBER(MATCH(_xlpm.val,{"D04","C30","c40","C20"},0)), _xlpm.val, "Other")
)</f>
        <v>C40</v>
      </c>
      <c r="D1939" s="10" t="str">
        <f>IFERROR(VLOOKUP(Datadetails[[#This Row],[Taskcode]],Dashboard!A:A,1,FALSE),"00 Err Missing")</f>
        <v>0118</v>
      </c>
      <c r="E1939" s="79">
        <v>45904</v>
      </c>
      <c r="F1939" s="80" t="s">
        <v>323</v>
      </c>
      <c r="G1939" s="60" t="s">
        <v>40</v>
      </c>
      <c r="H1939" s="80" t="s">
        <v>285</v>
      </c>
      <c r="I1939" s="80" t="s">
        <v>341</v>
      </c>
      <c r="J1939" s="80" t="s">
        <v>448</v>
      </c>
      <c r="K1939" s="80" t="s">
        <v>346</v>
      </c>
      <c r="L1939" s="80" t="s">
        <v>344</v>
      </c>
      <c r="M1939" s="81">
        <v>1.5</v>
      </c>
      <c r="N1939" s="82">
        <v>90</v>
      </c>
    </row>
    <row r="1940" spans="1:14" x14ac:dyDescent="0.25">
      <c r="A1940" s="10" t="str">
        <f>_xlfn.IFNA(
    IF(J1940=
        "PCB-0001",
        "CSS",
        IF(
            ISNUMBER(MATCH(_xlfn.TEXTBEFORE(J1940,"-"), {"CSS","CSN","PCB","PCF","BEC","CSD","PCM"}, 0)),
            _xlfn.TEXTBEFORE(J1940,"-"),
            "Other"
        )
    ),
"Add")</f>
        <v>PCB</v>
      </c>
      <c r="B1940" s="10" t="str">
        <f t="shared" si="31"/>
        <v>0031</v>
      </c>
      <c r="C1940" s="10" t="str">
        <f>_xlfn.LET(
    _xlpm.val, IF(Datadetails[[#This Row],[Activity]]="D02","C20",Datadetails[[#This Row],[Activity]]),
    IF(ISNUMBER(MATCH(_xlpm.val,{"D04","C30","c40","C20"},0)), _xlpm.val, "Other")
)</f>
        <v>C20</v>
      </c>
      <c r="D1940" s="10" t="str">
        <f>IFERROR(VLOOKUP(Datadetails[[#This Row],[Taskcode]],Dashboard!A:A,1,FALSE),"00 Err Missing")</f>
        <v>0031</v>
      </c>
      <c r="E1940" s="79">
        <v>45904</v>
      </c>
      <c r="F1940" s="80" t="s">
        <v>325</v>
      </c>
      <c r="G1940" s="60" t="s">
        <v>40</v>
      </c>
      <c r="H1940" s="80" t="s">
        <v>198</v>
      </c>
      <c r="I1940" s="80" t="s">
        <v>36</v>
      </c>
      <c r="J1940" s="80" t="s">
        <v>413</v>
      </c>
      <c r="K1940" s="80" t="s">
        <v>347</v>
      </c>
      <c r="L1940" s="80" t="s">
        <v>342</v>
      </c>
      <c r="M1940" s="81">
        <v>0.33</v>
      </c>
      <c r="N1940" s="82">
        <v>24.75</v>
      </c>
    </row>
    <row r="1941" spans="1:14" x14ac:dyDescent="0.25">
      <c r="A1941" s="10" t="str">
        <f>_xlfn.IFNA(
    IF(J1941=
        "PCB-0001",
        "CSS",
        IF(
            ISNUMBER(MATCH(_xlfn.TEXTBEFORE(J1941,"-"), {"CSS","CSN","PCB","PCF","BEC","CSD","PCM"}, 0)),
            _xlfn.TEXTBEFORE(J1941,"-"),
            "Other"
        )
    ),
"Add")</f>
        <v>PCB</v>
      </c>
      <c r="B1941" s="10" t="str">
        <f t="shared" si="31"/>
        <v>0085</v>
      </c>
      <c r="C1941" s="10" t="str">
        <f>_xlfn.LET(
    _xlpm.val, IF(Datadetails[[#This Row],[Activity]]="D02","C20",Datadetails[[#This Row],[Activity]]),
    IF(ISNUMBER(MATCH(_xlpm.val,{"D04","C30","c40","C20"},0)), _xlpm.val, "Other")
)</f>
        <v>C20</v>
      </c>
      <c r="D1941" s="10" t="str">
        <f>IFERROR(VLOOKUP(Datadetails[[#This Row],[Taskcode]],Dashboard!A:A,1,FALSE),"00 Err Missing")</f>
        <v>0085</v>
      </c>
      <c r="E1941" s="79">
        <v>45904</v>
      </c>
      <c r="F1941" s="80" t="s">
        <v>330</v>
      </c>
      <c r="G1941" s="60" t="s">
        <v>40</v>
      </c>
      <c r="H1941" s="80" t="s">
        <v>252</v>
      </c>
      <c r="I1941" s="80" t="s">
        <v>36</v>
      </c>
      <c r="J1941" s="80" t="s">
        <v>416</v>
      </c>
      <c r="K1941" s="80" t="s">
        <v>347</v>
      </c>
      <c r="L1941" s="80" t="s">
        <v>342</v>
      </c>
      <c r="M1941" s="81">
        <v>0.5</v>
      </c>
      <c r="N1941" s="82">
        <v>30</v>
      </c>
    </row>
    <row r="1942" spans="1:14" x14ac:dyDescent="0.25">
      <c r="A1942" s="10" t="str">
        <f>_xlfn.IFNA(
    IF(J1942=
        "PCB-0001",
        "CSS",
        IF(
            ISNUMBER(MATCH(_xlfn.TEXTBEFORE(J1942,"-"), {"CSS","CSN","PCB","PCF","BEC","CSD","PCM"}, 0)),
            _xlfn.TEXTBEFORE(J1942,"-"),
            "Other"
        )
    ),
"Add")</f>
        <v>PCB</v>
      </c>
      <c r="B1942" s="10" t="str">
        <f t="shared" si="31"/>
        <v>0013</v>
      </c>
      <c r="C1942" s="10" t="str">
        <f>_xlfn.LET(
    _xlpm.val, IF(Datadetails[[#This Row],[Activity]]="D02","C20",Datadetails[[#This Row],[Activity]]),
    IF(ISNUMBER(MATCH(_xlpm.val,{"D04","C30","c40","C20"},0)), _xlpm.val, "Other")
)</f>
        <v>C30</v>
      </c>
      <c r="D1942" s="10" t="str">
        <f>IFERROR(VLOOKUP(Datadetails[[#This Row],[Taskcode]],Dashboard!A:A,1,FALSE),"00 Err Missing")</f>
        <v>0013</v>
      </c>
      <c r="E1942" s="79">
        <v>45904</v>
      </c>
      <c r="F1942" s="80" t="s">
        <v>325</v>
      </c>
      <c r="G1942" s="60" t="s">
        <v>40</v>
      </c>
      <c r="H1942" s="80" t="s">
        <v>180</v>
      </c>
      <c r="I1942" s="80" t="s">
        <v>34</v>
      </c>
      <c r="J1942" s="80" t="s">
        <v>465</v>
      </c>
      <c r="K1942" s="80" t="s">
        <v>347</v>
      </c>
      <c r="L1942" s="80" t="s">
        <v>343</v>
      </c>
      <c r="M1942" s="81">
        <v>0.33</v>
      </c>
      <c r="N1942" s="82">
        <v>24.75</v>
      </c>
    </row>
    <row r="1943" spans="1:14" x14ac:dyDescent="0.25">
      <c r="A1943" s="10" t="str">
        <f>_xlfn.IFNA(
    IF(J1943=
        "PCB-0001",
        "CSS",
        IF(
            ISNUMBER(MATCH(_xlfn.TEXTBEFORE(J1943,"-"), {"CSS","CSN","PCB","PCF","BEC","CSD","PCM"}, 0)),
            _xlfn.TEXTBEFORE(J1943,"-"),
            "Other"
        )
    ),
"Add")</f>
        <v>PCB</v>
      </c>
      <c r="B1943" s="10" t="str">
        <f t="shared" si="31"/>
        <v>0012</v>
      </c>
      <c r="C1943" s="10" t="str">
        <f>_xlfn.LET(
    _xlpm.val, IF(Datadetails[[#This Row],[Activity]]="D02","C20",Datadetails[[#This Row],[Activity]]),
    IF(ISNUMBER(MATCH(_xlpm.val,{"D04","C30","c40","C20"},0)), _xlpm.val, "Other")
)</f>
        <v>C30</v>
      </c>
      <c r="D1943" s="10" t="str">
        <f>IFERROR(VLOOKUP(Datadetails[[#This Row],[Taskcode]],Dashboard!A:A,1,FALSE),"00 Err Missing")</f>
        <v>0012</v>
      </c>
      <c r="E1943" s="79">
        <v>45904</v>
      </c>
      <c r="F1943" s="80" t="s">
        <v>325</v>
      </c>
      <c r="G1943" s="60" t="s">
        <v>40</v>
      </c>
      <c r="H1943" s="80" t="s">
        <v>179</v>
      </c>
      <c r="I1943" s="80" t="s">
        <v>34</v>
      </c>
      <c r="J1943" s="80" t="s">
        <v>422</v>
      </c>
      <c r="K1943" s="80" t="s">
        <v>347</v>
      </c>
      <c r="L1943" s="80" t="s">
        <v>343</v>
      </c>
      <c r="M1943" s="81">
        <v>0.42</v>
      </c>
      <c r="N1943" s="82">
        <v>31.5</v>
      </c>
    </row>
    <row r="1944" spans="1:14" x14ac:dyDescent="0.25">
      <c r="A1944" s="10" t="str">
        <f>_xlfn.IFNA(
    IF(J1944=
        "PCB-0001",
        "CSS",
        IF(
            ISNUMBER(MATCH(_xlfn.TEXTBEFORE(J1944,"-"), {"CSS","CSN","PCB","PCF","BEC","CSD","PCM"}, 0)),
            _xlfn.TEXTBEFORE(J1944,"-"),
            "Other"
        )
    ),
"Add")</f>
        <v>PCB</v>
      </c>
      <c r="B1944" s="10" t="str">
        <f t="shared" si="31"/>
        <v>0009</v>
      </c>
      <c r="C1944" s="10" t="str">
        <f>_xlfn.LET(
    _xlpm.val, IF(Datadetails[[#This Row],[Activity]]="D02","C20",Datadetails[[#This Row],[Activity]]),
    IF(ISNUMBER(MATCH(_xlpm.val,{"D04","C30","c40","C20"},0)), _xlpm.val, "Other")
)</f>
        <v>C30</v>
      </c>
      <c r="D1944" s="10" t="str">
        <f>IFERROR(VLOOKUP(Datadetails[[#This Row],[Taskcode]],Dashboard!A:A,1,FALSE),"00 Err Missing")</f>
        <v>0009</v>
      </c>
      <c r="E1944" s="79">
        <v>45904</v>
      </c>
      <c r="F1944" s="80" t="s">
        <v>329</v>
      </c>
      <c r="G1944" s="60" t="s">
        <v>40</v>
      </c>
      <c r="H1944" s="80" t="s">
        <v>176</v>
      </c>
      <c r="I1944" s="80" t="s">
        <v>34</v>
      </c>
      <c r="J1944" s="80" t="s">
        <v>458</v>
      </c>
      <c r="K1944" s="80" t="s">
        <v>347</v>
      </c>
      <c r="L1944" s="80" t="s">
        <v>343</v>
      </c>
      <c r="M1944" s="81">
        <v>0.67</v>
      </c>
      <c r="N1944" s="82">
        <v>50.25</v>
      </c>
    </row>
    <row r="1945" spans="1:14" x14ac:dyDescent="0.25">
      <c r="A1945" s="10" t="str">
        <f>_xlfn.IFNA(
    IF(J1945=
        "PCB-0001",
        "CSS",
        IF(
            ISNUMBER(MATCH(_xlfn.TEXTBEFORE(J1945,"-"), {"CSS","CSN","PCB","PCF","BEC","CSD","PCM"}, 0)),
            _xlfn.TEXTBEFORE(J1945,"-"),
            "Other"
        )
    ),
"Add")</f>
        <v>PCB</v>
      </c>
      <c r="B1945" s="10" t="str">
        <f t="shared" si="31"/>
        <v>0043</v>
      </c>
      <c r="C1945" s="10" t="str">
        <f>_xlfn.LET(
    _xlpm.val, IF(Datadetails[[#This Row],[Activity]]="D02","C20",Datadetails[[#This Row],[Activity]]),
    IF(ISNUMBER(MATCH(_xlpm.val,{"D04","C30","c40","C20"},0)), _xlpm.val, "Other")
)</f>
        <v>C30</v>
      </c>
      <c r="D1945" s="10" t="str">
        <f>IFERROR(VLOOKUP(Datadetails[[#This Row],[Taskcode]],Dashboard!A:A,1,FALSE),"00 Err Missing")</f>
        <v>0043</v>
      </c>
      <c r="E1945" s="79">
        <v>45904</v>
      </c>
      <c r="F1945" s="80" t="s">
        <v>325</v>
      </c>
      <c r="G1945" s="60" t="s">
        <v>40</v>
      </c>
      <c r="H1945" s="80" t="s">
        <v>210</v>
      </c>
      <c r="I1945" s="80" t="s">
        <v>34</v>
      </c>
      <c r="J1945" s="80" t="s">
        <v>399</v>
      </c>
      <c r="K1945" s="80" t="s">
        <v>347</v>
      </c>
      <c r="L1945" s="80" t="s">
        <v>343</v>
      </c>
      <c r="M1945" s="81">
        <v>0.42</v>
      </c>
      <c r="N1945" s="82">
        <v>31.5</v>
      </c>
    </row>
    <row r="1946" spans="1:14" x14ac:dyDescent="0.25">
      <c r="A1946" s="10" t="str">
        <f>_xlfn.IFNA(
    IF(J1946=
        "PCB-0001",
        "CSS",
        IF(
            ISNUMBER(MATCH(_xlfn.TEXTBEFORE(J1946,"-"), {"CSS","CSN","PCB","PCF","BEC","CSD","PCM"}, 0)),
            _xlfn.TEXTBEFORE(J1946,"-"),
            "Other"
        )
    ),
"Add")</f>
        <v>PCB</v>
      </c>
      <c r="B1946" s="10" t="str">
        <f t="shared" si="31"/>
        <v>0126</v>
      </c>
      <c r="C1946" s="10" t="str">
        <f>_xlfn.LET(
    _xlpm.val, IF(Datadetails[[#This Row],[Activity]]="D02","C20",Datadetails[[#This Row],[Activity]]),
    IF(ISNUMBER(MATCH(_xlpm.val,{"D04","C30","c40","C20"},0)), _xlpm.val, "Other")
)</f>
        <v>C30</v>
      </c>
      <c r="D1946" s="10" t="str">
        <f>IFERROR(VLOOKUP(Datadetails[[#This Row],[Taskcode]],Dashboard!A:A,1,FALSE),"00 Err Missing")</f>
        <v>0126</v>
      </c>
      <c r="E1946" s="79">
        <v>45904</v>
      </c>
      <c r="F1946" s="80" t="s">
        <v>329</v>
      </c>
      <c r="G1946" s="60" t="s">
        <v>40</v>
      </c>
      <c r="H1946" s="80" t="s">
        <v>293</v>
      </c>
      <c r="I1946" s="80" t="s">
        <v>34</v>
      </c>
      <c r="J1946" s="80" t="s">
        <v>376</v>
      </c>
      <c r="K1946" s="80" t="s">
        <v>347</v>
      </c>
      <c r="L1946" s="80" t="s">
        <v>343</v>
      </c>
      <c r="M1946" s="81">
        <v>0.08</v>
      </c>
      <c r="N1946" s="82">
        <v>6</v>
      </c>
    </row>
    <row r="1947" spans="1:14" x14ac:dyDescent="0.25">
      <c r="A1947" s="10" t="str">
        <f>_xlfn.IFNA(
    IF(J1947=
        "PCB-0001",
        "CSS",
        IF(
            ISNUMBER(MATCH(_xlfn.TEXTBEFORE(J1947,"-"), {"CSS","CSN","PCB","PCF","BEC","CSD","PCM"}, 0)),
            _xlfn.TEXTBEFORE(J1947,"-"),
            "Other"
        )
    ),
"Add")</f>
        <v>PCB</v>
      </c>
      <c r="B1947" s="10" t="str">
        <f t="shared" si="31"/>
        <v>0092</v>
      </c>
      <c r="C1947" s="10" t="str">
        <f>_xlfn.LET(
    _xlpm.val, IF(Datadetails[[#This Row],[Activity]]="D02","C20",Datadetails[[#This Row],[Activity]]),
    IF(ISNUMBER(MATCH(_xlpm.val,{"D04","C30","c40","C20"},0)), _xlpm.val, "Other")
)</f>
        <v>C30</v>
      </c>
      <c r="D1947" s="10" t="str">
        <f>IFERROR(VLOOKUP(Datadetails[[#This Row],[Taskcode]],Dashboard!A:A,1,FALSE),"00 Err Missing")</f>
        <v>0092</v>
      </c>
      <c r="E1947" s="79">
        <v>45904</v>
      </c>
      <c r="F1947" s="80" t="s">
        <v>329</v>
      </c>
      <c r="G1947" s="60" t="s">
        <v>40</v>
      </c>
      <c r="H1947" s="80" t="s">
        <v>259</v>
      </c>
      <c r="I1947" s="80" t="s">
        <v>34</v>
      </c>
      <c r="J1947" s="80" t="s">
        <v>407</v>
      </c>
      <c r="K1947" s="80" t="s">
        <v>347</v>
      </c>
      <c r="L1947" s="80" t="s">
        <v>343</v>
      </c>
      <c r="M1947" s="81">
        <v>0.08</v>
      </c>
      <c r="N1947" s="82">
        <v>6</v>
      </c>
    </row>
    <row r="1948" spans="1:14" x14ac:dyDescent="0.25">
      <c r="A1948" s="10" t="str">
        <f>_xlfn.IFNA(
    IF(J1948=
        "PCB-0001",
        "CSS",
        IF(
            ISNUMBER(MATCH(_xlfn.TEXTBEFORE(J1948,"-"), {"CSS","CSN","PCB","PCF","BEC","CSD","PCM"}, 0)),
            _xlfn.TEXTBEFORE(J1948,"-"),
            "Other"
        )
    ),
"Add")</f>
        <v>PCB</v>
      </c>
      <c r="B1948" s="10" t="str">
        <f t="shared" si="31"/>
        <v>0081</v>
      </c>
      <c r="C1948" s="10" t="str">
        <f>_xlfn.LET(
    _xlpm.val, IF(Datadetails[[#This Row],[Activity]]="D02","C20",Datadetails[[#This Row],[Activity]]),
    IF(ISNUMBER(MATCH(_xlpm.val,{"D04","C30","c40","C20"},0)), _xlpm.val, "Other")
)</f>
        <v>C30</v>
      </c>
      <c r="D1948" s="10" t="str">
        <f>IFERROR(VLOOKUP(Datadetails[[#This Row],[Taskcode]],Dashboard!A:A,1,FALSE),"00 Err Missing")</f>
        <v>0081</v>
      </c>
      <c r="E1948" s="79">
        <v>45904</v>
      </c>
      <c r="F1948" s="80" t="s">
        <v>329</v>
      </c>
      <c r="G1948" s="60" t="s">
        <v>40</v>
      </c>
      <c r="H1948" s="80" t="s">
        <v>248</v>
      </c>
      <c r="I1948" s="80" t="s">
        <v>34</v>
      </c>
      <c r="J1948" s="80" t="s">
        <v>385</v>
      </c>
      <c r="K1948" s="80" t="s">
        <v>347</v>
      </c>
      <c r="L1948" s="80" t="s">
        <v>343</v>
      </c>
      <c r="M1948" s="81">
        <v>0.08</v>
      </c>
      <c r="N1948" s="82">
        <v>6</v>
      </c>
    </row>
    <row r="1949" spans="1:14" x14ac:dyDescent="0.25">
      <c r="A1949" s="10" t="str">
        <f>_xlfn.IFNA(
    IF(J1949=
        "PCB-0001",
        "CSS",
        IF(
            ISNUMBER(MATCH(_xlfn.TEXTBEFORE(J1949,"-"), {"CSS","CSN","PCB","PCF","BEC","CSD","PCM"}, 0)),
            _xlfn.TEXTBEFORE(J1949,"-"),
            "Other"
        )
    ),
"Add")</f>
        <v>PCB</v>
      </c>
      <c r="B1949" s="10" t="str">
        <f t="shared" si="31"/>
        <v>0132</v>
      </c>
      <c r="C1949" s="10" t="str">
        <f>_xlfn.LET(
    _xlpm.val, IF(Datadetails[[#This Row],[Activity]]="D02","C20",Datadetails[[#This Row],[Activity]]),
    IF(ISNUMBER(MATCH(_xlpm.val,{"D04","C30","c40","C20"},0)), _xlpm.val, "Other")
)</f>
        <v>C20</v>
      </c>
      <c r="D1949" s="10" t="str">
        <f>IFERROR(VLOOKUP(Datadetails[[#This Row],[Taskcode]],Dashboard!A:A,1,FALSE),"00 Err Missing")</f>
        <v>0132</v>
      </c>
      <c r="E1949" s="79">
        <v>45904</v>
      </c>
      <c r="F1949" s="80" t="s">
        <v>329</v>
      </c>
      <c r="G1949" s="60" t="s">
        <v>40</v>
      </c>
      <c r="H1949" s="80" t="s">
        <v>299</v>
      </c>
      <c r="I1949" s="80" t="s">
        <v>312</v>
      </c>
      <c r="J1949" s="80" t="s">
        <v>455</v>
      </c>
      <c r="K1949" s="80" t="s">
        <v>347</v>
      </c>
      <c r="L1949" s="80" t="s">
        <v>350</v>
      </c>
      <c r="M1949" s="81">
        <v>0.17</v>
      </c>
      <c r="N1949" s="82">
        <v>12.750000000000002</v>
      </c>
    </row>
    <row r="1950" spans="1:14" x14ac:dyDescent="0.25">
      <c r="A1950" s="10" t="str">
        <f>_xlfn.IFNA(
    IF(J1950=
        "PCB-0001",
        "CSS",
        IF(
            ISNUMBER(MATCH(_xlfn.TEXTBEFORE(J1950,"-"), {"CSS","CSN","PCB","PCF","BEC","CSD","PCM"}, 0)),
            _xlfn.TEXTBEFORE(J1950,"-"),
            "Other"
        )
    ),
"Add")</f>
        <v>BEC</v>
      </c>
      <c r="B1950" s="10" t="str">
        <f t="shared" si="31"/>
        <v>0001</v>
      </c>
      <c r="C1950" s="10" t="str">
        <f>_xlfn.LET(
    _xlpm.val, IF(Datadetails[[#This Row],[Activity]]="D02","C20",Datadetails[[#This Row],[Activity]]),
    IF(ISNUMBER(MATCH(_xlpm.val,{"D04","C30","c40","C20"},0)), _xlpm.val, "Other")
)</f>
        <v>D04</v>
      </c>
      <c r="D1950" s="10" t="str">
        <f>IFERROR(VLOOKUP(Datadetails[[#This Row],[Taskcode]],Dashboard!A:A,1,FALSE),"00 Err Missing")</f>
        <v>0001</v>
      </c>
      <c r="E1950" s="79">
        <v>45904</v>
      </c>
      <c r="F1950" s="80" t="s">
        <v>332</v>
      </c>
      <c r="G1950" s="60" t="s">
        <v>40</v>
      </c>
      <c r="H1950" s="80" t="s">
        <v>314</v>
      </c>
      <c r="I1950" s="80" t="s">
        <v>35</v>
      </c>
      <c r="J1950" s="80" t="s">
        <v>359</v>
      </c>
      <c r="K1950" s="80" t="s">
        <v>339</v>
      </c>
      <c r="L1950" s="80" t="s">
        <v>352</v>
      </c>
      <c r="M1950" s="81">
        <v>9.17</v>
      </c>
      <c r="N1950" s="82">
        <v>366.8</v>
      </c>
    </row>
    <row r="1951" spans="1:14" x14ac:dyDescent="0.25">
      <c r="A1951" s="10" t="str">
        <f>_xlfn.IFNA(
    IF(J1951=
        "PCB-0001",
        "CSS",
        IF(
            ISNUMBER(MATCH(_xlfn.TEXTBEFORE(J1951,"-"), {"CSS","CSN","PCB","PCF","BEC","CSD","PCM"}, 0)),
            _xlfn.TEXTBEFORE(J1951,"-"),
            "Other"
        )
    ),
"Add")</f>
        <v>BEC</v>
      </c>
      <c r="B1951" s="10" t="str">
        <f t="shared" si="31"/>
        <v>0001</v>
      </c>
      <c r="C1951" s="10" t="str">
        <f>_xlfn.LET(
    _xlpm.val, IF(Datadetails[[#This Row],[Activity]]="D02","C20",Datadetails[[#This Row],[Activity]]),
    IF(ISNUMBER(MATCH(_xlpm.val,{"D04","C30","c40","C20"},0)), _xlpm.val, "Other")
)</f>
        <v>D04</v>
      </c>
      <c r="D1951" s="10" t="str">
        <f>IFERROR(VLOOKUP(Datadetails[[#This Row],[Taskcode]],Dashboard!A:A,1,FALSE),"00 Err Missing")</f>
        <v>0001</v>
      </c>
      <c r="E1951" s="79">
        <v>45904</v>
      </c>
      <c r="F1951" s="80" t="s">
        <v>324</v>
      </c>
      <c r="G1951" s="60" t="s">
        <v>40</v>
      </c>
      <c r="H1951" s="80" t="s">
        <v>314</v>
      </c>
      <c r="I1951" s="80" t="s">
        <v>35</v>
      </c>
      <c r="J1951" s="80" t="s">
        <v>359</v>
      </c>
      <c r="K1951" s="80" t="s">
        <v>339</v>
      </c>
      <c r="L1951" s="80" t="s">
        <v>352</v>
      </c>
      <c r="M1951" s="81">
        <v>4.5</v>
      </c>
      <c r="N1951" s="82">
        <v>337.5</v>
      </c>
    </row>
    <row r="1952" spans="1:14" x14ac:dyDescent="0.25">
      <c r="A1952" s="10" t="str">
        <f>_xlfn.IFNA(
    IF(J1952=
        "PCB-0001",
        "CSS",
        IF(
            ISNUMBER(MATCH(_xlfn.TEXTBEFORE(J1952,"-"), {"CSS","CSN","PCB","PCF","BEC","CSD","PCM"}, 0)),
            _xlfn.TEXTBEFORE(J1952,"-"),
            "Other"
        )
    ),
"Add")</f>
        <v>CSN</v>
      </c>
      <c r="B1952" s="10" t="str">
        <f t="shared" si="31"/>
        <v>0001</v>
      </c>
      <c r="C1952" s="10" t="str">
        <f>_xlfn.LET(
    _xlpm.val, IF(Datadetails[[#This Row],[Activity]]="D02","C20",Datadetails[[#This Row],[Activity]]),
    IF(ISNUMBER(MATCH(_xlpm.val,{"D04","C30","c40","C20"},0)), _xlpm.val, "Other")
)</f>
        <v>D04</v>
      </c>
      <c r="D1952" s="10" t="str">
        <f>IFERROR(VLOOKUP(Datadetails[[#This Row],[Taskcode]],Dashboard!A:A,1,FALSE),"00 Err Missing")</f>
        <v>0001</v>
      </c>
      <c r="E1952" s="79">
        <v>45905</v>
      </c>
      <c r="F1952" s="80" t="s">
        <v>329</v>
      </c>
      <c r="G1952" s="60" t="s">
        <v>40</v>
      </c>
      <c r="H1952" s="80" t="s">
        <v>316</v>
      </c>
      <c r="I1952" s="80" t="s">
        <v>35</v>
      </c>
      <c r="J1952" s="80" t="s">
        <v>338</v>
      </c>
      <c r="K1952" s="80" t="s">
        <v>337</v>
      </c>
      <c r="L1952" s="80" t="s">
        <v>352</v>
      </c>
      <c r="M1952" s="81">
        <v>1.33</v>
      </c>
      <c r="N1952" s="82">
        <v>99.75</v>
      </c>
    </row>
    <row r="1953" spans="1:14" x14ac:dyDescent="0.25">
      <c r="A1953" s="10" t="str">
        <f>_xlfn.IFNA(
    IF(J1953=
        "PCB-0001",
        "CSS",
        IF(
            ISNUMBER(MATCH(_xlfn.TEXTBEFORE(J1953,"-"), {"CSS","CSN","PCB","PCF","BEC","CSD","PCM"}, 0)),
            _xlfn.TEXTBEFORE(J1953,"-"),
            "Other"
        )
    ),
"Add")</f>
        <v>CSD</v>
      </c>
      <c r="B1953" s="10" t="str">
        <f t="shared" si="31"/>
        <v>0001</v>
      </c>
      <c r="C1953" s="10" t="str">
        <f>_xlfn.LET(
    _xlpm.val, IF(Datadetails[[#This Row],[Activity]]="D02","C20",Datadetails[[#This Row],[Activity]]),
    IF(ISNUMBER(MATCH(_xlpm.val,{"D04","C30","c40","C20"},0)), _xlpm.val, "Other")
)</f>
        <v>D04</v>
      </c>
      <c r="D1953" s="10" t="str">
        <f>IFERROR(VLOOKUP(Datadetails[[#This Row],[Taskcode]],Dashboard!A:A,1,FALSE),"00 Err Missing")</f>
        <v>0001</v>
      </c>
      <c r="E1953" s="79">
        <v>45905</v>
      </c>
      <c r="F1953" s="80" t="s">
        <v>327</v>
      </c>
      <c r="G1953" s="60" t="s">
        <v>40</v>
      </c>
      <c r="H1953" s="80" t="s">
        <v>320</v>
      </c>
      <c r="I1953" s="80" t="s">
        <v>35</v>
      </c>
      <c r="J1953" s="80" t="s">
        <v>322</v>
      </c>
      <c r="K1953" s="80" t="s">
        <v>319</v>
      </c>
      <c r="L1953" s="80" t="s">
        <v>352</v>
      </c>
      <c r="M1953" s="81">
        <v>8.5</v>
      </c>
      <c r="N1953" s="82">
        <v>272</v>
      </c>
    </row>
    <row r="1954" spans="1:14" x14ac:dyDescent="0.25">
      <c r="A1954" s="10" t="str">
        <f>_xlfn.IFNA(
    IF(J1954=
        "PCB-0001",
        "CSS",
        IF(
            ISNUMBER(MATCH(_xlfn.TEXTBEFORE(J1954,"-"), {"CSS","CSN","PCB","PCF","BEC","CSD","PCM"}, 0)),
            _xlfn.TEXTBEFORE(J1954,"-"),
            "Other"
        )
    ),
"Add")</f>
        <v>PCM</v>
      </c>
      <c r="B1954" s="10" t="str">
        <f t="shared" si="31"/>
        <v>0052</v>
      </c>
      <c r="C1954" s="10" t="str">
        <f>_xlfn.LET(
    _xlpm.val, IF(Datadetails[[#This Row],[Activity]]="D02","C20",Datadetails[[#This Row],[Activity]]),
    IF(ISNUMBER(MATCH(_xlpm.val,{"D04","C30","c40","C20"},0)), _xlpm.val, "Other")
)</f>
        <v>C20</v>
      </c>
      <c r="D1954" s="10" t="str">
        <f>IFERROR(VLOOKUP(Datadetails[[#This Row],[Taskcode]],Dashboard!A:A,1,FALSE),"00 Err Missing")</f>
        <v>0052</v>
      </c>
      <c r="E1954" s="79">
        <v>45905</v>
      </c>
      <c r="F1954" s="80" t="s">
        <v>323</v>
      </c>
      <c r="G1954" s="60" t="s">
        <v>40</v>
      </c>
      <c r="H1954" s="80" t="s">
        <v>219</v>
      </c>
      <c r="I1954" s="80" t="s">
        <v>36</v>
      </c>
      <c r="J1954" s="80" t="s">
        <v>432</v>
      </c>
      <c r="K1954" s="80" t="s">
        <v>346</v>
      </c>
      <c r="L1954" s="80" t="s">
        <v>342</v>
      </c>
      <c r="M1954" s="81">
        <v>0.25</v>
      </c>
      <c r="N1954" s="82">
        <v>15</v>
      </c>
    </row>
    <row r="1955" spans="1:14" x14ac:dyDescent="0.25">
      <c r="A1955" s="10" t="str">
        <f>_xlfn.IFNA(
    IF(J1955=
        "PCB-0001",
        "CSS",
        IF(
            ISNUMBER(MATCH(_xlfn.TEXTBEFORE(J1955,"-"), {"CSS","CSN","PCB","PCF","BEC","CSD","PCM"}, 0)),
            _xlfn.TEXTBEFORE(J1955,"-"),
            "Other"
        )
    ),
"Add")</f>
        <v>PCM</v>
      </c>
      <c r="B1955" s="10" t="str">
        <f t="shared" si="31"/>
        <v>0118</v>
      </c>
      <c r="C1955" s="10" t="str">
        <f>_xlfn.LET(
    _xlpm.val, IF(Datadetails[[#This Row],[Activity]]="D02","C20",Datadetails[[#This Row],[Activity]]),
    IF(ISNUMBER(MATCH(_xlpm.val,{"D04","C30","c40","C20"},0)), _xlpm.val, "Other")
)</f>
        <v>C20</v>
      </c>
      <c r="D1955" s="10" t="str">
        <f>IFERROR(VLOOKUP(Datadetails[[#This Row],[Taskcode]],Dashboard!A:A,1,FALSE),"00 Err Missing")</f>
        <v>0118</v>
      </c>
      <c r="E1955" s="79">
        <v>45905</v>
      </c>
      <c r="F1955" s="80" t="s">
        <v>323</v>
      </c>
      <c r="G1955" s="60" t="s">
        <v>40</v>
      </c>
      <c r="H1955" s="80" t="s">
        <v>285</v>
      </c>
      <c r="I1955" s="80" t="s">
        <v>36</v>
      </c>
      <c r="J1955" s="80" t="s">
        <v>448</v>
      </c>
      <c r="K1955" s="80" t="s">
        <v>346</v>
      </c>
      <c r="L1955" s="80" t="s">
        <v>342</v>
      </c>
      <c r="M1955" s="81">
        <v>0.25</v>
      </c>
      <c r="N1955" s="82">
        <v>15</v>
      </c>
    </row>
    <row r="1956" spans="1:14" x14ac:dyDescent="0.25">
      <c r="A1956" s="10" t="str">
        <f>_xlfn.IFNA(
    IF(J1956=
        "PCB-0001",
        "CSS",
        IF(
            ISNUMBER(MATCH(_xlfn.TEXTBEFORE(J1956,"-"), {"CSS","CSN","PCB","PCF","BEC","CSD","PCM"}, 0)),
            _xlfn.TEXTBEFORE(J1956,"-"),
            "Other"
        )
    ),
"Add")</f>
        <v>PCM</v>
      </c>
      <c r="B1956" s="10" t="str">
        <f t="shared" si="31"/>
        <v>0114</v>
      </c>
      <c r="C1956" s="10" t="str">
        <f>_xlfn.LET(
    _xlpm.val, IF(Datadetails[[#This Row],[Activity]]="D02","C20",Datadetails[[#This Row],[Activity]]),
    IF(ISNUMBER(MATCH(_xlpm.val,{"D04","C30","c40","C20"},0)), _xlpm.val, "Other")
)</f>
        <v>C20</v>
      </c>
      <c r="D1956" s="10" t="str">
        <f>IFERROR(VLOOKUP(Datadetails[[#This Row],[Taskcode]],Dashboard!A:A,1,FALSE),"00 Err Missing")</f>
        <v>0114</v>
      </c>
      <c r="E1956" s="79">
        <v>45905</v>
      </c>
      <c r="F1956" s="80" t="s">
        <v>323</v>
      </c>
      <c r="G1956" s="60" t="s">
        <v>40</v>
      </c>
      <c r="H1956" s="80" t="s">
        <v>281</v>
      </c>
      <c r="I1956" s="80" t="s">
        <v>36</v>
      </c>
      <c r="J1956" s="80" t="s">
        <v>430</v>
      </c>
      <c r="K1956" s="80" t="s">
        <v>346</v>
      </c>
      <c r="L1956" s="80" t="s">
        <v>342</v>
      </c>
      <c r="M1956" s="81">
        <v>0.5</v>
      </c>
      <c r="N1956" s="82">
        <v>30</v>
      </c>
    </row>
    <row r="1957" spans="1:14" x14ac:dyDescent="0.25">
      <c r="A1957" s="10" t="str">
        <f>_xlfn.IFNA(
    IF(J1957=
        "PCB-0001",
        "CSS",
        IF(
            ISNUMBER(MATCH(_xlfn.TEXTBEFORE(J1957,"-"), {"CSS","CSN","PCB","PCF","BEC","CSD","PCM"}, 0)),
            _xlfn.TEXTBEFORE(J1957,"-"),
            "Other"
        )
    ),
"Add")</f>
        <v>PCM</v>
      </c>
      <c r="B1957" s="10" t="str">
        <f t="shared" si="31"/>
        <v>0041</v>
      </c>
      <c r="C1957" s="10" t="str">
        <f>_xlfn.LET(
    _xlpm.val, IF(Datadetails[[#This Row],[Activity]]="D02","C20",Datadetails[[#This Row],[Activity]]),
    IF(ISNUMBER(MATCH(_xlpm.val,{"D04","C30","c40","C20"},0)), _xlpm.val, "Other")
)</f>
        <v>C30</v>
      </c>
      <c r="D1957" s="10" t="str">
        <f>IFERROR(VLOOKUP(Datadetails[[#This Row],[Taskcode]],Dashboard!A:A,1,FALSE),"00 Err Missing")</f>
        <v>0041</v>
      </c>
      <c r="E1957" s="79">
        <v>45905</v>
      </c>
      <c r="F1957" s="80" t="s">
        <v>323</v>
      </c>
      <c r="G1957" s="60" t="s">
        <v>40</v>
      </c>
      <c r="H1957" s="80" t="s">
        <v>208</v>
      </c>
      <c r="I1957" s="80" t="s">
        <v>34</v>
      </c>
      <c r="J1957" s="80" t="s">
        <v>456</v>
      </c>
      <c r="K1957" s="80" t="s">
        <v>346</v>
      </c>
      <c r="L1957" s="80" t="s">
        <v>343</v>
      </c>
      <c r="M1957" s="81">
        <v>0.25</v>
      </c>
      <c r="N1957" s="82">
        <v>15</v>
      </c>
    </row>
    <row r="1958" spans="1:14" x14ac:dyDescent="0.25">
      <c r="A1958" s="10" t="str">
        <f>_xlfn.IFNA(
    IF(J1958=
        "PCB-0001",
        "CSS",
        IF(
            ISNUMBER(MATCH(_xlfn.TEXTBEFORE(J1958,"-"), {"CSS","CSN","PCB","PCF","BEC","CSD","PCM"}, 0)),
            _xlfn.TEXTBEFORE(J1958,"-"),
            "Other"
        )
    ),
"Add")</f>
        <v>PCB</v>
      </c>
      <c r="B1958" s="10" t="str">
        <f t="shared" si="31"/>
        <v>0031</v>
      </c>
      <c r="C1958" s="10" t="str">
        <f>_xlfn.LET(
    _xlpm.val, IF(Datadetails[[#This Row],[Activity]]="D02","C20",Datadetails[[#This Row],[Activity]]),
    IF(ISNUMBER(MATCH(_xlpm.val,{"D04","C30","c40","C20"},0)), _xlpm.val, "Other")
)</f>
        <v>C20</v>
      </c>
      <c r="D1958" s="10" t="str">
        <f>IFERROR(VLOOKUP(Datadetails[[#This Row],[Taskcode]],Dashboard!A:A,1,FALSE),"00 Err Missing")</f>
        <v>0031</v>
      </c>
      <c r="E1958" s="79">
        <v>45905</v>
      </c>
      <c r="F1958" s="80" t="s">
        <v>325</v>
      </c>
      <c r="G1958" s="60" t="s">
        <v>40</v>
      </c>
      <c r="H1958" s="80" t="s">
        <v>198</v>
      </c>
      <c r="I1958" s="80" t="s">
        <v>36</v>
      </c>
      <c r="J1958" s="80" t="s">
        <v>413</v>
      </c>
      <c r="K1958" s="80" t="s">
        <v>347</v>
      </c>
      <c r="L1958" s="80" t="s">
        <v>342</v>
      </c>
      <c r="M1958" s="81">
        <v>0.17</v>
      </c>
      <c r="N1958" s="82">
        <v>12.750000000000002</v>
      </c>
    </row>
    <row r="1959" spans="1:14" x14ac:dyDescent="0.25">
      <c r="A1959" s="10" t="str">
        <f>_xlfn.IFNA(
    IF(J1959=
        "PCB-0001",
        "CSS",
        IF(
            ISNUMBER(MATCH(_xlfn.TEXTBEFORE(J1959,"-"), {"CSS","CSN","PCB","PCF","BEC","CSD","PCM"}, 0)),
            _xlfn.TEXTBEFORE(J1959,"-"),
            "Other"
        )
    ),
"Add")</f>
        <v>PCB</v>
      </c>
      <c r="B1959" s="10" t="str">
        <f t="shared" si="31"/>
        <v>0019</v>
      </c>
      <c r="C1959" s="10" t="str">
        <f>_xlfn.LET(
    _xlpm.val, IF(Datadetails[[#This Row],[Activity]]="D02","C20",Datadetails[[#This Row],[Activity]]),
    IF(ISNUMBER(MATCH(_xlpm.val,{"D04","C30","c40","C20"},0)), _xlpm.val, "Other")
)</f>
        <v>C30</v>
      </c>
      <c r="D1959" s="10" t="str">
        <f>IFERROR(VLOOKUP(Datadetails[[#This Row],[Taskcode]],Dashboard!A:A,1,FALSE),"00 Err Missing")</f>
        <v>0019</v>
      </c>
      <c r="E1959" s="79">
        <v>45905</v>
      </c>
      <c r="F1959" s="80" t="s">
        <v>329</v>
      </c>
      <c r="G1959" s="60" t="s">
        <v>40</v>
      </c>
      <c r="H1959" s="80" t="s">
        <v>186</v>
      </c>
      <c r="I1959" s="80" t="s">
        <v>34</v>
      </c>
      <c r="J1959" s="80" t="s">
        <v>397</v>
      </c>
      <c r="K1959" s="80" t="s">
        <v>347</v>
      </c>
      <c r="L1959" s="80" t="s">
        <v>343</v>
      </c>
      <c r="M1959" s="81">
        <v>0.17</v>
      </c>
      <c r="N1959" s="82">
        <v>12.750000000000002</v>
      </c>
    </row>
    <row r="1960" spans="1:14" x14ac:dyDescent="0.25">
      <c r="A1960" s="10" t="str">
        <f>_xlfn.IFNA(
    IF(J1960=
        "PCB-0001",
        "CSS",
        IF(
            ISNUMBER(MATCH(_xlfn.TEXTBEFORE(J1960,"-"), {"CSS","CSN","PCB","PCF","BEC","CSD","PCM"}, 0)),
            _xlfn.TEXTBEFORE(J1960,"-"),
            "Other"
        )
    ),
"Add")</f>
        <v>PCB</v>
      </c>
      <c r="B1960" s="10" t="str">
        <f t="shared" si="31"/>
        <v>0134</v>
      </c>
      <c r="C1960" s="10" t="str">
        <f>_xlfn.LET(
    _xlpm.val, IF(Datadetails[[#This Row],[Activity]]="D02","C20",Datadetails[[#This Row],[Activity]]),
    IF(ISNUMBER(MATCH(_xlpm.val,{"D04","C30","c40","C20"},0)), _xlpm.val, "Other")
)</f>
        <v>C30</v>
      </c>
      <c r="D1960" s="10" t="str">
        <f>IFERROR(VLOOKUP(Datadetails[[#This Row],[Taskcode]],Dashboard!A:A,1,FALSE),"00 Err Missing")</f>
        <v>0134</v>
      </c>
      <c r="E1960" s="79">
        <v>45905</v>
      </c>
      <c r="F1960" s="80" t="s">
        <v>329</v>
      </c>
      <c r="G1960" s="60" t="s">
        <v>40</v>
      </c>
      <c r="H1960" s="80" t="s">
        <v>301</v>
      </c>
      <c r="I1960" s="80" t="s">
        <v>34</v>
      </c>
      <c r="J1960" s="80" t="s">
        <v>371</v>
      </c>
      <c r="K1960" s="80" t="s">
        <v>347</v>
      </c>
      <c r="L1960" s="80" t="s">
        <v>343</v>
      </c>
      <c r="M1960" s="81">
        <v>0.42</v>
      </c>
      <c r="N1960" s="82">
        <v>31.5</v>
      </c>
    </row>
    <row r="1961" spans="1:14" x14ac:dyDescent="0.25">
      <c r="A1961" s="10" t="str">
        <f>_xlfn.IFNA(
    IF(J1961=
        "PCB-0001",
        "CSS",
        IF(
            ISNUMBER(MATCH(_xlfn.TEXTBEFORE(J1961,"-"), {"CSS","CSN","PCB","PCF","BEC","CSD","PCM"}, 0)),
            _xlfn.TEXTBEFORE(J1961,"-"),
            "Other"
        )
    ),
"Add")</f>
        <v>PCB</v>
      </c>
      <c r="B1961" s="10" t="str">
        <f t="shared" si="31"/>
        <v>0059</v>
      </c>
      <c r="C1961" s="10" t="str">
        <f>_xlfn.LET(
    _xlpm.val, IF(Datadetails[[#This Row],[Activity]]="D02","C20",Datadetails[[#This Row],[Activity]]),
    IF(ISNUMBER(MATCH(_xlpm.val,{"D04","C30","c40","C20"},0)), _xlpm.val, "Other")
)</f>
        <v>C30</v>
      </c>
      <c r="D1961" s="10" t="str">
        <f>IFERROR(VLOOKUP(Datadetails[[#This Row],[Taskcode]],Dashboard!A:A,1,FALSE),"00 Err Missing")</f>
        <v>0059</v>
      </c>
      <c r="E1961" s="79">
        <v>45905</v>
      </c>
      <c r="F1961" s="80" t="s">
        <v>325</v>
      </c>
      <c r="G1961" s="60" t="s">
        <v>40</v>
      </c>
      <c r="H1961" s="80" t="s">
        <v>226</v>
      </c>
      <c r="I1961" s="80" t="s">
        <v>34</v>
      </c>
      <c r="J1961" s="80" t="s">
        <v>401</v>
      </c>
      <c r="K1961" s="80" t="s">
        <v>347</v>
      </c>
      <c r="L1961" s="80" t="s">
        <v>343</v>
      </c>
      <c r="M1961" s="81">
        <v>0.25</v>
      </c>
      <c r="N1961" s="82">
        <v>18.75</v>
      </c>
    </row>
    <row r="1962" spans="1:14" x14ac:dyDescent="0.25">
      <c r="A1962" s="10" t="str">
        <f>_xlfn.IFNA(
    IF(J1962=
        "PCB-0001",
        "CSS",
        IF(
            ISNUMBER(MATCH(_xlfn.TEXTBEFORE(J1962,"-"), {"CSS","CSN","PCB","PCF","BEC","CSD","PCM"}, 0)),
            _xlfn.TEXTBEFORE(J1962,"-"),
            "Other"
        )
    ),
"Add")</f>
        <v>PCB</v>
      </c>
      <c r="B1962" s="10" t="str">
        <f t="shared" si="31"/>
        <v>0075</v>
      </c>
      <c r="C1962" s="10" t="str">
        <f>_xlfn.LET(
    _xlpm.val, IF(Datadetails[[#This Row],[Activity]]="D02","C20",Datadetails[[#This Row],[Activity]]),
    IF(ISNUMBER(MATCH(_xlpm.val,{"D04","C30","c40","C20"},0)), _xlpm.val, "Other")
)</f>
        <v>C30</v>
      </c>
      <c r="D1962" s="10" t="str">
        <f>IFERROR(VLOOKUP(Datadetails[[#This Row],[Taskcode]],Dashboard!A:A,1,FALSE),"00 Err Missing")</f>
        <v>0075</v>
      </c>
      <c r="E1962" s="79">
        <v>45905</v>
      </c>
      <c r="F1962" s="80" t="s">
        <v>329</v>
      </c>
      <c r="G1962" s="60" t="s">
        <v>40</v>
      </c>
      <c r="H1962" s="80" t="s">
        <v>242</v>
      </c>
      <c r="I1962" s="80" t="s">
        <v>34</v>
      </c>
      <c r="J1962" s="80" t="s">
        <v>404</v>
      </c>
      <c r="K1962" s="80" t="s">
        <v>347</v>
      </c>
      <c r="L1962" s="80" t="s">
        <v>343</v>
      </c>
      <c r="M1962" s="81">
        <v>0.5</v>
      </c>
      <c r="N1962" s="82">
        <v>37.5</v>
      </c>
    </row>
    <row r="1963" spans="1:14" x14ac:dyDescent="0.25">
      <c r="A1963" s="10" t="str">
        <f>_xlfn.IFNA(
    IF(J1963=
        "PCB-0001",
        "CSS",
        IF(
            ISNUMBER(MATCH(_xlfn.TEXTBEFORE(J1963,"-"), {"CSS","CSN","PCB","PCF","BEC","CSD","PCM"}, 0)),
            _xlfn.TEXTBEFORE(J1963,"-"),
            "Other"
        )
    ),
"Add")</f>
        <v>PCB</v>
      </c>
      <c r="B1963" s="10" t="str">
        <f t="shared" si="31"/>
        <v>0130</v>
      </c>
      <c r="C1963" s="10" t="str">
        <f>_xlfn.LET(
    _xlpm.val, IF(Datadetails[[#This Row],[Activity]]="D02","C20",Datadetails[[#This Row],[Activity]]),
    IF(ISNUMBER(MATCH(_xlpm.val,{"D04","C30","c40","C20"},0)), _xlpm.val, "Other")
)</f>
        <v>C30</v>
      </c>
      <c r="D1963" s="10" t="str">
        <f>IFERROR(VLOOKUP(Datadetails[[#This Row],[Taskcode]],Dashboard!A:A,1,FALSE),"00 Err Missing")</f>
        <v>0130</v>
      </c>
      <c r="E1963" s="79">
        <v>45905</v>
      </c>
      <c r="F1963" s="80" t="s">
        <v>330</v>
      </c>
      <c r="G1963" s="60" t="s">
        <v>40</v>
      </c>
      <c r="H1963" s="80" t="s">
        <v>297</v>
      </c>
      <c r="I1963" s="80" t="s">
        <v>34</v>
      </c>
      <c r="J1963" s="80" t="s">
        <v>380</v>
      </c>
      <c r="K1963" s="80" t="s">
        <v>347</v>
      </c>
      <c r="L1963" s="80" t="s">
        <v>343</v>
      </c>
      <c r="M1963" s="81">
        <v>0.25</v>
      </c>
      <c r="N1963" s="82">
        <v>15</v>
      </c>
    </row>
    <row r="1964" spans="1:14" x14ac:dyDescent="0.25">
      <c r="A1964" s="10" t="str">
        <f>_xlfn.IFNA(
    IF(J1964=
        "PCB-0001",
        "CSS",
        IF(
            ISNUMBER(MATCH(_xlfn.TEXTBEFORE(J1964,"-"), {"CSS","CSN","PCB","PCF","BEC","CSD","PCM"}, 0)),
            _xlfn.TEXTBEFORE(J1964,"-"),
            "Other"
        )
    ),
"Add")</f>
        <v>PCB</v>
      </c>
      <c r="B1964" s="10" t="str">
        <f t="shared" si="31"/>
        <v>0080</v>
      </c>
      <c r="C1964" s="10" t="str">
        <f>_xlfn.LET(
    _xlpm.val, IF(Datadetails[[#This Row],[Activity]]="D02","C20",Datadetails[[#This Row],[Activity]]),
    IF(ISNUMBER(MATCH(_xlpm.val,{"D04","C30","c40","C20"},0)), _xlpm.val, "Other")
)</f>
        <v>C30</v>
      </c>
      <c r="D1964" s="10" t="str">
        <f>IFERROR(VLOOKUP(Datadetails[[#This Row],[Taskcode]],Dashboard!A:A,1,FALSE),"00 Err Missing")</f>
        <v>0080</v>
      </c>
      <c r="E1964" s="79">
        <v>45905</v>
      </c>
      <c r="F1964" s="80" t="s">
        <v>329</v>
      </c>
      <c r="G1964" s="60" t="s">
        <v>40</v>
      </c>
      <c r="H1964" s="80" t="s">
        <v>247</v>
      </c>
      <c r="I1964" s="80" t="s">
        <v>34</v>
      </c>
      <c r="J1964" s="80" t="s">
        <v>375</v>
      </c>
      <c r="K1964" s="80" t="s">
        <v>347</v>
      </c>
      <c r="L1964" s="80" t="s">
        <v>343</v>
      </c>
      <c r="M1964" s="81">
        <v>0.25</v>
      </c>
      <c r="N1964" s="82">
        <v>18.75</v>
      </c>
    </row>
    <row r="1965" spans="1:14" x14ac:dyDescent="0.25">
      <c r="A1965" s="10" t="str">
        <f>_xlfn.IFNA(
    IF(J1965=
        "PCB-0001",
        "CSS",
        IF(
            ISNUMBER(MATCH(_xlfn.TEXTBEFORE(J1965,"-"), {"CSS","CSN","PCB","PCF","BEC","CSD","PCM"}, 0)),
            _xlfn.TEXTBEFORE(J1965,"-"),
            "Other"
        )
    ),
"Add")</f>
        <v>PCB</v>
      </c>
      <c r="B1965" s="10" t="str">
        <f t="shared" si="31"/>
        <v>0132</v>
      </c>
      <c r="C1965" s="10" t="str">
        <f>_xlfn.LET(
    _xlpm.val, IF(Datadetails[[#This Row],[Activity]]="D02","C20",Datadetails[[#This Row],[Activity]]),
    IF(ISNUMBER(MATCH(_xlpm.val,{"D04","C30","c40","C20"},0)), _xlpm.val, "Other")
)</f>
        <v>C20</v>
      </c>
      <c r="D1965" s="10" t="str">
        <f>IFERROR(VLOOKUP(Datadetails[[#This Row],[Taskcode]],Dashboard!A:A,1,FALSE),"00 Err Missing")</f>
        <v>0132</v>
      </c>
      <c r="E1965" s="79">
        <v>45905</v>
      </c>
      <c r="F1965" s="80" t="s">
        <v>329</v>
      </c>
      <c r="G1965" s="60" t="s">
        <v>40</v>
      </c>
      <c r="H1965" s="80" t="s">
        <v>299</v>
      </c>
      <c r="I1965" s="80" t="s">
        <v>312</v>
      </c>
      <c r="J1965" s="80" t="s">
        <v>455</v>
      </c>
      <c r="K1965" s="80" t="s">
        <v>347</v>
      </c>
      <c r="L1965" s="80" t="s">
        <v>350</v>
      </c>
      <c r="M1965" s="81">
        <v>0.25</v>
      </c>
      <c r="N1965" s="82">
        <v>18.75</v>
      </c>
    </row>
    <row r="1966" spans="1:14" x14ac:dyDescent="0.25">
      <c r="A1966" s="10" t="str">
        <f>_xlfn.IFNA(
    IF(J1966=
        "PCB-0001",
        "CSS",
        IF(
            ISNUMBER(MATCH(_xlfn.TEXTBEFORE(J1966,"-"), {"CSS","CSN","PCB","PCF","BEC","CSD","PCM"}, 0)),
            _xlfn.TEXTBEFORE(J1966,"-"),
            "Other"
        )
    ),
"Add")</f>
        <v>PCF</v>
      </c>
      <c r="B1966" s="10" t="str">
        <f t="shared" si="31"/>
        <v>0098</v>
      </c>
      <c r="C1966" s="10" t="str">
        <f>_xlfn.LET(
    _xlpm.val, IF(Datadetails[[#This Row],[Activity]]="D02","C20",Datadetails[[#This Row],[Activity]]),
    IF(ISNUMBER(MATCH(_xlpm.val,{"D04","C30","c40","C20"},0)), _xlpm.val, "Other")
)</f>
        <v>C30</v>
      </c>
      <c r="D1966" s="10" t="str">
        <f>IFERROR(VLOOKUP(Datadetails[[#This Row],[Taskcode]],Dashboard!A:A,1,FALSE),"00 Err Missing")</f>
        <v>0098</v>
      </c>
      <c r="E1966" s="79">
        <v>45905</v>
      </c>
      <c r="F1966" s="80" t="s">
        <v>326</v>
      </c>
      <c r="G1966" s="60" t="s">
        <v>40</v>
      </c>
      <c r="H1966" s="80" t="s">
        <v>265</v>
      </c>
      <c r="I1966" s="80" t="s">
        <v>34</v>
      </c>
      <c r="J1966" s="80" t="s">
        <v>358</v>
      </c>
      <c r="K1966" s="80" t="s">
        <v>348</v>
      </c>
      <c r="L1966" s="80" t="s">
        <v>343</v>
      </c>
      <c r="M1966" s="81">
        <v>1</v>
      </c>
      <c r="N1966" s="82">
        <v>60</v>
      </c>
    </row>
    <row r="1967" spans="1:14" x14ac:dyDescent="0.25">
      <c r="A1967" s="10" t="str">
        <f>_xlfn.IFNA(
    IF(J1967=
        "PCB-0001",
        "CSS",
        IF(
            ISNUMBER(MATCH(_xlfn.TEXTBEFORE(J1967,"-"), {"CSS","CSN","PCB","PCF","BEC","CSD","PCM"}, 0)),
            _xlfn.TEXTBEFORE(J1967,"-"),
            "Other"
        )
    ),
"Add")</f>
        <v>BEC</v>
      </c>
      <c r="B1967" s="10" t="str">
        <f t="shared" si="31"/>
        <v>0001</v>
      </c>
      <c r="C1967" s="10" t="str">
        <f>_xlfn.LET(
    _xlpm.val, IF(Datadetails[[#This Row],[Activity]]="D02","C20",Datadetails[[#This Row],[Activity]]),
    IF(ISNUMBER(MATCH(_xlpm.val,{"D04","C30","c40","C20"},0)), _xlpm.val, "Other")
)</f>
        <v>D04</v>
      </c>
      <c r="D1967" s="10" t="str">
        <f>IFERROR(VLOOKUP(Datadetails[[#This Row],[Taskcode]],Dashboard!A:A,1,FALSE),"00 Err Missing")</f>
        <v>0001</v>
      </c>
      <c r="E1967" s="79">
        <v>45905</v>
      </c>
      <c r="F1967" s="80" t="s">
        <v>332</v>
      </c>
      <c r="G1967" s="60" t="s">
        <v>40</v>
      </c>
      <c r="H1967" s="80" t="s">
        <v>314</v>
      </c>
      <c r="I1967" s="80" t="s">
        <v>35</v>
      </c>
      <c r="J1967" s="80" t="s">
        <v>359</v>
      </c>
      <c r="K1967" s="80" t="s">
        <v>339</v>
      </c>
      <c r="L1967" s="80" t="s">
        <v>352</v>
      </c>
      <c r="M1967" s="81">
        <v>9.33</v>
      </c>
      <c r="N1967" s="82">
        <v>373.2</v>
      </c>
    </row>
    <row r="1968" spans="1:14" x14ac:dyDescent="0.25">
      <c r="A1968" s="10" t="str">
        <f>_xlfn.IFNA(
    IF(J1968=
        "PCB-0001",
        "CSS",
        IF(
            ISNUMBER(MATCH(_xlfn.TEXTBEFORE(J1968,"-"), {"CSS","CSN","PCB","PCF","BEC","CSD","PCM"}, 0)),
            _xlfn.TEXTBEFORE(J1968,"-"),
            "Other"
        )
    ),
"Add")</f>
        <v>BEC</v>
      </c>
      <c r="B1968" s="10" t="str">
        <f t="shared" si="31"/>
        <v>0001</v>
      </c>
      <c r="C1968" s="10" t="str">
        <f>_xlfn.LET(
    _xlpm.val, IF(Datadetails[[#This Row],[Activity]]="D02","C20",Datadetails[[#This Row],[Activity]]),
    IF(ISNUMBER(MATCH(_xlpm.val,{"D04","C30","c40","C20"},0)), _xlpm.val, "Other")
)</f>
        <v>D04</v>
      </c>
      <c r="D1968" s="10" t="str">
        <f>IFERROR(VLOOKUP(Datadetails[[#This Row],[Taskcode]],Dashboard!A:A,1,FALSE),"00 Err Missing")</f>
        <v>0001</v>
      </c>
      <c r="E1968" s="79">
        <v>45905</v>
      </c>
      <c r="F1968" s="80" t="s">
        <v>324</v>
      </c>
      <c r="G1968" s="60" t="s">
        <v>40</v>
      </c>
      <c r="H1968" s="80" t="s">
        <v>314</v>
      </c>
      <c r="I1968" s="80" t="s">
        <v>35</v>
      </c>
      <c r="J1968" s="80" t="s">
        <v>359</v>
      </c>
      <c r="K1968" s="80" t="s">
        <v>339</v>
      </c>
      <c r="L1968" s="80" t="s">
        <v>352</v>
      </c>
      <c r="M1968" s="81">
        <v>4.5</v>
      </c>
      <c r="N1968" s="82">
        <v>337.5</v>
      </c>
    </row>
    <row r="1969" spans="1:14" x14ac:dyDescent="0.25">
      <c r="A1969" s="10" t="str">
        <f>_xlfn.IFNA(
    IF(J1969=
        "PCB-0001",
        "CSS",
        IF(
            ISNUMBER(MATCH(_xlfn.TEXTBEFORE(J1969,"-"), {"CSS","CSN","PCB","PCF","BEC","CSD","PCM"}, 0)),
            _xlfn.TEXTBEFORE(J1969,"-"),
            "Other"
        )
    ),
"Add")</f>
        <v>BEC</v>
      </c>
      <c r="B1969" s="10" t="str">
        <f t="shared" si="31"/>
        <v>0001</v>
      </c>
      <c r="C1969" s="10" t="str">
        <f>_xlfn.LET(
    _xlpm.val, IF(Datadetails[[#This Row],[Activity]]="D02","C20",Datadetails[[#This Row],[Activity]]),
    IF(ISNUMBER(MATCH(_xlpm.val,{"D04","C30","c40","C20"},0)), _xlpm.val, "Other")
)</f>
        <v>D04</v>
      </c>
      <c r="D1969" s="10" t="str">
        <f>IFERROR(VLOOKUP(Datadetails[[#This Row],[Taskcode]],Dashboard!A:A,1,FALSE),"00 Err Missing")</f>
        <v>0001</v>
      </c>
      <c r="E1969" s="79">
        <v>45906</v>
      </c>
      <c r="F1969" s="80" t="s">
        <v>332</v>
      </c>
      <c r="G1969" s="60" t="s">
        <v>40</v>
      </c>
      <c r="H1969" s="80" t="s">
        <v>314</v>
      </c>
      <c r="I1969" s="80" t="s">
        <v>35</v>
      </c>
      <c r="J1969" s="80" t="s">
        <v>359</v>
      </c>
      <c r="K1969" s="80" t="s">
        <v>339</v>
      </c>
      <c r="L1969" s="80" t="s">
        <v>352</v>
      </c>
      <c r="M1969" s="81">
        <v>4.17</v>
      </c>
      <c r="N1969" s="82">
        <v>166.8</v>
      </c>
    </row>
    <row r="1970" spans="1:14" x14ac:dyDescent="0.25">
      <c r="A1970" s="10" t="str">
        <f>_xlfn.IFNA(
    IF(J1970=
        "PCB-0001",
        "CSS",
        IF(
            ISNUMBER(MATCH(_xlfn.TEXTBEFORE(J1970,"-"), {"CSS","CSN","PCB","PCF","BEC","CSD","PCM"}, 0)),
            _xlfn.TEXTBEFORE(J1970,"-"),
            "Other"
        )
    ),
"Add")</f>
        <v>CSN</v>
      </c>
      <c r="B1970" s="10" t="str">
        <f t="shared" si="31"/>
        <v>0001</v>
      </c>
      <c r="C1970" s="10" t="str">
        <f>_xlfn.LET(
    _xlpm.val, IF(Datadetails[[#This Row],[Activity]]="D02","C20",Datadetails[[#This Row],[Activity]]),
    IF(ISNUMBER(MATCH(_xlpm.val,{"D04","C30","c40","C20"},0)), _xlpm.val, "Other")
)</f>
        <v>D04</v>
      </c>
      <c r="D1970" s="10" t="str">
        <f>IFERROR(VLOOKUP(Datadetails[[#This Row],[Taskcode]],Dashboard!A:A,1,FALSE),"00 Err Missing")</f>
        <v>0001</v>
      </c>
      <c r="E1970" s="79">
        <v>45908</v>
      </c>
      <c r="F1970" s="80" t="s">
        <v>329</v>
      </c>
      <c r="G1970" s="60" t="s">
        <v>40</v>
      </c>
      <c r="H1970" s="80" t="s">
        <v>316</v>
      </c>
      <c r="I1970" s="80" t="s">
        <v>35</v>
      </c>
      <c r="J1970" s="80" t="s">
        <v>338</v>
      </c>
      <c r="K1970" s="80" t="s">
        <v>337</v>
      </c>
      <c r="L1970" s="80" t="s">
        <v>352</v>
      </c>
      <c r="M1970" s="81">
        <v>1</v>
      </c>
      <c r="N1970" s="82">
        <v>75</v>
      </c>
    </row>
    <row r="1971" spans="1:14" x14ac:dyDescent="0.25">
      <c r="A1971" s="10" t="str">
        <f>_xlfn.IFNA(
    IF(J1971=
        "PCB-0001",
        "CSS",
        IF(
            ISNUMBER(MATCH(_xlfn.TEXTBEFORE(J1971,"-"), {"CSS","CSN","PCB","PCF","BEC","CSD","PCM"}, 0)),
            _xlfn.TEXTBEFORE(J1971,"-"),
            "Other"
        )
    ),
"Add")</f>
        <v>CSD</v>
      </c>
      <c r="B1971" s="10" t="str">
        <f t="shared" si="31"/>
        <v>0001</v>
      </c>
      <c r="C1971" s="10" t="str">
        <f>_xlfn.LET(
    _xlpm.val, IF(Datadetails[[#This Row],[Activity]]="D02","C20",Datadetails[[#This Row],[Activity]]),
    IF(ISNUMBER(MATCH(_xlpm.val,{"D04","C30","c40","C20"},0)), _xlpm.val, "Other")
)</f>
        <v>D04</v>
      </c>
      <c r="D1971" s="10" t="str">
        <f>IFERROR(VLOOKUP(Datadetails[[#This Row],[Taskcode]],Dashboard!A:A,1,FALSE),"00 Err Missing")</f>
        <v>0001</v>
      </c>
      <c r="E1971" s="79">
        <v>45908</v>
      </c>
      <c r="F1971" s="80" t="s">
        <v>327</v>
      </c>
      <c r="G1971" s="60" t="s">
        <v>40</v>
      </c>
      <c r="H1971" s="80" t="s">
        <v>320</v>
      </c>
      <c r="I1971" s="80" t="s">
        <v>35</v>
      </c>
      <c r="J1971" s="80" t="s">
        <v>322</v>
      </c>
      <c r="K1971" s="80" t="s">
        <v>319</v>
      </c>
      <c r="L1971" s="80" t="s">
        <v>352</v>
      </c>
      <c r="M1971" s="81">
        <v>8.5</v>
      </c>
      <c r="N1971" s="82">
        <v>272</v>
      </c>
    </row>
    <row r="1972" spans="1:14" x14ac:dyDescent="0.25">
      <c r="A1972" s="10" t="str">
        <f>_xlfn.IFNA(
    IF(J1972=
        "PCB-0001",
        "CSS",
        IF(
            ISNUMBER(MATCH(_xlfn.TEXTBEFORE(J1972,"-"), {"CSS","CSN","PCB","PCF","BEC","CSD","PCM"}, 0)),
            _xlfn.TEXTBEFORE(J1972,"-"),
            "Other"
        )
    ),
"Add")</f>
        <v>PCB</v>
      </c>
      <c r="B1972" s="10" t="str">
        <f t="shared" si="31"/>
        <v>0085</v>
      </c>
      <c r="C1972" s="10" t="str">
        <f>_xlfn.LET(
    _xlpm.val, IF(Datadetails[[#This Row],[Activity]]="D02","C20",Datadetails[[#This Row],[Activity]]),
    IF(ISNUMBER(MATCH(_xlpm.val,{"D04","C30","c40","C20"},0)), _xlpm.val, "Other")
)</f>
        <v>C30</v>
      </c>
      <c r="D1972" s="10" t="str">
        <f>IFERROR(VLOOKUP(Datadetails[[#This Row],[Taskcode]],Dashboard!A:A,1,FALSE),"00 Err Missing")</f>
        <v>0085</v>
      </c>
      <c r="E1972" s="79">
        <v>45908</v>
      </c>
      <c r="F1972" s="80" t="s">
        <v>330</v>
      </c>
      <c r="G1972" s="60" t="s">
        <v>40</v>
      </c>
      <c r="H1972" s="80" t="s">
        <v>252</v>
      </c>
      <c r="I1972" s="80" t="s">
        <v>34</v>
      </c>
      <c r="J1972" s="80" t="s">
        <v>416</v>
      </c>
      <c r="K1972" s="80" t="s">
        <v>347</v>
      </c>
      <c r="L1972" s="80" t="s">
        <v>343</v>
      </c>
      <c r="M1972" s="81">
        <v>0.5</v>
      </c>
      <c r="N1972" s="82">
        <v>30</v>
      </c>
    </row>
    <row r="1973" spans="1:14" x14ac:dyDescent="0.25">
      <c r="A1973" s="10" t="str">
        <f>_xlfn.IFNA(
    IF(J1973=
        "PCB-0001",
        "CSS",
        IF(
            ISNUMBER(MATCH(_xlfn.TEXTBEFORE(J1973,"-"), {"CSS","CSN","PCB","PCF","BEC","CSD","PCM"}, 0)),
            _xlfn.TEXTBEFORE(J1973,"-"),
            "Other"
        )
    ),
"Add")</f>
        <v>PCB</v>
      </c>
      <c r="B1973" s="10" t="str">
        <f t="shared" si="31"/>
        <v>0110</v>
      </c>
      <c r="C1973" s="10" t="str">
        <f>_xlfn.LET(
    _xlpm.val, IF(Datadetails[[#This Row],[Activity]]="D02","C20",Datadetails[[#This Row],[Activity]]),
    IF(ISNUMBER(MATCH(_xlpm.val,{"D04","C30","c40","C20"},0)), _xlpm.val, "Other")
)</f>
        <v>C30</v>
      </c>
      <c r="D1973" s="10" t="str">
        <f>IFERROR(VLOOKUP(Datadetails[[#This Row],[Taskcode]],Dashboard!A:A,1,FALSE),"00 Err Missing")</f>
        <v>0110</v>
      </c>
      <c r="E1973" s="79">
        <v>45908</v>
      </c>
      <c r="F1973" s="80" t="s">
        <v>325</v>
      </c>
      <c r="G1973" s="60" t="s">
        <v>40</v>
      </c>
      <c r="H1973" s="80" t="s">
        <v>277</v>
      </c>
      <c r="I1973" s="80" t="s">
        <v>34</v>
      </c>
      <c r="J1973" s="80" t="s">
        <v>353</v>
      </c>
      <c r="K1973" s="80" t="s">
        <v>347</v>
      </c>
      <c r="L1973" s="80" t="s">
        <v>343</v>
      </c>
      <c r="M1973" s="81">
        <v>0.17</v>
      </c>
      <c r="N1973" s="82">
        <v>12.750000000000002</v>
      </c>
    </row>
    <row r="1974" spans="1:14" x14ac:dyDescent="0.25">
      <c r="A1974" s="10" t="str">
        <f>_xlfn.IFNA(
    IF(J1974=
        "PCB-0001",
        "CSS",
        IF(
            ISNUMBER(MATCH(_xlfn.TEXTBEFORE(J1974,"-"), {"CSS","CSN","PCB","PCF","BEC","CSD","PCM"}, 0)),
            _xlfn.TEXTBEFORE(J1974,"-"),
            "Other"
        )
    ),
"Add")</f>
        <v>PCB</v>
      </c>
      <c r="B1974" s="10" t="str">
        <f t="shared" si="31"/>
        <v>0105</v>
      </c>
      <c r="C1974" s="10" t="str">
        <f>_xlfn.LET(
    _xlpm.val, IF(Datadetails[[#This Row],[Activity]]="D02","C20",Datadetails[[#This Row],[Activity]]),
    IF(ISNUMBER(MATCH(_xlpm.val,{"D04","C30","c40","C20"},0)), _xlpm.val, "Other")
)</f>
        <v>C30</v>
      </c>
      <c r="D1974" s="10" t="str">
        <f>IFERROR(VLOOKUP(Datadetails[[#This Row],[Taskcode]],Dashboard!A:A,1,FALSE),"00 Err Missing")</f>
        <v>0105</v>
      </c>
      <c r="E1974" s="79">
        <v>45908</v>
      </c>
      <c r="F1974" s="80" t="s">
        <v>329</v>
      </c>
      <c r="G1974" s="60" t="s">
        <v>40</v>
      </c>
      <c r="H1974" s="80" t="s">
        <v>272</v>
      </c>
      <c r="I1974" s="80" t="s">
        <v>34</v>
      </c>
      <c r="J1974" s="80" t="s">
        <v>362</v>
      </c>
      <c r="K1974" s="80" t="s">
        <v>347</v>
      </c>
      <c r="L1974" s="80" t="s">
        <v>343</v>
      </c>
      <c r="M1974" s="81">
        <v>0.17</v>
      </c>
      <c r="N1974" s="82">
        <v>12.750000000000002</v>
      </c>
    </row>
    <row r="1975" spans="1:14" x14ac:dyDescent="0.25">
      <c r="A1975" s="10" t="str">
        <f>_xlfn.IFNA(
    IF(J1975=
        "PCB-0001",
        "CSS",
        IF(
            ISNUMBER(MATCH(_xlfn.TEXTBEFORE(J1975,"-"), {"CSS","CSN","PCB","PCF","BEC","CSD","PCM"}, 0)),
            _xlfn.TEXTBEFORE(J1975,"-"),
            "Other"
        )
    ),
"Add")</f>
        <v>PCB</v>
      </c>
      <c r="B1975" s="10" t="str">
        <f t="shared" si="31"/>
        <v>0085</v>
      </c>
      <c r="C1975" s="10" t="str">
        <f>_xlfn.LET(
    _xlpm.val, IF(Datadetails[[#This Row],[Activity]]="D02","C20",Datadetails[[#This Row],[Activity]]),
    IF(ISNUMBER(MATCH(_xlpm.val,{"D04","C30","c40","C20"},0)), _xlpm.val, "Other")
)</f>
        <v>C40</v>
      </c>
      <c r="D1975" s="10" t="str">
        <f>IFERROR(VLOOKUP(Datadetails[[#This Row],[Taskcode]],Dashboard!A:A,1,FALSE),"00 Err Missing")</f>
        <v>0085</v>
      </c>
      <c r="E1975" s="79">
        <v>45908</v>
      </c>
      <c r="F1975" s="80" t="s">
        <v>330</v>
      </c>
      <c r="G1975" s="60" t="s">
        <v>40</v>
      </c>
      <c r="H1975" s="80" t="s">
        <v>252</v>
      </c>
      <c r="I1975" s="80" t="s">
        <v>341</v>
      </c>
      <c r="J1975" s="80" t="s">
        <v>416</v>
      </c>
      <c r="K1975" s="80" t="s">
        <v>347</v>
      </c>
      <c r="L1975" s="80" t="s">
        <v>344</v>
      </c>
      <c r="M1975" s="81">
        <v>1.5</v>
      </c>
      <c r="N1975" s="82">
        <v>90</v>
      </c>
    </row>
    <row r="1976" spans="1:14" x14ac:dyDescent="0.25">
      <c r="A1976" s="10" t="str">
        <f>_xlfn.IFNA(
    IF(J1976=
        "PCB-0001",
        "CSS",
        IF(
            ISNUMBER(MATCH(_xlfn.TEXTBEFORE(J1976,"-"), {"CSS","CSN","PCB","PCF","BEC","CSD","PCM"}, 0)),
            _xlfn.TEXTBEFORE(J1976,"-"),
            "Other"
        )
    ),
"Add")</f>
        <v>PCB</v>
      </c>
      <c r="B1976" s="10" t="str">
        <f t="shared" si="31"/>
        <v>0131</v>
      </c>
      <c r="C1976" s="10" t="str">
        <f>_xlfn.LET(
    _xlpm.val, IF(Datadetails[[#This Row],[Activity]]="D02","C20",Datadetails[[#This Row],[Activity]]),
    IF(ISNUMBER(MATCH(_xlpm.val,{"D04","C30","c40","C20"},0)), _xlpm.val, "Other")
)</f>
        <v>C40</v>
      </c>
      <c r="D1976" s="10" t="str">
        <f>IFERROR(VLOOKUP(Datadetails[[#This Row],[Taskcode]],Dashboard!A:A,1,FALSE),"00 Err Missing")</f>
        <v>0131</v>
      </c>
      <c r="E1976" s="79">
        <v>45908</v>
      </c>
      <c r="F1976" s="80" t="s">
        <v>325</v>
      </c>
      <c r="G1976" s="60" t="s">
        <v>40</v>
      </c>
      <c r="H1976" s="80" t="s">
        <v>298</v>
      </c>
      <c r="I1976" s="80" t="s">
        <v>341</v>
      </c>
      <c r="J1976" s="80" t="s">
        <v>406</v>
      </c>
      <c r="K1976" s="80" t="s">
        <v>347</v>
      </c>
      <c r="L1976" s="80" t="s">
        <v>344</v>
      </c>
      <c r="M1976" s="81">
        <v>0.83</v>
      </c>
      <c r="N1976" s="82">
        <v>62.25</v>
      </c>
    </row>
    <row r="1977" spans="1:14" x14ac:dyDescent="0.25">
      <c r="A1977" s="10" t="str">
        <f>_xlfn.IFNA(
    IF(J1977=
        "PCB-0001",
        "CSS",
        IF(
            ISNUMBER(MATCH(_xlfn.TEXTBEFORE(J1977,"-"), {"CSS","CSN","PCB","PCF","BEC","CSD","PCM"}, 0)),
            _xlfn.TEXTBEFORE(J1977,"-"),
            "Other"
        )
    ),
"Add")</f>
        <v>BEC</v>
      </c>
      <c r="B1977" s="10" t="str">
        <f t="shared" si="31"/>
        <v>0001</v>
      </c>
      <c r="C1977" s="10" t="str">
        <f>_xlfn.LET(
    _xlpm.val, IF(Datadetails[[#This Row],[Activity]]="D02","C20",Datadetails[[#This Row],[Activity]]),
    IF(ISNUMBER(MATCH(_xlpm.val,{"D04","C30","c40","C20"},0)), _xlpm.val, "Other")
)</f>
        <v>D04</v>
      </c>
      <c r="D1977" s="10" t="str">
        <f>IFERROR(VLOOKUP(Datadetails[[#This Row],[Taskcode]],Dashboard!A:A,1,FALSE),"00 Err Missing")</f>
        <v>0001</v>
      </c>
      <c r="E1977" s="79">
        <v>45908</v>
      </c>
      <c r="F1977" s="80" t="s">
        <v>324</v>
      </c>
      <c r="G1977" s="60" t="s">
        <v>40</v>
      </c>
      <c r="H1977" s="80" t="s">
        <v>314</v>
      </c>
      <c r="I1977" s="80" t="s">
        <v>35</v>
      </c>
      <c r="J1977" s="80" t="s">
        <v>359</v>
      </c>
      <c r="K1977" s="80" t="s">
        <v>339</v>
      </c>
      <c r="L1977" s="80" t="s">
        <v>352</v>
      </c>
      <c r="M1977" s="81">
        <v>4</v>
      </c>
      <c r="N1977" s="82">
        <v>300</v>
      </c>
    </row>
    <row r="1978" spans="1:14" x14ac:dyDescent="0.25">
      <c r="A1978" s="10" t="str">
        <f>_xlfn.IFNA(
    IF(J1978=
        "PCB-0001",
        "CSS",
        IF(
            ISNUMBER(MATCH(_xlfn.TEXTBEFORE(J1978,"-"), {"CSS","CSN","PCB","PCF","BEC","CSD","PCM"}, 0)),
            _xlfn.TEXTBEFORE(J1978,"-"),
            "Other"
        )
    ),
"Add")</f>
        <v>CSN</v>
      </c>
      <c r="B1978" s="10" t="str">
        <f t="shared" si="31"/>
        <v>0001</v>
      </c>
      <c r="C1978" s="10" t="str">
        <f>_xlfn.LET(
    _xlpm.val, IF(Datadetails[[#This Row],[Activity]]="D02","C20",Datadetails[[#This Row],[Activity]]),
    IF(ISNUMBER(MATCH(_xlpm.val,{"D04","C30","c40","C20"},0)), _xlpm.val, "Other")
)</f>
        <v>D04</v>
      </c>
      <c r="D1978" s="10" t="str">
        <f>IFERROR(VLOOKUP(Datadetails[[#This Row],[Taskcode]],Dashboard!A:A,1,FALSE),"00 Err Missing")</f>
        <v>0001</v>
      </c>
      <c r="E1978" s="79">
        <v>45909</v>
      </c>
      <c r="F1978" s="80" t="s">
        <v>329</v>
      </c>
      <c r="G1978" s="60" t="s">
        <v>40</v>
      </c>
      <c r="H1978" s="80" t="s">
        <v>316</v>
      </c>
      <c r="I1978" s="80" t="s">
        <v>35</v>
      </c>
      <c r="J1978" s="80" t="s">
        <v>338</v>
      </c>
      <c r="K1978" s="80" t="s">
        <v>337</v>
      </c>
      <c r="L1978" s="80" t="s">
        <v>352</v>
      </c>
      <c r="M1978" s="81">
        <v>1.25</v>
      </c>
      <c r="N1978" s="82">
        <v>93.75</v>
      </c>
    </row>
    <row r="1979" spans="1:14" x14ac:dyDescent="0.25">
      <c r="A1979" s="10" t="str">
        <f>_xlfn.IFNA(
    IF(J1979=
        "PCB-0001",
        "CSS",
        IF(
            ISNUMBER(MATCH(_xlfn.TEXTBEFORE(J1979,"-"), {"CSS","CSN","PCB","PCF","BEC","CSD","PCM"}, 0)),
            _xlfn.TEXTBEFORE(J1979,"-"),
            "Other"
        )
    ),
"Add")</f>
        <v>CSD</v>
      </c>
      <c r="B1979" s="10" t="str">
        <f t="shared" si="31"/>
        <v>0001</v>
      </c>
      <c r="C1979" s="10" t="str">
        <f>_xlfn.LET(
    _xlpm.val, IF(Datadetails[[#This Row],[Activity]]="D02","C20",Datadetails[[#This Row],[Activity]]),
    IF(ISNUMBER(MATCH(_xlpm.val,{"D04","C30","c40","C20"},0)), _xlpm.val, "Other")
)</f>
        <v>D04</v>
      </c>
      <c r="D1979" s="10" t="str">
        <f>IFERROR(VLOOKUP(Datadetails[[#This Row],[Taskcode]],Dashboard!A:A,1,FALSE),"00 Err Missing")</f>
        <v>0001</v>
      </c>
      <c r="E1979" s="79">
        <v>45909</v>
      </c>
      <c r="F1979" s="80" t="s">
        <v>327</v>
      </c>
      <c r="G1979" s="60" t="s">
        <v>40</v>
      </c>
      <c r="H1979" s="80" t="s">
        <v>320</v>
      </c>
      <c r="I1979" s="80" t="s">
        <v>35</v>
      </c>
      <c r="J1979" s="80" t="s">
        <v>322</v>
      </c>
      <c r="K1979" s="80" t="s">
        <v>319</v>
      </c>
      <c r="L1979" s="80" t="s">
        <v>352</v>
      </c>
      <c r="M1979" s="81">
        <v>7.42</v>
      </c>
      <c r="N1979" s="82">
        <v>237.44</v>
      </c>
    </row>
    <row r="1980" spans="1:14" x14ac:dyDescent="0.25">
      <c r="A1980" s="10" t="str">
        <f>_xlfn.IFNA(
    IF(J1980=
        "PCB-0001",
        "CSS",
        IF(
            ISNUMBER(MATCH(_xlfn.TEXTBEFORE(J1980,"-"), {"CSS","CSN","PCB","PCF","BEC","CSD","PCM"}, 0)),
            _xlfn.TEXTBEFORE(J1980,"-"),
            "Other"
        )
    ),
"Add")</f>
        <v>PCB</v>
      </c>
      <c r="B1980" s="10" t="str">
        <f t="shared" si="31"/>
        <v>0137</v>
      </c>
      <c r="C1980" s="10" t="str">
        <f>_xlfn.LET(
    _xlpm.val, IF(Datadetails[[#This Row],[Activity]]="D02","C20",Datadetails[[#This Row],[Activity]]),
    IF(ISNUMBER(MATCH(_xlpm.val,{"D04","C30","c40","C20"},0)), _xlpm.val, "Other")
)</f>
        <v>C30</v>
      </c>
      <c r="D1980" s="10" t="str">
        <f>IFERROR(VLOOKUP(Datadetails[[#This Row],[Taskcode]],Dashboard!A:A,1,FALSE),"00 Err Missing")</f>
        <v>0137</v>
      </c>
      <c r="E1980" s="79">
        <v>45909</v>
      </c>
      <c r="F1980" s="80" t="s">
        <v>325</v>
      </c>
      <c r="G1980" s="60" t="s">
        <v>40</v>
      </c>
      <c r="H1980" s="80" t="s">
        <v>304</v>
      </c>
      <c r="I1980" s="80" t="s">
        <v>34</v>
      </c>
      <c r="J1980" s="80" t="s">
        <v>372</v>
      </c>
      <c r="K1980" s="80" t="s">
        <v>347</v>
      </c>
      <c r="L1980" s="80" t="s">
        <v>343</v>
      </c>
      <c r="M1980" s="81">
        <v>0.25</v>
      </c>
      <c r="N1980" s="82">
        <v>18.75</v>
      </c>
    </row>
    <row r="1981" spans="1:14" x14ac:dyDescent="0.25">
      <c r="A1981" s="10" t="str">
        <f>_xlfn.IFNA(
    IF(J1981=
        "PCB-0001",
        "CSS",
        IF(
            ISNUMBER(MATCH(_xlfn.TEXTBEFORE(J1981,"-"), {"CSS","CSN","PCB","PCF","BEC","CSD","PCM"}, 0)),
            _xlfn.TEXTBEFORE(J1981,"-"),
            "Other"
        )
    ),
"Add")</f>
        <v>PCB</v>
      </c>
      <c r="B1981" s="10" t="str">
        <f t="shared" si="31"/>
        <v>0120</v>
      </c>
      <c r="C1981" s="10" t="str">
        <f>_xlfn.LET(
    _xlpm.val, IF(Datadetails[[#This Row],[Activity]]="D02","C20",Datadetails[[#This Row],[Activity]]),
    IF(ISNUMBER(MATCH(_xlpm.val,{"D04","C30","c40","C20"},0)), _xlpm.val, "Other")
)</f>
        <v>C30</v>
      </c>
      <c r="D1981" s="10" t="str">
        <f>IFERROR(VLOOKUP(Datadetails[[#This Row],[Taskcode]],Dashboard!A:A,1,FALSE),"00 Err Missing")</f>
        <v>0120</v>
      </c>
      <c r="E1981" s="79">
        <v>45909</v>
      </c>
      <c r="F1981" s="80" t="s">
        <v>325</v>
      </c>
      <c r="G1981" s="60" t="s">
        <v>40</v>
      </c>
      <c r="H1981" s="80" t="s">
        <v>287</v>
      </c>
      <c r="I1981" s="80" t="s">
        <v>34</v>
      </c>
      <c r="J1981" s="80" t="s">
        <v>378</v>
      </c>
      <c r="K1981" s="80" t="s">
        <v>347</v>
      </c>
      <c r="L1981" s="80" t="s">
        <v>343</v>
      </c>
      <c r="M1981" s="81">
        <v>0.17</v>
      </c>
      <c r="N1981" s="82">
        <v>12.750000000000002</v>
      </c>
    </row>
    <row r="1982" spans="1:14" x14ac:dyDescent="0.25">
      <c r="A1982" s="10" t="str">
        <f>_xlfn.IFNA(
    IF(J1982=
        "PCB-0001",
        "CSS",
        IF(
            ISNUMBER(MATCH(_xlfn.TEXTBEFORE(J1982,"-"), {"CSS","CSN","PCB","PCF","BEC","CSD","PCM"}, 0)),
            _xlfn.TEXTBEFORE(J1982,"-"),
            "Other"
        )
    ),
"Add")</f>
        <v>PCB</v>
      </c>
      <c r="B1982" s="10" t="str">
        <f t="shared" si="31"/>
        <v>0094</v>
      </c>
      <c r="C1982" s="10" t="str">
        <f>_xlfn.LET(
    _xlpm.val, IF(Datadetails[[#This Row],[Activity]]="D02","C20",Datadetails[[#This Row],[Activity]]),
    IF(ISNUMBER(MATCH(_xlpm.val,{"D04","C30","c40","C20"},0)), _xlpm.val, "Other")
)</f>
        <v>C30</v>
      </c>
      <c r="D1982" s="10" t="str">
        <f>IFERROR(VLOOKUP(Datadetails[[#This Row],[Taskcode]],Dashboard!A:A,1,FALSE),"00 Err Missing")</f>
        <v>0094</v>
      </c>
      <c r="E1982" s="79">
        <v>45909</v>
      </c>
      <c r="F1982" s="80" t="s">
        <v>330</v>
      </c>
      <c r="G1982" s="60" t="s">
        <v>40</v>
      </c>
      <c r="H1982" s="80" t="s">
        <v>261</v>
      </c>
      <c r="I1982" s="80" t="s">
        <v>34</v>
      </c>
      <c r="J1982" s="80" t="s">
        <v>444</v>
      </c>
      <c r="K1982" s="80" t="s">
        <v>347</v>
      </c>
      <c r="L1982" s="80" t="s">
        <v>343</v>
      </c>
      <c r="M1982" s="81">
        <v>0.17</v>
      </c>
      <c r="N1982" s="82">
        <v>10.200000000000001</v>
      </c>
    </row>
    <row r="1983" spans="1:14" x14ac:dyDescent="0.25">
      <c r="A1983" s="10" t="str">
        <f>_xlfn.IFNA(
    IF(J1983=
        "PCB-0001",
        "CSS",
        IF(
            ISNUMBER(MATCH(_xlfn.TEXTBEFORE(J1983,"-"), {"CSS","CSN","PCB","PCF","BEC","CSD","PCM"}, 0)),
            _xlfn.TEXTBEFORE(J1983,"-"),
            "Other"
        )
    ),
"Add")</f>
        <v>PCB</v>
      </c>
      <c r="B1983" s="10" t="str">
        <f t="shared" si="31"/>
        <v>0108</v>
      </c>
      <c r="C1983" s="10" t="str">
        <f>_xlfn.LET(
    _xlpm.val, IF(Datadetails[[#This Row],[Activity]]="D02","C20",Datadetails[[#This Row],[Activity]]),
    IF(ISNUMBER(MATCH(_xlpm.val,{"D04","C30","c40","C20"},0)), _xlpm.val, "Other")
)</f>
        <v>C30</v>
      </c>
      <c r="D1983" s="10" t="str">
        <f>IFERROR(VLOOKUP(Datadetails[[#This Row],[Taskcode]],Dashboard!A:A,1,FALSE),"00 Err Missing")</f>
        <v>0108</v>
      </c>
      <c r="E1983" s="79">
        <v>45909</v>
      </c>
      <c r="F1983" s="80" t="s">
        <v>330</v>
      </c>
      <c r="G1983" s="60" t="s">
        <v>40</v>
      </c>
      <c r="H1983" s="80" t="s">
        <v>275</v>
      </c>
      <c r="I1983" s="80" t="s">
        <v>34</v>
      </c>
      <c r="J1983" s="80" t="s">
        <v>443</v>
      </c>
      <c r="K1983" s="80" t="s">
        <v>347</v>
      </c>
      <c r="L1983" s="80" t="s">
        <v>343</v>
      </c>
      <c r="M1983" s="81">
        <v>0.25</v>
      </c>
      <c r="N1983" s="82">
        <v>15</v>
      </c>
    </row>
    <row r="1984" spans="1:14" x14ac:dyDescent="0.25">
      <c r="A1984" s="10" t="str">
        <f>_xlfn.IFNA(
    IF(J1984=
        "PCB-0001",
        "CSS",
        IF(
            ISNUMBER(MATCH(_xlfn.TEXTBEFORE(J1984,"-"), {"CSS","CSN","PCB","PCF","BEC","CSD","PCM"}, 0)),
            _xlfn.TEXTBEFORE(J1984,"-"),
            "Other"
        )
    ),
"Add")</f>
        <v>PCB</v>
      </c>
      <c r="B1984" s="10" t="str">
        <f t="shared" si="31"/>
        <v>0110</v>
      </c>
      <c r="C1984" s="10" t="str">
        <f>_xlfn.LET(
    _xlpm.val, IF(Datadetails[[#This Row],[Activity]]="D02","C20",Datadetails[[#This Row],[Activity]]),
    IF(ISNUMBER(MATCH(_xlpm.val,{"D04","C30","c40","C20"},0)), _xlpm.val, "Other")
)</f>
        <v>C30</v>
      </c>
      <c r="D1984" s="10" t="str">
        <f>IFERROR(VLOOKUP(Datadetails[[#This Row],[Taskcode]],Dashboard!A:A,1,FALSE),"00 Err Missing")</f>
        <v>0110</v>
      </c>
      <c r="E1984" s="79">
        <v>45909</v>
      </c>
      <c r="F1984" s="80" t="s">
        <v>325</v>
      </c>
      <c r="G1984" s="60" t="s">
        <v>40</v>
      </c>
      <c r="H1984" s="80" t="s">
        <v>277</v>
      </c>
      <c r="I1984" s="80" t="s">
        <v>34</v>
      </c>
      <c r="J1984" s="80" t="s">
        <v>353</v>
      </c>
      <c r="K1984" s="80" t="s">
        <v>347</v>
      </c>
      <c r="L1984" s="80" t="s">
        <v>343</v>
      </c>
      <c r="M1984" s="81">
        <v>0.25</v>
      </c>
      <c r="N1984" s="82">
        <v>18.75</v>
      </c>
    </row>
    <row r="1985" spans="1:14" x14ac:dyDescent="0.25">
      <c r="A1985" s="10" t="str">
        <f>_xlfn.IFNA(
    IF(J1985=
        "PCB-0001",
        "CSS",
        IF(
            ISNUMBER(MATCH(_xlfn.TEXTBEFORE(J1985,"-"), {"CSS","CSN","PCB","PCF","BEC","CSD","PCM"}, 0)),
            _xlfn.TEXTBEFORE(J1985,"-"),
            "Other"
        )
    ),
"Add")</f>
        <v>PCB</v>
      </c>
      <c r="B1985" s="10" t="str">
        <f t="shared" si="31"/>
        <v>0095</v>
      </c>
      <c r="C1985" s="10" t="str">
        <f>_xlfn.LET(
    _xlpm.val, IF(Datadetails[[#This Row],[Activity]]="D02","C20",Datadetails[[#This Row],[Activity]]),
    IF(ISNUMBER(MATCH(_xlpm.val,{"D04","C30","c40","C20"},0)), _xlpm.val, "Other")
)</f>
        <v>C40</v>
      </c>
      <c r="D1985" s="10" t="str">
        <f>IFERROR(VLOOKUP(Datadetails[[#This Row],[Taskcode]],Dashboard!A:A,1,FALSE),"00 Err Missing")</f>
        <v>0095</v>
      </c>
      <c r="E1985" s="79">
        <v>45909</v>
      </c>
      <c r="F1985" s="80" t="s">
        <v>325</v>
      </c>
      <c r="G1985" s="60" t="s">
        <v>40</v>
      </c>
      <c r="H1985" s="80" t="s">
        <v>262</v>
      </c>
      <c r="I1985" s="80" t="s">
        <v>341</v>
      </c>
      <c r="J1985" s="80" t="s">
        <v>442</v>
      </c>
      <c r="K1985" s="80" t="s">
        <v>347</v>
      </c>
      <c r="L1985" s="80" t="s">
        <v>344</v>
      </c>
      <c r="M1985" s="81">
        <v>0.42</v>
      </c>
      <c r="N1985" s="82">
        <v>31.5</v>
      </c>
    </row>
    <row r="1986" spans="1:14" x14ac:dyDescent="0.25">
      <c r="A1986" s="10" t="str">
        <f>_xlfn.IFNA(
    IF(J1986=
        "PCB-0001",
        "CSS",
        IF(
            ISNUMBER(MATCH(_xlfn.TEXTBEFORE(J1986,"-"), {"CSS","CSN","PCB","PCF","BEC","CSD","PCM"}, 0)),
            _xlfn.TEXTBEFORE(J1986,"-"),
            "Other"
        )
    ),
"Add")</f>
        <v>PCB</v>
      </c>
      <c r="B1986" s="10" t="str">
        <f t="shared" si="31"/>
        <v>0095</v>
      </c>
      <c r="C1986" s="10" t="str">
        <f>_xlfn.LET(
    _xlpm.val, IF(Datadetails[[#This Row],[Activity]]="D02","C20",Datadetails[[#This Row],[Activity]]),
    IF(ISNUMBER(MATCH(_xlpm.val,{"D04","C30","c40","C20"},0)), _xlpm.val, "Other")
)</f>
        <v>C40</v>
      </c>
      <c r="D1986" s="10" t="str">
        <f>IFERROR(VLOOKUP(Datadetails[[#This Row],[Taskcode]],Dashboard!A:A,1,FALSE),"00 Err Missing")</f>
        <v>0095</v>
      </c>
      <c r="E1986" s="79">
        <v>45909</v>
      </c>
      <c r="F1986" s="80" t="s">
        <v>325</v>
      </c>
      <c r="G1986" s="60" t="s">
        <v>40</v>
      </c>
      <c r="H1986" s="80" t="s">
        <v>262</v>
      </c>
      <c r="I1986" s="80" t="s">
        <v>341</v>
      </c>
      <c r="J1986" s="80" t="s">
        <v>442</v>
      </c>
      <c r="K1986" s="80" t="s">
        <v>347</v>
      </c>
      <c r="L1986" s="80" t="s">
        <v>344</v>
      </c>
      <c r="M1986" s="81">
        <v>1.25</v>
      </c>
      <c r="N1986" s="82">
        <v>93.75</v>
      </c>
    </row>
    <row r="1987" spans="1:14" x14ac:dyDescent="0.25">
      <c r="A1987" s="10" t="str">
        <f>_xlfn.IFNA(
    IF(J1987=
        "PCB-0001",
        "CSS",
        IF(
            ISNUMBER(MATCH(_xlfn.TEXTBEFORE(J1987,"-"), {"CSS","CSN","PCB","PCF","BEC","CSD","PCM"}, 0)),
            _xlfn.TEXTBEFORE(J1987,"-"),
            "Other"
        )
    ),
"Add")</f>
        <v>PCB</v>
      </c>
      <c r="B1987" s="10" t="str">
        <f t="shared" si="31"/>
        <v>0132</v>
      </c>
      <c r="C1987" s="10" t="str">
        <f>_xlfn.LET(
    _xlpm.val, IF(Datadetails[[#This Row],[Activity]]="D02","C20",Datadetails[[#This Row],[Activity]]),
    IF(ISNUMBER(MATCH(_xlpm.val,{"D04","C30","c40","C20"},0)), _xlpm.val, "Other")
)</f>
        <v>C20</v>
      </c>
      <c r="D1987" s="10" t="str">
        <f>IFERROR(VLOOKUP(Datadetails[[#This Row],[Taskcode]],Dashboard!A:A,1,FALSE),"00 Err Missing")</f>
        <v>0132</v>
      </c>
      <c r="E1987" s="79">
        <v>45909</v>
      </c>
      <c r="F1987" s="80" t="s">
        <v>329</v>
      </c>
      <c r="G1987" s="60" t="s">
        <v>40</v>
      </c>
      <c r="H1987" s="80" t="s">
        <v>299</v>
      </c>
      <c r="I1987" s="80" t="s">
        <v>312</v>
      </c>
      <c r="J1987" s="80" t="s">
        <v>455</v>
      </c>
      <c r="K1987" s="80" t="s">
        <v>347</v>
      </c>
      <c r="L1987" s="80" t="s">
        <v>350</v>
      </c>
      <c r="M1987" s="81">
        <v>0.25</v>
      </c>
      <c r="N1987" s="82">
        <v>18.75</v>
      </c>
    </row>
    <row r="1988" spans="1:14" x14ac:dyDescent="0.25">
      <c r="A1988" s="10" t="str">
        <f>_xlfn.IFNA(
    IF(J1988=
        "PCB-0001",
        "CSS",
        IF(
            ISNUMBER(MATCH(_xlfn.TEXTBEFORE(J1988,"-"), {"CSS","CSN","PCB","PCF","BEC","CSD","PCM"}, 0)),
            _xlfn.TEXTBEFORE(J1988,"-"),
            "Other"
        )
    ),
"Add")</f>
        <v>BEC</v>
      </c>
      <c r="B1988" s="10" t="str">
        <f t="shared" ref="B1988:B2051" si="32">_xlfn.IFNA(_xlfn.TEXTAFTER(J1988,"-"),"Data to C2")</f>
        <v>0001</v>
      </c>
      <c r="C1988" s="10" t="str">
        <f>_xlfn.LET(
    _xlpm.val, IF(Datadetails[[#This Row],[Activity]]="D02","C20",Datadetails[[#This Row],[Activity]]),
    IF(ISNUMBER(MATCH(_xlpm.val,{"D04","C30","c40","C20"},0)), _xlpm.val, "Other")
)</f>
        <v>D04</v>
      </c>
      <c r="D1988" s="10" t="str">
        <f>IFERROR(VLOOKUP(Datadetails[[#This Row],[Taskcode]],Dashboard!A:A,1,FALSE),"00 Err Missing")</f>
        <v>0001</v>
      </c>
      <c r="E1988" s="79">
        <v>45909</v>
      </c>
      <c r="F1988" s="80" t="s">
        <v>324</v>
      </c>
      <c r="G1988" s="60" t="s">
        <v>40</v>
      </c>
      <c r="H1988" s="80" t="s">
        <v>314</v>
      </c>
      <c r="I1988" s="80" t="s">
        <v>35</v>
      </c>
      <c r="J1988" s="80" t="s">
        <v>359</v>
      </c>
      <c r="K1988" s="80" t="s">
        <v>339</v>
      </c>
      <c r="L1988" s="80" t="s">
        <v>352</v>
      </c>
      <c r="M1988" s="81">
        <v>6.75</v>
      </c>
      <c r="N1988" s="82">
        <v>506.25</v>
      </c>
    </row>
    <row r="1989" spans="1:14" x14ac:dyDescent="0.25">
      <c r="A1989" s="10" t="str">
        <f>_xlfn.IFNA(
    IF(J1989=
        "PCB-0001",
        "CSS",
        IF(
            ISNUMBER(MATCH(_xlfn.TEXTBEFORE(J1989,"-"), {"CSS","CSN","PCB","PCF","BEC","CSD","PCM"}, 0)),
            _xlfn.TEXTBEFORE(J1989,"-"),
            "Other"
        )
    ),
"Add")</f>
        <v>CSN</v>
      </c>
      <c r="B1989" s="10" t="str">
        <f t="shared" si="32"/>
        <v>0001</v>
      </c>
      <c r="C1989" s="10" t="str">
        <f>_xlfn.LET(
    _xlpm.val, IF(Datadetails[[#This Row],[Activity]]="D02","C20",Datadetails[[#This Row],[Activity]]),
    IF(ISNUMBER(MATCH(_xlpm.val,{"D04","C30","c40","C20"},0)), _xlpm.val, "Other")
)</f>
        <v>D04</v>
      </c>
      <c r="D1989" s="10" t="str">
        <f>IFERROR(VLOOKUP(Datadetails[[#This Row],[Taskcode]],Dashboard!A:A,1,FALSE),"00 Err Missing")</f>
        <v>0001</v>
      </c>
      <c r="E1989" s="79">
        <v>45910</v>
      </c>
      <c r="F1989" s="80" t="s">
        <v>329</v>
      </c>
      <c r="G1989" s="60" t="s">
        <v>40</v>
      </c>
      <c r="H1989" s="80" t="s">
        <v>316</v>
      </c>
      <c r="I1989" s="80" t="s">
        <v>35</v>
      </c>
      <c r="J1989" s="80" t="s">
        <v>338</v>
      </c>
      <c r="K1989" s="80" t="s">
        <v>337</v>
      </c>
      <c r="L1989" s="80" t="s">
        <v>352</v>
      </c>
      <c r="M1989" s="81">
        <v>0.17</v>
      </c>
      <c r="N1989" s="82">
        <v>12.750000000000002</v>
      </c>
    </row>
    <row r="1990" spans="1:14" x14ac:dyDescent="0.25">
      <c r="A1990" s="10" t="str">
        <f>_xlfn.IFNA(
    IF(J1990=
        "PCB-0001",
        "CSS",
        IF(
            ISNUMBER(MATCH(_xlfn.TEXTBEFORE(J1990,"-"), {"CSS","CSN","PCB","PCF","BEC","CSD","PCM"}, 0)),
            _xlfn.TEXTBEFORE(J1990,"-"),
            "Other"
        )
    ),
"Add")</f>
        <v>PCM</v>
      </c>
      <c r="B1990" s="10" t="str">
        <f t="shared" si="32"/>
        <v>0034</v>
      </c>
      <c r="C1990" s="10" t="str">
        <f>_xlfn.LET(
    _xlpm.val, IF(Datadetails[[#This Row],[Activity]]="D02","C20",Datadetails[[#This Row],[Activity]]),
    IF(ISNUMBER(MATCH(_xlpm.val,{"D04","C30","c40","C20"},0)), _xlpm.val, "Other")
)</f>
        <v>C20</v>
      </c>
      <c r="D1990" s="10" t="str">
        <f>IFERROR(VLOOKUP(Datadetails[[#This Row],[Taskcode]],Dashboard!A:A,1,FALSE),"00 Err Missing")</f>
        <v>0034</v>
      </c>
      <c r="E1990" s="79">
        <v>45910</v>
      </c>
      <c r="F1990" s="80" t="s">
        <v>323</v>
      </c>
      <c r="G1990" s="60" t="s">
        <v>40</v>
      </c>
      <c r="H1990" s="80" t="s">
        <v>201</v>
      </c>
      <c r="I1990" s="80" t="s">
        <v>36</v>
      </c>
      <c r="J1990" s="80" t="s">
        <v>395</v>
      </c>
      <c r="K1990" s="80" t="s">
        <v>346</v>
      </c>
      <c r="L1990" s="80" t="s">
        <v>342</v>
      </c>
      <c r="M1990" s="81">
        <v>0.25</v>
      </c>
      <c r="N1990" s="82">
        <v>15</v>
      </c>
    </row>
    <row r="1991" spans="1:14" x14ac:dyDescent="0.25">
      <c r="A1991" s="10" t="str">
        <f>_xlfn.IFNA(
    IF(J1991=
        "PCB-0001",
        "CSS",
        IF(
            ISNUMBER(MATCH(_xlfn.TEXTBEFORE(J1991,"-"), {"CSS","CSN","PCB","PCF","BEC","CSD","PCM"}, 0)),
            _xlfn.TEXTBEFORE(J1991,"-"),
            "Other"
        )
    ),
"Add")</f>
        <v>CSD</v>
      </c>
      <c r="B1991" s="10" t="str">
        <f t="shared" si="32"/>
        <v>0001</v>
      </c>
      <c r="C1991" s="10" t="str">
        <f>_xlfn.LET(
    _xlpm.val, IF(Datadetails[[#This Row],[Activity]]="D02","C20",Datadetails[[#This Row],[Activity]]),
    IF(ISNUMBER(MATCH(_xlpm.val,{"D04","C30","c40","C20"},0)), _xlpm.val, "Other")
)</f>
        <v>D04</v>
      </c>
      <c r="D1991" s="10" t="str">
        <f>IFERROR(VLOOKUP(Datadetails[[#This Row],[Taskcode]],Dashboard!A:A,1,FALSE),"00 Err Missing")</f>
        <v>0001</v>
      </c>
      <c r="E1991" s="79">
        <v>45910</v>
      </c>
      <c r="F1991" s="80" t="s">
        <v>327</v>
      </c>
      <c r="G1991" s="60" t="s">
        <v>40</v>
      </c>
      <c r="H1991" s="80" t="s">
        <v>320</v>
      </c>
      <c r="I1991" s="80" t="s">
        <v>35</v>
      </c>
      <c r="J1991" s="80" t="s">
        <v>322</v>
      </c>
      <c r="K1991" s="80" t="s">
        <v>319</v>
      </c>
      <c r="L1991" s="80" t="s">
        <v>352</v>
      </c>
      <c r="M1991" s="81">
        <v>7.33</v>
      </c>
      <c r="N1991" s="82">
        <v>234.56</v>
      </c>
    </row>
    <row r="1992" spans="1:14" x14ac:dyDescent="0.25">
      <c r="A1992" s="10" t="str">
        <f>_xlfn.IFNA(
    IF(J1992=
        "PCB-0001",
        "CSS",
        IF(
            ISNUMBER(MATCH(_xlfn.TEXTBEFORE(J1992,"-"), {"CSS","CSN","PCB","PCF","BEC","CSD","PCM"}, 0)),
            _xlfn.TEXTBEFORE(J1992,"-"),
            "Other"
        )
    ),
"Add")</f>
        <v>PCM</v>
      </c>
      <c r="B1992" s="10" t="str">
        <f t="shared" si="32"/>
        <v>0065</v>
      </c>
      <c r="C1992" s="10" t="str">
        <f>_xlfn.LET(
    _xlpm.val, IF(Datadetails[[#This Row],[Activity]]="D02","C20",Datadetails[[#This Row],[Activity]]),
    IF(ISNUMBER(MATCH(_xlpm.val,{"D04","C30","c40","C20"},0)), _xlpm.val, "Other")
)</f>
        <v>C20</v>
      </c>
      <c r="D1992" s="10" t="str">
        <f>IFERROR(VLOOKUP(Datadetails[[#This Row],[Taskcode]],Dashboard!A:A,1,FALSE),"00 Err Missing")</f>
        <v>0065</v>
      </c>
      <c r="E1992" s="79">
        <v>45910</v>
      </c>
      <c r="F1992" s="80" t="s">
        <v>323</v>
      </c>
      <c r="G1992" s="60" t="s">
        <v>40</v>
      </c>
      <c r="H1992" s="80" t="s">
        <v>232</v>
      </c>
      <c r="I1992" s="80" t="s">
        <v>36</v>
      </c>
      <c r="J1992" s="80" t="s">
        <v>393</v>
      </c>
      <c r="K1992" s="80" t="s">
        <v>346</v>
      </c>
      <c r="L1992" s="80" t="s">
        <v>342</v>
      </c>
      <c r="M1992" s="81">
        <v>0.25</v>
      </c>
      <c r="N1992" s="82">
        <v>15</v>
      </c>
    </row>
    <row r="1993" spans="1:14" x14ac:dyDescent="0.25">
      <c r="A1993" s="10" t="str">
        <f>_xlfn.IFNA(
    IF(J1993=
        "PCB-0001",
        "CSS",
        IF(
            ISNUMBER(MATCH(_xlfn.TEXTBEFORE(J1993,"-"), {"CSS","CSN","PCB","PCF","BEC","CSD","PCM"}, 0)),
            _xlfn.TEXTBEFORE(J1993,"-"),
            "Other"
        )
    ),
"Add")</f>
        <v>PCM</v>
      </c>
      <c r="B1993" s="10" t="str">
        <f t="shared" si="32"/>
        <v>0064</v>
      </c>
      <c r="C1993" s="10" t="str">
        <f>_xlfn.LET(
    _xlpm.val, IF(Datadetails[[#This Row],[Activity]]="D02","C20",Datadetails[[#This Row],[Activity]]),
    IF(ISNUMBER(MATCH(_xlpm.val,{"D04","C30","c40","C20"},0)), _xlpm.val, "Other")
)</f>
        <v>C30</v>
      </c>
      <c r="D1993" s="10" t="str">
        <f>IFERROR(VLOOKUP(Datadetails[[#This Row],[Taskcode]],Dashboard!A:A,1,FALSE),"00 Err Missing")</f>
        <v>0064</v>
      </c>
      <c r="E1993" s="79">
        <v>45910</v>
      </c>
      <c r="F1993" s="80" t="s">
        <v>323</v>
      </c>
      <c r="G1993" s="60" t="s">
        <v>40</v>
      </c>
      <c r="H1993" s="80" t="s">
        <v>231</v>
      </c>
      <c r="I1993" s="80" t="s">
        <v>34</v>
      </c>
      <c r="J1993" s="80" t="s">
        <v>420</v>
      </c>
      <c r="K1993" s="80" t="s">
        <v>346</v>
      </c>
      <c r="L1993" s="80" t="s">
        <v>343</v>
      </c>
      <c r="M1993" s="81">
        <v>0.25</v>
      </c>
      <c r="N1993" s="82">
        <v>15</v>
      </c>
    </row>
    <row r="1994" spans="1:14" x14ac:dyDescent="0.25">
      <c r="A1994" s="10" t="str">
        <f>_xlfn.IFNA(
    IF(J1994=
        "PCB-0001",
        "CSS",
        IF(
            ISNUMBER(MATCH(_xlfn.TEXTBEFORE(J1994,"-"), {"CSS","CSN","PCB","PCF","BEC","CSD","PCM"}, 0)),
            _xlfn.TEXTBEFORE(J1994,"-"),
            "Other"
        )
    ),
"Add")</f>
        <v>PCB</v>
      </c>
      <c r="B1994" s="10" t="str">
        <f t="shared" si="32"/>
        <v>0038</v>
      </c>
      <c r="C1994" s="10" t="str">
        <f>_xlfn.LET(
    _xlpm.val, IF(Datadetails[[#This Row],[Activity]]="D02","C20",Datadetails[[#This Row],[Activity]]),
    IF(ISNUMBER(MATCH(_xlpm.val,{"D04","C30","c40","C20"},0)), _xlpm.val, "Other")
)</f>
        <v>C30</v>
      </c>
      <c r="D1994" s="10" t="str">
        <f>IFERROR(VLOOKUP(Datadetails[[#This Row],[Taskcode]],Dashboard!A:A,1,FALSE),"00 Err Missing")</f>
        <v>0038</v>
      </c>
      <c r="E1994" s="79">
        <v>45910</v>
      </c>
      <c r="F1994" s="80" t="s">
        <v>325</v>
      </c>
      <c r="G1994" s="60" t="s">
        <v>40</v>
      </c>
      <c r="H1994" s="80" t="s">
        <v>205</v>
      </c>
      <c r="I1994" s="80" t="s">
        <v>34</v>
      </c>
      <c r="J1994" s="80" t="s">
        <v>470</v>
      </c>
      <c r="K1994" s="80" t="s">
        <v>347</v>
      </c>
      <c r="L1994" s="80" t="s">
        <v>343</v>
      </c>
      <c r="M1994" s="81">
        <v>0.17</v>
      </c>
      <c r="N1994" s="82">
        <v>12.750000000000002</v>
      </c>
    </row>
    <row r="1995" spans="1:14" x14ac:dyDescent="0.25">
      <c r="A1995" s="10" t="str">
        <f>_xlfn.IFNA(
    IF(J1995=
        "PCB-0001",
        "CSS",
        IF(
            ISNUMBER(MATCH(_xlfn.TEXTBEFORE(J1995,"-"), {"CSS","CSN","PCB","PCF","BEC","CSD","PCM"}, 0)),
            _xlfn.TEXTBEFORE(J1995,"-"),
            "Other"
        )
    ),
"Add")</f>
        <v>PCB</v>
      </c>
      <c r="B1995" s="10" t="str">
        <f t="shared" si="32"/>
        <v>0012</v>
      </c>
      <c r="C1995" s="10" t="str">
        <f>_xlfn.LET(
    _xlpm.val, IF(Datadetails[[#This Row],[Activity]]="D02","C20",Datadetails[[#This Row],[Activity]]),
    IF(ISNUMBER(MATCH(_xlpm.val,{"D04","C30","c40","C20"},0)), _xlpm.val, "Other")
)</f>
        <v>C30</v>
      </c>
      <c r="D1995" s="10" t="str">
        <f>IFERROR(VLOOKUP(Datadetails[[#This Row],[Taskcode]],Dashboard!A:A,1,FALSE),"00 Err Missing")</f>
        <v>0012</v>
      </c>
      <c r="E1995" s="79">
        <v>45910</v>
      </c>
      <c r="F1995" s="80" t="s">
        <v>325</v>
      </c>
      <c r="G1995" s="60" t="s">
        <v>40</v>
      </c>
      <c r="H1995" s="80" t="s">
        <v>179</v>
      </c>
      <c r="I1995" s="80" t="s">
        <v>34</v>
      </c>
      <c r="J1995" s="80" t="s">
        <v>422</v>
      </c>
      <c r="K1995" s="80" t="s">
        <v>347</v>
      </c>
      <c r="L1995" s="80" t="s">
        <v>343</v>
      </c>
      <c r="M1995" s="81">
        <v>0.57999999999999996</v>
      </c>
      <c r="N1995" s="82">
        <v>43.5</v>
      </c>
    </row>
    <row r="1996" spans="1:14" x14ac:dyDescent="0.25">
      <c r="A1996" s="10" t="str">
        <f>_xlfn.IFNA(
    IF(J1996=
        "PCB-0001",
        "CSS",
        IF(
            ISNUMBER(MATCH(_xlfn.TEXTBEFORE(J1996,"-"), {"CSS","CSN","PCB","PCF","BEC","CSD","PCM"}, 0)),
            _xlfn.TEXTBEFORE(J1996,"-"),
            "Other"
        )
    ),
"Add")</f>
        <v>PCB</v>
      </c>
      <c r="B1996" s="10" t="str">
        <f t="shared" si="32"/>
        <v>0043</v>
      </c>
      <c r="C1996" s="10" t="str">
        <f>_xlfn.LET(
    _xlpm.val, IF(Datadetails[[#This Row],[Activity]]="D02","C20",Datadetails[[#This Row],[Activity]]),
    IF(ISNUMBER(MATCH(_xlpm.val,{"D04","C30","c40","C20"},0)), _xlpm.val, "Other")
)</f>
        <v>C30</v>
      </c>
      <c r="D1996" s="10" t="str">
        <f>IFERROR(VLOOKUP(Datadetails[[#This Row],[Taskcode]],Dashboard!A:A,1,FALSE),"00 Err Missing")</f>
        <v>0043</v>
      </c>
      <c r="E1996" s="79">
        <v>45910</v>
      </c>
      <c r="F1996" s="80" t="s">
        <v>325</v>
      </c>
      <c r="G1996" s="60" t="s">
        <v>40</v>
      </c>
      <c r="H1996" s="80" t="s">
        <v>210</v>
      </c>
      <c r="I1996" s="80" t="s">
        <v>34</v>
      </c>
      <c r="J1996" s="80" t="s">
        <v>399</v>
      </c>
      <c r="K1996" s="80" t="s">
        <v>347</v>
      </c>
      <c r="L1996" s="80" t="s">
        <v>343</v>
      </c>
      <c r="M1996" s="81">
        <v>0.17</v>
      </c>
      <c r="N1996" s="82">
        <v>12.750000000000002</v>
      </c>
    </row>
    <row r="1997" spans="1:14" x14ac:dyDescent="0.25">
      <c r="A1997" s="10" t="str">
        <f>_xlfn.IFNA(
    IF(J1997=
        "PCB-0001",
        "CSS",
        IF(
            ISNUMBER(MATCH(_xlfn.TEXTBEFORE(J1997,"-"), {"CSS","CSN","PCB","PCF","BEC","CSD","PCM"}, 0)),
            _xlfn.TEXTBEFORE(J1997,"-"),
            "Other"
        )
    ),
"Add")</f>
        <v>PCB</v>
      </c>
      <c r="B1997" s="10" t="str">
        <f t="shared" si="32"/>
        <v>0134</v>
      </c>
      <c r="C1997" s="10" t="str">
        <f>_xlfn.LET(
    _xlpm.val, IF(Datadetails[[#This Row],[Activity]]="D02","C20",Datadetails[[#This Row],[Activity]]),
    IF(ISNUMBER(MATCH(_xlpm.val,{"D04","C30","c40","C20"},0)), _xlpm.val, "Other")
)</f>
        <v>C30</v>
      </c>
      <c r="D1997" s="10" t="str">
        <f>IFERROR(VLOOKUP(Datadetails[[#This Row],[Taskcode]],Dashboard!A:A,1,FALSE),"00 Err Missing")</f>
        <v>0134</v>
      </c>
      <c r="E1997" s="79">
        <v>45910</v>
      </c>
      <c r="F1997" s="80" t="s">
        <v>329</v>
      </c>
      <c r="G1997" s="60" t="s">
        <v>40</v>
      </c>
      <c r="H1997" s="80" t="s">
        <v>301</v>
      </c>
      <c r="I1997" s="80" t="s">
        <v>34</v>
      </c>
      <c r="J1997" s="80" t="s">
        <v>371</v>
      </c>
      <c r="K1997" s="80" t="s">
        <v>347</v>
      </c>
      <c r="L1997" s="80" t="s">
        <v>343</v>
      </c>
      <c r="M1997" s="81">
        <v>0.17</v>
      </c>
      <c r="N1997" s="82">
        <v>12.750000000000002</v>
      </c>
    </row>
    <row r="1998" spans="1:14" x14ac:dyDescent="0.25">
      <c r="A1998" s="10" t="str">
        <f>_xlfn.IFNA(
    IF(J1998=
        "PCB-0001",
        "CSS",
        IF(
            ISNUMBER(MATCH(_xlfn.TEXTBEFORE(J1998,"-"), {"CSS","CSN","PCB","PCF","BEC","CSD","PCM"}, 0)),
            _xlfn.TEXTBEFORE(J1998,"-"),
            "Other"
        )
    ),
"Add")</f>
        <v>PCB</v>
      </c>
      <c r="B1998" s="10" t="str">
        <f t="shared" si="32"/>
        <v>0120</v>
      </c>
      <c r="C1998" s="10" t="str">
        <f>_xlfn.LET(
    _xlpm.val, IF(Datadetails[[#This Row],[Activity]]="D02","C20",Datadetails[[#This Row],[Activity]]),
    IF(ISNUMBER(MATCH(_xlpm.val,{"D04","C30","c40","C20"},0)), _xlpm.val, "Other")
)</f>
        <v>C30</v>
      </c>
      <c r="D1998" s="10" t="str">
        <f>IFERROR(VLOOKUP(Datadetails[[#This Row],[Taskcode]],Dashboard!A:A,1,FALSE),"00 Err Missing")</f>
        <v>0120</v>
      </c>
      <c r="E1998" s="79">
        <v>45910</v>
      </c>
      <c r="F1998" s="80" t="s">
        <v>325</v>
      </c>
      <c r="G1998" s="60" t="s">
        <v>40</v>
      </c>
      <c r="H1998" s="80" t="s">
        <v>287</v>
      </c>
      <c r="I1998" s="80" t="s">
        <v>34</v>
      </c>
      <c r="J1998" s="80" t="s">
        <v>378</v>
      </c>
      <c r="K1998" s="80" t="s">
        <v>347</v>
      </c>
      <c r="L1998" s="80" t="s">
        <v>343</v>
      </c>
      <c r="M1998" s="81">
        <v>0.25</v>
      </c>
      <c r="N1998" s="82">
        <v>18.75</v>
      </c>
    </row>
    <row r="1999" spans="1:14" x14ac:dyDescent="0.25">
      <c r="A1999" s="10" t="str">
        <f>_xlfn.IFNA(
    IF(J1999=
        "PCB-0001",
        "CSS",
        IF(
            ISNUMBER(MATCH(_xlfn.TEXTBEFORE(J1999,"-"), {"CSS","CSN","PCB","PCF","BEC","CSD","PCM"}, 0)),
            _xlfn.TEXTBEFORE(J1999,"-"),
            "Other"
        )
    ),
"Add")</f>
        <v>PCB</v>
      </c>
      <c r="B1999" s="10" t="str">
        <f t="shared" si="32"/>
        <v>0130</v>
      </c>
      <c r="C1999" s="10" t="str">
        <f>_xlfn.LET(
    _xlpm.val, IF(Datadetails[[#This Row],[Activity]]="D02","C20",Datadetails[[#This Row],[Activity]]),
    IF(ISNUMBER(MATCH(_xlpm.val,{"D04","C30","c40","C20"},0)), _xlpm.val, "Other")
)</f>
        <v>C40</v>
      </c>
      <c r="D1999" s="10" t="str">
        <f>IFERROR(VLOOKUP(Datadetails[[#This Row],[Taskcode]],Dashboard!A:A,1,FALSE),"00 Err Missing")</f>
        <v>0130</v>
      </c>
      <c r="E1999" s="79">
        <v>45910</v>
      </c>
      <c r="F1999" s="80" t="s">
        <v>330</v>
      </c>
      <c r="G1999" s="60" t="s">
        <v>40</v>
      </c>
      <c r="H1999" s="80" t="s">
        <v>297</v>
      </c>
      <c r="I1999" s="80" t="s">
        <v>341</v>
      </c>
      <c r="J1999" s="80" t="s">
        <v>380</v>
      </c>
      <c r="K1999" s="80" t="s">
        <v>347</v>
      </c>
      <c r="L1999" s="80" t="s">
        <v>344</v>
      </c>
      <c r="M1999" s="81">
        <v>2.67</v>
      </c>
      <c r="N1999" s="82">
        <v>160.19999999999999</v>
      </c>
    </row>
    <row r="2000" spans="1:14" x14ac:dyDescent="0.25">
      <c r="A2000" s="10" t="str">
        <f>_xlfn.IFNA(
    IF(J2000=
        "PCB-0001",
        "CSS",
        IF(
            ISNUMBER(MATCH(_xlfn.TEXTBEFORE(J2000,"-"), {"CSS","CSN","PCB","PCF","BEC","CSD","PCM"}, 0)),
            _xlfn.TEXTBEFORE(J2000,"-"),
            "Other"
        )
    ),
"Add")</f>
        <v>BEC</v>
      </c>
      <c r="B2000" s="10" t="str">
        <f t="shared" si="32"/>
        <v>0001</v>
      </c>
      <c r="C2000" s="10" t="str">
        <f>_xlfn.LET(
    _xlpm.val, IF(Datadetails[[#This Row],[Activity]]="D02","C20",Datadetails[[#This Row],[Activity]]),
    IF(ISNUMBER(MATCH(_xlpm.val,{"D04","C30","c40","C20"},0)), _xlpm.val, "Other")
)</f>
        <v>D04</v>
      </c>
      <c r="D2000" s="10" t="str">
        <f>IFERROR(VLOOKUP(Datadetails[[#This Row],[Taskcode]],Dashboard!A:A,1,FALSE),"00 Err Missing")</f>
        <v>0001</v>
      </c>
      <c r="E2000" s="79">
        <v>45910</v>
      </c>
      <c r="F2000" s="80" t="s">
        <v>324</v>
      </c>
      <c r="G2000" s="60" t="s">
        <v>40</v>
      </c>
      <c r="H2000" s="80" t="s">
        <v>314</v>
      </c>
      <c r="I2000" s="80" t="s">
        <v>35</v>
      </c>
      <c r="J2000" s="80" t="s">
        <v>359</v>
      </c>
      <c r="K2000" s="80" t="s">
        <v>339</v>
      </c>
      <c r="L2000" s="80" t="s">
        <v>352</v>
      </c>
      <c r="M2000" s="81">
        <v>5</v>
      </c>
      <c r="N2000" s="82">
        <v>375</v>
      </c>
    </row>
    <row r="2001" spans="1:14" x14ac:dyDescent="0.25">
      <c r="A2001" s="10" t="str">
        <f>_xlfn.IFNA(
    IF(J2001=
        "PCB-0001",
        "CSS",
        IF(
            ISNUMBER(MATCH(_xlfn.TEXTBEFORE(J2001,"-"), {"CSS","CSN","PCB","PCF","BEC","CSD","PCM"}, 0)),
            _xlfn.TEXTBEFORE(J2001,"-"),
            "Other"
        )
    ),
"Add")</f>
        <v>CSN</v>
      </c>
      <c r="B2001" s="10" t="str">
        <f t="shared" si="32"/>
        <v>0001</v>
      </c>
      <c r="C2001" s="10" t="str">
        <f>_xlfn.LET(
    _xlpm.val, IF(Datadetails[[#This Row],[Activity]]="D02","C20",Datadetails[[#This Row],[Activity]]),
    IF(ISNUMBER(MATCH(_xlpm.val,{"D04","C30","c40","C20"},0)), _xlpm.val, "Other")
)</f>
        <v>D04</v>
      </c>
      <c r="D2001" s="10" t="str">
        <f>IFERROR(VLOOKUP(Datadetails[[#This Row],[Taskcode]],Dashboard!A:A,1,FALSE),"00 Err Missing")</f>
        <v>0001</v>
      </c>
      <c r="E2001" s="79">
        <v>45911</v>
      </c>
      <c r="F2001" s="80" t="s">
        <v>329</v>
      </c>
      <c r="G2001" s="60" t="s">
        <v>40</v>
      </c>
      <c r="H2001" s="80" t="s">
        <v>316</v>
      </c>
      <c r="I2001" s="80" t="s">
        <v>35</v>
      </c>
      <c r="J2001" s="80" t="s">
        <v>338</v>
      </c>
      <c r="K2001" s="80" t="s">
        <v>337</v>
      </c>
      <c r="L2001" s="80" t="s">
        <v>352</v>
      </c>
      <c r="M2001" s="81">
        <v>0.83</v>
      </c>
      <c r="N2001" s="82">
        <v>62.25</v>
      </c>
    </row>
    <row r="2002" spans="1:14" x14ac:dyDescent="0.25">
      <c r="A2002" s="10" t="str">
        <f>_xlfn.IFNA(
    IF(J2002=
        "PCB-0001",
        "CSS",
        IF(
            ISNUMBER(MATCH(_xlfn.TEXTBEFORE(J2002,"-"), {"CSS","CSN","PCB","PCF","BEC","CSD","PCM"}, 0)),
            _xlfn.TEXTBEFORE(J2002,"-"),
            "Other"
        )
    ),
"Add")</f>
        <v>PCB</v>
      </c>
      <c r="B2002" s="10" t="str">
        <f t="shared" si="32"/>
        <v>0075</v>
      </c>
      <c r="C2002" s="10" t="str">
        <f>_xlfn.LET(
    _xlpm.val, IF(Datadetails[[#This Row],[Activity]]="D02","C20",Datadetails[[#This Row],[Activity]]),
    IF(ISNUMBER(MATCH(_xlpm.val,{"D04","C30","c40","C20"},0)), _xlpm.val, "Other")
)</f>
        <v>C40</v>
      </c>
      <c r="D2002" s="10" t="str">
        <f>IFERROR(VLOOKUP(Datadetails[[#This Row],[Taskcode]],Dashboard!A:A,1,FALSE),"00 Err Missing")</f>
        <v>0075</v>
      </c>
      <c r="E2002" s="79">
        <v>45911</v>
      </c>
      <c r="F2002" s="80" t="s">
        <v>329</v>
      </c>
      <c r="G2002" s="60" t="s">
        <v>40</v>
      </c>
      <c r="H2002" s="80" t="s">
        <v>242</v>
      </c>
      <c r="I2002" s="80" t="s">
        <v>341</v>
      </c>
      <c r="J2002" s="80" t="s">
        <v>404</v>
      </c>
      <c r="K2002" s="80" t="s">
        <v>347</v>
      </c>
      <c r="L2002" s="80" t="s">
        <v>344</v>
      </c>
      <c r="M2002" s="81">
        <v>3</v>
      </c>
      <c r="N2002" s="82">
        <v>225</v>
      </c>
    </row>
    <row r="2003" spans="1:14" x14ac:dyDescent="0.25">
      <c r="A2003" s="10" t="str">
        <f>_xlfn.IFNA(
    IF(J2003=
        "PCB-0001",
        "CSS",
        IF(
            ISNUMBER(MATCH(_xlfn.TEXTBEFORE(J2003,"-"), {"CSS","CSN","PCB","PCF","BEC","CSD","PCM"}, 0)),
            _xlfn.TEXTBEFORE(J2003,"-"),
            "Other"
        )
    ),
"Add")</f>
        <v>PCB</v>
      </c>
      <c r="B2003" s="10" t="str">
        <f t="shared" si="32"/>
        <v>0031</v>
      </c>
      <c r="C2003" s="10" t="str">
        <f>_xlfn.LET(
    _xlpm.val, IF(Datadetails[[#This Row],[Activity]]="D02","C20",Datadetails[[#This Row],[Activity]]),
    IF(ISNUMBER(MATCH(_xlpm.val,{"D04","C30","c40","C20"},0)), _xlpm.val, "Other")
)</f>
        <v>C40</v>
      </c>
      <c r="D2003" s="10" t="str">
        <f>IFERROR(VLOOKUP(Datadetails[[#This Row],[Taskcode]],Dashboard!A:A,1,FALSE),"00 Err Missing")</f>
        <v>0031</v>
      </c>
      <c r="E2003" s="79">
        <v>45911</v>
      </c>
      <c r="F2003" s="80" t="s">
        <v>325</v>
      </c>
      <c r="G2003" s="60" t="s">
        <v>40</v>
      </c>
      <c r="H2003" s="80" t="s">
        <v>198</v>
      </c>
      <c r="I2003" s="80" t="s">
        <v>341</v>
      </c>
      <c r="J2003" s="80" t="s">
        <v>413</v>
      </c>
      <c r="K2003" s="80" t="s">
        <v>347</v>
      </c>
      <c r="L2003" s="80" t="s">
        <v>344</v>
      </c>
      <c r="M2003" s="81">
        <v>1.58</v>
      </c>
      <c r="N2003" s="82">
        <v>118.5</v>
      </c>
    </row>
    <row r="2004" spans="1:14" x14ac:dyDescent="0.25">
      <c r="A2004" s="10" t="str">
        <f>_xlfn.IFNA(
    IF(J2004=
        "PCB-0001",
        "CSS",
        IF(
            ISNUMBER(MATCH(_xlfn.TEXTBEFORE(J2004,"-"), {"CSS","CSN","PCB","PCF","BEC","CSD","PCM"}, 0)),
            _xlfn.TEXTBEFORE(J2004,"-"),
            "Other"
        )
    ),
"Add")</f>
        <v>CSD</v>
      </c>
      <c r="B2004" s="10" t="str">
        <f t="shared" si="32"/>
        <v>0001</v>
      </c>
      <c r="C2004" s="10" t="str">
        <f>_xlfn.LET(
    _xlpm.val, IF(Datadetails[[#This Row],[Activity]]="D02","C20",Datadetails[[#This Row],[Activity]]),
    IF(ISNUMBER(MATCH(_xlpm.val,{"D04","C30","c40","C20"},0)), _xlpm.val, "Other")
)</f>
        <v>D04</v>
      </c>
      <c r="D2004" s="10" t="str">
        <f>IFERROR(VLOOKUP(Datadetails[[#This Row],[Taskcode]],Dashboard!A:A,1,FALSE),"00 Err Missing")</f>
        <v>0001</v>
      </c>
      <c r="E2004" s="79">
        <v>45911</v>
      </c>
      <c r="F2004" s="80" t="s">
        <v>333</v>
      </c>
      <c r="G2004" s="60" t="s">
        <v>40</v>
      </c>
      <c r="H2004" s="80" t="s">
        <v>320</v>
      </c>
      <c r="I2004" s="80" t="s">
        <v>35</v>
      </c>
      <c r="J2004" s="80" t="s">
        <v>322</v>
      </c>
      <c r="K2004" s="80" t="s">
        <v>319</v>
      </c>
      <c r="L2004" s="80" t="s">
        <v>352</v>
      </c>
      <c r="M2004" s="81">
        <v>7.63</v>
      </c>
      <c r="N2004" s="82">
        <v>244.16</v>
      </c>
    </row>
    <row r="2005" spans="1:14" x14ac:dyDescent="0.25">
      <c r="A2005" s="10" t="str">
        <f>_xlfn.IFNA(
    IF(J2005=
        "PCB-0001",
        "CSS",
        IF(
            ISNUMBER(MATCH(_xlfn.TEXTBEFORE(J2005,"-"), {"CSS","CSN","PCB","PCF","BEC","CSD","PCM"}, 0)),
            _xlfn.TEXTBEFORE(J2005,"-"),
            "Other"
        )
    ),
"Add")</f>
        <v>CSD</v>
      </c>
      <c r="B2005" s="10" t="str">
        <f t="shared" si="32"/>
        <v>0001</v>
      </c>
      <c r="C2005" s="10" t="str">
        <f>_xlfn.LET(
    _xlpm.val, IF(Datadetails[[#This Row],[Activity]]="D02","C20",Datadetails[[#This Row],[Activity]]),
    IF(ISNUMBER(MATCH(_xlpm.val,{"D04","C30","c40","C20"},0)), _xlpm.val, "Other")
)</f>
        <v>D04</v>
      </c>
      <c r="D2005" s="10" t="str">
        <f>IFERROR(VLOOKUP(Datadetails[[#This Row],[Taskcode]],Dashboard!A:A,1,FALSE),"00 Err Missing")</f>
        <v>0001</v>
      </c>
      <c r="E2005" s="79">
        <v>45911</v>
      </c>
      <c r="F2005" s="80" t="s">
        <v>327</v>
      </c>
      <c r="G2005" s="60" t="s">
        <v>40</v>
      </c>
      <c r="H2005" s="80" t="s">
        <v>320</v>
      </c>
      <c r="I2005" s="80" t="s">
        <v>35</v>
      </c>
      <c r="J2005" s="80" t="s">
        <v>322</v>
      </c>
      <c r="K2005" s="80" t="s">
        <v>319</v>
      </c>
      <c r="L2005" s="80" t="s">
        <v>352</v>
      </c>
      <c r="M2005" s="81">
        <v>6.5</v>
      </c>
      <c r="N2005" s="82">
        <v>208</v>
      </c>
    </row>
    <row r="2006" spans="1:14" x14ac:dyDescent="0.25">
      <c r="A2006" s="10" t="str">
        <f>_xlfn.IFNA(
    IF(J2006=
        "PCB-0001",
        "CSS",
        IF(
            ISNUMBER(MATCH(_xlfn.TEXTBEFORE(J2006,"-"), {"CSS","CSN","PCB","PCF","BEC","CSD","PCM"}, 0)),
            _xlfn.TEXTBEFORE(J2006,"-"),
            "Other"
        )
    ),
"Add")</f>
        <v>PCM</v>
      </c>
      <c r="B2006" s="10" t="str">
        <f t="shared" si="32"/>
        <v>0035</v>
      </c>
      <c r="C2006" s="10" t="str">
        <f>_xlfn.LET(
    _xlpm.val, IF(Datadetails[[#This Row],[Activity]]="D02","C20",Datadetails[[#This Row],[Activity]]),
    IF(ISNUMBER(MATCH(_xlpm.val,{"D04","C30","c40","C20"},0)), _xlpm.val, "Other")
)</f>
        <v>C30</v>
      </c>
      <c r="D2006" s="10" t="str">
        <f>IFERROR(VLOOKUP(Datadetails[[#This Row],[Taskcode]],Dashboard!A:A,1,FALSE),"00 Err Missing")</f>
        <v>0035</v>
      </c>
      <c r="E2006" s="79">
        <v>45911</v>
      </c>
      <c r="F2006" s="80" t="s">
        <v>323</v>
      </c>
      <c r="G2006" s="60" t="s">
        <v>40</v>
      </c>
      <c r="H2006" s="80" t="s">
        <v>202</v>
      </c>
      <c r="I2006" s="80" t="s">
        <v>34</v>
      </c>
      <c r="J2006" s="80" t="s">
        <v>431</v>
      </c>
      <c r="K2006" s="80" t="s">
        <v>346</v>
      </c>
      <c r="L2006" s="80" t="s">
        <v>343</v>
      </c>
      <c r="M2006" s="81">
        <v>0.25</v>
      </c>
      <c r="N2006" s="82">
        <v>15</v>
      </c>
    </row>
    <row r="2007" spans="1:14" x14ac:dyDescent="0.25">
      <c r="A2007" s="10" t="str">
        <f>_xlfn.IFNA(
    IF(J2007=
        "PCB-0001",
        "CSS",
        IF(
            ISNUMBER(MATCH(_xlfn.TEXTBEFORE(J2007,"-"), {"CSS","CSN","PCB","PCF","BEC","CSD","PCM"}, 0)),
            _xlfn.TEXTBEFORE(J2007,"-"),
            "Other"
        )
    ),
"Add")</f>
        <v>PCB</v>
      </c>
      <c r="B2007" s="10" t="str">
        <f t="shared" si="32"/>
        <v>0031</v>
      </c>
      <c r="C2007" s="10" t="str">
        <f>_xlfn.LET(
    _xlpm.val, IF(Datadetails[[#This Row],[Activity]]="D02","C20",Datadetails[[#This Row],[Activity]]),
    IF(ISNUMBER(MATCH(_xlpm.val,{"D04","C30","c40","C20"},0)), _xlpm.val, "Other")
)</f>
        <v>C30</v>
      </c>
      <c r="D2007" s="10" t="str">
        <f>IFERROR(VLOOKUP(Datadetails[[#This Row],[Taskcode]],Dashboard!A:A,1,FALSE),"00 Err Missing")</f>
        <v>0031</v>
      </c>
      <c r="E2007" s="79">
        <v>45911</v>
      </c>
      <c r="F2007" s="80" t="s">
        <v>325</v>
      </c>
      <c r="G2007" s="60" t="s">
        <v>40</v>
      </c>
      <c r="H2007" s="80" t="s">
        <v>198</v>
      </c>
      <c r="I2007" s="80" t="s">
        <v>34</v>
      </c>
      <c r="J2007" s="80" t="s">
        <v>413</v>
      </c>
      <c r="K2007" s="80" t="s">
        <v>347</v>
      </c>
      <c r="L2007" s="80" t="s">
        <v>343</v>
      </c>
      <c r="M2007" s="81">
        <v>0.25</v>
      </c>
      <c r="N2007" s="82">
        <v>18.75</v>
      </c>
    </row>
    <row r="2008" spans="1:14" x14ac:dyDescent="0.25">
      <c r="A2008" s="10" t="str">
        <f>_xlfn.IFNA(
    IF(J2008=
        "PCB-0001",
        "CSS",
        IF(
            ISNUMBER(MATCH(_xlfn.TEXTBEFORE(J2008,"-"), {"CSS","CSN","PCB","PCF","BEC","CSD","PCM"}, 0)),
            _xlfn.TEXTBEFORE(J2008,"-"),
            "Other"
        )
    ),
"Add")</f>
        <v>PCB</v>
      </c>
      <c r="B2008" s="10" t="str">
        <f t="shared" si="32"/>
        <v>0039</v>
      </c>
      <c r="C2008" s="10" t="str">
        <f>_xlfn.LET(
    _xlpm.val, IF(Datadetails[[#This Row],[Activity]]="D02","C20",Datadetails[[#This Row],[Activity]]),
    IF(ISNUMBER(MATCH(_xlpm.val,{"D04","C30","c40","C20"},0)), _xlpm.val, "Other")
)</f>
        <v>C30</v>
      </c>
      <c r="D2008" s="10" t="str">
        <f>IFERROR(VLOOKUP(Datadetails[[#This Row],[Taskcode]],Dashboard!A:A,1,FALSE),"00 Err Missing")</f>
        <v>0039</v>
      </c>
      <c r="E2008" s="79">
        <v>45911</v>
      </c>
      <c r="F2008" s="80" t="s">
        <v>329</v>
      </c>
      <c r="G2008" s="60" t="s">
        <v>40</v>
      </c>
      <c r="H2008" s="80" t="s">
        <v>206</v>
      </c>
      <c r="I2008" s="80" t="s">
        <v>34</v>
      </c>
      <c r="J2008" s="80" t="s">
        <v>367</v>
      </c>
      <c r="K2008" s="80" t="s">
        <v>347</v>
      </c>
      <c r="L2008" s="80" t="s">
        <v>343</v>
      </c>
      <c r="M2008" s="81">
        <v>0.17</v>
      </c>
      <c r="N2008" s="82">
        <v>12.750000000000002</v>
      </c>
    </row>
    <row r="2009" spans="1:14" x14ac:dyDescent="0.25">
      <c r="A2009" s="10" t="str">
        <f>_xlfn.IFNA(
    IF(J2009=
        "PCB-0001",
        "CSS",
        IF(
            ISNUMBER(MATCH(_xlfn.TEXTBEFORE(J2009,"-"), {"CSS","CSN","PCB","PCF","BEC","CSD","PCM"}, 0)),
            _xlfn.TEXTBEFORE(J2009,"-"),
            "Other"
        )
    ),
"Add")</f>
        <v>PCB</v>
      </c>
      <c r="B2009" s="10" t="str">
        <f t="shared" si="32"/>
        <v>0043</v>
      </c>
      <c r="C2009" s="10" t="str">
        <f>_xlfn.LET(
    _xlpm.val, IF(Datadetails[[#This Row],[Activity]]="D02","C20",Datadetails[[#This Row],[Activity]]),
    IF(ISNUMBER(MATCH(_xlpm.val,{"D04","C30","c40","C20"},0)), _xlpm.val, "Other")
)</f>
        <v>C30</v>
      </c>
      <c r="D2009" s="10" t="str">
        <f>IFERROR(VLOOKUP(Datadetails[[#This Row],[Taskcode]],Dashboard!A:A,1,FALSE),"00 Err Missing")</f>
        <v>0043</v>
      </c>
      <c r="E2009" s="79">
        <v>45911</v>
      </c>
      <c r="F2009" s="80" t="s">
        <v>325</v>
      </c>
      <c r="G2009" s="60" t="s">
        <v>40</v>
      </c>
      <c r="H2009" s="80" t="s">
        <v>210</v>
      </c>
      <c r="I2009" s="80" t="s">
        <v>34</v>
      </c>
      <c r="J2009" s="80" t="s">
        <v>399</v>
      </c>
      <c r="K2009" s="80" t="s">
        <v>347</v>
      </c>
      <c r="L2009" s="80" t="s">
        <v>343</v>
      </c>
      <c r="M2009" s="81">
        <v>0.17</v>
      </c>
      <c r="N2009" s="82">
        <v>12.750000000000002</v>
      </c>
    </row>
    <row r="2010" spans="1:14" x14ac:dyDescent="0.25">
      <c r="A2010" s="10" t="str">
        <f>_xlfn.IFNA(
    IF(J2010=
        "PCB-0001",
        "CSS",
        IF(
            ISNUMBER(MATCH(_xlfn.TEXTBEFORE(J2010,"-"), {"CSS","CSN","PCB","PCF","BEC","CSD","PCM"}, 0)),
            _xlfn.TEXTBEFORE(J2010,"-"),
            "Other"
        )
    ),
"Add")</f>
        <v>PCB</v>
      </c>
      <c r="B2010" s="10" t="str">
        <f t="shared" si="32"/>
        <v>0062</v>
      </c>
      <c r="C2010" s="10" t="str">
        <f>_xlfn.LET(
    _xlpm.val, IF(Datadetails[[#This Row],[Activity]]="D02","C20",Datadetails[[#This Row],[Activity]]),
    IF(ISNUMBER(MATCH(_xlpm.val,{"D04","C30","c40","C20"},0)), _xlpm.val, "Other")
)</f>
        <v>C30</v>
      </c>
      <c r="D2010" s="10" t="str">
        <f>IFERROR(VLOOKUP(Datadetails[[#This Row],[Taskcode]],Dashboard!A:A,1,FALSE),"00 Err Missing")</f>
        <v>0062</v>
      </c>
      <c r="E2010" s="79">
        <v>45911</v>
      </c>
      <c r="F2010" s="80" t="s">
        <v>329</v>
      </c>
      <c r="G2010" s="60" t="s">
        <v>40</v>
      </c>
      <c r="H2010" s="80" t="s">
        <v>229</v>
      </c>
      <c r="I2010" s="80" t="s">
        <v>34</v>
      </c>
      <c r="J2010" s="80" t="s">
        <v>373</v>
      </c>
      <c r="K2010" s="80" t="s">
        <v>347</v>
      </c>
      <c r="L2010" s="80" t="s">
        <v>343</v>
      </c>
      <c r="M2010" s="81">
        <v>0.17</v>
      </c>
      <c r="N2010" s="82">
        <v>12.750000000000002</v>
      </c>
    </row>
    <row r="2011" spans="1:14" x14ac:dyDescent="0.25">
      <c r="A2011" s="10" t="str">
        <f>_xlfn.IFNA(
    IF(J2011=
        "PCB-0001",
        "CSS",
        IF(
            ISNUMBER(MATCH(_xlfn.TEXTBEFORE(J2011,"-"), {"CSS","CSN","PCB","PCF","BEC","CSD","PCM"}, 0)),
            _xlfn.TEXTBEFORE(J2011,"-"),
            "Other"
        )
    ),
"Add")</f>
        <v>PCB</v>
      </c>
      <c r="B2011" s="10" t="str">
        <f t="shared" si="32"/>
        <v>0075</v>
      </c>
      <c r="C2011" s="10" t="str">
        <f>_xlfn.LET(
    _xlpm.val, IF(Datadetails[[#This Row],[Activity]]="D02","C20",Datadetails[[#This Row],[Activity]]),
    IF(ISNUMBER(MATCH(_xlpm.val,{"D04","C30","c40","C20"},0)), _xlpm.val, "Other")
)</f>
        <v>C30</v>
      </c>
      <c r="D2011" s="10" t="str">
        <f>IFERROR(VLOOKUP(Datadetails[[#This Row],[Taskcode]],Dashboard!A:A,1,FALSE),"00 Err Missing")</f>
        <v>0075</v>
      </c>
      <c r="E2011" s="79">
        <v>45911</v>
      </c>
      <c r="F2011" s="80" t="s">
        <v>329</v>
      </c>
      <c r="G2011" s="60" t="s">
        <v>40</v>
      </c>
      <c r="H2011" s="80" t="s">
        <v>242</v>
      </c>
      <c r="I2011" s="80" t="s">
        <v>34</v>
      </c>
      <c r="J2011" s="80" t="s">
        <v>404</v>
      </c>
      <c r="K2011" s="80" t="s">
        <v>347</v>
      </c>
      <c r="L2011" s="80" t="s">
        <v>343</v>
      </c>
      <c r="M2011" s="81">
        <v>0.17</v>
      </c>
      <c r="N2011" s="82">
        <v>12.750000000000002</v>
      </c>
    </row>
    <row r="2012" spans="1:14" x14ac:dyDescent="0.25">
      <c r="A2012" s="10" t="str">
        <f>_xlfn.IFNA(
    IF(J2012=
        "PCB-0001",
        "CSS",
        IF(
            ISNUMBER(MATCH(_xlfn.TEXTBEFORE(J2012,"-"), {"CSS","CSN","PCB","PCF","BEC","CSD","PCM"}, 0)),
            _xlfn.TEXTBEFORE(J2012,"-"),
            "Other"
        )
    ),
"Add")</f>
        <v>PCB</v>
      </c>
      <c r="B2012" s="10" t="str">
        <f t="shared" si="32"/>
        <v>0129</v>
      </c>
      <c r="C2012" s="10" t="str">
        <f>_xlfn.LET(
    _xlpm.val, IF(Datadetails[[#This Row],[Activity]]="D02","C20",Datadetails[[#This Row],[Activity]]),
    IF(ISNUMBER(MATCH(_xlpm.val,{"D04","C30","c40","C20"},0)), _xlpm.val, "Other")
)</f>
        <v>C30</v>
      </c>
      <c r="D2012" s="10" t="str">
        <f>IFERROR(VLOOKUP(Datadetails[[#This Row],[Taskcode]],Dashboard!A:A,1,FALSE),"00 Err Missing")</f>
        <v>0129</v>
      </c>
      <c r="E2012" s="79">
        <v>45911</v>
      </c>
      <c r="F2012" s="80" t="s">
        <v>329</v>
      </c>
      <c r="G2012" s="60" t="s">
        <v>40</v>
      </c>
      <c r="H2012" s="80" t="s">
        <v>296</v>
      </c>
      <c r="I2012" s="80" t="s">
        <v>34</v>
      </c>
      <c r="J2012" s="80" t="s">
        <v>411</v>
      </c>
      <c r="K2012" s="80" t="s">
        <v>347</v>
      </c>
      <c r="L2012" s="80" t="s">
        <v>343</v>
      </c>
      <c r="M2012" s="81">
        <v>0.25</v>
      </c>
      <c r="N2012" s="82">
        <v>18.75</v>
      </c>
    </row>
    <row r="2013" spans="1:14" x14ac:dyDescent="0.25">
      <c r="A2013" s="10" t="str">
        <f>_xlfn.IFNA(
    IF(J2013=
        "PCB-0001",
        "CSS",
        IF(
            ISNUMBER(MATCH(_xlfn.TEXTBEFORE(J2013,"-"), {"CSS","CSN","PCB","PCF","BEC","CSD","PCM"}, 0)),
            _xlfn.TEXTBEFORE(J2013,"-"),
            "Other"
        )
    ),
"Add")</f>
        <v>PCB</v>
      </c>
      <c r="B2013" s="10" t="str">
        <f t="shared" si="32"/>
        <v>0130</v>
      </c>
      <c r="C2013" s="10" t="str">
        <f>_xlfn.LET(
    _xlpm.val, IF(Datadetails[[#This Row],[Activity]]="D02","C20",Datadetails[[#This Row],[Activity]]),
    IF(ISNUMBER(MATCH(_xlpm.val,{"D04","C30","c40","C20"},0)), _xlpm.val, "Other")
)</f>
        <v>C30</v>
      </c>
      <c r="D2013" s="10" t="str">
        <f>IFERROR(VLOOKUP(Datadetails[[#This Row],[Taskcode]],Dashboard!A:A,1,FALSE),"00 Err Missing")</f>
        <v>0130</v>
      </c>
      <c r="E2013" s="79">
        <v>45911</v>
      </c>
      <c r="F2013" s="80" t="s">
        <v>330</v>
      </c>
      <c r="G2013" s="60" t="s">
        <v>40</v>
      </c>
      <c r="H2013" s="80" t="s">
        <v>297</v>
      </c>
      <c r="I2013" s="80" t="s">
        <v>34</v>
      </c>
      <c r="J2013" s="80" t="s">
        <v>380</v>
      </c>
      <c r="K2013" s="80" t="s">
        <v>347</v>
      </c>
      <c r="L2013" s="80" t="s">
        <v>343</v>
      </c>
      <c r="M2013" s="81">
        <v>2</v>
      </c>
      <c r="N2013" s="82">
        <v>120</v>
      </c>
    </row>
    <row r="2014" spans="1:14" x14ac:dyDescent="0.25">
      <c r="A2014" s="10" t="str">
        <f>_xlfn.IFNA(
    IF(J2014=
        "PCB-0001",
        "CSS",
        IF(
            ISNUMBER(MATCH(_xlfn.TEXTBEFORE(J2014,"-"), {"CSS","CSN","PCB","PCF","BEC","CSD","PCM"}, 0)),
            _xlfn.TEXTBEFORE(J2014,"-"),
            "Other"
        )
    ),
"Add")</f>
        <v>PCB</v>
      </c>
      <c r="B2014" s="10" t="str">
        <f t="shared" si="32"/>
        <v>0138</v>
      </c>
      <c r="C2014" s="10" t="str">
        <f>_xlfn.LET(
    _xlpm.val, IF(Datadetails[[#This Row],[Activity]]="D02","C20",Datadetails[[#This Row],[Activity]]),
    IF(ISNUMBER(MATCH(_xlpm.val,{"D04","C30","c40","C20"},0)), _xlpm.val, "Other")
)</f>
        <v>C30</v>
      </c>
      <c r="D2014" s="10" t="str">
        <f>IFERROR(VLOOKUP(Datadetails[[#This Row],[Taskcode]],Dashboard!A:A,1,FALSE),"00 Err Missing")</f>
        <v>0138</v>
      </c>
      <c r="E2014" s="79">
        <v>45911</v>
      </c>
      <c r="F2014" s="80" t="s">
        <v>325</v>
      </c>
      <c r="G2014" s="60" t="s">
        <v>40</v>
      </c>
      <c r="H2014" s="80" t="s">
        <v>305</v>
      </c>
      <c r="I2014" s="80" t="s">
        <v>34</v>
      </c>
      <c r="J2014" s="80" t="s">
        <v>382</v>
      </c>
      <c r="K2014" s="80" t="s">
        <v>347</v>
      </c>
      <c r="L2014" s="80" t="s">
        <v>343</v>
      </c>
      <c r="M2014" s="81">
        <v>0.25</v>
      </c>
      <c r="N2014" s="82">
        <v>18.75</v>
      </c>
    </row>
    <row r="2015" spans="1:14" x14ac:dyDescent="0.25">
      <c r="A2015" s="10" t="str">
        <f>_xlfn.IFNA(
    IF(J2015=
        "PCB-0001",
        "CSS",
        IF(
            ISNUMBER(MATCH(_xlfn.TEXTBEFORE(J2015,"-"), {"CSS","CSN","PCB","PCF","BEC","CSD","PCM"}, 0)),
            _xlfn.TEXTBEFORE(J2015,"-"),
            "Other"
        )
    ),
"Add")</f>
        <v>PCB</v>
      </c>
      <c r="B2015" s="10" t="str">
        <f t="shared" si="32"/>
        <v>0123</v>
      </c>
      <c r="C2015" s="10" t="str">
        <f>_xlfn.LET(
    _xlpm.val, IF(Datadetails[[#This Row],[Activity]]="D02","C20",Datadetails[[#This Row],[Activity]]),
    IF(ISNUMBER(MATCH(_xlpm.val,{"D04","C30","c40","C20"},0)), _xlpm.val, "Other")
)</f>
        <v>C40</v>
      </c>
      <c r="D2015" s="10" t="str">
        <f>IFERROR(VLOOKUP(Datadetails[[#This Row],[Taskcode]],Dashboard!A:A,1,FALSE),"00 Err Missing")</f>
        <v>0123</v>
      </c>
      <c r="E2015" s="79">
        <v>45911</v>
      </c>
      <c r="F2015" s="80" t="s">
        <v>325</v>
      </c>
      <c r="G2015" s="60" t="s">
        <v>40</v>
      </c>
      <c r="H2015" s="80" t="s">
        <v>290</v>
      </c>
      <c r="I2015" s="80" t="s">
        <v>341</v>
      </c>
      <c r="J2015" s="80" t="s">
        <v>428</v>
      </c>
      <c r="K2015" s="80" t="s">
        <v>347</v>
      </c>
      <c r="L2015" s="80" t="s">
        <v>344</v>
      </c>
      <c r="M2015" s="81">
        <v>0.17</v>
      </c>
      <c r="N2015" s="82">
        <v>12.750000000000002</v>
      </c>
    </row>
    <row r="2016" spans="1:14" x14ac:dyDescent="0.25">
      <c r="A2016" s="10" t="str">
        <f>_xlfn.IFNA(
    IF(J2016=
        "PCB-0001",
        "CSS",
        IF(
            ISNUMBER(MATCH(_xlfn.TEXTBEFORE(J2016,"-"), {"CSS","CSN","PCB","PCF","BEC","CSD","PCM"}, 0)),
            _xlfn.TEXTBEFORE(J2016,"-"),
            "Other"
        )
    ),
"Add")</f>
        <v>BEC</v>
      </c>
      <c r="B2016" s="10" t="str">
        <f t="shared" si="32"/>
        <v>0001</v>
      </c>
      <c r="C2016" s="10" t="str">
        <f>_xlfn.LET(
    _xlpm.val, IF(Datadetails[[#This Row],[Activity]]="D02","C20",Datadetails[[#This Row],[Activity]]),
    IF(ISNUMBER(MATCH(_xlpm.val,{"D04","C30","c40","C20"},0)), _xlpm.val, "Other")
)</f>
        <v>D04</v>
      </c>
      <c r="D2016" s="10" t="str">
        <f>IFERROR(VLOOKUP(Datadetails[[#This Row],[Taskcode]],Dashboard!A:A,1,FALSE),"00 Err Missing")</f>
        <v>0001</v>
      </c>
      <c r="E2016" s="79">
        <v>45911</v>
      </c>
      <c r="F2016" s="80" t="s">
        <v>324</v>
      </c>
      <c r="G2016" s="60" t="s">
        <v>40</v>
      </c>
      <c r="H2016" s="80" t="s">
        <v>314</v>
      </c>
      <c r="I2016" s="80" t="s">
        <v>35</v>
      </c>
      <c r="J2016" s="80" t="s">
        <v>359</v>
      </c>
      <c r="K2016" s="80" t="s">
        <v>339</v>
      </c>
      <c r="L2016" s="80" t="s">
        <v>352</v>
      </c>
      <c r="M2016" s="81">
        <v>4.75</v>
      </c>
      <c r="N2016" s="82">
        <v>356.25</v>
      </c>
    </row>
    <row r="2017" spans="1:14" x14ac:dyDescent="0.25">
      <c r="A2017" s="10" t="str">
        <f>_xlfn.IFNA(
    IF(J2017=
        "PCB-0001",
        "CSS",
        IF(
            ISNUMBER(MATCH(_xlfn.TEXTBEFORE(J2017,"-"), {"CSS","CSN","PCB","PCF","BEC","CSD","PCM"}, 0)),
            _xlfn.TEXTBEFORE(J2017,"-"),
            "Other"
        )
    ),
"Add")</f>
        <v>CSN</v>
      </c>
      <c r="B2017" s="10" t="str">
        <f t="shared" si="32"/>
        <v>0001</v>
      </c>
      <c r="C2017" s="10" t="str">
        <f>_xlfn.LET(
    _xlpm.val, IF(Datadetails[[#This Row],[Activity]]="D02","C20",Datadetails[[#This Row],[Activity]]),
    IF(ISNUMBER(MATCH(_xlpm.val,{"D04","C30","c40","C20"},0)), _xlpm.val, "Other")
)</f>
        <v>D04</v>
      </c>
      <c r="D2017" s="10" t="str">
        <f>IFERROR(VLOOKUP(Datadetails[[#This Row],[Taskcode]],Dashboard!A:A,1,FALSE),"00 Err Missing")</f>
        <v>0001</v>
      </c>
      <c r="E2017" s="79">
        <v>45912</v>
      </c>
      <c r="F2017" s="80" t="s">
        <v>329</v>
      </c>
      <c r="G2017" s="60" t="s">
        <v>40</v>
      </c>
      <c r="H2017" s="80" t="s">
        <v>316</v>
      </c>
      <c r="I2017" s="80" t="s">
        <v>35</v>
      </c>
      <c r="J2017" s="80" t="s">
        <v>338</v>
      </c>
      <c r="K2017" s="80" t="s">
        <v>337</v>
      </c>
      <c r="L2017" s="80" t="s">
        <v>352</v>
      </c>
      <c r="M2017" s="81">
        <v>0.17</v>
      </c>
      <c r="N2017" s="82">
        <v>12.750000000000002</v>
      </c>
    </row>
    <row r="2018" spans="1:14" x14ac:dyDescent="0.25">
      <c r="A2018" s="10" t="str">
        <f>_xlfn.IFNA(
    IF(J2018=
        "PCB-0001",
        "CSS",
        IF(
            ISNUMBER(MATCH(_xlfn.TEXTBEFORE(J2018,"-"), {"CSS","CSN","PCB","PCF","BEC","CSD","PCM"}, 0)),
            _xlfn.TEXTBEFORE(J2018,"-"),
            "Other"
        )
    ),
"Add")</f>
        <v>PCM</v>
      </c>
      <c r="B2018" s="10" t="str">
        <f t="shared" si="32"/>
        <v>0034</v>
      </c>
      <c r="C2018" s="10" t="str">
        <f>_xlfn.LET(
    _xlpm.val, IF(Datadetails[[#This Row],[Activity]]="D02","C20",Datadetails[[#This Row],[Activity]]),
    IF(ISNUMBER(MATCH(_xlpm.val,{"D04","C30","c40","C20"},0)), _xlpm.val, "Other")
)</f>
        <v>C20</v>
      </c>
      <c r="D2018" s="10" t="str">
        <f>IFERROR(VLOOKUP(Datadetails[[#This Row],[Taskcode]],Dashboard!A:A,1,FALSE),"00 Err Missing")</f>
        <v>0034</v>
      </c>
      <c r="E2018" s="79">
        <v>45912</v>
      </c>
      <c r="F2018" s="80" t="s">
        <v>323</v>
      </c>
      <c r="G2018" s="60" t="s">
        <v>40</v>
      </c>
      <c r="H2018" s="80" t="s">
        <v>201</v>
      </c>
      <c r="I2018" s="80" t="s">
        <v>36</v>
      </c>
      <c r="J2018" s="80" t="s">
        <v>395</v>
      </c>
      <c r="K2018" s="80" t="s">
        <v>346</v>
      </c>
      <c r="L2018" s="80" t="s">
        <v>342</v>
      </c>
      <c r="M2018" s="81">
        <v>0.25</v>
      </c>
      <c r="N2018" s="82">
        <v>15</v>
      </c>
    </row>
    <row r="2019" spans="1:14" x14ac:dyDescent="0.25">
      <c r="A2019" s="10" t="str">
        <f>_xlfn.IFNA(
    IF(J2019=
        "PCB-0001",
        "CSS",
        IF(
            ISNUMBER(MATCH(_xlfn.TEXTBEFORE(J2019,"-"), {"CSS","CSN","PCB","PCF","BEC","CSD","PCM"}, 0)),
            _xlfn.TEXTBEFORE(J2019,"-"),
            "Other"
        )
    ),
"Add")</f>
        <v>CSD</v>
      </c>
      <c r="B2019" s="10" t="str">
        <f t="shared" si="32"/>
        <v>0001</v>
      </c>
      <c r="C2019" s="10" t="str">
        <f>_xlfn.LET(
    _xlpm.val, IF(Datadetails[[#This Row],[Activity]]="D02","C20",Datadetails[[#This Row],[Activity]]),
    IF(ISNUMBER(MATCH(_xlpm.val,{"D04","C30","c40","C20"},0)), _xlpm.val, "Other")
)</f>
        <v>D04</v>
      </c>
      <c r="D2019" s="10" t="str">
        <f>IFERROR(VLOOKUP(Datadetails[[#This Row],[Taskcode]],Dashboard!A:A,1,FALSE),"00 Err Missing")</f>
        <v>0001</v>
      </c>
      <c r="E2019" s="79">
        <v>45912</v>
      </c>
      <c r="F2019" s="80" t="s">
        <v>333</v>
      </c>
      <c r="G2019" s="60" t="s">
        <v>40</v>
      </c>
      <c r="H2019" s="80" t="s">
        <v>320</v>
      </c>
      <c r="I2019" s="80" t="s">
        <v>35</v>
      </c>
      <c r="J2019" s="80" t="s">
        <v>322</v>
      </c>
      <c r="K2019" s="80" t="s">
        <v>319</v>
      </c>
      <c r="L2019" s="80" t="s">
        <v>352</v>
      </c>
      <c r="M2019" s="81">
        <v>7.55</v>
      </c>
      <c r="N2019" s="82">
        <v>241.6</v>
      </c>
    </row>
    <row r="2020" spans="1:14" x14ac:dyDescent="0.25">
      <c r="A2020" s="10" t="str">
        <f>_xlfn.IFNA(
    IF(J2020=
        "PCB-0001",
        "CSS",
        IF(
            ISNUMBER(MATCH(_xlfn.TEXTBEFORE(J2020,"-"), {"CSS","CSN","PCB","PCF","BEC","CSD","PCM"}, 0)),
            _xlfn.TEXTBEFORE(J2020,"-"),
            "Other"
        )
    ),
"Add")</f>
        <v>CSD</v>
      </c>
      <c r="B2020" s="10" t="str">
        <f t="shared" si="32"/>
        <v>0001</v>
      </c>
      <c r="C2020" s="10" t="str">
        <f>_xlfn.LET(
    _xlpm.val, IF(Datadetails[[#This Row],[Activity]]="D02","C20",Datadetails[[#This Row],[Activity]]),
    IF(ISNUMBER(MATCH(_xlpm.val,{"D04","C30","c40","C20"},0)), _xlpm.val, "Other")
)</f>
        <v>D04</v>
      </c>
      <c r="D2020" s="10" t="str">
        <f>IFERROR(VLOOKUP(Datadetails[[#This Row],[Taskcode]],Dashboard!A:A,1,FALSE),"00 Err Missing")</f>
        <v>0001</v>
      </c>
      <c r="E2020" s="79">
        <v>45912</v>
      </c>
      <c r="F2020" s="80" t="s">
        <v>327</v>
      </c>
      <c r="G2020" s="60" t="s">
        <v>40</v>
      </c>
      <c r="H2020" s="80" t="s">
        <v>320</v>
      </c>
      <c r="I2020" s="80" t="s">
        <v>35</v>
      </c>
      <c r="J2020" s="80" t="s">
        <v>322</v>
      </c>
      <c r="K2020" s="80" t="s">
        <v>319</v>
      </c>
      <c r="L2020" s="80" t="s">
        <v>352</v>
      </c>
      <c r="M2020" s="81">
        <v>3.7</v>
      </c>
      <c r="N2020" s="82">
        <v>118.4</v>
      </c>
    </row>
    <row r="2021" spans="1:14" x14ac:dyDescent="0.25">
      <c r="A2021" s="10" t="str">
        <f>_xlfn.IFNA(
    IF(J2021=
        "PCB-0001",
        "CSS",
        IF(
            ISNUMBER(MATCH(_xlfn.TEXTBEFORE(J2021,"-"), {"CSS","CSN","PCB","PCF","BEC","CSD","PCM"}, 0)),
            _xlfn.TEXTBEFORE(J2021,"-"),
            "Other"
        )
    ),
"Add")</f>
        <v>PCB</v>
      </c>
      <c r="B2021" s="10" t="str">
        <f t="shared" si="32"/>
        <v>0003</v>
      </c>
      <c r="C2021" s="10" t="str">
        <f>_xlfn.LET(
    _xlpm.val, IF(Datadetails[[#This Row],[Activity]]="D02","C20",Datadetails[[#This Row],[Activity]]),
    IF(ISNUMBER(MATCH(_xlpm.val,{"D04","C30","c40","C20"},0)), _xlpm.val, "Other")
)</f>
        <v>C30</v>
      </c>
      <c r="D2021" s="10" t="str">
        <f>IFERROR(VLOOKUP(Datadetails[[#This Row],[Taskcode]],Dashboard!A:A,1,FALSE),"00 Err Missing")</f>
        <v>0003</v>
      </c>
      <c r="E2021" s="79">
        <v>45912</v>
      </c>
      <c r="F2021" s="80" t="s">
        <v>325</v>
      </c>
      <c r="G2021" s="60" t="s">
        <v>40</v>
      </c>
      <c r="H2021" s="80" t="s">
        <v>170</v>
      </c>
      <c r="I2021" s="80" t="s">
        <v>34</v>
      </c>
      <c r="J2021" s="80" t="s">
        <v>424</v>
      </c>
      <c r="K2021" s="80" t="s">
        <v>347</v>
      </c>
      <c r="L2021" s="80" t="s">
        <v>343</v>
      </c>
      <c r="M2021" s="81">
        <v>0.17</v>
      </c>
      <c r="N2021" s="82">
        <v>12.750000000000002</v>
      </c>
    </row>
    <row r="2022" spans="1:14" x14ac:dyDescent="0.25">
      <c r="A2022" s="10" t="str">
        <f>_xlfn.IFNA(
    IF(J2022=
        "PCB-0001",
        "CSS",
        IF(
            ISNUMBER(MATCH(_xlfn.TEXTBEFORE(J2022,"-"), {"CSS","CSN","PCB","PCF","BEC","CSD","PCM"}, 0)),
            _xlfn.TEXTBEFORE(J2022,"-"),
            "Other"
        )
    ),
"Add")</f>
        <v>PCB</v>
      </c>
      <c r="B2022" s="10" t="str">
        <f t="shared" si="32"/>
        <v>0111</v>
      </c>
      <c r="C2022" s="10" t="str">
        <f>_xlfn.LET(
    _xlpm.val, IF(Datadetails[[#This Row],[Activity]]="D02","C20",Datadetails[[#This Row],[Activity]]),
    IF(ISNUMBER(MATCH(_xlpm.val,{"D04","C30","c40","C20"},0)), _xlpm.val, "Other")
)</f>
        <v>C30</v>
      </c>
      <c r="D2022" s="10" t="str">
        <f>IFERROR(VLOOKUP(Datadetails[[#This Row],[Taskcode]],Dashboard!A:A,1,FALSE),"00 Err Missing")</f>
        <v>0111</v>
      </c>
      <c r="E2022" s="79">
        <v>45912</v>
      </c>
      <c r="F2022" s="80" t="s">
        <v>325</v>
      </c>
      <c r="G2022" s="60" t="s">
        <v>40</v>
      </c>
      <c r="H2022" s="80" t="s">
        <v>278</v>
      </c>
      <c r="I2022" s="80" t="s">
        <v>34</v>
      </c>
      <c r="J2022" s="80" t="s">
        <v>452</v>
      </c>
      <c r="K2022" s="80" t="s">
        <v>347</v>
      </c>
      <c r="L2022" s="80" t="s">
        <v>343</v>
      </c>
      <c r="M2022" s="81">
        <v>0.17</v>
      </c>
      <c r="N2022" s="82">
        <v>12.750000000000002</v>
      </c>
    </row>
    <row r="2023" spans="1:14" x14ac:dyDescent="0.25">
      <c r="A2023" s="10" t="str">
        <f>_xlfn.IFNA(
    IF(J2023=
        "PCB-0001",
        "CSS",
        IF(
            ISNUMBER(MATCH(_xlfn.TEXTBEFORE(J2023,"-"), {"CSS","CSN","PCB","PCF","BEC","CSD","PCM"}, 0)),
            _xlfn.TEXTBEFORE(J2023,"-"),
            "Other"
        )
    ),
"Add")</f>
        <v>PCB</v>
      </c>
      <c r="B2023" s="10" t="str">
        <f t="shared" si="32"/>
        <v>0106</v>
      </c>
      <c r="C2023" s="10" t="str">
        <f>_xlfn.LET(
    _xlpm.val, IF(Datadetails[[#This Row],[Activity]]="D02","C20",Datadetails[[#This Row],[Activity]]),
    IF(ISNUMBER(MATCH(_xlpm.val,{"D04","C30","c40","C20"},0)), _xlpm.val, "Other")
)</f>
        <v>C30</v>
      </c>
      <c r="D2023" s="10" t="str">
        <f>IFERROR(VLOOKUP(Datadetails[[#This Row],[Taskcode]],Dashboard!A:A,1,FALSE),"00 Err Missing")</f>
        <v>0106</v>
      </c>
      <c r="E2023" s="79">
        <v>45912</v>
      </c>
      <c r="F2023" s="80" t="s">
        <v>330</v>
      </c>
      <c r="G2023" s="60" t="s">
        <v>40</v>
      </c>
      <c r="H2023" s="80" t="s">
        <v>273</v>
      </c>
      <c r="I2023" s="80" t="s">
        <v>34</v>
      </c>
      <c r="J2023" s="80" t="s">
        <v>469</v>
      </c>
      <c r="K2023" s="80" t="s">
        <v>347</v>
      </c>
      <c r="L2023" s="80" t="s">
        <v>343</v>
      </c>
      <c r="M2023" s="81">
        <v>0.5</v>
      </c>
      <c r="N2023" s="82">
        <v>30</v>
      </c>
    </row>
    <row r="2024" spans="1:14" x14ac:dyDescent="0.25">
      <c r="A2024" s="10" t="str">
        <f>_xlfn.IFNA(
    IF(J2024=
        "PCB-0001",
        "CSS",
        IF(
            ISNUMBER(MATCH(_xlfn.TEXTBEFORE(J2024,"-"), {"CSS","CSN","PCB","PCF","BEC","CSD","PCM"}, 0)),
            _xlfn.TEXTBEFORE(J2024,"-"),
            "Other"
        )
    ),
"Add")</f>
        <v>BEC</v>
      </c>
      <c r="B2024" s="10" t="str">
        <f t="shared" si="32"/>
        <v>0001</v>
      </c>
      <c r="C2024" s="10" t="str">
        <f>_xlfn.LET(
    _xlpm.val, IF(Datadetails[[#This Row],[Activity]]="D02","C20",Datadetails[[#This Row],[Activity]]),
    IF(ISNUMBER(MATCH(_xlpm.val,{"D04","C30","c40","C20"},0)), _xlpm.val, "Other")
)</f>
        <v>D04</v>
      </c>
      <c r="D2024" s="10" t="str">
        <f>IFERROR(VLOOKUP(Datadetails[[#This Row],[Taskcode]],Dashboard!A:A,1,FALSE),"00 Err Missing")</f>
        <v>0001</v>
      </c>
      <c r="E2024" s="79">
        <v>45913</v>
      </c>
      <c r="F2024" s="80" t="s">
        <v>332</v>
      </c>
      <c r="G2024" s="60" t="s">
        <v>40</v>
      </c>
      <c r="H2024" s="80" t="s">
        <v>314</v>
      </c>
      <c r="I2024" s="80" t="s">
        <v>35</v>
      </c>
      <c r="J2024" s="80" t="s">
        <v>359</v>
      </c>
      <c r="K2024" s="80" t="s">
        <v>339</v>
      </c>
      <c r="L2024" s="80" t="s">
        <v>352</v>
      </c>
      <c r="M2024" s="81">
        <v>5</v>
      </c>
      <c r="N2024" s="82">
        <v>200</v>
      </c>
    </row>
    <row r="2025" spans="1:14" x14ac:dyDescent="0.25">
      <c r="A2025" s="10" t="str">
        <f>_xlfn.IFNA(
    IF(J2025=
        "PCB-0001",
        "CSS",
        IF(
            ISNUMBER(MATCH(_xlfn.TEXTBEFORE(J2025,"-"), {"CSS","CSN","PCB","PCF","BEC","CSD","PCM"}, 0)),
            _xlfn.TEXTBEFORE(J2025,"-"),
            "Other"
        )
    ),
"Add")</f>
        <v>PCB</v>
      </c>
      <c r="B2025" s="10" t="str">
        <f t="shared" si="32"/>
        <v>0039</v>
      </c>
      <c r="C2025" s="10" t="str">
        <f>_xlfn.LET(
    _xlpm.val, IF(Datadetails[[#This Row],[Activity]]="D02","C20",Datadetails[[#This Row],[Activity]]),
    IF(ISNUMBER(MATCH(_xlpm.val,{"D04","C30","c40","C20"},0)), _xlpm.val, "Other")
)</f>
        <v>C30</v>
      </c>
      <c r="D2025" s="10" t="str">
        <f>IFERROR(VLOOKUP(Datadetails[[#This Row],[Taskcode]],Dashboard!A:A,1,FALSE),"00 Err Missing")</f>
        <v>0039</v>
      </c>
      <c r="E2025" s="79">
        <v>45914</v>
      </c>
      <c r="F2025" s="80" t="s">
        <v>329</v>
      </c>
      <c r="G2025" s="60" t="s">
        <v>40</v>
      </c>
      <c r="H2025" s="80" t="s">
        <v>206</v>
      </c>
      <c r="I2025" s="80" t="s">
        <v>34</v>
      </c>
      <c r="J2025" s="80" t="s">
        <v>367</v>
      </c>
      <c r="K2025" s="80" t="s">
        <v>347</v>
      </c>
      <c r="L2025" s="80" t="s">
        <v>343</v>
      </c>
      <c r="M2025" s="81">
        <v>0.08</v>
      </c>
      <c r="N2025" s="82">
        <v>6</v>
      </c>
    </row>
    <row r="2026" spans="1:14" x14ac:dyDescent="0.25">
      <c r="A2026" s="10" t="str">
        <f>_xlfn.IFNA(
    IF(J2026=
        "PCB-0001",
        "CSS",
        IF(
            ISNUMBER(MATCH(_xlfn.TEXTBEFORE(J2026,"-"), {"CSS","CSN","PCB","PCF","BEC","CSD","PCM"}, 0)),
            _xlfn.TEXTBEFORE(J2026,"-"),
            "Other"
        )
    ),
"Add")</f>
        <v>CSN</v>
      </c>
      <c r="B2026" s="10" t="str">
        <f t="shared" si="32"/>
        <v>0001</v>
      </c>
      <c r="C2026" s="10" t="str">
        <f>_xlfn.LET(
    _xlpm.val, IF(Datadetails[[#This Row],[Activity]]="D02","C20",Datadetails[[#This Row],[Activity]]),
    IF(ISNUMBER(MATCH(_xlpm.val,{"D04","C30","c40","C20"},0)), _xlpm.val, "Other")
)</f>
        <v>D04</v>
      </c>
      <c r="D2026" s="10" t="str">
        <f>IFERROR(VLOOKUP(Datadetails[[#This Row],[Taskcode]],Dashboard!A:A,1,FALSE),"00 Err Missing")</f>
        <v>0001</v>
      </c>
      <c r="E2026" s="79">
        <v>45915</v>
      </c>
      <c r="F2026" s="80" t="s">
        <v>329</v>
      </c>
      <c r="G2026" s="60" t="s">
        <v>40</v>
      </c>
      <c r="H2026" s="80" t="s">
        <v>316</v>
      </c>
      <c r="I2026" s="80" t="s">
        <v>35</v>
      </c>
      <c r="J2026" s="80" t="s">
        <v>338</v>
      </c>
      <c r="K2026" s="80" t="s">
        <v>337</v>
      </c>
      <c r="L2026" s="80" t="s">
        <v>352</v>
      </c>
      <c r="M2026" s="81">
        <v>1.5</v>
      </c>
      <c r="N2026" s="82">
        <v>112.5</v>
      </c>
    </row>
    <row r="2027" spans="1:14" x14ac:dyDescent="0.25">
      <c r="A2027" s="10" t="str">
        <f>_xlfn.IFNA(
    IF(J2027=
        "PCB-0001",
        "CSS",
        IF(
            ISNUMBER(MATCH(_xlfn.TEXTBEFORE(J2027,"-"), {"CSS","CSN","PCB","PCF","BEC","CSD","PCM"}, 0)),
            _xlfn.TEXTBEFORE(J2027,"-"),
            "Other"
        )
    ),
"Add")</f>
        <v>PCM</v>
      </c>
      <c r="B2027" s="10" t="str">
        <f t="shared" si="32"/>
        <v>0002</v>
      </c>
      <c r="C2027" s="10" t="str">
        <f>_xlfn.LET(
    _xlpm.val, IF(Datadetails[[#This Row],[Activity]]="D02","C20",Datadetails[[#This Row],[Activity]]),
    IF(ISNUMBER(MATCH(_xlpm.val,{"D04","C30","c40","C20"},0)), _xlpm.val, "Other")
)</f>
        <v>C20</v>
      </c>
      <c r="D2027" s="10" t="str">
        <f>IFERROR(VLOOKUP(Datadetails[[#This Row],[Taskcode]],Dashboard!A:A,1,FALSE),"00 Err Missing")</f>
        <v>0002</v>
      </c>
      <c r="E2027" s="79">
        <v>45915</v>
      </c>
      <c r="F2027" s="80" t="s">
        <v>323</v>
      </c>
      <c r="G2027" s="60" t="s">
        <v>40</v>
      </c>
      <c r="H2027" s="80" t="s">
        <v>169</v>
      </c>
      <c r="I2027" s="80" t="s">
        <v>36</v>
      </c>
      <c r="J2027" s="80" t="s">
        <v>433</v>
      </c>
      <c r="K2027" s="80" t="s">
        <v>346</v>
      </c>
      <c r="L2027" s="80" t="s">
        <v>342</v>
      </c>
      <c r="M2027" s="81">
        <v>0.5</v>
      </c>
      <c r="N2027" s="82">
        <v>30</v>
      </c>
    </row>
    <row r="2028" spans="1:14" x14ac:dyDescent="0.25">
      <c r="A2028" s="10" t="str">
        <f>_xlfn.IFNA(
    IF(J2028=
        "PCB-0001",
        "CSS",
        IF(
            ISNUMBER(MATCH(_xlfn.TEXTBEFORE(J2028,"-"), {"CSS","CSN","PCB","PCF","BEC","CSD","PCM"}, 0)),
            _xlfn.TEXTBEFORE(J2028,"-"),
            "Other"
        )
    ),
"Add")</f>
        <v>CSD</v>
      </c>
      <c r="B2028" s="10" t="str">
        <f t="shared" si="32"/>
        <v>0001</v>
      </c>
      <c r="C2028" s="10" t="str">
        <f>_xlfn.LET(
    _xlpm.val, IF(Datadetails[[#This Row],[Activity]]="D02","C20",Datadetails[[#This Row],[Activity]]),
    IF(ISNUMBER(MATCH(_xlpm.val,{"D04","C30","c40","C20"},0)), _xlpm.val, "Other")
)</f>
        <v>D04</v>
      </c>
      <c r="D2028" s="10" t="str">
        <f>IFERROR(VLOOKUP(Datadetails[[#This Row],[Taskcode]],Dashboard!A:A,1,FALSE),"00 Err Missing")</f>
        <v>0001</v>
      </c>
      <c r="E2028" s="79">
        <v>45915</v>
      </c>
      <c r="F2028" s="80" t="s">
        <v>333</v>
      </c>
      <c r="G2028" s="60" t="s">
        <v>40</v>
      </c>
      <c r="H2028" s="80" t="s">
        <v>320</v>
      </c>
      <c r="I2028" s="80" t="s">
        <v>35</v>
      </c>
      <c r="J2028" s="80" t="s">
        <v>322</v>
      </c>
      <c r="K2028" s="80" t="s">
        <v>319</v>
      </c>
      <c r="L2028" s="80" t="s">
        <v>352</v>
      </c>
      <c r="M2028" s="81">
        <v>3.78</v>
      </c>
      <c r="N2028" s="82">
        <v>120.96</v>
      </c>
    </row>
    <row r="2029" spans="1:14" x14ac:dyDescent="0.25">
      <c r="A2029" s="10" t="str">
        <f>_xlfn.IFNA(
    IF(J2029=
        "PCB-0001",
        "CSS",
        IF(
            ISNUMBER(MATCH(_xlfn.TEXTBEFORE(J2029,"-"), {"CSS","CSN","PCB","PCF","BEC","CSD","PCM"}, 0)),
            _xlfn.TEXTBEFORE(J2029,"-"),
            "Other"
        )
    ),
"Add")</f>
        <v>CSD</v>
      </c>
      <c r="B2029" s="10" t="str">
        <f t="shared" si="32"/>
        <v>0001</v>
      </c>
      <c r="C2029" s="10" t="str">
        <f>_xlfn.LET(
    _xlpm.val, IF(Datadetails[[#This Row],[Activity]]="D02","C20",Datadetails[[#This Row],[Activity]]),
    IF(ISNUMBER(MATCH(_xlpm.val,{"D04","C30","c40","C20"},0)), _xlpm.val, "Other")
)</f>
        <v>D04</v>
      </c>
      <c r="D2029" s="10" t="str">
        <f>IFERROR(VLOOKUP(Datadetails[[#This Row],[Taskcode]],Dashboard!A:A,1,FALSE),"00 Err Missing")</f>
        <v>0001</v>
      </c>
      <c r="E2029" s="79">
        <v>45915</v>
      </c>
      <c r="F2029" s="80" t="s">
        <v>327</v>
      </c>
      <c r="G2029" s="60" t="s">
        <v>40</v>
      </c>
      <c r="H2029" s="80" t="s">
        <v>320</v>
      </c>
      <c r="I2029" s="80" t="s">
        <v>35</v>
      </c>
      <c r="J2029" s="80" t="s">
        <v>322</v>
      </c>
      <c r="K2029" s="80" t="s">
        <v>319</v>
      </c>
      <c r="L2029" s="80" t="s">
        <v>352</v>
      </c>
      <c r="M2029" s="81">
        <v>7.5</v>
      </c>
      <c r="N2029" s="82">
        <v>240</v>
      </c>
    </row>
    <row r="2030" spans="1:14" x14ac:dyDescent="0.25">
      <c r="A2030" s="10" t="str">
        <f>_xlfn.IFNA(
    IF(J2030=
        "PCB-0001",
        "CSS",
        IF(
            ISNUMBER(MATCH(_xlfn.TEXTBEFORE(J2030,"-"), {"CSS","CSN","PCB","PCF","BEC","CSD","PCM"}, 0)),
            _xlfn.TEXTBEFORE(J2030,"-"),
            "Other"
        )
    ),
"Add")</f>
        <v>PCM</v>
      </c>
      <c r="B2030" s="10" t="str">
        <f t="shared" si="32"/>
        <v>0065</v>
      </c>
      <c r="C2030" s="10" t="str">
        <f>_xlfn.LET(
    _xlpm.val, IF(Datadetails[[#This Row],[Activity]]="D02","C20",Datadetails[[#This Row],[Activity]]),
    IF(ISNUMBER(MATCH(_xlpm.val,{"D04","C30","c40","C20"},0)), _xlpm.val, "Other")
)</f>
        <v>C30</v>
      </c>
      <c r="D2030" s="10" t="str">
        <f>IFERROR(VLOOKUP(Datadetails[[#This Row],[Taskcode]],Dashboard!A:A,1,FALSE),"00 Err Missing")</f>
        <v>0065</v>
      </c>
      <c r="E2030" s="79">
        <v>45915</v>
      </c>
      <c r="F2030" s="80" t="s">
        <v>323</v>
      </c>
      <c r="G2030" s="60" t="s">
        <v>40</v>
      </c>
      <c r="H2030" s="80" t="s">
        <v>232</v>
      </c>
      <c r="I2030" s="80" t="s">
        <v>34</v>
      </c>
      <c r="J2030" s="80" t="s">
        <v>393</v>
      </c>
      <c r="K2030" s="80" t="s">
        <v>346</v>
      </c>
      <c r="L2030" s="80" t="s">
        <v>343</v>
      </c>
      <c r="M2030" s="81">
        <v>0.25</v>
      </c>
      <c r="N2030" s="82">
        <v>15</v>
      </c>
    </row>
    <row r="2031" spans="1:14" x14ac:dyDescent="0.25">
      <c r="A2031" s="10" t="str">
        <f>_xlfn.IFNA(
    IF(J2031=
        "PCB-0001",
        "CSS",
        IF(
            ISNUMBER(MATCH(_xlfn.TEXTBEFORE(J2031,"-"), {"CSS","CSN","PCB","PCF","BEC","CSD","PCM"}, 0)),
            _xlfn.TEXTBEFORE(J2031,"-"),
            "Other"
        )
    ),
"Add")</f>
        <v>PCB</v>
      </c>
      <c r="B2031" s="10" t="str">
        <f t="shared" si="32"/>
        <v>0104</v>
      </c>
      <c r="C2031" s="10" t="str">
        <f>_xlfn.LET(
    _xlpm.val, IF(Datadetails[[#This Row],[Activity]]="D02","C20",Datadetails[[#This Row],[Activity]]),
    IF(ISNUMBER(MATCH(_xlpm.val,{"D04","C30","c40","C20"},0)), _xlpm.val, "Other")
)</f>
        <v>C20</v>
      </c>
      <c r="D2031" s="10" t="str">
        <f>IFERROR(VLOOKUP(Datadetails[[#This Row],[Taskcode]],Dashboard!A:A,1,FALSE),"00 Err Missing")</f>
        <v>0104</v>
      </c>
      <c r="E2031" s="79">
        <v>45915</v>
      </c>
      <c r="F2031" s="80" t="s">
        <v>325</v>
      </c>
      <c r="G2031" s="60" t="s">
        <v>40</v>
      </c>
      <c r="H2031" s="80" t="s">
        <v>271</v>
      </c>
      <c r="I2031" s="80" t="s">
        <v>36</v>
      </c>
      <c r="J2031" s="80" t="s">
        <v>363</v>
      </c>
      <c r="K2031" s="80" t="s">
        <v>347</v>
      </c>
      <c r="L2031" s="80" t="s">
        <v>342</v>
      </c>
      <c r="M2031" s="81">
        <v>0.42</v>
      </c>
      <c r="N2031" s="82">
        <v>31.5</v>
      </c>
    </row>
    <row r="2032" spans="1:14" x14ac:dyDescent="0.25">
      <c r="A2032" s="10" t="str">
        <f>_xlfn.IFNA(
    IF(J2032=
        "PCB-0001",
        "CSS",
        IF(
            ISNUMBER(MATCH(_xlfn.TEXTBEFORE(J2032,"-"), {"CSS","CSN","PCB","PCF","BEC","CSD","PCM"}, 0)),
            _xlfn.TEXTBEFORE(J2032,"-"),
            "Other"
        )
    ),
"Add")</f>
        <v>PCB</v>
      </c>
      <c r="B2032" s="10" t="str">
        <f t="shared" si="32"/>
        <v>0031</v>
      </c>
      <c r="C2032" s="10" t="str">
        <f>_xlfn.LET(
    _xlpm.val, IF(Datadetails[[#This Row],[Activity]]="D02","C20",Datadetails[[#This Row],[Activity]]),
    IF(ISNUMBER(MATCH(_xlpm.val,{"D04","C30","c40","C20"},0)), _xlpm.val, "Other")
)</f>
        <v>C20</v>
      </c>
      <c r="D2032" s="10" t="str">
        <f>IFERROR(VLOOKUP(Datadetails[[#This Row],[Taskcode]],Dashboard!A:A,1,FALSE),"00 Err Missing")</f>
        <v>0031</v>
      </c>
      <c r="E2032" s="79">
        <v>45915</v>
      </c>
      <c r="F2032" s="80" t="s">
        <v>325</v>
      </c>
      <c r="G2032" s="60" t="s">
        <v>40</v>
      </c>
      <c r="H2032" s="80" t="s">
        <v>198</v>
      </c>
      <c r="I2032" s="80" t="s">
        <v>36</v>
      </c>
      <c r="J2032" s="80" t="s">
        <v>413</v>
      </c>
      <c r="K2032" s="80" t="s">
        <v>347</v>
      </c>
      <c r="L2032" s="80" t="s">
        <v>342</v>
      </c>
      <c r="M2032" s="81">
        <v>0.57999999999999996</v>
      </c>
      <c r="N2032" s="82">
        <v>43.5</v>
      </c>
    </row>
    <row r="2033" spans="1:14" x14ac:dyDescent="0.25">
      <c r="A2033" s="10" t="str">
        <f>_xlfn.IFNA(
    IF(J2033=
        "PCB-0001",
        "CSS",
        IF(
            ISNUMBER(MATCH(_xlfn.TEXTBEFORE(J2033,"-"), {"CSS","CSN","PCB","PCF","BEC","CSD","PCM"}, 0)),
            _xlfn.TEXTBEFORE(J2033,"-"),
            "Other"
        )
    ),
"Add")</f>
        <v>PCB</v>
      </c>
      <c r="B2033" s="10" t="str">
        <f t="shared" si="32"/>
        <v>0028</v>
      </c>
      <c r="C2033" s="10" t="str">
        <f>_xlfn.LET(
    _xlpm.val, IF(Datadetails[[#This Row],[Activity]]="D02","C20",Datadetails[[#This Row],[Activity]]),
    IF(ISNUMBER(MATCH(_xlpm.val,{"D04","C30","c40","C20"},0)), _xlpm.val, "Other")
)</f>
        <v>C30</v>
      </c>
      <c r="D2033" s="10" t="str">
        <f>IFERROR(VLOOKUP(Datadetails[[#This Row],[Taskcode]],Dashboard!A:A,1,FALSE),"00 Err Missing")</f>
        <v>0028</v>
      </c>
      <c r="E2033" s="79">
        <v>45915</v>
      </c>
      <c r="F2033" s="80" t="s">
        <v>330</v>
      </c>
      <c r="G2033" s="60" t="s">
        <v>40</v>
      </c>
      <c r="H2033" s="80" t="s">
        <v>195</v>
      </c>
      <c r="I2033" s="80" t="s">
        <v>34</v>
      </c>
      <c r="J2033" s="80" t="s">
        <v>449</v>
      </c>
      <c r="K2033" s="80" t="s">
        <v>347</v>
      </c>
      <c r="L2033" s="80" t="s">
        <v>343</v>
      </c>
      <c r="M2033" s="81">
        <v>0.25</v>
      </c>
      <c r="N2033" s="82">
        <v>15</v>
      </c>
    </row>
    <row r="2034" spans="1:14" x14ac:dyDescent="0.25">
      <c r="A2034" s="10" t="str">
        <f>_xlfn.IFNA(
    IF(J2034=
        "PCB-0001",
        "CSS",
        IF(
            ISNUMBER(MATCH(_xlfn.TEXTBEFORE(J2034,"-"), {"CSS","CSN","PCB","PCF","BEC","CSD","PCM"}, 0)),
            _xlfn.TEXTBEFORE(J2034,"-"),
            "Other"
        )
    ),
"Add")</f>
        <v>PCB</v>
      </c>
      <c r="B2034" s="10" t="str">
        <f t="shared" si="32"/>
        <v>0031</v>
      </c>
      <c r="C2034" s="10" t="str">
        <f>_xlfn.LET(
    _xlpm.val, IF(Datadetails[[#This Row],[Activity]]="D02","C20",Datadetails[[#This Row],[Activity]]),
    IF(ISNUMBER(MATCH(_xlpm.val,{"D04","C30","c40","C20"},0)), _xlpm.val, "Other")
)</f>
        <v>C30</v>
      </c>
      <c r="D2034" s="10" t="str">
        <f>IFERROR(VLOOKUP(Datadetails[[#This Row],[Taskcode]],Dashboard!A:A,1,FALSE),"00 Err Missing")</f>
        <v>0031</v>
      </c>
      <c r="E2034" s="79">
        <v>45915</v>
      </c>
      <c r="F2034" s="80" t="s">
        <v>325</v>
      </c>
      <c r="G2034" s="60" t="s">
        <v>40</v>
      </c>
      <c r="H2034" s="80" t="s">
        <v>198</v>
      </c>
      <c r="I2034" s="80" t="s">
        <v>34</v>
      </c>
      <c r="J2034" s="80" t="s">
        <v>413</v>
      </c>
      <c r="K2034" s="80" t="s">
        <v>347</v>
      </c>
      <c r="L2034" s="80" t="s">
        <v>343</v>
      </c>
      <c r="M2034" s="81">
        <v>0.75</v>
      </c>
      <c r="N2034" s="82">
        <v>56.25</v>
      </c>
    </row>
    <row r="2035" spans="1:14" x14ac:dyDescent="0.25">
      <c r="A2035" s="10" t="str">
        <f>_xlfn.IFNA(
    IF(J2035=
        "PCB-0001",
        "CSS",
        IF(
            ISNUMBER(MATCH(_xlfn.TEXTBEFORE(J2035,"-"), {"CSS","CSN","PCB","PCF","BEC","CSD","PCM"}, 0)),
            _xlfn.TEXTBEFORE(J2035,"-"),
            "Other"
        )
    ),
"Add")</f>
        <v>PCB</v>
      </c>
      <c r="B2035" s="10" t="str">
        <f t="shared" si="32"/>
        <v>0016</v>
      </c>
      <c r="C2035" s="10" t="str">
        <f>_xlfn.LET(
    _xlpm.val, IF(Datadetails[[#This Row],[Activity]]="D02","C20",Datadetails[[#This Row],[Activity]]),
    IF(ISNUMBER(MATCH(_xlpm.val,{"D04","C30","c40","C20"},0)), _xlpm.val, "Other")
)</f>
        <v>C30</v>
      </c>
      <c r="D2035" s="10" t="str">
        <f>IFERROR(VLOOKUP(Datadetails[[#This Row],[Taskcode]],Dashboard!A:A,1,FALSE),"00 Err Missing")</f>
        <v>0016</v>
      </c>
      <c r="E2035" s="79">
        <v>45915</v>
      </c>
      <c r="F2035" s="80" t="s">
        <v>329</v>
      </c>
      <c r="G2035" s="60" t="s">
        <v>40</v>
      </c>
      <c r="H2035" s="80" t="s">
        <v>183</v>
      </c>
      <c r="I2035" s="80" t="s">
        <v>34</v>
      </c>
      <c r="J2035" s="80" t="s">
        <v>368</v>
      </c>
      <c r="K2035" s="80" t="s">
        <v>347</v>
      </c>
      <c r="L2035" s="80" t="s">
        <v>343</v>
      </c>
      <c r="M2035" s="81">
        <v>0.17</v>
      </c>
      <c r="N2035" s="82">
        <v>12.750000000000002</v>
      </c>
    </row>
    <row r="2036" spans="1:14" x14ac:dyDescent="0.25">
      <c r="A2036" s="10" t="str">
        <f>_xlfn.IFNA(
    IF(J2036=
        "PCB-0001",
        "CSS",
        IF(
            ISNUMBER(MATCH(_xlfn.TEXTBEFORE(J2036,"-"), {"CSS","CSN","PCB","PCF","BEC","CSD","PCM"}, 0)),
            _xlfn.TEXTBEFORE(J2036,"-"),
            "Other"
        )
    ),
"Add")</f>
        <v>PCB</v>
      </c>
      <c r="B2036" s="10" t="str">
        <f t="shared" si="32"/>
        <v>0039</v>
      </c>
      <c r="C2036" s="10" t="str">
        <f>_xlfn.LET(
    _xlpm.val, IF(Datadetails[[#This Row],[Activity]]="D02","C20",Datadetails[[#This Row],[Activity]]),
    IF(ISNUMBER(MATCH(_xlpm.val,{"D04","C30","c40","C20"},0)), _xlpm.val, "Other")
)</f>
        <v>C30</v>
      </c>
      <c r="D2036" s="10" t="str">
        <f>IFERROR(VLOOKUP(Datadetails[[#This Row],[Taskcode]],Dashboard!A:A,1,FALSE),"00 Err Missing")</f>
        <v>0039</v>
      </c>
      <c r="E2036" s="79">
        <v>45915</v>
      </c>
      <c r="F2036" s="80" t="s">
        <v>329</v>
      </c>
      <c r="G2036" s="60" t="s">
        <v>40</v>
      </c>
      <c r="H2036" s="80" t="s">
        <v>206</v>
      </c>
      <c r="I2036" s="80" t="s">
        <v>34</v>
      </c>
      <c r="J2036" s="80" t="s">
        <v>367</v>
      </c>
      <c r="K2036" s="80" t="s">
        <v>347</v>
      </c>
      <c r="L2036" s="80" t="s">
        <v>343</v>
      </c>
      <c r="M2036" s="81">
        <v>0.5</v>
      </c>
      <c r="N2036" s="82">
        <v>37.5</v>
      </c>
    </row>
    <row r="2037" spans="1:14" x14ac:dyDescent="0.25">
      <c r="A2037" s="10" t="str">
        <f>_xlfn.IFNA(
    IF(J2037=
        "PCB-0001",
        "CSS",
        IF(
            ISNUMBER(MATCH(_xlfn.TEXTBEFORE(J2037,"-"), {"CSS","CSN","PCB","PCF","BEC","CSD","PCM"}, 0)),
            _xlfn.TEXTBEFORE(J2037,"-"),
            "Other"
        )
    ),
"Add")</f>
        <v>PCB</v>
      </c>
      <c r="B2037" s="10" t="str">
        <f t="shared" si="32"/>
        <v>0135</v>
      </c>
      <c r="C2037" s="10" t="str">
        <f>_xlfn.LET(
    _xlpm.val, IF(Datadetails[[#This Row],[Activity]]="D02","C20",Datadetails[[#This Row],[Activity]]),
    IF(ISNUMBER(MATCH(_xlpm.val,{"D04","C30","c40","C20"},0)), _xlpm.val, "Other")
)</f>
        <v>C30</v>
      </c>
      <c r="D2037" s="10" t="str">
        <f>IFERROR(VLOOKUP(Datadetails[[#This Row],[Taskcode]],Dashboard!A:A,1,FALSE),"00 Err Missing")</f>
        <v>0135</v>
      </c>
      <c r="E2037" s="79">
        <v>45915</v>
      </c>
      <c r="F2037" s="80" t="s">
        <v>329</v>
      </c>
      <c r="G2037" s="60" t="s">
        <v>40</v>
      </c>
      <c r="H2037" s="80" t="s">
        <v>302</v>
      </c>
      <c r="I2037" s="80" t="s">
        <v>34</v>
      </c>
      <c r="J2037" s="80" t="s">
        <v>398</v>
      </c>
      <c r="K2037" s="80" t="s">
        <v>347</v>
      </c>
      <c r="L2037" s="80" t="s">
        <v>343</v>
      </c>
      <c r="M2037" s="81">
        <v>0.5</v>
      </c>
      <c r="N2037" s="82">
        <v>37.5</v>
      </c>
    </row>
    <row r="2038" spans="1:14" x14ac:dyDescent="0.25">
      <c r="A2038" s="10" t="str">
        <f>_xlfn.IFNA(
    IF(J2038=
        "PCB-0001",
        "CSS",
        IF(
            ISNUMBER(MATCH(_xlfn.TEXTBEFORE(J2038,"-"), {"CSS","CSN","PCB","PCF","BEC","CSD","PCM"}, 0)),
            _xlfn.TEXTBEFORE(J2038,"-"),
            "Other"
        )
    ),
"Add")</f>
        <v>PCB</v>
      </c>
      <c r="B2038" s="10" t="str">
        <f t="shared" si="32"/>
        <v>0134</v>
      </c>
      <c r="C2038" s="10" t="str">
        <f>_xlfn.LET(
    _xlpm.val, IF(Datadetails[[#This Row],[Activity]]="D02","C20",Datadetails[[#This Row],[Activity]]),
    IF(ISNUMBER(MATCH(_xlpm.val,{"D04","C30","c40","C20"},0)), _xlpm.val, "Other")
)</f>
        <v>C30</v>
      </c>
      <c r="D2038" s="10" t="str">
        <f>IFERROR(VLOOKUP(Datadetails[[#This Row],[Taskcode]],Dashboard!A:A,1,FALSE),"00 Err Missing")</f>
        <v>0134</v>
      </c>
      <c r="E2038" s="79">
        <v>45915</v>
      </c>
      <c r="F2038" s="80" t="s">
        <v>329</v>
      </c>
      <c r="G2038" s="60" t="s">
        <v>40</v>
      </c>
      <c r="H2038" s="80" t="s">
        <v>301</v>
      </c>
      <c r="I2038" s="80" t="s">
        <v>34</v>
      </c>
      <c r="J2038" s="80" t="s">
        <v>371</v>
      </c>
      <c r="K2038" s="80" t="s">
        <v>347</v>
      </c>
      <c r="L2038" s="80" t="s">
        <v>343</v>
      </c>
      <c r="M2038" s="81">
        <v>0.5</v>
      </c>
      <c r="N2038" s="82">
        <v>37.5</v>
      </c>
    </row>
    <row r="2039" spans="1:14" x14ac:dyDescent="0.25">
      <c r="A2039" s="10" t="str">
        <f>_xlfn.IFNA(
    IF(J2039=
        "PCB-0001",
        "CSS",
        IF(
            ISNUMBER(MATCH(_xlfn.TEXTBEFORE(J2039,"-"), {"CSS","CSN","PCB","PCF","BEC","CSD","PCM"}, 0)),
            _xlfn.TEXTBEFORE(J2039,"-"),
            "Other"
        )
    ),
"Add")</f>
        <v>PCB</v>
      </c>
      <c r="B2039" s="10" t="str">
        <f t="shared" si="32"/>
        <v>0062</v>
      </c>
      <c r="C2039" s="10" t="str">
        <f>_xlfn.LET(
    _xlpm.val, IF(Datadetails[[#This Row],[Activity]]="D02","C20",Datadetails[[#This Row],[Activity]]),
    IF(ISNUMBER(MATCH(_xlpm.val,{"D04","C30","c40","C20"},0)), _xlpm.val, "Other")
)</f>
        <v>C30</v>
      </c>
      <c r="D2039" s="10" t="str">
        <f>IFERROR(VLOOKUP(Datadetails[[#This Row],[Taskcode]],Dashboard!A:A,1,FALSE),"00 Err Missing")</f>
        <v>0062</v>
      </c>
      <c r="E2039" s="79">
        <v>45915</v>
      </c>
      <c r="F2039" s="80" t="s">
        <v>329</v>
      </c>
      <c r="G2039" s="60" t="s">
        <v>40</v>
      </c>
      <c r="H2039" s="80" t="s">
        <v>229</v>
      </c>
      <c r="I2039" s="80" t="s">
        <v>34</v>
      </c>
      <c r="J2039" s="80" t="s">
        <v>373</v>
      </c>
      <c r="K2039" s="80" t="s">
        <v>347</v>
      </c>
      <c r="L2039" s="80" t="s">
        <v>343</v>
      </c>
      <c r="M2039" s="81">
        <v>0.17</v>
      </c>
      <c r="N2039" s="82">
        <v>12.750000000000002</v>
      </c>
    </row>
    <row r="2040" spans="1:14" x14ac:dyDescent="0.25">
      <c r="A2040" s="10" t="str">
        <f>_xlfn.IFNA(
    IF(J2040=
        "PCB-0001",
        "CSS",
        IF(
            ISNUMBER(MATCH(_xlfn.TEXTBEFORE(J2040,"-"), {"CSS","CSN","PCB","PCF","BEC","CSD","PCM"}, 0)),
            _xlfn.TEXTBEFORE(J2040,"-"),
            "Other"
        )
    ),
"Add")</f>
        <v>PCB</v>
      </c>
      <c r="B2040" s="10" t="str">
        <f t="shared" si="32"/>
        <v>0059</v>
      </c>
      <c r="C2040" s="10" t="str">
        <f>_xlfn.LET(
    _xlpm.val, IF(Datadetails[[#This Row],[Activity]]="D02","C20",Datadetails[[#This Row],[Activity]]),
    IF(ISNUMBER(MATCH(_xlpm.val,{"D04","C30","c40","C20"},0)), _xlpm.val, "Other")
)</f>
        <v>C30</v>
      </c>
      <c r="D2040" s="10" t="str">
        <f>IFERROR(VLOOKUP(Datadetails[[#This Row],[Taskcode]],Dashboard!A:A,1,FALSE),"00 Err Missing")</f>
        <v>0059</v>
      </c>
      <c r="E2040" s="79">
        <v>45915</v>
      </c>
      <c r="F2040" s="80" t="s">
        <v>325</v>
      </c>
      <c r="G2040" s="60" t="s">
        <v>40</v>
      </c>
      <c r="H2040" s="80" t="s">
        <v>226</v>
      </c>
      <c r="I2040" s="80" t="s">
        <v>34</v>
      </c>
      <c r="J2040" s="80" t="s">
        <v>401</v>
      </c>
      <c r="K2040" s="80" t="s">
        <v>347</v>
      </c>
      <c r="L2040" s="80" t="s">
        <v>343</v>
      </c>
      <c r="M2040" s="81">
        <v>0.75</v>
      </c>
      <c r="N2040" s="82">
        <v>56.25</v>
      </c>
    </row>
    <row r="2041" spans="1:14" x14ac:dyDescent="0.25">
      <c r="A2041" s="10" t="str">
        <f>_xlfn.IFNA(
    IF(J2041=
        "PCB-0001",
        "CSS",
        IF(
            ISNUMBER(MATCH(_xlfn.TEXTBEFORE(J2041,"-"), {"CSS","CSN","PCB","PCF","BEC","CSD","PCM"}, 0)),
            _xlfn.TEXTBEFORE(J2041,"-"),
            "Other"
        )
    ),
"Add")</f>
        <v>PCB</v>
      </c>
      <c r="B2041" s="10" t="str">
        <f t="shared" si="32"/>
        <v>0136</v>
      </c>
      <c r="C2041" s="10" t="str">
        <f>_xlfn.LET(
    _xlpm.val, IF(Datadetails[[#This Row],[Activity]]="D02","C20",Datadetails[[#This Row],[Activity]]),
    IF(ISNUMBER(MATCH(_xlpm.val,{"D04","C30","c40","C20"},0)), _xlpm.val, "Other")
)</f>
        <v>C30</v>
      </c>
      <c r="D2041" s="10" t="str">
        <f>IFERROR(VLOOKUP(Datadetails[[#This Row],[Taskcode]],Dashboard!A:A,1,FALSE),"00 Err Missing")</f>
        <v>0136</v>
      </c>
      <c r="E2041" s="79">
        <v>45915</v>
      </c>
      <c r="F2041" s="80" t="s">
        <v>329</v>
      </c>
      <c r="G2041" s="60" t="s">
        <v>40</v>
      </c>
      <c r="H2041" s="80" t="s">
        <v>303</v>
      </c>
      <c r="I2041" s="80" t="s">
        <v>34</v>
      </c>
      <c r="J2041" s="80" t="s">
        <v>400</v>
      </c>
      <c r="K2041" s="80" t="s">
        <v>347</v>
      </c>
      <c r="L2041" s="80" t="s">
        <v>343</v>
      </c>
      <c r="M2041" s="81">
        <v>0.5</v>
      </c>
      <c r="N2041" s="82">
        <v>37.5</v>
      </c>
    </row>
    <row r="2042" spans="1:14" x14ac:dyDescent="0.25">
      <c r="A2042" s="10" t="str">
        <f>_xlfn.IFNA(
    IF(J2042=
        "PCB-0001",
        "CSS",
        IF(
            ISNUMBER(MATCH(_xlfn.TEXTBEFORE(J2042,"-"), {"CSS","CSN","PCB","PCF","BEC","CSD","PCM"}, 0)),
            _xlfn.TEXTBEFORE(J2042,"-"),
            "Other"
        )
    ),
"Add")</f>
        <v>PCB</v>
      </c>
      <c r="B2042" s="10" t="str">
        <f t="shared" si="32"/>
        <v>0071</v>
      </c>
      <c r="C2042" s="10" t="str">
        <f>_xlfn.LET(
    _xlpm.val, IF(Datadetails[[#This Row],[Activity]]="D02","C20",Datadetails[[#This Row],[Activity]]),
    IF(ISNUMBER(MATCH(_xlpm.val,{"D04","C30","c40","C20"},0)), _xlpm.val, "Other")
)</f>
        <v>C30</v>
      </c>
      <c r="D2042" s="10" t="str">
        <f>IFERROR(VLOOKUP(Datadetails[[#This Row],[Taskcode]],Dashboard!A:A,1,FALSE),"00 Err Missing")</f>
        <v>0071</v>
      </c>
      <c r="E2042" s="79">
        <v>45915</v>
      </c>
      <c r="F2042" s="80" t="s">
        <v>329</v>
      </c>
      <c r="G2042" s="60" t="s">
        <v>40</v>
      </c>
      <c r="H2042" s="80" t="s">
        <v>238</v>
      </c>
      <c r="I2042" s="80" t="s">
        <v>34</v>
      </c>
      <c r="J2042" s="80" t="s">
        <v>374</v>
      </c>
      <c r="K2042" s="80" t="s">
        <v>347</v>
      </c>
      <c r="L2042" s="80" t="s">
        <v>343</v>
      </c>
      <c r="M2042" s="81">
        <v>0.08</v>
      </c>
      <c r="N2042" s="82">
        <v>6</v>
      </c>
    </row>
    <row r="2043" spans="1:14" x14ac:dyDescent="0.25">
      <c r="A2043" s="10" t="str">
        <f>_xlfn.IFNA(
    IF(J2043=
        "PCB-0001",
        "CSS",
        IF(
            ISNUMBER(MATCH(_xlfn.TEXTBEFORE(J2043,"-"), {"CSS","CSN","PCB","PCF","BEC","CSD","PCM"}, 0)),
            _xlfn.TEXTBEFORE(J2043,"-"),
            "Other"
        )
    ),
"Add")</f>
        <v>PCB</v>
      </c>
      <c r="B2043" s="10" t="str">
        <f t="shared" si="32"/>
        <v>0123</v>
      </c>
      <c r="C2043" s="10" t="str">
        <f>_xlfn.LET(
    _xlpm.val, IF(Datadetails[[#This Row],[Activity]]="D02","C20",Datadetails[[#This Row],[Activity]]),
    IF(ISNUMBER(MATCH(_xlpm.val,{"D04","C30","c40","C20"},0)), _xlpm.val, "Other")
)</f>
        <v>C30</v>
      </c>
      <c r="D2043" s="10" t="str">
        <f>IFERROR(VLOOKUP(Datadetails[[#This Row],[Taskcode]],Dashboard!A:A,1,FALSE),"00 Err Missing")</f>
        <v>0123</v>
      </c>
      <c r="E2043" s="79">
        <v>45915</v>
      </c>
      <c r="F2043" s="80" t="s">
        <v>325</v>
      </c>
      <c r="G2043" s="60" t="s">
        <v>40</v>
      </c>
      <c r="H2043" s="80" t="s">
        <v>290</v>
      </c>
      <c r="I2043" s="80" t="s">
        <v>34</v>
      </c>
      <c r="J2043" s="80" t="s">
        <v>428</v>
      </c>
      <c r="K2043" s="80" t="s">
        <v>347</v>
      </c>
      <c r="L2043" s="80" t="s">
        <v>343</v>
      </c>
      <c r="M2043" s="81">
        <v>0.17</v>
      </c>
      <c r="N2043" s="82">
        <v>12.750000000000002</v>
      </c>
    </row>
    <row r="2044" spans="1:14" x14ac:dyDescent="0.25">
      <c r="A2044" s="10" t="str">
        <f>_xlfn.IFNA(
    IF(J2044=
        "PCB-0001",
        "CSS",
        IF(
            ISNUMBER(MATCH(_xlfn.TEXTBEFORE(J2044,"-"), {"CSS","CSN","PCB","PCF","BEC","CSD","PCM"}, 0)),
            _xlfn.TEXTBEFORE(J2044,"-"),
            "Other"
        )
    ),
"Add")</f>
        <v>PCB</v>
      </c>
      <c r="B2044" s="10" t="str">
        <f t="shared" si="32"/>
        <v>0126</v>
      </c>
      <c r="C2044" s="10" t="str">
        <f>_xlfn.LET(
    _xlpm.val, IF(Datadetails[[#This Row],[Activity]]="D02","C20",Datadetails[[#This Row],[Activity]]),
    IF(ISNUMBER(MATCH(_xlpm.val,{"D04","C30","c40","C20"},0)), _xlpm.val, "Other")
)</f>
        <v>C30</v>
      </c>
      <c r="D2044" s="10" t="str">
        <f>IFERROR(VLOOKUP(Datadetails[[#This Row],[Taskcode]],Dashboard!A:A,1,FALSE),"00 Err Missing")</f>
        <v>0126</v>
      </c>
      <c r="E2044" s="79">
        <v>45915</v>
      </c>
      <c r="F2044" s="80" t="s">
        <v>329</v>
      </c>
      <c r="G2044" s="60" t="s">
        <v>40</v>
      </c>
      <c r="H2044" s="80" t="s">
        <v>293</v>
      </c>
      <c r="I2044" s="80" t="s">
        <v>34</v>
      </c>
      <c r="J2044" s="80" t="s">
        <v>376</v>
      </c>
      <c r="K2044" s="80" t="s">
        <v>347</v>
      </c>
      <c r="L2044" s="80" t="s">
        <v>343</v>
      </c>
      <c r="M2044" s="81">
        <v>0.17</v>
      </c>
      <c r="N2044" s="82">
        <v>12.750000000000002</v>
      </c>
    </row>
    <row r="2045" spans="1:14" x14ac:dyDescent="0.25">
      <c r="A2045" s="10" t="str">
        <f>_xlfn.IFNA(
    IF(J2045=
        "PCB-0001",
        "CSS",
        IF(
            ISNUMBER(MATCH(_xlfn.TEXTBEFORE(J2045,"-"), {"CSS","CSN","PCB","PCF","BEC","CSD","PCM"}, 0)),
            _xlfn.TEXTBEFORE(J2045,"-"),
            "Other"
        )
    ),
"Add")</f>
        <v>PCB</v>
      </c>
      <c r="B2045" s="10" t="str">
        <f t="shared" si="32"/>
        <v>0128</v>
      </c>
      <c r="C2045" s="10" t="str">
        <f>_xlfn.LET(
    _xlpm.val, IF(Datadetails[[#This Row],[Activity]]="D02","C20",Datadetails[[#This Row],[Activity]]),
    IF(ISNUMBER(MATCH(_xlpm.val,{"D04","C30","c40","C20"},0)), _xlpm.val, "Other")
)</f>
        <v>C30</v>
      </c>
      <c r="D2045" s="10" t="str">
        <f>IFERROR(VLOOKUP(Datadetails[[#This Row],[Taskcode]],Dashboard!A:A,1,FALSE),"00 Err Missing")</f>
        <v>0128</v>
      </c>
      <c r="E2045" s="79">
        <v>45915</v>
      </c>
      <c r="F2045" s="80" t="s">
        <v>329</v>
      </c>
      <c r="G2045" s="60" t="s">
        <v>40</v>
      </c>
      <c r="H2045" s="80" t="s">
        <v>295</v>
      </c>
      <c r="I2045" s="80" t="s">
        <v>34</v>
      </c>
      <c r="J2045" s="80" t="s">
        <v>379</v>
      </c>
      <c r="K2045" s="80" t="s">
        <v>347</v>
      </c>
      <c r="L2045" s="80" t="s">
        <v>343</v>
      </c>
      <c r="M2045" s="81">
        <v>0.75</v>
      </c>
      <c r="N2045" s="82">
        <v>56.25</v>
      </c>
    </row>
    <row r="2046" spans="1:14" x14ac:dyDescent="0.25">
      <c r="A2046" s="10" t="str">
        <f>_xlfn.IFNA(
    IF(J2046=
        "PCB-0001",
        "CSS",
        IF(
            ISNUMBER(MATCH(_xlfn.TEXTBEFORE(J2046,"-"), {"CSS","CSN","PCB","PCF","BEC","CSD","PCM"}, 0)),
            _xlfn.TEXTBEFORE(J2046,"-"),
            "Other"
        )
    ),
"Add")</f>
        <v>PCB</v>
      </c>
      <c r="B2046" s="10" t="str">
        <f t="shared" si="32"/>
        <v>0130</v>
      </c>
      <c r="C2046" s="10" t="str">
        <f>_xlfn.LET(
    _xlpm.val, IF(Datadetails[[#This Row],[Activity]]="D02","C20",Datadetails[[#This Row],[Activity]]),
    IF(ISNUMBER(MATCH(_xlpm.val,{"D04","C30","c40","C20"},0)), _xlpm.val, "Other")
)</f>
        <v>C30</v>
      </c>
      <c r="D2046" s="10" t="str">
        <f>IFERROR(VLOOKUP(Datadetails[[#This Row],[Taskcode]],Dashboard!A:A,1,FALSE),"00 Err Missing")</f>
        <v>0130</v>
      </c>
      <c r="E2046" s="79">
        <v>45915</v>
      </c>
      <c r="F2046" s="80" t="s">
        <v>330</v>
      </c>
      <c r="G2046" s="60" t="s">
        <v>40</v>
      </c>
      <c r="H2046" s="80" t="s">
        <v>297</v>
      </c>
      <c r="I2046" s="80" t="s">
        <v>34</v>
      </c>
      <c r="J2046" s="80" t="s">
        <v>380</v>
      </c>
      <c r="K2046" s="80" t="s">
        <v>347</v>
      </c>
      <c r="L2046" s="80" t="s">
        <v>343</v>
      </c>
      <c r="M2046" s="81">
        <v>0.5</v>
      </c>
      <c r="N2046" s="82">
        <v>30</v>
      </c>
    </row>
    <row r="2047" spans="1:14" x14ac:dyDescent="0.25">
      <c r="A2047" s="10" t="str">
        <f>_xlfn.IFNA(
    IF(J2047=
        "PCB-0001",
        "CSS",
        IF(
            ISNUMBER(MATCH(_xlfn.TEXTBEFORE(J2047,"-"), {"CSS","CSN","PCB","PCF","BEC","CSD","PCM"}, 0)),
            _xlfn.TEXTBEFORE(J2047,"-"),
            "Other"
        )
    ),
"Add")</f>
        <v>PCB</v>
      </c>
      <c r="B2047" s="10" t="str">
        <f t="shared" si="32"/>
        <v>0130</v>
      </c>
      <c r="C2047" s="10" t="str">
        <f>_xlfn.LET(
    _xlpm.val, IF(Datadetails[[#This Row],[Activity]]="D02","C20",Datadetails[[#This Row],[Activity]]),
    IF(ISNUMBER(MATCH(_xlpm.val,{"D04","C30","c40","C20"},0)), _xlpm.val, "Other")
)</f>
        <v>C30</v>
      </c>
      <c r="D2047" s="10" t="str">
        <f>IFERROR(VLOOKUP(Datadetails[[#This Row],[Taskcode]],Dashboard!A:A,1,FALSE),"00 Err Missing")</f>
        <v>0130</v>
      </c>
      <c r="E2047" s="79">
        <v>45915</v>
      </c>
      <c r="F2047" s="80" t="s">
        <v>329</v>
      </c>
      <c r="G2047" s="60" t="s">
        <v>40</v>
      </c>
      <c r="H2047" s="80" t="s">
        <v>297</v>
      </c>
      <c r="I2047" s="80" t="s">
        <v>34</v>
      </c>
      <c r="J2047" s="80" t="s">
        <v>380</v>
      </c>
      <c r="K2047" s="80" t="s">
        <v>347</v>
      </c>
      <c r="L2047" s="80" t="s">
        <v>343</v>
      </c>
      <c r="M2047" s="81">
        <v>0.25</v>
      </c>
      <c r="N2047" s="82">
        <v>18.75</v>
      </c>
    </row>
    <row r="2048" spans="1:14" x14ac:dyDescent="0.25">
      <c r="A2048" s="10" t="str">
        <f>_xlfn.IFNA(
    IF(J2048=
        "PCB-0001",
        "CSS",
        IF(
            ISNUMBER(MATCH(_xlfn.TEXTBEFORE(J2048,"-"), {"CSS","CSN","PCB","PCF","BEC","CSD","PCM"}, 0)),
            _xlfn.TEXTBEFORE(J2048,"-"),
            "Other"
        )
    ),
"Add")</f>
        <v>PCB</v>
      </c>
      <c r="B2048" s="10" t="str">
        <f t="shared" si="32"/>
        <v>0085</v>
      </c>
      <c r="C2048" s="10" t="str">
        <f>_xlfn.LET(
    _xlpm.val, IF(Datadetails[[#This Row],[Activity]]="D02","C20",Datadetails[[#This Row],[Activity]]),
    IF(ISNUMBER(MATCH(_xlpm.val,{"D04","C30","c40","C20"},0)), _xlpm.val, "Other")
)</f>
        <v>C30</v>
      </c>
      <c r="D2048" s="10" t="str">
        <f>IFERROR(VLOOKUP(Datadetails[[#This Row],[Taskcode]],Dashboard!A:A,1,FALSE),"00 Err Missing")</f>
        <v>0085</v>
      </c>
      <c r="E2048" s="79">
        <v>45915</v>
      </c>
      <c r="F2048" s="80" t="s">
        <v>330</v>
      </c>
      <c r="G2048" s="60" t="s">
        <v>40</v>
      </c>
      <c r="H2048" s="80" t="s">
        <v>252</v>
      </c>
      <c r="I2048" s="80" t="s">
        <v>34</v>
      </c>
      <c r="J2048" s="80" t="s">
        <v>416</v>
      </c>
      <c r="K2048" s="80" t="s">
        <v>347</v>
      </c>
      <c r="L2048" s="80" t="s">
        <v>343</v>
      </c>
      <c r="M2048" s="81">
        <v>0.25</v>
      </c>
      <c r="N2048" s="82">
        <v>15</v>
      </c>
    </row>
    <row r="2049" spans="1:14" x14ac:dyDescent="0.25">
      <c r="A2049" s="10" t="str">
        <f>_xlfn.IFNA(
    IF(J2049=
        "PCB-0001",
        "CSS",
        IF(
            ISNUMBER(MATCH(_xlfn.TEXTBEFORE(J2049,"-"), {"CSS","CSN","PCB","PCF","BEC","CSD","PCM"}, 0)),
            _xlfn.TEXTBEFORE(J2049,"-"),
            "Other"
        )
    ),
"Add")</f>
        <v>PCB</v>
      </c>
      <c r="B2049" s="10" t="str">
        <f t="shared" si="32"/>
        <v>0081</v>
      </c>
      <c r="C2049" s="10" t="str">
        <f>_xlfn.LET(
    _xlpm.val, IF(Datadetails[[#This Row],[Activity]]="D02","C20",Datadetails[[#This Row],[Activity]]),
    IF(ISNUMBER(MATCH(_xlpm.val,{"D04","C30","c40","C20"},0)), _xlpm.val, "Other")
)</f>
        <v>C30</v>
      </c>
      <c r="D2049" s="10" t="str">
        <f>IFERROR(VLOOKUP(Datadetails[[#This Row],[Taskcode]],Dashboard!A:A,1,FALSE),"00 Err Missing")</f>
        <v>0081</v>
      </c>
      <c r="E2049" s="79">
        <v>45915</v>
      </c>
      <c r="F2049" s="80" t="s">
        <v>329</v>
      </c>
      <c r="G2049" s="60" t="s">
        <v>40</v>
      </c>
      <c r="H2049" s="80" t="s">
        <v>248</v>
      </c>
      <c r="I2049" s="80" t="s">
        <v>34</v>
      </c>
      <c r="J2049" s="80" t="s">
        <v>385</v>
      </c>
      <c r="K2049" s="80" t="s">
        <v>347</v>
      </c>
      <c r="L2049" s="80" t="s">
        <v>343</v>
      </c>
      <c r="M2049" s="81">
        <v>0.33</v>
      </c>
      <c r="N2049" s="82">
        <v>24.75</v>
      </c>
    </row>
    <row r="2050" spans="1:14" x14ac:dyDescent="0.25">
      <c r="A2050" s="10" t="str">
        <f>_xlfn.IFNA(
    IF(J2050=
        "PCB-0001",
        "CSS",
        IF(
            ISNUMBER(MATCH(_xlfn.TEXTBEFORE(J2050,"-"), {"CSS","CSN","PCB","PCF","BEC","CSD","PCM"}, 0)),
            _xlfn.TEXTBEFORE(J2050,"-"),
            "Other"
        )
    ),
"Add")</f>
        <v>PCB</v>
      </c>
      <c r="B2050" s="10" t="str">
        <f t="shared" si="32"/>
        <v>0080</v>
      </c>
      <c r="C2050" s="10" t="str">
        <f>_xlfn.LET(
    _xlpm.val, IF(Datadetails[[#This Row],[Activity]]="D02","C20",Datadetails[[#This Row],[Activity]]),
    IF(ISNUMBER(MATCH(_xlpm.val,{"D04","C30","c40","C20"},0)), _xlpm.val, "Other")
)</f>
        <v>C30</v>
      </c>
      <c r="D2050" s="10" t="str">
        <f>IFERROR(VLOOKUP(Datadetails[[#This Row],[Taskcode]],Dashboard!A:A,1,FALSE),"00 Err Missing")</f>
        <v>0080</v>
      </c>
      <c r="E2050" s="79">
        <v>45915</v>
      </c>
      <c r="F2050" s="80" t="s">
        <v>329</v>
      </c>
      <c r="G2050" s="60" t="s">
        <v>40</v>
      </c>
      <c r="H2050" s="80" t="s">
        <v>247</v>
      </c>
      <c r="I2050" s="80" t="s">
        <v>34</v>
      </c>
      <c r="J2050" s="80" t="s">
        <v>375</v>
      </c>
      <c r="K2050" s="80" t="s">
        <v>347</v>
      </c>
      <c r="L2050" s="80" t="s">
        <v>343</v>
      </c>
      <c r="M2050" s="81">
        <v>0.17</v>
      </c>
      <c r="N2050" s="82">
        <v>12.750000000000002</v>
      </c>
    </row>
    <row r="2051" spans="1:14" x14ac:dyDescent="0.25">
      <c r="A2051" s="10" t="str">
        <f>_xlfn.IFNA(
    IF(J2051=
        "PCB-0001",
        "CSS",
        IF(
            ISNUMBER(MATCH(_xlfn.TEXTBEFORE(J2051,"-"), {"CSS","CSN","PCB","PCF","BEC","CSD","PCM"}, 0)),
            _xlfn.TEXTBEFORE(J2051,"-"),
            "Other"
        )
    ),
"Add")</f>
        <v>PCB</v>
      </c>
      <c r="B2051" s="10" t="str">
        <f t="shared" si="32"/>
        <v>0063</v>
      </c>
      <c r="C2051" s="10" t="str">
        <f>_xlfn.LET(
    _xlpm.val, IF(Datadetails[[#This Row],[Activity]]="D02","C20",Datadetails[[#This Row],[Activity]]),
    IF(ISNUMBER(MATCH(_xlpm.val,{"D04","C30","c40","C20"},0)), _xlpm.val, "Other")
)</f>
        <v>C30</v>
      </c>
      <c r="D2051" s="10" t="str">
        <f>IFERROR(VLOOKUP(Datadetails[[#This Row],[Taskcode]],Dashboard!A:A,1,FALSE),"00 Err Missing")</f>
        <v>0063</v>
      </c>
      <c r="E2051" s="79">
        <v>45915</v>
      </c>
      <c r="F2051" s="80" t="s">
        <v>329</v>
      </c>
      <c r="G2051" s="60" t="s">
        <v>40</v>
      </c>
      <c r="H2051" s="80" t="s">
        <v>230</v>
      </c>
      <c r="I2051" s="80" t="s">
        <v>34</v>
      </c>
      <c r="J2051" s="80" t="s">
        <v>410</v>
      </c>
      <c r="K2051" s="80" t="s">
        <v>347</v>
      </c>
      <c r="L2051" s="80" t="s">
        <v>343</v>
      </c>
      <c r="M2051" s="81">
        <v>0.5</v>
      </c>
      <c r="N2051" s="82">
        <v>37.5</v>
      </c>
    </row>
    <row r="2052" spans="1:14" x14ac:dyDescent="0.25">
      <c r="A2052" s="10" t="str">
        <f>_xlfn.IFNA(
    IF(J2052=
        "PCB-0001",
        "CSS",
        IF(
            ISNUMBER(MATCH(_xlfn.TEXTBEFORE(J2052,"-"), {"CSS","CSN","PCB","PCF","BEC","CSD","PCM"}, 0)),
            _xlfn.TEXTBEFORE(J2052,"-"),
            "Other"
        )
    ),
"Add")</f>
        <v>PCB</v>
      </c>
      <c r="B2052" s="10" t="str">
        <f t="shared" ref="B2052:B2115" si="33">_xlfn.IFNA(_xlfn.TEXTAFTER(J2052,"-"),"Data to C2")</f>
        <v>0106</v>
      </c>
      <c r="C2052" s="10" t="str">
        <f>_xlfn.LET(
    _xlpm.val, IF(Datadetails[[#This Row],[Activity]]="D02","C20",Datadetails[[#This Row],[Activity]]),
    IF(ISNUMBER(MATCH(_xlpm.val,{"D04","C30","c40","C20"},0)), _xlpm.val, "Other")
)</f>
        <v>C30</v>
      </c>
      <c r="D2052" s="10" t="str">
        <f>IFERROR(VLOOKUP(Datadetails[[#This Row],[Taskcode]],Dashboard!A:A,1,FALSE),"00 Err Missing")</f>
        <v>0106</v>
      </c>
      <c r="E2052" s="79">
        <v>45915</v>
      </c>
      <c r="F2052" s="80" t="s">
        <v>330</v>
      </c>
      <c r="G2052" s="60" t="s">
        <v>40</v>
      </c>
      <c r="H2052" s="80" t="s">
        <v>273</v>
      </c>
      <c r="I2052" s="80" t="s">
        <v>34</v>
      </c>
      <c r="J2052" s="80" t="s">
        <v>469</v>
      </c>
      <c r="K2052" s="80" t="s">
        <v>347</v>
      </c>
      <c r="L2052" s="80" t="s">
        <v>343</v>
      </c>
      <c r="M2052" s="81">
        <v>0.5</v>
      </c>
      <c r="N2052" s="82">
        <v>30</v>
      </c>
    </row>
    <row r="2053" spans="1:14" x14ac:dyDescent="0.25">
      <c r="A2053" s="10" t="str">
        <f>_xlfn.IFNA(
    IF(J2053=
        "PCB-0001",
        "CSS",
        IF(
            ISNUMBER(MATCH(_xlfn.TEXTBEFORE(J2053,"-"), {"CSS","CSN","PCB","PCF","BEC","CSD","PCM"}, 0)),
            _xlfn.TEXTBEFORE(J2053,"-"),
            "Other"
        )
    ),
"Add")</f>
        <v>PCF</v>
      </c>
      <c r="B2053" s="10" t="str">
        <f t="shared" si="33"/>
        <v>0066</v>
      </c>
      <c r="C2053" s="10" t="str">
        <f>_xlfn.LET(
    _xlpm.val, IF(Datadetails[[#This Row],[Activity]]="D02","C20",Datadetails[[#This Row],[Activity]]),
    IF(ISNUMBER(MATCH(_xlpm.val,{"D04","C30","c40","C20"},0)), _xlpm.val, "Other")
)</f>
        <v>C20</v>
      </c>
      <c r="D2053" s="10" t="str">
        <f>IFERROR(VLOOKUP(Datadetails[[#This Row],[Taskcode]],Dashboard!A:A,1,FALSE),"00 Err Missing")</f>
        <v>0066</v>
      </c>
      <c r="E2053" s="79">
        <v>45915</v>
      </c>
      <c r="F2053" s="80" t="s">
        <v>326</v>
      </c>
      <c r="G2053" s="60" t="s">
        <v>40</v>
      </c>
      <c r="H2053" s="80" t="s">
        <v>233</v>
      </c>
      <c r="I2053" s="80" t="s">
        <v>36</v>
      </c>
      <c r="J2053" s="80" t="s">
        <v>387</v>
      </c>
      <c r="K2053" s="80" t="s">
        <v>348</v>
      </c>
      <c r="L2053" s="80" t="s">
        <v>342</v>
      </c>
      <c r="M2053" s="81">
        <v>0.33</v>
      </c>
      <c r="N2053" s="82">
        <v>19.8</v>
      </c>
    </row>
    <row r="2054" spans="1:14" x14ac:dyDescent="0.25">
      <c r="A2054" s="10" t="str">
        <f>_xlfn.IFNA(
    IF(J2054=
        "PCB-0001",
        "CSS",
        IF(
            ISNUMBER(MATCH(_xlfn.TEXTBEFORE(J2054,"-"), {"CSS","CSN","PCB","PCF","BEC","CSD","PCM"}, 0)),
            _xlfn.TEXTBEFORE(J2054,"-"),
            "Other"
        )
    ),
"Add")</f>
        <v>PCF</v>
      </c>
      <c r="B2054" s="10" t="str">
        <f t="shared" si="33"/>
        <v>0067</v>
      </c>
      <c r="C2054" s="10" t="str">
        <f>_xlfn.LET(
    _xlpm.val, IF(Datadetails[[#This Row],[Activity]]="D02","C20",Datadetails[[#This Row],[Activity]]),
    IF(ISNUMBER(MATCH(_xlpm.val,{"D04","C30","c40","C20"},0)), _xlpm.val, "Other")
)</f>
        <v>C20</v>
      </c>
      <c r="D2054" s="10" t="str">
        <f>IFERROR(VLOOKUP(Datadetails[[#This Row],[Taskcode]],Dashboard!A:A,1,FALSE),"00 Err Missing")</f>
        <v>0067</v>
      </c>
      <c r="E2054" s="79">
        <v>45915</v>
      </c>
      <c r="F2054" s="80" t="s">
        <v>326</v>
      </c>
      <c r="G2054" s="60" t="s">
        <v>40</v>
      </c>
      <c r="H2054" s="80" t="s">
        <v>234</v>
      </c>
      <c r="I2054" s="80" t="s">
        <v>36</v>
      </c>
      <c r="J2054" s="80" t="s">
        <v>389</v>
      </c>
      <c r="K2054" s="80" t="s">
        <v>348</v>
      </c>
      <c r="L2054" s="80" t="s">
        <v>342</v>
      </c>
      <c r="M2054" s="81">
        <v>0.33</v>
      </c>
      <c r="N2054" s="82">
        <v>19.8</v>
      </c>
    </row>
    <row r="2055" spans="1:14" x14ac:dyDescent="0.25">
      <c r="A2055" s="10" t="str">
        <f>_xlfn.IFNA(
    IF(J2055=
        "PCB-0001",
        "CSS",
        IF(
            ISNUMBER(MATCH(_xlfn.TEXTBEFORE(J2055,"-"), {"CSS","CSN","PCB","PCF","BEC","CSD","PCM"}, 0)),
            _xlfn.TEXTBEFORE(J2055,"-"),
            "Other"
        )
    ),
"Add")</f>
        <v>PCF</v>
      </c>
      <c r="B2055" s="10" t="str">
        <f t="shared" si="33"/>
        <v>0068</v>
      </c>
      <c r="C2055" s="10" t="str">
        <f>_xlfn.LET(
    _xlpm.val, IF(Datadetails[[#This Row],[Activity]]="D02","C20",Datadetails[[#This Row],[Activity]]),
    IF(ISNUMBER(MATCH(_xlpm.val,{"D04","C30","c40","C20"},0)), _xlpm.val, "Other")
)</f>
        <v>C20</v>
      </c>
      <c r="D2055" s="10" t="str">
        <f>IFERROR(VLOOKUP(Datadetails[[#This Row],[Taskcode]],Dashboard!A:A,1,FALSE),"00 Err Missing")</f>
        <v>0068</v>
      </c>
      <c r="E2055" s="79">
        <v>45915</v>
      </c>
      <c r="F2055" s="80" t="s">
        <v>326</v>
      </c>
      <c r="G2055" s="60" t="s">
        <v>40</v>
      </c>
      <c r="H2055" s="80" t="s">
        <v>235</v>
      </c>
      <c r="I2055" s="80" t="s">
        <v>36</v>
      </c>
      <c r="J2055" s="80" t="s">
        <v>355</v>
      </c>
      <c r="K2055" s="80" t="s">
        <v>348</v>
      </c>
      <c r="L2055" s="80" t="s">
        <v>342</v>
      </c>
      <c r="M2055" s="81">
        <v>0.33</v>
      </c>
      <c r="N2055" s="82">
        <v>19.8</v>
      </c>
    </row>
    <row r="2056" spans="1:14" x14ac:dyDescent="0.25">
      <c r="A2056" s="10" t="str">
        <f>_xlfn.IFNA(
    IF(J2056=
        "PCB-0001",
        "CSS",
        IF(
            ISNUMBER(MATCH(_xlfn.TEXTBEFORE(J2056,"-"), {"CSS","CSN","PCB","PCF","BEC","CSD","PCM"}, 0)),
            _xlfn.TEXTBEFORE(J2056,"-"),
            "Other"
        )
    ),
"Add")</f>
        <v>PCF</v>
      </c>
      <c r="B2056" s="10" t="str">
        <f t="shared" si="33"/>
        <v>0069</v>
      </c>
      <c r="C2056" s="10" t="str">
        <f>_xlfn.LET(
    _xlpm.val, IF(Datadetails[[#This Row],[Activity]]="D02","C20",Datadetails[[#This Row],[Activity]]),
    IF(ISNUMBER(MATCH(_xlpm.val,{"D04","C30","c40","C20"},0)), _xlpm.val, "Other")
)</f>
        <v>C20</v>
      </c>
      <c r="D2056" s="10" t="str">
        <f>IFERROR(VLOOKUP(Datadetails[[#This Row],[Taskcode]],Dashboard!A:A,1,FALSE),"00 Err Missing")</f>
        <v>0069</v>
      </c>
      <c r="E2056" s="79">
        <v>45915</v>
      </c>
      <c r="F2056" s="80" t="s">
        <v>326</v>
      </c>
      <c r="G2056" s="60" t="s">
        <v>40</v>
      </c>
      <c r="H2056" s="80" t="s">
        <v>236</v>
      </c>
      <c r="I2056" s="80" t="s">
        <v>36</v>
      </c>
      <c r="J2056" s="80" t="s">
        <v>357</v>
      </c>
      <c r="K2056" s="80" t="s">
        <v>348</v>
      </c>
      <c r="L2056" s="80" t="s">
        <v>342</v>
      </c>
      <c r="M2056" s="81">
        <v>0.33</v>
      </c>
      <c r="N2056" s="82">
        <v>19.8</v>
      </c>
    </row>
    <row r="2057" spans="1:14" x14ac:dyDescent="0.25">
      <c r="A2057" s="10" t="str">
        <f>_xlfn.IFNA(
    IF(J2057=
        "PCB-0001",
        "CSS",
        IF(
            ISNUMBER(MATCH(_xlfn.TEXTBEFORE(J2057,"-"), {"CSS","CSN","PCB","PCF","BEC","CSD","PCM"}, 0)),
            _xlfn.TEXTBEFORE(J2057,"-"),
            "Other"
        )
    ),
"Add")</f>
        <v>PCF</v>
      </c>
      <c r="B2057" s="10" t="str">
        <f t="shared" si="33"/>
        <v>0142</v>
      </c>
      <c r="C2057" s="10" t="str">
        <f>_xlfn.LET(
    _xlpm.val, IF(Datadetails[[#This Row],[Activity]]="D02","C20",Datadetails[[#This Row],[Activity]]),
    IF(ISNUMBER(MATCH(_xlpm.val,{"D04","C30","c40","C20"},0)), _xlpm.val, "Other")
)</f>
        <v>C30</v>
      </c>
      <c r="D2057" s="10" t="str">
        <f>IFERROR(VLOOKUP(Datadetails[[#This Row],[Taskcode]],Dashboard!A:A,1,FALSE),"00 Err Missing")</f>
        <v>0142</v>
      </c>
      <c r="E2057" s="79">
        <v>45915</v>
      </c>
      <c r="F2057" s="80" t="s">
        <v>326</v>
      </c>
      <c r="G2057" s="60" t="s">
        <v>40</v>
      </c>
      <c r="H2057" s="80" t="s">
        <v>309</v>
      </c>
      <c r="I2057" s="80" t="s">
        <v>34</v>
      </c>
      <c r="J2057" s="80" t="s">
        <v>454</v>
      </c>
      <c r="K2057" s="80" t="s">
        <v>348</v>
      </c>
      <c r="L2057" s="80" t="s">
        <v>343</v>
      </c>
      <c r="M2057" s="81">
        <v>1</v>
      </c>
      <c r="N2057" s="82">
        <v>60</v>
      </c>
    </row>
    <row r="2058" spans="1:14" x14ac:dyDescent="0.25">
      <c r="A2058" s="10" t="str">
        <f>_xlfn.IFNA(
    IF(J2058=
        "PCB-0001",
        "CSS",
        IF(
            ISNUMBER(MATCH(_xlfn.TEXTBEFORE(J2058,"-"), {"CSS","CSN","PCB","PCF","BEC","CSD","PCM"}, 0)),
            _xlfn.TEXTBEFORE(J2058,"-"),
            "Other"
        )
    ),
"Add")</f>
        <v>BEC</v>
      </c>
      <c r="B2058" s="10" t="str">
        <f t="shared" si="33"/>
        <v>0001</v>
      </c>
      <c r="C2058" s="10" t="str">
        <f>_xlfn.LET(
    _xlpm.val, IF(Datadetails[[#This Row],[Activity]]="D02","C20",Datadetails[[#This Row],[Activity]]),
    IF(ISNUMBER(MATCH(_xlpm.val,{"D04","C30","c40","C20"},0)), _xlpm.val, "Other")
)</f>
        <v>D04</v>
      </c>
      <c r="D2058" s="10" t="str">
        <f>IFERROR(VLOOKUP(Datadetails[[#This Row],[Taskcode]],Dashboard!A:A,1,FALSE),"00 Err Missing")</f>
        <v>0001</v>
      </c>
      <c r="E2058" s="79">
        <v>45915</v>
      </c>
      <c r="F2058" s="80" t="s">
        <v>332</v>
      </c>
      <c r="G2058" s="60" t="s">
        <v>40</v>
      </c>
      <c r="H2058" s="80" t="s">
        <v>314</v>
      </c>
      <c r="I2058" s="80" t="s">
        <v>35</v>
      </c>
      <c r="J2058" s="80" t="s">
        <v>359</v>
      </c>
      <c r="K2058" s="80" t="s">
        <v>339</v>
      </c>
      <c r="L2058" s="80" t="s">
        <v>352</v>
      </c>
      <c r="M2058" s="81">
        <v>9.33</v>
      </c>
      <c r="N2058" s="82">
        <v>373.2</v>
      </c>
    </row>
    <row r="2059" spans="1:14" x14ac:dyDescent="0.25">
      <c r="A2059" s="10" t="str">
        <f>_xlfn.IFNA(
    IF(J2059=
        "PCB-0001",
        "CSS",
        IF(
            ISNUMBER(MATCH(_xlfn.TEXTBEFORE(J2059,"-"), {"CSS","CSN","PCB","PCF","BEC","CSD","PCM"}, 0)),
            _xlfn.TEXTBEFORE(J2059,"-"),
            "Other"
        )
    ),
"Add")</f>
        <v>BEC</v>
      </c>
      <c r="B2059" s="10" t="str">
        <f t="shared" si="33"/>
        <v>0001</v>
      </c>
      <c r="C2059" s="10" t="str">
        <f>_xlfn.LET(
    _xlpm.val, IF(Datadetails[[#This Row],[Activity]]="D02","C20",Datadetails[[#This Row],[Activity]]),
    IF(ISNUMBER(MATCH(_xlpm.val,{"D04","C30","c40","C20"},0)), _xlpm.val, "Other")
)</f>
        <v>D04</v>
      </c>
      <c r="D2059" s="10" t="str">
        <f>IFERROR(VLOOKUP(Datadetails[[#This Row],[Taskcode]],Dashboard!A:A,1,FALSE),"00 Err Missing")</f>
        <v>0001</v>
      </c>
      <c r="E2059" s="79">
        <v>45915</v>
      </c>
      <c r="F2059" s="80" t="s">
        <v>324</v>
      </c>
      <c r="G2059" s="60" t="s">
        <v>40</v>
      </c>
      <c r="H2059" s="80" t="s">
        <v>314</v>
      </c>
      <c r="I2059" s="80" t="s">
        <v>35</v>
      </c>
      <c r="J2059" s="80" t="s">
        <v>359</v>
      </c>
      <c r="K2059" s="80" t="s">
        <v>339</v>
      </c>
      <c r="L2059" s="80" t="s">
        <v>352</v>
      </c>
      <c r="M2059" s="81">
        <v>1.25</v>
      </c>
      <c r="N2059" s="82">
        <v>93.75</v>
      </c>
    </row>
    <row r="2060" spans="1:14" x14ac:dyDescent="0.25">
      <c r="A2060" s="10" t="str">
        <f>_xlfn.IFNA(
    IF(J2060=
        "PCB-0001",
        "CSS",
        IF(
            ISNUMBER(MATCH(_xlfn.TEXTBEFORE(J2060,"-"), {"CSS","CSN","PCB","PCF","BEC","CSD","PCM"}, 0)),
            _xlfn.TEXTBEFORE(J2060,"-"),
            "Other"
        )
    ),
"Add")</f>
        <v>CSN</v>
      </c>
      <c r="B2060" s="10" t="str">
        <f t="shared" si="33"/>
        <v>0001</v>
      </c>
      <c r="C2060" s="10" t="str">
        <f>_xlfn.LET(
    _xlpm.val, IF(Datadetails[[#This Row],[Activity]]="D02","C20",Datadetails[[#This Row],[Activity]]),
    IF(ISNUMBER(MATCH(_xlpm.val,{"D04","C30","c40","C20"},0)), _xlpm.val, "Other")
)</f>
        <v>D04</v>
      </c>
      <c r="D2060" s="10" t="str">
        <f>IFERROR(VLOOKUP(Datadetails[[#This Row],[Taskcode]],Dashboard!A:A,1,FALSE),"00 Err Missing")</f>
        <v>0001</v>
      </c>
      <c r="E2060" s="79">
        <v>45916</v>
      </c>
      <c r="F2060" s="80" t="s">
        <v>329</v>
      </c>
      <c r="G2060" s="60" t="s">
        <v>40</v>
      </c>
      <c r="H2060" s="80" t="s">
        <v>316</v>
      </c>
      <c r="I2060" s="80" t="s">
        <v>35</v>
      </c>
      <c r="J2060" s="80" t="s">
        <v>338</v>
      </c>
      <c r="K2060" s="80" t="s">
        <v>337</v>
      </c>
      <c r="L2060" s="80" t="s">
        <v>352</v>
      </c>
      <c r="M2060" s="81">
        <v>1.5</v>
      </c>
      <c r="N2060" s="82">
        <v>112.5</v>
      </c>
    </row>
    <row r="2061" spans="1:14" x14ac:dyDescent="0.25">
      <c r="A2061" s="10" t="str">
        <f>_xlfn.IFNA(
    IF(J2061=
        "PCB-0001",
        "CSS",
        IF(
            ISNUMBER(MATCH(_xlfn.TEXTBEFORE(J2061,"-"), {"CSS","CSN","PCB","PCF","BEC","CSD","PCM"}, 0)),
            _xlfn.TEXTBEFORE(J2061,"-"),
            "Other"
        )
    ),
"Add")</f>
        <v>PCB</v>
      </c>
      <c r="B2061" s="10" t="str">
        <f t="shared" si="33"/>
        <v>0058</v>
      </c>
      <c r="C2061" s="10" t="str">
        <f>_xlfn.LET(
    _xlpm.val, IF(Datadetails[[#This Row],[Activity]]="D02","C20",Datadetails[[#This Row],[Activity]]),
    IF(ISNUMBER(MATCH(_xlpm.val,{"D04","C30","c40","C20"},0)), _xlpm.val, "Other")
)</f>
        <v>C40</v>
      </c>
      <c r="D2061" s="10" t="str">
        <f>IFERROR(VLOOKUP(Datadetails[[#This Row],[Taskcode]],Dashboard!A:A,1,FALSE),"00 Err Missing")</f>
        <v>0058</v>
      </c>
      <c r="E2061" s="79">
        <v>45916</v>
      </c>
      <c r="F2061" s="80" t="s">
        <v>330</v>
      </c>
      <c r="G2061" s="60" t="s">
        <v>40</v>
      </c>
      <c r="H2061" s="80" t="s">
        <v>225</v>
      </c>
      <c r="I2061" s="80" t="s">
        <v>341</v>
      </c>
      <c r="J2061" s="80" t="s">
        <v>365</v>
      </c>
      <c r="K2061" s="80" t="s">
        <v>347</v>
      </c>
      <c r="L2061" s="80" t="s">
        <v>344</v>
      </c>
      <c r="M2061" s="81">
        <v>1</v>
      </c>
      <c r="N2061" s="82">
        <v>60</v>
      </c>
    </row>
    <row r="2062" spans="1:14" x14ac:dyDescent="0.25">
      <c r="A2062" s="10" t="str">
        <f>_xlfn.IFNA(
    IF(J2062=
        "PCB-0001",
        "CSS",
        IF(
            ISNUMBER(MATCH(_xlfn.TEXTBEFORE(J2062,"-"), {"CSS","CSN","PCB","PCF","BEC","CSD","PCM"}, 0)),
            _xlfn.TEXTBEFORE(J2062,"-"),
            "Other"
        )
    ),
"Add")</f>
        <v>PCM</v>
      </c>
      <c r="B2062" s="10" t="str">
        <f t="shared" si="33"/>
        <v>0002</v>
      </c>
      <c r="C2062" s="10" t="str">
        <f>_xlfn.LET(
    _xlpm.val, IF(Datadetails[[#This Row],[Activity]]="D02","C20",Datadetails[[#This Row],[Activity]]),
    IF(ISNUMBER(MATCH(_xlpm.val,{"D04","C30","c40","C20"},0)), _xlpm.val, "Other")
)</f>
        <v>C20</v>
      </c>
      <c r="D2062" s="10" t="str">
        <f>IFERROR(VLOOKUP(Datadetails[[#This Row],[Taskcode]],Dashboard!A:A,1,FALSE),"00 Err Missing")</f>
        <v>0002</v>
      </c>
      <c r="E2062" s="79">
        <v>45916</v>
      </c>
      <c r="F2062" s="80" t="s">
        <v>323</v>
      </c>
      <c r="G2062" s="60" t="s">
        <v>40</v>
      </c>
      <c r="H2062" s="80" t="s">
        <v>169</v>
      </c>
      <c r="I2062" s="80" t="s">
        <v>36</v>
      </c>
      <c r="J2062" s="80" t="s">
        <v>433</v>
      </c>
      <c r="K2062" s="80" t="s">
        <v>346</v>
      </c>
      <c r="L2062" s="80" t="s">
        <v>342</v>
      </c>
      <c r="M2062" s="81">
        <v>0.25</v>
      </c>
      <c r="N2062" s="82">
        <v>15</v>
      </c>
    </row>
    <row r="2063" spans="1:14" x14ac:dyDescent="0.25">
      <c r="A2063" s="10" t="str">
        <f>_xlfn.IFNA(
    IF(J2063=
        "PCB-0001",
        "CSS",
        IF(
            ISNUMBER(MATCH(_xlfn.TEXTBEFORE(J2063,"-"), {"CSS","CSN","PCB","PCF","BEC","CSD","PCM"}, 0)),
            _xlfn.TEXTBEFORE(J2063,"-"),
            "Other"
        )
    ),
"Add")</f>
        <v>CSD</v>
      </c>
      <c r="B2063" s="10" t="str">
        <f t="shared" si="33"/>
        <v>0001</v>
      </c>
      <c r="C2063" s="10" t="str">
        <f>_xlfn.LET(
    _xlpm.val, IF(Datadetails[[#This Row],[Activity]]="D02","C20",Datadetails[[#This Row],[Activity]]),
    IF(ISNUMBER(MATCH(_xlpm.val,{"D04","C30","c40","C20"},0)), _xlpm.val, "Other")
)</f>
        <v>D04</v>
      </c>
      <c r="D2063" s="10" t="str">
        <f>IFERROR(VLOOKUP(Datadetails[[#This Row],[Taskcode]],Dashboard!A:A,1,FALSE),"00 Err Missing")</f>
        <v>0001</v>
      </c>
      <c r="E2063" s="79">
        <v>45916</v>
      </c>
      <c r="F2063" s="80" t="s">
        <v>333</v>
      </c>
      <c r="G2063" s="60" t="s">
        <v>40</v>
      </c>
      <c r="H2063" s="80" t="s">
        <v>320</v>
      </c>
      <c r="I2063" s="80" t="s">
        <v>35</v>
      </c>
      <c r="J2063" s="80" t="s">
        <v>322</v>
      </c>
      <c r="K2063" s="80" t="s">
        <v>319</v>
      </c>
      <c r="L2063" s="80" t="s">
        <v>352</v>
      </c>
      <c r="M2063" s="81">
        <v>7.52</v>
      </c>
      <c r="N2063" s="82">
        <v>240.64</v>
      </c>
    </row>
    <row r="2064" spans="1:14" x14ac:dyDescent="0.25">
      <c r="A2064" s="10" t="str">
        <f>_xlfn.IFNA(
    IF(J2064=
        "PCB-0001",
        "CSS",
        IF(
            ISNUMBER(MATCH(_xlfn.TEXTBEFORE(J2064,"-"), {"CSS","CSN","PCB","PCF","BEC","CSD","PCM"}, 0)),
            _xlfn.TEXTBEFORE(J2064,"-"),
            "Other"
        )
    ),
"Add")</f>
        <v>CSD</v>
      </c>
      <c r="B2064" s="10" t="str">
        <f t="shared" si="33"/>
        <v>0001</v>
      </c>
      <c r="C2064" s="10" t="str">
        <f>_xlfn.LET(
    _xlpm.val, IF(Datadetails[[#This Row],[Activity]]="D02","C20",Datadetails[[#This Row],[Activity]]),
    IF(ISNUMBER(MATCH(_xlpm.val,{"D04","C30","c40","C20"},0)), _xlpm.val, "Other")
)</f>
        <v>D04</v>
      </c>
      <c r="D2064" s="10" t="str">
        <f>IFERROR(VLOOKUP(Datadetails[[#This Row],[Taskcode]],Dashboard!A:A,1,FALSE),"00 Err Missing")</f>
        <v>0001</v>
      </c>
      <c r="E2064" s="79">
        <v>45916</v>
      </c>
      <c r="F2064" s="80" t="s">
        <v>327</v>
      </c>
      <c r="G2064" s="60" t="s">
        <v>40</v>
      </c>
      <c r="H2064" s="80" t="s">
        <v>320</v>
      </c>
      <c r="I2064" s="80" t="s">
        <v>35</v>
      </c>
      <c r="J2064" s="80" t="s">
        <v>322</v>
      </c>
      <c r="K2064" s="80" t="s">
        <v>319</v>
      </c>
      <c r="L2064" s="80" t="s">
        <v>352</v>
      </c>
      <c r="M2064" s="81">
        <v>7.25</v>
      </c>
      <c r="N2064" s="82">
        <v>232</v>
      </c>
    </row>
    <row r="2065" spans="1:14" x14ac:dyDescent="0.25">
      <c r="A2065" s="10" t="str">
        <f>_xlfn.IFNA(
    IF(J2065=
        "PCB-0001",
        "CSS",
        IF(
            ISNUMBER(MATCH(_xlfn.TEXTBEFORE(J2065,"-"), {"CSS","CSN","PCB","PCF","BEC","CSD","PCM"}, 0)),
            _xlfn.TEXTBEFORE(J2065,"-"),
            "Other"
        )
    ),
"Add")</f>
        <v>PCM</v>
      </c>
      <c r="B2065" s="10" t="str">
        <f t="shared" si="33"/>
        <v>0065</v>
      </c>
      <c r="C2065" s="10" t="str">
        <f>_xlfn.LET(
    _xlpm.val, IF(Datadetails[[#This Row],[Activity]]="D02","C20",Datadetails[[#This Row],[Activity]]),
    IF(ISNUMBER(MATCH(_xlpm.val,{"D04","C30","c40","C20"},0)), _xlpm.val, "Other")
)</f>
        <v>C30</v>
      </c>
      <c r="D2065" s="10" t="str">
        <f>IFERROR(VLOOKUP(Datadetails[[#This Row],[Taskcode]],Dashboard!A:A,1,FALSE),"00 Err Missing")</f>
        <v>0065</v>
      </c>
      <c r="E2065" s="79">
        <v>45916</v>
      </c>
      <c r="F2065" s="80" t="s">
        <v>323</v>
      </c>
      <c r="G2065" s="60" t="s">
        <v>40</v>
      </c>
      <c r="H2065" s="80" t="s">
        <v>232</v>
      </c>
      <c r="I2065" s="80" t="s">
        <v>34</v>
      </c>
      <c r="J2065" s="80" t="s">
        <v>393</v>
      </c>
      <c r="K2065" s="80" t="s">
        <v>346</v>
      </c>
      <c r="L2065" s="80" t="s">
        <v>343</v>
      </c>
      <c r="M2065" s="81">
        <v>0.25</v>
      </c>
      <c r="N2065" s="82">
        <v>15</v>
      </c>
    </row>
    <row r="2066" spans="1:14" x14ac:dyDescent="0.25">
      <c r="A2066" s="10" t="str">
        <f>_xlfn.IFNA(
    IF(J2066=
        "PCB-0001",
        "CSS",
        IF(
            ISNUMBER(MATCH(_xlfn.TEXTBEFORE(J2066,"-"), {"CSS","CSN","PCB","PCF","BEC","CSD","PCM"}, 0)),
            _xlfn.TEXTBEFORE(J2066,"-"),
            "Other"
        )
    ),
"Add")</f>
        <v>PCB</v>
      </c>
      <c r="B2066" s="10" t="str">
        <f t="shared" si="33"/>
        <v>0031</v>
      </c>
      <c r="C2066" s="10" t="str">
        <f>_xlfn.LET(
    _xlpm.val, IF(Datadetails[[#This Row],[Activity]]="D02","C20",Datadetails[[#This Row],[Activity]]),
    IF(ISNUMBER(MATCH(_xlpm.val,{"D04","C30","c40","C20"},0)), _xlpm.val, "Other")
)</f>
        <v>C20</v>
      </c>
      <c r="D2066" s="10" t="str">
        <f>IFERROR(VLOOKUP(Datadetails[[#This Row],[Taskcode]],Dashboard!A:A,1,FALSE),"00 Err Missing")</f>
        <v>0031</v>
      </c>
      <c r="E2066" s="79">
        <v>45916</v>
      </c>
      <c r="F2066" s="80" t="s">
        <v>325</v>
      </c>
      <c r="G2066" s="60" t="s">
        <v>40</v>
      </c>
      <c r="H2066" s="80" t="s">
        <v>198</v>
      </c>
      <c r="I2066" s="80" t="s">
        <v>36</v>
      </c>
      <c r="J2066" s="80" t="s">
        <v>413</v>
      </c>
      <c r="K2066" s="80" t="s">
        <v>347</v>
      </c>
      <c r="L2066" s="80" t="s">
        <v>342</v>
      </c>
      <c r="M2066" s="81">
        <v>0.75</v>
      </c>
      <c r="N2066" s="82">
        <v>56.25</v>
      </c>
    </row>
    <row r="2067" spans="1:14" x14ac:dyDescent="0.25">
      <c r="A2067" s="10" t="str">
        <f>_xlfn.IFNA(
    IF(J2067=
        "PCB-0001",
        "CSS",
        IF(
            ISNUMBER(MATCH(_xlfn.TEXTBEFORE(J2067,"-"), {"CSS","CSN","PCB","PCF","BEC","CSD","PCM"}, 0)),
            _xlfn.TEXTBEFORE(J2067,"-"),
            "Other"
        )
    ),
"Add")</f>
        <v>PCB</v>
      </c>
      <c r="B2067" s="10" t="str">
        <f t="shared" si="33"/>
        <v>0012</v>
      </c>
      <c r="C2067" s="10" t="str">
        <f>_xlfn.LET(
    _xlpm.val, IF(Datadetails[[#This Row],[Activity]]="D02","C20",Datadetails[[#This Row],[Activity]]),
    IF(ISNUMBER(MATCH(_xlpm.val,{"D04","C30","c40","C20"},0)), _xlpm.val, "Other")
)</f>
        <v>C30</v>
      </c>
      <c r="D2067" s="10" t="str">
        <f>IFERROR(VLOOKUP(Datadetails[[#This Row],[Taskcode]],Dashboard!A:A,1,FALSE),"00 Err Missing")</f>
        <v>0012</v>
      </c>
      <c r="E2067" s="79">
        <v>45916</v>
      </c>
      <c r="F2067" s="80" t="s">
        <v>325</v>
      </c>
      <c r="G2067" s="60" t="s">
        <v>40</v>
      </c>
      <c r="H2067" s="80" t="s">
        <v>179</v>
      </c>
      <c r="I2067" s="80" t="s">
        <v>34</v>
      </c>
      <c r="J2067" s="80" t="s">
        <v>422</v>
      </c>
      <c r="K2067" s="80" t="s">
        <v>347</v>
      </c>
      <c r="L2067" s="80" t="s">
        <v>343</v>
      </c>
      <c r="M2067" s="81">
        <v>0.25</v>
      </c>
      <c r="N2067" s="82">
        <v>18.75</v>
      </c>
    </row>
    <row r="2068" spans="1:14" x14ac:dyDescent="0.25">
      <c r="A2068" s="10" t="str">
        <f>_xlfn.IFNA(
    IF(J2068=
        "PCB-0001",
        "CSS",
        IF(
            ISNUMBER(MATCH(_xlfn.TEXTBEFORE(J2068,"-"), {"CSS","CSN","PCB","PCF","BEC","CSD","PCM"}, 0)),
            _xlfn.TEXTBEFORE(J2068,"-"),
            "Other"
        )
    ),
"Add")</f>
        <v>PCB</v>
      </c>
      <c r="B2068" s="10" t="str">
        <f t="shared" si="33"/>
        <v>0039</v>
      </c>
      <c r="C2068" s="10" t="str">
        <f>_xlfn.LET(
    _xlpm.val, IF(Datadetails[[#This Row],[Activity]]="D02","C20",Datadetails[[#This Row],[Activity]]),
    IF(ISNUMBER(MATCH(_xlpm.val,{"D04","C30","c40","C20"},0)), _xlpm.val, "Other")
)</f>
        <v>C30</v>
      </c>
      <c r="D2068" s="10" t="str">
        <f>IFERROR(VLOOKUP(Datadetails[[#This Row],[Taskcode]],Dashboard!A:A,1,FALSE),"00 Err Missing")</f>
        <v>0039</v>
      </c>
      <c r="E2068" s="79">
        <v>45916</v>
      </c>
      <c r="F2068" s="80" t="s">
        <v>329</v>
      </c>
      <c r="G2068" s="60" t="s">
        <v>40</v>
      </c>
      <c r="H2068" s="80" t="s">
        <v>206</v>
      </c>
      <c r="I2068" s="80" t="s">
        <v>34</v>
      </c>
      <c r="J2068" s="80" t="s">
        <v>367</v>
      </c>
      <c r="K2068" s="80" t="s">
        <v>347</v>
      </c>
      <c r="L2068" s="80" t="s">
        <v>343</v>
      </c>
      <c r="M2068" s="81">
        <v>0.17</v>
      </c>
      <c r="N2068" s="82">
        <v>12.750000000000002</v>
      </c>
    </row>
    <row r="2069" spans="1:14" x14ac:dyDescent="0.25">
      <c r="A2069" s="10" t="str">
        <f>_xlfn.IFNA(
    IF(J2069=
        "PCB-0001",
        "CSS",
        IF(
            ISNUMBER(MATCH(_xlfn.TEXTBEFORE(J2069,"-"), {"CSS","CSN","PCB","PCF","BEC","CSD","PCM"}, 0)),
            _xlfn.TEXTBEFORE(J2069,"-"),
            "Other"
        )
    ),
"Add")</f>
        <v>PCB</v>
      </c>
      <c r="B2069" s="10" t="str">
        <f t="shared" si="33"/>
        <v>0062</v>
      </c>
      <c r="C2069" s="10" t="str">
        <f>_xlfn.LET(
    _xlpm.val, IF(Datadetails[[#This Row],[Activity]]="D02","C20",Datadetails[[#This Row],[Activity]]),
    IF(ISNUMBER(MATCH(_xlpm.val,{"D04","C30","c40","C20"},0)), _xlpm.val, "Other")
)</f>
        <v>C30</v>
      </c>
      <c r="D2069" s="10" t="str">
        <f>IFERROR(VLOOKUP(Datadetails[[#This Row],[Taskcode]],Dashboard!A:A,1,FALSE),"00 Err Missing")</f>
        <v>0062</v>
      </c>
      <c r="E2069" s="79">
        <v>45916</v>
      </c>
      <c r="F2069" s="80" t="s">
        <v>329</v>
      </c>
      <c r="G2069" s="60" t="s">
        <v>40</v>
      </c>
      <c r="H2069" s="80" t="s">
        <v>229</v>
      </c>
      <c r="I2069" s="80" t="s">
        <v>34</v>
      </c>
      <c r="J2069" s="80" t="s">
        <v>373</v>
      </c>
      <c r="K2069" s="80" t="s">
        <v>347</v>
      </c>
      <c r="L2069" s="80" t="s">
        <v>343</v>
      </c>
      <c r="M2069" s="81">
        <v>0.67</v>
      </c>
      <c r="N2069" s="82">
        <v>50.25</v>
      </c>
    </row>
    <row r="2070" spans="1:14" x14ac:dyDescent="0.25">
      <c r="A2070" s="10" t="str">
        <f>_xlfn.IFNA(
    IF(J2070=
        "PCB-0001",
        "CSS",
        IF(
            ISNUMBER(MATCH(_xlfn.TEXTBEFORE(J2070,"-"), {"CSS","CSN","PCB","PCF","BEC","CSD","PCM"}, 0)),
            _xlfn.TEXTBEFORE(J2070,"-"),
            "Other"
        )
    ),
"Add")</f>
        <v>PCB</v>
      </c>
      <c r="B2070" s="10" t="str">
        <f t="shared" si="33"/>
        <v>0058</v>
      </c>
      <c r="C2070" s="10" t="str">
        <f>_xlfn.LET(
    _xlpm.val, IF(Datadetails[[#This Row],[Activity]]="D02","C20",Datadetails[[#This Row],[Activity]]),
    IF(ISNUMBER(MATCH(_xlpm.val,{"D04","C30","c40","C20"},0)), _xlpm.val, "Other")
)</f>
        <v>C30</v>
      </c>
      <c r="D2070" s="10" t="str">
        <f>IFERROR(VLOOKUP(Datadetails[[#This Row],[Taskcode]],Dashboard!A:A,1,FALSE),"00 Err Missing")</f>
        <v>0058</v>
      </c>
      <c r="E2070" s="79">
        <v>45916</v>
      </c>
      <c r="F2070" s="80" t="s">
        <v>330</v>
      </c>
      <c r="G2070" s="60" t="s">
        <v>40</v>
      </c>
      <c r="H2070" s="80" t="s">
        <v>225</v>
      </c>
      <c r="I2070" s="80" t="s">
        <v>34</v>
      </c>
      <c r="J2070" s="80" t="s">
        <v>365</v>
      </c>
      <c r="K2070" s="80" t="s">
        <v>347</v>
      </c>
      <c r="L2070" s="80" t="s">
        <v>343</v>
      </c>
      <c r="M2070" s="81">
        <v>0.5</v>
      </c>
      <c r="N2070" s="82">
        <v>30</v>
      </c>
    </row>
    <row r="2071" spans="1:14" x14ac:dyDescent="0.25">
      <c r="A2071" s="10" t="str">
        <f>_xlfn.IFNA(
    IF(J2071=
        "PCB-0001",
        "CSS",
        IF(
            ISNUMBER(MATCH(_xlfn.TEXTBEFORE(J2071,"-"), {"CSS","CSN","PCB","PCF","BEC","CSD","PCM"}, 0)),
            _xlfn.TEXTBEFORE(J2071,"-"),
            "Other"
        )
    ),
"Add")</f>
        <v>PCB</v>
      </c>
      <c r="B2071" s="10" t="str">
        <f t="shared" si="33"/>
        <v>0054</v>
      </c>
      <c r="C2071" s="10" t="str">
        <f>_xlfn.LET(
    _xlpm.val, IF(Datadetails[[#This Row],[Activity]]="D02","C20",Datadetails[[#This Row],[Activity]]),
    IF(ISNUMBER(MATCH(_xlpm.val,{"D04","C30","c40","C20"},0)), _xlpm.val, "Other")
)</f>
        <v>C30</v>
      </c>
      <c r="D2071" s="10" t="str">
        <f>IFERROR(VLOOKUP(Datadetails[[#This Row],[Taskcode]],Dashboard!A:A,1,FALSE),"00 Err Missing")</f>
        <v>0054</v>
      </c>
      <c r="E2071" s="79">
        <v>45916</v>
      </c>
      <c r="F2071" s="80" t="s">
        <v>329</v>
      </c>
      <c r="G2071" s="60" t="s">
        <v>40</v>
      </c>
      <c r="H2071" s="80" t="s">
        <v>221</v>
      </c>
      <c r="I2071" s="80" t="s">
        <v>34</v>
      </c>
      <c r="J2071" s="80" t="s">
        <v>369</v>
      </c>
      <c r="K2071" s="80" t="s">
        <v>347</v>
      </c>
      <c r="L2071" s="80" t="s">
        <v>343</v>
      </c>
      <c r="M2071" s="81">
        <v>0.08</v>
      </c>
      <c r="N2071" s="82">
        <v>6</v>
      </c>
    </row>
    <row r="2072" spans="1:14" x14ac:dyDescent="0.25">
      <c r="A2072" s="10" t="str">
        <f>_xlfn.IFNA(
    IF(J2072=
        "PCB-0001",
        "CSS",
        IF(
            ISNUMBER(MATCH(_xlfn.TEXTBEFORE(J2072,"-"), {"CSS","CSN","PCB","PCF","BEC","CSD","PCM"}, 0)),
            _xlfn.TEXTBEFORE(J2072,"-"),
            "Other"
        )
    ),
"Add")</f>
        <v>PCB</v>
      </c>
      <c r="B2072" s="10" t="str">
        <f t="shared" si="33"/>
        <v>0136</v>
      </c>
      <c r="C2072" s="10" t="str">
        <f>_xlfn.LET(
    _xlpm.val, IF(Datadetails[[#This Row],[Activity]]="D02","C20",Datadetails[[#This Row],[Activity]]),
    IF(ISNUMBER(MATCH(_xlpm.val,{"D04","C30","c40","C20"},0)), _xlpm.val, "Other")
)</f>
        <v>C30</v>
      </c>
      <c r="D2072" s="10" t="str">
        <f>IFERROR(VLOOKUP(Datadetails[[#This Row],[Taskcode]],Dashboard!A:A,1,FALSE),"00 Err Missing")</f>
        <v>0136</v>
      </c>
      <c r="E2072" s="79">
        <v>45916</v>
      </c>
      <c r="F2072" s="80" t="s">
        <v>329</v>
      </c>
      <c r="G2072" s="60" t="s">
        <v>40</v>
      </c>
      <c r="H2072" s="80" t="s">
        <v>303</v>
      </c>
      <c r="I2072" s="80" t="s">
        <v>34</v>
      </c>
      <c r="J2072" s="80" t="s">
        <v>400</v>
      </c>
      <c r="K2072" s="80" t="s">
        <v>347</v>
      </c>
      <c r="L2072" s="80" t="s">
        <v>343</v>
      </c>
      <c r="M2072" s="81">
        <v>0.08</v>
      </c>
      <c r="N2072" s="82">
        <v>6</v>
      </c>
    </row>
    <row r="2073" spans="1:14" x14ac:dyDescent="0.25">
      <c r="A2073" s="10" t="str">
        <f>_xlfn.IFNA(
    IF(J2073=
        "PCB-0001",
        "CSS",
        IF(
            ISNUMBER(MATCH(_xlfn.TEXTBEFORE(J2073,"-"), {"CSS","CSN","PCB","PCF","BEC","CSD","PCM"}, 0)),
            _xlfn.TEXTBEFORE(J2073,"-"),
            "Other"
        )
    ),
"Add")</f>
        <v>PCB</v>
      </c>
      <c r="B2073" s="10" t="str">
        <f t="shared" si="33"/>
        <v>0075</v>
      </c>
      <c r="C2073" s="10" t="str">
        <f>_xlfn.LET(
    _xlpm.val, IF(Datadetails[[#This Row],[Activity]]="D02","C20",Datadetails[[#This Row],[Activity]]),
    IF(ISNUMBER(MATCH(_xlpm.val,{"D04","C30","c40","C20"},0)), _xlpm.val, "Other")
)</f>
        <v>C30</v>
      </c>
      <c r="D2073" s="10" t="str">
        <f>IFERROR(VLOOKUP(Datadetails[[#This Row],[Taskcode]],Dashboard!A:A,1,FALSE),"00 Err Missing")</f>
        <v>0075</v>
      </c>
      <c r="E2073" s="79">
        <v>45916</v>
      </c>
      <c r="F2073" s="80" t="s">
        <v>329</v>
      </c>
      <c r="G2073" s="60" t="s">
        <v>40</v>
      </c>
      <c r="H2073" s="80" t="s">
        <v>242</v>
      </c>
      <c r="I2073" s="80" t="s">
        <v>34</v>
      </c>
      <c r="J2073" s="80" t="s">
        <v>404</v>
      </c>
      <c r="K2073" s="80" t="s">
        <v>347</v>
      </c>
      <c r="L2073" s="80" t="s">
        <v>343</v>
      </c>
      <c r="M2073" s="81">
        <v>0.08</v>
      </c>
      <c r="N2073" s="82">
        <v>6</v>
      </c>
    </row>
    <row r="2074" spans="1:14" x14ac:dyDescent="0.25">
      <c r="A2074" s="10" t="str">
        <f>_xlfn.IFNA(
    IF(J2074=
        "PCB-0001",
        "CSS",
        IF(
            ISNUMBER(MATCH(_xlfn.TEXTBEFORE(J2074,"-"), {"CSS","CSN","PCB","PCF","BEC","CSD","PCM"}, 0)),
            _xlfn.TEXTBEFORE(J2074,"-"),
            "Other"
        )
    ),
"Add")</f>
        <v>PCB</v>
      </c>
      <c r="B2074" s="10" t="str">
        <f t="shared" si="33"/>
        <v>0010</v>
      </c>
      <c r="C2074" s="10" t="str">
        <f>_xlfn.LET(
    _xlpm.val, IF(Datadetails[[#This Row],[Activity]]="D02","C20",Datadetails[[#This Row],[Activity]]),
    IF(ISNUMBER(MATCH(_xlpm.val,{"D04","C30","c40","C20"},0)), _xlpm.val, "Other")
)</f>
        <v>C30</v>
      </c>
      <c r="D2074" s="10" t="str">
        <f>IFERROR(VLOOKUP(Datadetails[[#This Row],[Taskcode]],Dashboard!A:A,1,FALSE),"00 Err Missing")</f>
        <v>0010</v>
      </c>
      <c r="E2074" s="79">
        <v>45916</v>
      </c>
      <c r="F2074" s="80" t="s">
        <v>330</v>
      </c>
      <c r="G2074" s="60" t="s">
        <v>40</v>
      </c>
      <c r="H2074" s="80" t="s">
        <v>177</v>
      </c>
      <c r="I2074" s="80" t="s">
        <v>34</v>
      </c>
      <c r="J2074" s="80" t="s">
        <v>461</v>
      </c>
      <c r="K2074" s="80" t="s">
        <v>347</v>
      </c>
      <c r="L2074" s="80" t="s">
        <v>343</v>
      </c>
      <c r="M2074" s="81">
        <v>0.5</v>
      </c>
      <c r="N2074" s="82">
        <v>30</v>
      </c>
    </row>
    <row r="2075" spans="1:14" x14ac:dyDescent="0.25">
      <c r="A2075" s="10" t="str">
        <f>_xlfn.IFNA(
    IF(J2075=
        "PCB-0001",
        "CSS",
        IF(
            ISNUMBER(MATCH(_xlfn.TEXTBEFORE(J2075,"-"), {"CSS","CSN","PCB","PCF","BEC","CSD","PCM"}, 0)),
            _xlfn.TEXTBEFORE(J2075,"-"),
            "Other"
        )
    ),
"Add")</f>
        <v>PCB</v>
      </c>
      <c r="B2075" s="10" t="str">
        <f t="shared" si="33"/>
        <v>0121</v>
      </c>
      <c r="C2075" s="10" t="str">
        <f>_xlfn.LET(
    _xlpm.val, IF(Datadetails[[#This Row],[Activity]]="D02","C20",Datadetails[[#This Row],[Activity]]),
    IF(ISNUMBER(MATCH(_xlpm.val,{"D04","C30","c40","C20"},0)), _xlpm.val, "Other")
)</f>
        <v>C30</v>
      </c>
      <c r="D2075" s="10" t="str">
        <f>IFERROR(VLOOKUP(Datadetails[[#This Row],[Taskcode]],Dashboard!A:A,1,FALSE),"00 Err Missing")</f>
        <v>0121</v>
      </c>
      <c r="E2075" s="79">
        <v>45916</v>
      </c>
      <c r="F2075" s="80" t="s">
        <v>329</v>
      </c>
      <c r="G2075" s="60" t="s">
        <v>40</v>
      </c>
      <c r="H2075" s="80" t="s">
        <v>288</v>
      </c>
      <c r="I2075" s="80" t="s">
        <v>34</v>
      </c>
      <c r="J2075" s="80" t="s">
        <v>405</v>
      </c>
      <c r="K2075" s="80" t="s">
        <v>347</v>
      </c>
      <c r="L2075" s="80" t="s">
        <v>343</v>
      </c>
      <c r="M2075" s="81">
        <v>0.08</v>
      </c>
      <c r="N2075" s="82">
        <v>6</v>
      </c>
    </row>
    <row r="2076" spans="1:14" x14ac:dyDescent="0.25">
      <c r="A2076" s="10" t="str">
        <f>_xlfn.IFNA(
    IF(J2076=
        "PCB-0001",
        "CSS",
        IF(
            ISNUMBER(MATCH(_xlfn.TEXTBEFORE(J2076,"-"), {"CSS","CSN","PCB","PCF","BEC","CSD","PCM"}, 0)),
            _xlfn.TEXTBEFORE(J2076,"-"),
            "Other"
        )
    ),
"Add")</f>
        <v>PCB</v>
      </c>
      <c r="B2076" s="10" t="str">
        <f t="shared" si="33"/>
        <v>0128</v>
      </c>
      <c r="C2076" s="10" t="str">
        <f>_xlfn.LET(
    _xlpm.val, IF(Datadetails[[#This Row],[Activity]]="D02","C20",Datadetails[[#This Row],[Activity]]),
    IF(ISNUMBER(MATCH(_xlpm.val,{"D04","C30","c40","C20"},0)), _xlpm.val, "Other")
)</f>
        <v>C30</v>
      </c>
      <c r="D2076" s="10" t="str">
        <f>IFERROR(VLOOKUP(Datadetails[[#This Row],[Taskcode]],Dashboard!A:A,1,FALSE),"00 Err Missing")</f>
        <v>0128</v>
      </c>
      <c r="E2076" s="79">
        <v>45916</v>
      </c>
      <c r="F2076" s="80" t="s">
        <v>329</v>
      </c>
      <c r="G2076" s="60" t="s">
        <v>40</v>
      </c>
      <c r="H2076" s="80" t="s">
        <v>295</v>
      </c>
      <c r="I2076" s="80" t="s">
        <v>34</v>
      </c>
      <c r="J2076" s="80" t="s">
        <v>379</v>
      </c>
      <c r="K2076" s="80" t="s">
        <v>347</v>
      </c>
      <c r="L2076" s="80" t="s">
        <v>343</v>
      </c>
      <c r="M2076" s="81">
        <v>0.17</v>
      </c>
      <c r="N2076" s="82">
        <v>12.750000000000002</v>
      </c>
    </row>
    <row r="2077" spans="1:14" x14ac:dyDescent="0.25">
      <c r="A2077" s="10" t="str">
        <f>_xlfn.IFNA(
    IF(J2077=
        "PCB-0001",
        "CSS",
        IF(
            ISNUMBER(MATCH(_xlfn.TEXTBEFORE(J2077,"-"), {"CSS","CSN","PCB","PCF","BEC","CSD","PCM"}, 0)),
            _xlfn.TEXTBEFORE(J2077,"-"),
            "Other"
        )
    ),
"Add")</f>
        <v>PCB</v>
      </c>
      <c r="B2077" s="10" t="str">
        <f t="shared" si="33"/>
        <v>0130</v>
      </c>
      <c r="C2077" s="10" t="str">
        <f>_xlfn.LET(
    _xlpm.val, IF(Datadetails[[#This Row],[Activity]]="D02","C20",Datadetails[[#This Row],[Activity]]),
    IF(ISNUMBER(MATCH(_xlpm.val,{"D04","C30","c40","C20"},0)), _xlpm.val, "Other")
)</f>
        <v>C30</v>
      </c>
      <c r="D2077" s="10" t="str">
        <f>IFERROR(VLOOKUP(Datadetails[[#This Row],[Taskcode]],Dashboard!A:A,1,FALSE),"00 Err Missing")</f>
        <v>0130</v>
      </c>
      <c r="E2077" s="79">
        <v>45916</v>
      </c>
      <c r="F2077" s="80" t="s">
        <v>330</v>
      </c>
      <c r="G2077" s="60" t="s">
        <v>40</v>
      </c>
      <c r="H2077" s="80" t="s">
        <v>297</v>
      </c>
      <c r="I2077" s="80" t="s">
        <v>34</v>
      </c>
      <c r="J2077" s="80" t="s">
        <v>380</v>
      </c>
      <c r="K2077" s="80" t="s">
        <v>347</v>
      </c>
      <c r="L2077" s="80" t="s">
        <v>343</v>
      </c>
      <c r="M2077" s="81">
        <v>0.5</v>
      </c>
      <c r="N2077" s="82">
        <v>30</v>
      </c>
    </row>
    <row r="2078" spans="1:14" x14ac:dyDescent="0.25">
      <c r="A2078" s="10" t="str">
        <f>_xlfn.IFNA(
    IF(J2078=
        "PCB-0001",
        "CSS",
        IF(
            ISNUMBER(MATCH(_xlfn.TEXTBEFORE(J2078,"-"), {"CSS","CSN","PCB","PCF","BEC","CSD","PCM"}, 0)),
            _xlfn.TEXTBEFORE(J2078,"-"),
            "Other"
        )
    ),
"Add")</f>
        <v>PCB</v>
      </c>
      <c r="B2078" s="10" t="str">
        <f t="shared" si="33"/>
        <v>0087</v>
      </c>
      <c r="C2078" s="10" t="str">
        <f>_xlfn.LET(
    _xlpm.val, IF(Datadetails[[#This Row],[Activity]]="D02","C20",Datadetails[[#This Row],[Activity]]),
    IF(ISNUMBER(MATCH(_xlpm.val,{"D04","C30","c40","C20"},0)), _xlpm.val, "Other")
)</f>
        <v>C30</v>
      </c>
      <c r="D2078" s="10" t="str">
        <f>IFERROR(VLOOKUP(Datadetails[[#This Row],[Taskcode]],Dashboard!A:A,1,FALSE),"00 Err Missing")</f>
        <v>0087</v>
      </c>
      <c r="E2078" s="79">
        <v>45916</v>
      </c>
      <c r="F2078" s="80" t="s">
        <v>325</v>
      </c>
      <c r="G2078" s="60" t="s">
        <v>40</v>
      </c>
      <c r="H2078" s="80" t="s">
        <v>254</v>
      </c>
      <c r="I2078" s="80" t="s">
        <v>34</v>
      </c>
      <c r="J2078" s="80" t="s">
        <v>441</v>
      </c>
      <c r="K2078" s="80" t="s">
        <v>347</v>
      </c>
      <c r="L2078" s="80" t="s">
        <v>343</v>
      </c>
      <c r="M2078" s="81">
        <v>0.17</v>
      </c>
      <c r="N2078" s="82">
        <v>12.750000000000002</v>
      </c>
    </row>
    <row r="2079" spans="1:14" x14ac:dyDescent="0.25">
      <c r="A2079" s="10" t="str">
        <f>_xlfn.IFNA(
    IF(J2079=
        "PCB-0001",
        "CSS",
        IF(
            ISNUMBER(MATCH(_xlfn.TEXTBEFORE(J2079,"-"), {"CSS","CSN","PCB","PCF","BEC","CSD","PCM"}, 0)),
            _xlfn.TEXTBEFORE(J2079,"-"),
            "Other"
        )
    ),
"Add")</f>
        <v>PCB</v>
      </c>
      <c r="B2079" s="10" t="str">
        <f t="shared" si="33"/>
        <v>0081</v>
      </c>
      <c r="C2079" s="10" t="str">
        <f>_xlfn.LET(
    _xlpm.val, IF(Datadetails[[#This Row],[Activity]]="D02","C20",Datadetails[[#This Row],[Activity]]),
    IF(ISNUMBER(MATCH(_xlpm.val,{"D04","C30","c40","C20"},0)), _xlpm.val, "Other")
)</f>
        <v>C30</v>
      </c>
      <c r="D2079" s="10" t="str">
        <f>IFERROR(VLOOKUP(Datadetails[[#This Row],[Taskcode]],Dashboard!A:A,1,FALSE),"00 Err Missing")</f>
        <v>0081</v>
      </c>
      <c r="E2079" s="79">
        <v>45916</v>
      </c>
      <c r="F2079" s="80" t="s">
        <v>329</v>
      </c>
      <c r="G2079" s="60" t="s">
        <v>40</v>
      </c>
      <c r="H2079" s="80" t="s">
        <v>248</v>
      </c>
      <c r="I2079" s="80" t="s">
        <v>34</v>
      </c>
      <c r="J2079" s="80" t="s">
        <v>385</v>
      </c>
      <c r="K2079" s="80" t="s">
        <v>347</v>
      </c>
      <c r="L2079" s="80" t="s">
        <v>343</v>
      </c>
      <c r="M2079" s="81">
        <v>0.08</v>
      </c>
      <c r="N2079" s="82">
        <v>6</v>
      </c>
    </row>
    <row r="2080" spans="1:14" x14ac:dyDescent="0.25">
      <c r="A2080" s="10" t="str">
        <f>_xlfn.IFNA(
    IF(J2080=
        "PCB-0001",
        "CSS",
        IF(
            ISNUMBER(MATCH(_xlfn.TEXTBEFORE(J2080,"-"), {"CSS","CSN","PCB","PCF","BEC","CSD","PCM"}, 0)),
            _xlfn.TEXTBEFORE(J2080,"-"),
            "Other"
        )
    ),
"Add")</f>
        <v>PCB</v>
      </c>
      <c r="B2080" s="10" t="str">
        <f t="shared" si="33"/>
        <v>0110</v>
      </c>
      <c r="C2080" s="10" t="str">
        <f>_xlfn.LET(
    _xlpm.val, IF(Datadetails[[#This Row],[Activity]]="D02","C20",Datadetails[[#This Row],[Activity]]),
    IF(ISNUMBER(MATCH(_xlpm.val,{"D04","C30","c40","C20"},0)), _xlpm.val, "Other")
)</f>
        <v>C30</v>
      </c>
      <c r="D2080" s="10" t="str">
        <f>IFERROR(VLOOKUP(Datadetails[[#This Row],[Taskcode]],Dashboard!A:A,1,FALSE),"00 Err Missing")</f>
        <v>0110</v>
      </c>
      <c r="E2080" s="79">
        <v>45916</v>
      </c>
      <c r="F2080" s="80" t="s">
        <v>325</v>
      </c>
      <c r="G2080" s="60" t="s">
        <v>40</v>
      </c>
      <c r="H2080" s="80" t="s">
        <v>277</v>
      </c>
      <c r="I2080" s="80" t="s">
        <v>34</v>
      </c>
      <c r="J2080" s="80" t="s">
        <v>353</v>
      </c>
      <c r="K2080" s="80" t="s">
        <v>347</v>
      </c>
      <c r="L2080" s="80" t="s">
        <v>343</v>
      </c>
      <c r="M2080" s="81">
        <v>0.25</v>
      </c>
      <c r="N2080" s="82">
        <v>18.75</v>
      </c>
    </row>
    <row r="2081" spans="1:14" x14ac:dyDescent="0.25">
      <c r="A2081" s="10" t="str">
        <f>_xlfn.IFNA(
    IF(J2081=
        "PCB-0001",
        "CSS",
        IF(
            ISNUMBER(MATCH(_xlfn.TEXTBEFORE(J2081,"-"), {"CSS","CSN","PCB","PCF","BEC","CSD","PCM"}, 0)),
            _xlfn.TEXTBEFORE(J2081,"-"),
            "Other"
        )
    ),
"Add")</f>
        <v>PCB</v>
      </c>
      <c r="B2081" s="10" t="str">
        <f t="shared" si="33"/>
        <v>0063</v>
      </c>
      <c r="C2081" s="10" t="str">
        <f>_xlfn.LET(
    _xlpm.val, IF(Datadetails[[#This Row],[Activity]]="D02","C20",Datadetails[[#This Row],[Activity]]),
    IF(ISNUMBER(MATCH(_xlpm.val,{"D04","C30","c40","C20"},0)), _xlpm.val, "Other")
)</f>
        <v>C30</v>
      </c>
      <c r="D2081" s="10" t="str">
        <f>IFERROR(VLOOKUP(Datadetails[[#This Row],[Taskcode]],Dashboard!A:A,1,FALSE),"00 Err Missing")</f>
        <v>0063</v>
      </c>
      <c r="E2081" s="79">
        <v>45916</v>
      </c>
      <c r="F2081" s="80" t="s">
        <v>329</v>
      </c>
      <c r="G2081" s="60" t="s">
        <v>40</v>
      </c>
      <c r="H2081" s="80" t="s">
        <v>230</v>
      </c>
      <c r="I2081" s="80" t="s">
        <v>34</v>
      </c>
      <c r="J2081" s="80" t="s">
        <v>410</v>
      </c>
      <c r="K2081" s="80" t="s">
        <v>347</v>
      </c>
      <c r="L2081" s="80" t="s">
        <v>343</v>
      </c>
      <c r="M2081" s="81">
        <v>0.17</v>
      </c>
      <c r="N2081" s="82">
        <v>12.750000000000002</v>
      </c>
    </row>
    <row r="2082" spans="1:14" x14ac:dyDescent="0.25">
      <c r="A2082" s="10" t="str">
        <f>_xlfn.IFNA(
    IF(J2082=
        "PCB-0001",
        "CSS",
        IF(
            ISNUMBER(MATCH(_xlfn.TEXTBEFORE(J2082,"-"), {"CSS","CSN","PCB","PCF","BEC","CSD","PCM"}, 0)),
            _xlfn.TEXTBEFORE(J2082,"-"),
            "Other"
        )
    ),
"Add")</f>
        <v>PCB</v>
      </c>
      <c r="B2082" s="10" t="str">
        <f t="shared" si="33"/>
        <v>0080</v>
      </c>
      <c r="C2082" s="10" t="str">
        <f>_xlfn.LET(
    _xlpm.val, IF(Datadetails[[#This Row],[Activity]]="D02","C20",Datadetails[[#This Row],[Activity]]),
    IF(ISNUMBER(MATCH(_xlpm.val,{"D04","C30","c40","C20"},0)), _xlpm.val, "Other")
)</f>
        <v>C40</v>
      </c>
      <c r="D2082" s="10" t="str">
        <f>IFERROR(VLOOKUP(Datadetails[[#This Row],[Taskcode]],Dashboard!A:A,1,FALSE),"00 Err Missing")</f>
        <v>0080</v>
      </c>
      <c r="E2082" s="79">
        <v>45916</v>
      </c>
      <c r="F2082" s="80" t="s">
        <v>329</v>
      </c>
      <c r="G2082" s="60" t="s">
        <v>40</v>
      </c>
      <c r="H2082" s="80" t="s">
        <v>247</v>
      </c>
      <c r="I2082" s="80" t="s">
        <v>341</v>
      </c>
      <c r="J2082" s="80" t="s">
        <v>375</v>
      </c>
      <c r="K2082" s="80" t="s">
        <v>347</v>
      </c>
      <c r="L2082" s="80" t="s">
        <v>344</v>
      </c>
      <c r="M2082" s="81">
        <v>1</v>
      </c>
      <c r="N2082" s="82">
        <v>75</v>
      </c>
    </row>
    <row r="2083" spans="1:14" x14ac:dyDescent="0.25">
      <c r="A2083" s="10" t="str">
        <f>_xlfn.IFNA(
    IF(J2083=
        "PCB-0001",
        "CSS",
        IF(
            ISNUMBER(MATCH(_xlfn.TEXTBEFORE(J2083,"-"), {"CSS","CSN","PCB","PCF","BEC","CSD","PCM"}, 0)),
            _xlfn.TEXTBEFORE(J2083,"-"),
            "Other"
        )
    ),
"Add")</f>
        <v>PCF</v>
      </c>
      <c r="B2083" s="10" t="str">
        <f t="shared" si="33"/>
        <v>0066</v>
      </c>
      <c r="C2083" s="10" t="str">
        <f>_xlfn.LET(
    _xlpm.val, IF(Datadetails[[#This Row],[Activity]]="D02","C20",Datadetails[[#This Row],[Activity]]),
    IF(ISNUMBER(MATCH(_xlpm.val,{"D04","C30","c40","C20"},0)), _xlpm.val, "Other")
)</f>
        <v>C20</v>
      </c>
      <c r="D2083" s="10" t="str">
        <f>IFERROR(VLOOKUP(Datadetails[[#This Row],[Taskcode]],Dashboard!A:A,1,FALSE),"00 Err Missing")</f>
        <v>0066</v>
      </c>
      <c r="E2083" s="79">
        <v>45916</v>
      </c>
      <c r="F2083" s="80" t="s">
        <v>326</v>
      </c>
      <c r="G2083" s="60" t="s">
        <v>40</v>
      </c>
      <c r="H2083" s="80" t="s">
        <v>233</v>
      </c>
      <c r="I2083" s="80" t="s">
        <v>36</v>
      </c>
      <c r="J2083" s="80" t="s">
        <v>387</v>
      </c>
      <c r="K2083" s="80" t="s">
        <v>348</v>
      </c>
      <c r="L2083" s="80" t="s">
        <v>342</v>
      </c>
      <c r="M2083" s="81">
        <v>0.67</v>
      </c>
      <c r="N2083" s="82">
        <v>40.200000000000003</v>
      </c>
    </row>
    <row r="2084" spans="1:14" x14ac:dyDescent="0.25">
      <c r="A2084" s="10" t="str">
        <f>_xlfn.IFNA(
    IF(J2084=
        "PCB-0001",
        "CSS",
        IF(
            ISNUMBER(MATCH(_xlfn.TEXTBEFORE(J2084,"-"), {"CSS","CSN","PCB","PCF","BEC","CSD","PCM"}, 0)),
            _xlfn.TEXTBEFORE(J2084,"-"),
            "Other"
        )
    ),
"Add")</f>
        <v>PCF</v>
      </c>
      <c r="B2084" s="10" t="str">
        <f t="shared" si="33"/>
        <v>0067</v>
      </c>
      <c r="C2084" s="10" t="str">
        <f>_xlfn.LET(
    _xlpm.val, IF(Datadetails[[#This Row],[Activity]]="D02","C20",Datadetails[[#This Row],[Activity]]),
    IF(ISNUMBER(MATCH(_xlpm.val,{"D04","C30","c40","C20"},0)), _xlpm.val, "Other")
)</f>
        <v>C20</v>
      </c>
      <c r="D2084" s="10" t="str">
        <f>IFERROR(VLOOKUP(Datadetails[[#This Row],[Taskcode]],Dashboard!A:A,1,FALSE),"00 Err Missing")</f>
        <v>0067</v>
      </c>
      <c r="E2084" s="79">
        <v>45916</v>
      </c>
      <c r="F2084" s="80" t="s">
        <v>326</v>
      </c>
      <c r="G2084" s="60" t="s">
        <v>40</v>
      </c>
      <c r="H2084" s="80" t="s">
        <v>234</v>
      </c>
      <c r="I2084" s="80" t="s">
        <v>36</v>
      </c>
      <c r="J2084" s="80" t="s">
        <v>389</v>
      </c>
      <c r="K2084" s="80" t="s">
        <v>348</v>
      </c>
      <c r="L2084" s="80" t="s">
        <v>342</v>
      </c>
      <c r="M2084" s="81">
        <v>0.67</v>
      </c>
      <c r="N2084" s="82">
        <v>40.200000000000003</v>
      </c>
    </row>
    <row r="2085" spans="1:14" x14ac:dyDescent="0.25">
      <c r="A2085" s="10" t="str">
        <f>_xlfn.IFNA(
    IF(J2085=
        "PCB-0001",
        "CSS",
        IF(
            ISNUMBER(MATCH(_xlfn.TEXTBEFORE(J2085,"-"), {"CSS","CSN","PCB","PCF","BEC","CSD","PCM"}, 0)),
            _xlfn.TEXTBEFORE(J2085,"-"),
            "Other"
        )
    ),
"Add")</f>
        <v>PCF</v>
      </c>
      <c r="B2085" s="10" t="str">
        <f t="shared" si="33"/>
        <v>0068</v>
      </c>
      <c r="C2085" s="10" t="str">
        <f>_xlfn.LET(
    _xlpm.val, IF(Datadetails[[#This Row],[Activity]]="D02","C20",Datadetails[[#This Row],[Activity]]),
    IF(ISNUMBER(MATCH(_xlpm.val,{"D04","C30","c40","C20"},0)), _xlpm.val, "Other")
)</f>
        <v>C20</v>
      </c>
      <c r="D2085" s="10" t="str">
        <f>IFERROR(VLOOKUP(Datadetails[[#This Row],[Taskcode]],Dashboard!A:A,1,FALSE),"00 Err Missing")</f>
        <v>0068</v>
      </c>
      <c r="E2085" s="79">
        <v>45916</v>
      </c>
      <c r="F2085" s="80" t="s">
        <v>326</v>
      </c>
      <c r="G2085" s="60" t="s">
        <v>40</v>
      </c>
      <c r="H2085" s="80" t="s">
        <v>235</v>
      </c>
      <c r="I2085" s="80" t="s">
        <v>36</v>
      </c>
      <c r="J2085" s="80" t="s">
        <v>355</v>
      </c>
      <c r="K2085" s="80" t="s">
        <v>348</v>
      </c>
      <c r="L2085" s="80" t="s">
        <v>342</v>
      </c>
      <c r="M2085" s="81">
        <v>0.67</v>
      </c>
      <c r="N2085" s="82">
        <v>40.200000000000003</v>
      </c>
    </row>
    <row r="2086" spans="1:14" x14ac:dyDescent="0.25">
      <c r="A2086" s="10" t="str">
        <f>_xlfn.IFNA(
    IF(J2086=
        "PCB-0001",
        "CSS",
        IF(
            ISNUMBER(MATCH(_xlfn.TEXTBEFORE(J2086,"-"), {"CSS","CSN","PCB","PCF","BEC","CSD","PCM"}, 0)),
            _xlfn.TEXTBEFORE(J2086,"-"),
            "Other"
        )
    ),
"Add")</f>
        <v>PCF</v>
      </c>
      <c r="B2086" s="10" t="str">
        <f t="shared" si="33"/>
        <v>0069</v>
      </c>
      <c r="C2086" s="10" t="str">
        <f>_xlfn.LET(
    _xlpm.val, IF(Datadetails[[#This Row],[Activity]]="D02","C20",Datadetails[[#This Row],[Activity]]),
    IF(ISNUMBER(MATCH(_xlpm.val,{"D04","C30","c40","C20"},0)), _xlpm.val, "Other")
)</f>
        <v>C20</v>
      </c>
      <c r="D2086" s="10" t="str">
        <f>IFERROR(VLOOKUP(Datadetails[[#This Row],[Taskcode]],Dashboard!A:A,1,FALSE),"00 Err Missing")</f>
        <v>0069</v>
      </c>
      <c r="E2086" s="79">
        <v>45916</v>
      </c>
      <c r="F2086" s="80" t="s">
        <v>326</v>
      </c>
      <c r="G2086" s="60" t="s">
        <v>40</v>
      </c>
      <c r="H2086" s="80" t="s">
        <v>236</v>
      </c>
      <c r="I2086" s="80" t="s">
        <v>36</v>
      </c>
      <c r="J2086" s="80" t="s">
        <v>357</v>
      </c>
      <c r="K2086" s="80" t="s">
        <v>348</v>
      </c>
      <c r="L2086" s="80" t="s">
        <v>342</v>
      </c>
      <c r="M2086" s="81">
        <v>0.67</v>
      </c>
      <c r="N2086" s="82">
        <v>40.200000000000003</v>
      </c>
    </row>
    <row r="2087" spans="1:14" x14ac:dyDescent="0.25">
      <c r="A2087" s="10" t="str">
        <f>_xlfn.IFNA(
    IF(J2087=
        "PCB-0001",
        "CSS",
        IF(
            ISNUMBER(MATCH(_xlfn.TEXTBEFORE(J2087,"-"), {"CSS","CSN","PCB","PCF","BEC","CSD","PCM"}, 0)),
            _xlfn.TEXTBEFORE(J2087,"-"),
            "Other"
        )
    ),
"Add")</f>
        <v>BEC</v>
      </c>
      <c r="B2087" s="10" t="str">
        <f t="shared" si="33"/>
        <v>0001</v>
      </c>
      <c r="C2087" s="10" t="str">
        <f>_xlfn.LET(
    _xlpm.val, IF(Datadetails[[#This Row],[Activity]]="D02","C20",Datadetails[[#This Row],[Activity]]),
    IF(ISNUMBER(MATCH(_xlpm.val,{"D04","C30","c40","C20"},0)), _xlpm.val, "Other")
)</f>
        <v>D04</v>
      </c>
      <c r="D2087" s="10" t="str">
        <f>IFERROR(VLOOKUP(Datadetails[[#This Row],[Taskcode]],Dashboard!A:A,1,FALSE),"00 Err Missing")</f>
        <v>0001</v>
      </c>
      <c r="E2087" s="79">
        <v>45916</v>
      </c>
      <c r="F2087" s="80" t="s">
        <v>332</v>
      </c>
      <c r="G2087" s="60" t="s">
        <v>40</v>
      </c>
      <c r="H2087" s="80" t="s">
        <v>314</v>
      </c>
      <c r="I2087" s="80" t="s">
        <v>35</v>
      </c>
      <c r="J2087" s="80" t="s">
        <v>359</v>
      </c>
      <c r="K2087" s="80" t="s">
        <v>339</v>
      </c>
      <c r="L2087" s="80" t="s">
        <v>352</v>
      </c>
      <c r="M2087" s="81">
        <v>8.17</v>
      </c>
      <c r="N2087" s="82">
        <v>326.8</v>
      </c>
    </row>
    <row r="2088" spans="1:14" x14ac:dyDescent="0.25">
      <c r="A2088" s="10" t="str">
        <f>_xlfn.IFNA(
    IF(J2088=
        "PCB-0001",
        "CSS",
        IF(
            ISNUMBER(MATCH(_xlfn.TEXTBEFORE(J2088,"-"), {"CSS","CSN","PCB","PCF","BEC","CSD","PCM"}, 0)),
            _xlfn.TEXTBEFORE(J2088,"-"),
            "Other"
        )
    ),
"Add")</f>
        <v>BEC</v>
      </c>
      <c r="B2088" s="10" t="str">
        <f t="shared" si="33"/>
        <v>0001</v>
      </c>
      <c r="C2088" s="10" t="str">
        <f>_xlfn.LET(
    _xlpm.val, IF(Datadetails[[#This Row],[Activity]]="D02","C20",Datadetails[[#This Row],[Activity]]),
    IF(ISNUMBER(MATCH(_xlpm.val,{"D04","C30","c40","C20"},0)), _xlpm.val, "Other")
)</f>
        <v>D04</v>
      </c>
      <c r="D2088" s="10" t="str">
        <f>IFERROR(VLOOKUP(Datadetails[[#This Row],[Taskcode]],Dashboard!A:A,1,FALSE),"00 Err Missing")</f>
        <v>0001</v>
      </c>
      <c r="E2088" s="79">
        <v>45916</v>
      </c>
      <c r="F2088" s="80" t="s">
        <v>324</v>
      </c>
      <c r="G2088" s="60" t="s">
        <v>40</v>
      </c>
      <c r="H2088" s="80" t="s">
        <v>314</v>
      </c>
      <c r="I2088" s="80" t="s">
        <v>35</v>
      </c>
      <c r="J2088" s="80" t="s">
        <v>359</v>
      </c>
      <c r="K2088" s="80" t="s">
        <v>339</v>
      </c>
      <c r="L2088" s="80" t="s">
        <v>352</v>
      </c>
      <c r="M2088" s="81">
        <v>8</v>
      </c>
      <c r="N2088" s="82">
        <v>600</v>
      </c>
    </row>
    <row r="2089" spans="1:14" x14ac:dyDescent="0.25">
      <c r="A2089" s="10" t="str">
        <f>_xlfn.IFNA(
    IF(J2089=
        "PCB-0001",
        "CSS",
        IF(
            ISNUMBER(MATCH(_xlfn.TEXTBEFORE(J2089,"-"), {"CSS","CSN","PCB","PCF","BEC","CSD","PCM"}, 0)),
            _xlfn.TEXTBEFORE(J2089,"-"),
            "Other"
        )
    ),
"Add")</f>
        <v>CSN</v>
      </c>
      <c r="B2089" s="10" t="str">
        <f t="shared" si="33"/>
        <v>0001</v>
      </c>
      <c r="C2089" s="10" t="str">
        <f>_xlfn.LET(
    _xlpm.val, IF(Datadetails[[#This Row],[Activity]]="D02","C20",Datadetails[[#This Row],[Activity]]),
    IF(ISNUMBER(MATCH(_xlpm.val,{"D04","C30","c40","C20"},0)), _xlpm.val, "Other")
)</f>
        <v>D04</v>
      </c>
      <c r="D2089" s="10" t="str">
        <f>IFERROR(VLOOKUP(Datadetails[[#This Row],[Taskcode]],Dashboard!A:A,1,FALSE),"00 Err Missing")</f>
        <v>0001</v>
      </c>
      <c r="E2089" s="79">
        <v>45917</v>
      </c>
      <c r="F2089" s="80" t="s">
        <v>329</v>
      </c>
      <c r="G2089" s="60" t="s">
        <v>40</v>
      </c>
      <c r="H2089" s="80" t="s">
        <v>316</v>
      </c>
      <c r="I2089" s="80" t="s">
        <v>35</v>
      </c>
      <c r="J2089" s="80" t="s">
        <v>338</v>
      </c>
      <c r="K2089" s="80" t="s">
        <v>337</v>
      </c>
      <c r="L2089" s="80" t="s">
        <v>352</v>
      </c>
      <c r="M2089" s="81">
        <v>1.25</v>
      </c>
      <c r="N2089" s="82">
        <v>93.75</v>
      </c>
    </row>
    <row r="2090" spans="1:14" x14ac:dyDescent="0.25">
      <c r="A2090" s="10" t="str">
        <f>_xlfn.IFNA(
    IF(J2090=
        "PCB-0001",
        "CSS",
        IF(
            ISNUMBER(MATCH(_xlfn.TEXTBEFORE(J2090,"-"), {"CSS","CSN","PCB","PCF","BEC","CSD","PCM"}, 0)),
            _xlfn.TEXTBEFORE(J2090,"-"),
            "Other"
        )
    ),
"Add")</f>
        <v>CSD</v>
      </c>
      <c r="B2090" s="10" t="str">
        <f t="shared" si="33"/>
        <v>0001</v>
      </c>
      <c r="C2090" s="10" t="str">
        <f>_xlfn.LET(
    _xlpm.val, IF(Datadetails[[#This Row],[Activity]]="D02","C20",Datadetails[[#This Row],[Activity]]),
    IF(ISNUMBER(MATCH(_xlpm.val,{"D04","C30","c40","C20"},0)), _xlpm.val, "Other")
)</f>
        <v>D04</v>
      </c>
      <c r="D2090" s="10" t="str">
        <f>IFERROR(VLOOKUP(Datadetails[[#This Row],[Taskcode]],Dashboard!A:A,1,FALSE),"00 Err Missing")</f>
        <v>0001</v>
      </c>
      <c r="E2090" s="79">
        <v>45917</v>
      </c>
      <c r="F2090" s="80" t="s">
        <v>333</v>
      </c>
      <c r="G2090" s="60" t="s">
        <v>40</v>
      </c>
      <c r="H2090" s="80" t="s">
        <v>320</v>
      </c>
      <c r="I2090" s="80" t="s">
        <v>35</v>
      </c>
      <c r="J2090" s="80" t="s">
        <v>322</v>
      </c>
      <c r="K2090" s="80" t="s">
        <v>319</v>
      </c>
      <c r="L2090" s="80" t="s">
        <v>352</v>
      </c>
      <c r="M2090" s="81">
        <v>8.75</v>
      </c>
      <c r="N2090" s="82">
        <v>280</v>
      </c>
    </row>
    <row r="2091" spans="1:14" x14ac:dyDescent="0.25">
      <c r="A2091" s="10" t="str">
        <f>_xlfn.IFNA(
    IF(J2091=
        "PCB-0001",
        "CSS",
        IF(
            ISNUMBER(MATCH(_xlfn.TEXTBEFORE(J2091,"-"), {"CSS","CSN","PCB","PCF","BEC","CSD","PCM"}, 0)),
            _xlfn.TEXTBEFORE(J2091,"-"),
            "Other"
        )
    ),
"Add")</f>
        <v>PCM</v>
      </c>
      <c r="B2091" s="10" t="str">
        <f t="shared" si="33"/>
        <v>0078</v>
      </c>
      <c r="C2091" s="10" t="str">
        <f>_xlfn.LET(
    _xlpm.val, IF(Datadetails[[#This Row],[Activity]]="D02","C20",Datadetails[[#This Row],[Activity]]),
    IF(ISNUMBER(MATCH(_xlpm.val,{"D04","C30","c40","C20"},0)), _xlpm.val, "Other")
)</f>
        <v>C20</v>
      </c>
      <c r="D2091" s="10" t="str">
        <f>IFERROR(VLOOKUP(Datadetails[[#This Row],[Taskcode]],Dashboard!A:A,1,FALSE),"00 Err Missing")</f>
        <v>0078</v>
      </c>
      <c r="E2091" s="79">
        <v>45917</v>
      </c>
      <c r="F2091" s="80" t="s">
        <v>323</v>
      </c>
      <c r="G2091" s="60" t="s">
        <v>40</v>
      </c>
      <c r="H2091" s="80" t="s">
        <v>245</v>
      </c>
      <c r="I2091" s="80" t="s">
        <v>36</v>
      </c>
      <c r="J2091" s="80" t="s">
        <v>435</v>
      </c>
      <c r="K2091" s="80" t="s">
        <v>346</v>
      </c>
      <c r="L2091" s="80" t="s">
        <v>342</v>
      </c>
      <c r="M2091" s="81">
        <v>0.25</v>
      </c>
      <c r="N2091" s="82">
        <v>15</v>
      </c>
    </row>
    <row r="2092" spans="1:14" x14ac:dyDescent="0.25">
      <c r="A2092" s="10" t="str">
        <f>_xlfn.IFNA(
    IF(J2092=
        "PCB-0001",
        "CSS",
        IF(
            ISNUMBER(MATCH(_xlfn.TEXTBEFORE(J2092,"-"), {"CSS","CSN","PCB","PCF","BEC","CSD","PCM"}, 0)),
            _xlfn.TEXTBEFORE(J2092,"-"),
            "Other"
        )
    ),
"Add")</f>
        <v>PCM</v>
      </c>
      <c r="B2092" s="10" t="str">
        <f t="shared" si="33"/>
        <v>0064</v>
      </c>
      <c r="C2092" s="10" t="str">
        <f>_xlfn.LET(
    _xlpm.val, IF(Datadetails[[#This Row],[Activity]]="D02","C20",Datadetails[[#This Row],[Activity]]),
    IF(ISNUMBER(MATCH(_xlpm.val,{"D04","C30","c40","C20"},0)), _xlpm.val, "Other")
)</f>
        <v>C30</v>
      </c>
      <c r="D2092" s="10" t="str">
        <f>IFERROR(VLOOKUP(Datadetails[[#This Row],[Taskcode]],Dashboard!A:A,1,FALSE),"00 Err Missing")</f>
        <v>0064</v>
      </c>
      <c r="E2092" s="79">
        <v>45917</v>
      </c>
      <c r="F2092" s="80" t="s">
        <v>323</v>
      </c>
      <c r="G2092" s="60" t="s">
        <v>40</v>
      </c>
      <c r="H2092" s="80" t="s">
        <v>231</v>
      </c>
      <c r="I2092" s="80" t="s">
        <v>34</v>
      </c>
      <c r="J2092" s="80" t="s">
        <v>420</v>
      </c>
      <c r="K2092" s="80" t="s">
        <v>346</v>
      </c>
      <c r="L2092" s="80" t="s">
        <v>343</v>
      </c>
      <c r="M2092" s="81">
        <v>0.25</v>
      </c>
      <c r="N2092" s="82">
        <v>15</v>
      </c>
    </row>
    <row r="2093" spans="1:14" x14ac:dyDescent="0.25">
      <c r="A2093" s="10" t="str">
        <f>_xlfn.IFNA(
    IF(J2093=
        "PCB-0001",
        "CSS",
        IF(
            ISNUMBER(MATCH(_xlfn.TEXTBEFORE(J2093,"-"), {"CSS","CSN","PCB","PCF","BEC","CSD","PCM"}, 0)),
            _xlfn.TEXTBEFORE(J2093,"-"),
            "Other"
        )
    ),
"Add")</f>
        <v>PCM</v>
      </c>
      <c r="B2093" s="10" t="str">
        <f t="shared" si="33"/>
        <v>0033</v>
      </c>
      <c r="C2093" s="10" t="str">
        <f>_xlfn.LET(
    _xlpm.val, IF(Datadetails[[#This Row],[Activity]]="D02","C20",Datadetails[[#This Row],[Activity]]),
    IF(ISNUMBER(MATCH(_xlpm.val,{"D04","C30","c40","C20"},0)), _xlpm.val, "Other")
)</f>
        <v>C30</v>
      </c>
      <c r="D2093" s="10" t="str">
        <f>IFERROR(VLOOKUP(Datadetails[[#This Row],[Taskcode]],Dashboard!A:A,1,FALSE),"00 Err Missing")</f>
        <v>0033</v>
      </c>
      <c r="E2093" s="79">
        <v>45917</v>
      </c>
      <c r="F2093" s="80" t="s">
        <v>323</v>
      </c>
      <c r="G2093" s="60" t="s">
        <v>40</v>
      </c>
      <c r="H2093" s="80" t="s">
        <v>200</v>
      </c>
      <c r="I2093" s="80" t="s">
        <v>34</v>
      </c>
      <c r="J2093" s="80" t="s">
        <v>391</v>
      </c>
      <c r="K2093" s="80" t="s">
        <v>346</v>
      </c>
      <c r="L2093" s="80" t="s">
        <v>343</v>
      </c>
      <c r="M2093" s="81">
        <v>0.25</v>
      </c>
      <c r="N2093" s="82">
        <v>15</v>
      </c>
    </row>
    <row r="2094" spans="1:14" x14ac:dyDescent="0.25">
      <c r="A2094" s="10" t="str">
        <f>_xlfn.IFNA(
    IF(J2094=
        "PCB-0001",
        "CSS",
        IF(
            ISNUMBER(MATCH(_xlfn.TEXTBEFORE(J2094,"-"), {"CSS","CSN","PCB","PCF","BEC","CSD","PCM"}, 0)),
            _xlfn.TEXTBEFORE(J2094,"-"),
            "Other"
        )
    ),
"Add")</f>
        <v>PCM</v>
      </c>
      <c r="B2094" s="10" t="str">
        <f t="shared" si="33"/>
        <v>0116</v>
      </c>
      <c r="C2094" s="10" t="str">
        <f>_xlfn.LET(
    _xlpm.val, IF(Datadetails[[#This Row],[Activity]]="D02","C20",Datadetails[[#This Row],[Activity]]),
    IF(ISNUMBER(MATCH(_xlpm.val,{"D04","C30","c40","C20"},0)), _xlpm.val, "Other")
)</f>
        <v>C30</v>
      </c>
      <c r="D2094" s="10" t="str">
        <f>IFERROR(VLOOKUP(Datadetails[[#This Row],[Taskcode]],Dashboard!A:A,1,FALSE),"00 Err Missing")</f>
        <v>0116</v>
      </c>
      <c r="E2094" s="79">
        <v>45917</v>
      </c>
      <c r="F2094" s="80" t="s">
        <v>323</v>
      </c>
      <c r="G2094" s="60" t="s">
        <v>40</v>
      </c>
      <c r="H2094" s="80" t="s">
        <v>283</v>
      </c>
      <c r="I2094" s="80" t="s">
        <v>34</v>
      </c>
      <c r="J2094" s="80" t="s">
        <v>429</v>
      </c>
      <c r="K2094" s="80" t="s">
        <v>346</v>
      </c>
      <c r="L2094" s="80" t="s">
        <v>343</v>
      </c>
      <c r="M2094" s="81">
        <v>0.5</v>
      </c>
      <c r="N2094" s="82">
        <v>30</v>
      </c>
    </row>
    <row r="2095" spans="1:14" x14ac:dyDescent="0.25">
      <c r="A2095" s="10" t="str">
        <f>_xlfn.IFNA(
    IF(J2095=
        "PCB-0001",
        "CSS",
        IF(
            ISNUMBER(MATCH(_xlfn.TEXTBEFORE(J2095,"-"), {"CSS","CSN","PCB","PCF","BEC","CSD","PCM"}, 0)),
            _xlfn.TEXTBEFORE(J2095,"-"),
            "Other"
        )
    ),
"Add")</f>
        <v>PCB</v>
      </c>
      <c r="B2095" s="10" t="str">
        <f t="shared" si="33"/>
        <v>0104</v>
      </c>
      <c r="C2095" s="10" t="str">
        <f>_xlfn.LET(
    _xlpm.val, IF(Datadetails[[#This Row],[Activity]]="D02","C20",Datadetails[[#This Row],[Activity]]),
    IF(ISNUMBER(MATCH(_xlpm.val,{"D04","C30","c40","C20"},0)), _xlpm.val, "Other")
)</f>
        <v>C20</v>
      </c>
      <c r="D2095" s="10" t="str">
        <f>IFERROR(VLOOKUP(Datadetails[[#This Row],[Taskcode]],Dashboard!A:A,1,FALSE),"00 Err Missing")</f>
        <v>0104</v>
      </c>
      <c r="E2095" s="79">
        <v>45917</v>
      </c>
      <c r="F2095" s="80" t="s">
        <v>325</v>
      </c>
      <c r="G2095" s="60" t="s">
        <v>40</v>
      </c>
      <c r="H2095" s="80" t="s">
        <v>271</v>
      </c>
      <c r="I2095" s="80" t="s">
        <v>36</v>
      </c>
      <c r="J2095" s="80" t="s">
        <v>363</v>
      </c>
      <c r="K2095" s="80" t="s">
        <v>347</v>
      </c>
      <c r="L2095" s="80" t="s">
        <v>342</v>
      </c>
      <c r="M2095" s="81">
        <v>0.57999999999999996</v>
      </c>
      <c r="N2095" s="82">
        <v>43.5</v>
      </c>
    </row>
    <row r="2096" spans="1:14" x14ac:dyDescent="0.25">
      <c r="A2096" s="10" t="str">
        <f>_xlfn.IFNA(
    IF(J2096=
        "PCB-0001",
        "CSS",
        IF(
            ISNUMBER(MATCH(_xlfn.TEXTBEFORE(J2096,"-"), {"CSS","CSN","PCB","PCF","BEC","CSD","PCM"}, 0)),
            _xlfn.TEXTBEFORE(J2096,"-"),
            "Other"
        )
    ),
"Add")</f>
        <v>PCB</v>
      </c>
      <c r="B2096" s="10" t="str">
        <f t="shared" si="33"/>
        <v>0032</v>
      </c>
      <c r="C2096" s="10" t="str">
        <f>_xlfn.LET(
    _xlpm.val, IF(Datadetails[[#This Row],[Activity]]="D02","C20",Datadetails[[#This Row],[Activity]]),
    IF(ISNUMBER(MATCH(_xlpm.val,{"D04","C30","c40","C20"},0)), _xlpm.val, "Other")
)</f>
        <v>C30</v>
      </c>
      <c r="D2096" s="10" t="str">
        <f>IFERROR(VLOOKUP(Datadetails[[#This Row],[Taskcode]],Dashboard!A:A,1,FALSE),"00 Err Missing")</f>
        <v>0032</v>
      </c>
      <c r="E2096" s="79">
        <v>45917</v>
      </c>
      <c r="F2096" s="80" t="s">
        <v>330</v>
      </c>
      <c r="G2096" s="60" t="s">
        <v>40</v>
      </c>
      <c r="H2096" s="80" t="s">
        <v>199</v>
      </c>
      <c r="I2096" s="80" t="s">
        <v>34</v>
      </c>
      <c r="J2096" s="80" t="s">
        <v>414</v>
      </c>
      <c r="K2096" s="80" t="s">
        <v>347</v>
      </c>
      <c r="L2096" s="80" t="s">
        <v>343</v>
      </c>
      <c r="M2096" s="81">
        <v>0.5</v>
      </c>
      <c r="N2096" s="82">
        <v>30</v>
      </c>
    </row>
    <row r="2097" spans="1:14" x14ac:dyDescent="0.25">
      <c r="A2097" s="10" t="str">
        <f>_xlfn.IFNA(
    IF(J2097=
        "PCB-0001",
        "CSS",
        IF(
            ISNUMBER(MATCH(_xlfn.TEXTBEFORE(J2097,"-"), {"CSS","CSN","PCB","PCF","BEC","CSD","PCM"}, 0)),
            _xlfn.TEXTBEFORE(J2097,"-"),
            "Other"
        )
    ),
"Add")</f>
        <v>PCB</v>
      </c>
      <c r="B2097" s="10" t="str">
        <f t="shared" si="33"/>
        <v>0012</v>
      </c>
      <c r="C2097" s="10" t="str">
        <f>_xlfn.LET(
    _xlpm.val, IF(Datadetails[[#This Row],[Activity]]="D02","C20",Datadetails[[#This Row],[Activity]]),
    IF(ISNUMBER(MATCH(_xlpm.val,{"D04","C30","c40","C20"},0)), _xlpm.val, "Other")
)</f>
        <v>C30</v>
      </c>
      <c r="D2097" s="10" t="str">
        <f>IFERROR(VLOOKUP(Datadetails[[#This Row],[Taskcode]],Dashboard!A:A,1,FALSE),"00 Err Missing")</f>
        <v>0012</v>
      </c>
      <c r="E2097" s="79">
        <v>45917</v>
      </c>
      <c r="F2097" s="80" t="s">
        <v>325</v>
      </c>
      <c r="G2097" s="60" t="s">
        <v>40</v>
      </c>
      <c r="H2097" s="80" t="s">
        <v>179</v>
      </c>
      <c r="I2097" s="80" t="s">
        <v>34</v>
      </c>
      <c r="J2097" s="80" t="s">
        <v>422</v>
      </c>
      <c r="K2097" s="80" t="s">
        <v>347</v>
      </c>
      <c r="L2097" s="80" t="s">
        <v>343</v>
      </c>
      <c r="M2097" s="81">
        <v>0.33</v>
      </c>
      <c r="N2097" s="82">
        <v>24.75</v>
      </c>
    </row>
    <row r="2098" spans="1:14" x14ac:dyDescent="0.25">
      <c r="A2098" s="10" t="str">
        <f>_xlfn.IFNA(
    IF(J2098=
        "PCB-0001",
        "CSS",
        IF(
            ISNUMBER(MATCH(_xlfn.TEXTBEFORE(J2098,"-"), {"CSS","CSN","PCB","PCF","BEC","CSD","PCM"}, 0)),
            _xlfn.TEXTBEFORE(J2098,"-"),
            "Other"
        )
    ),
"Add")</f>
        <v>PCB</v>
      </c>
      <c r="B2098" s="10" t="str">
        <f t="shared" si="33"/>
        <v>0039</v>
      </c>
      <c r="C2098" s="10" t="str">
        <f>_xlfn.LET(
    _xlpm.val, IF(Datadetails[[#This Row],[Activity]]="D02","C20",Datadetails[[#This Row],[Activity]]),
    IF(ISNUMBER(MATCH(_xlpm.val,{"D04","C30","c40","C20"},0)), _xlpm.val, "Other")
)</f>
        <v>C30</v>
      </c>
      <c r="D2098" s="10" t="str">
        <f>IFERROR(VLOOKUP(Datadetails[[#This Row],[Taskcode]],Dashboard!A:A,1,FALSE),"00 Err Missing")</f>
        <v>0039</v>
      </c>
      <c r="E2098" s="79">
        <v>45917</v>
      </c>
      <c r="F2098" s="80" t="s">
        <v>329</v>
      </c>
      <c r="G2098" s="60" t="s">
        <v>40</v>
      </c>
      <c r="H2098" s="80" t="s">
        <v>206</v>
      </c>
      <c r="I2098" s="80" t="s">
        <v>34</v>
      </c>
      <c r="J2098" s="80" t="s">
        <v>367</v>
      </c>
      <c r="K2098" s="80" t="s">
        <v>347</v>
      </c>
      <c r="L2098" s="80" t="s">
        <v>343</v>
      </c>
      <c r="M2098" s="81">
        <v>0.5</v>
      </c>
      <c r="N2098" s="82">
        <v>37.5</v>
      </c>
    </row>
    <row r="2099" spans="1:14" x14ac:dyDescent="0.25">
      <c r="A2099" s="10" t="str">
        <f>_xlfn.IFNA(
    IF(J2099=
        "PCB-0001",
        "CSS",
        IF(
            ISNUMBER(MATCH(_xlfn.TEXTBEFORE(J2099,"-"), {"CSS","CSN","PCB","PCF","BEC","CSD","PCM"}, 0)),
            _xlfn.TEXTBEFORE(J2099,"-"),
            "Other"
        )
    ),
"Add")</f>
        <v>PCB</v>
      </c>
      <c r="B2099" s="10" t="str">
        <f t="shared" si="33"/>
        <v>0048</v>
      </c>
      <c r="C2099" s="10" t="str">
        <f>_xlfn.LET(
    _xlpm.val, IF(Datadetails[[#This Row],[Activity]]="D02","C20",Datadetails[[#This Row],[Activity]]),
    IF(ISNUMBER(MATCH(_xlpm.val,{"D04","C30","c40","C20"},0)), _xlpm.val, "Other")
)</f>
        <v>C30</v>
      </c>
      <c r="D2099" s="10" t="str">
        <f>IFERROR(VLOOKUP(Datadetails[[#This Row],[Taskcode]],Dashboard!A:A,1,FALSE),"00 Err Missing")</f>
        <v>0048</v>
      </c>
      <c r="E2099" s="79">
        <v>45917</v>
      </c>
      <c r="F2099" s="80" t="s">
        <v>330</v>
      </c>
      <c r="G2099" s="60" t="s">
        <v>40</v>
      </c>
      <c r="H2099" s="80" t="s">
        <v>215</v>
      </c>
      <c r="I2099" s="80" t="s">
        <v>34</v>
      </c>
      <c r="J2099" s="80" t="s">
        <v>450</v>
      </c>
      <c r="K2099" s="80" t="s">
        <v>347</v>
      </c>
      <c r="L2099" s="80" t="s">
        <v>343</v>
      </c>
      <c r="M2099" s="81">
        <v>0.5</v>
      </c>
      <c r="N2099" s="82">
        <v>30</v>
      </c>
    </row>
    <row r="2100" spans="1:14" x14ac:dyDescent="0.25">
      <c r="A2100" s="10" t="str">
        <f>_xlfn.IFNA(
    IF(J2100=
        "PCB-0001",
        "CSS",
        IF(
            ISNUMBER(MATCH(_xlfn.TEXTBEFORE(J2100,"-"), {"CSS","CSN","PCB","PCF","BEC","CSD","PCM"}, 0)),
            _xlfn.TEXTBEFORE(J2100,"-"),
            "Other"
        )
    ),
"Add")</f>
        <v>PCB</v>
      </c>
      <c r="B2100" s="10" t="str">
        <f t="shared" si="33"/>
        <v>0057</v>
      </c>
      <c r="C2100" s="10" t="str">
        <f>_xlfn.LET(
    _xlpm.val, IF(Datadetails[[#This Row],[Activity]]="D02","C20",Datadetails[[#This Row],[Activity]]),
    IF(ISNUMBER(MATCH(_xlpm.val,{"D04","C30","c40","C20"},0)), _xlpm.val, "Other")
)</f>
        <v>C30</v>
      </c>
      <c r="D2100" s="10" t="str">
        <f>IFERROR(VLOOKUP(Datadetails[[#This Row],[Taskcode]],Dashboard!A:A,1,FALSE),"00 Err Missing")</f>
        <v>0057</v>
      </c>
      <c r="E2100" s="79">
        <v>45917</v>
      </c>
      <c r="F2100" s="80" t="s">
        <v>325</v>
      </c>
      <c r="G2100" s="60" t="s">
        <v>40</v>
      </c>
      <c r="H2100" s="80" t="s">
        <v>224</v>
      </c>
      <c r="I2100" s="80" t="s">
        <v>34</v>
      </c>
      <c r="J2100" s="80" t="s">
        <v>423</v>
      </c>
      <c r="K2100" s="80" t="s">
        <v>347</v>
      </c>
      <c r="L2100" s="80" t="s">
        <v>343</v>
      </c>
      <c r="M2100" s="81">
        <v>0.17</v>
      </c>
      <c r="N2100" s="82">
        <v>12.750000000000002</v>
      </c>
    </row>
    <row r="2101" spans="1:14" x14ac:dyDescent="0.25">
      <c r="A2101" s="10" t="str">
        <f>_xlfn.IFNA(
    IF(J2101=
        "PCB-0001",
        "CSS",
        IF(
            ISNUMBER(MATCH(_xlfn.TEXTBEFORE(J2101,"-"), {"CSS","CSN","PCB","PCF","BEC","CSD","PCM"}, 0)),
            _xlfn.TEXTBEFORE(J2101,"-"),
            "Other"
        )
    ),
"Add")</f>
        <v>PCB</v>
      </c>
      <c r="B2101" s="10" t="str">
        <f t="shared" si="33"/>
        <v>0136</v>
      </c>
      <c r="C2101" s="10" t="str">
        <f>_xlfn.LET(
    _xlpm.val, IF(Datadetails[[#This Row],[Activity]]="D02","C20",Datadetails[[#This Row],[Activity]]),
    IF(ISNUMBER(MATCH(_xlpm.val,{"D04","C30","c40","C20"},0)), _xlpm.val, "Other")
)</f>
        <v>C30</v>
      </c>
      <c r="D2101" s="10" t="str">
        <f>IFERROR(VLOOKUP(Datadetails[[#This Row],[Taskcode]],Dashboard!A:A,1,FALSE),"00 Err Missing")</f>
        <v>0136</v>
      </c>
      <c r="E2101" s="79">
        <v>45917</v>
      </c>
      <c r="F2101" s="80" t="s">
        <v>329</v>
      </c>
      <c r="G2101" s="60" t="s">
        <v>40</v>
      </c>
      <c r="H2101" s="80" t="s">
        <v>303</v>
      </c>
      <c r="I2101" s="80" t="s">
        <v>34</v>
      </c>
      <c r="J2101" s="80" t="s">
        <v>400</v>
      </c>
      <c r="K2101" s="80" t="s">
        <v>347</v>
      </c>
      <c r="L2101" s="80" t="s">
        <v>343</v>
      </c>
      <c r="M2101" s="81">
        <v>0.17</v>
      </c>
      <c r="N2101" s="82">
        <v>12.750000000000002</v>
      </c>
    </row>
    <row r="2102" spans="1:14" x14ac:dyDescent="0.25">
      <c r="A2102" s="10" t="str">
        <f>_xlfn.IFNA(
    IF(J2102=
        "PCB-0001",
        "CSS",
        IF(
            ISNUMBER(MATCH(_xlfn.TEXTBEFORE(J2102,"-"), {"CSS","CSN","PCB","PCF","BEC","CSD","PCM"}, 0)),
            _xlfn.TEXTBEFORE(J2102,"-"),
            "Other"
        )
    ),
"Add")</f>
        <v>PCB</v>
      </c>
      <c r="B2102" s="10" t="str">
        <f t="shared" si="33"/>
        <v>0074</v>
      </c>
      <c r="C2102" s="10" t="str">
        <f>_xlfn.LET(
    _xlpm.val, IF(Datadetails[[#This Row],[Activity]]="D02","C20",Datadetails[[#This Row],[Activity]]),
    IF(ISNUMBER(MATCH(_xlpm.val,{"D04","C30","c40","C20"},0)), _xlpm.val, "Other")
)</f>
        <v>C30</v>
      </c>
      <c r="D2102" s="10" t="str">
        <f>IFERROR(VLOOKUP(Datadetails[[#This Row],[Taskcode]],Dashboard!A:A,1,FALSE),"00 Err Missing")</f>
        <v>0074</v>
      </c>
      <c r="E2102" s="79">
        <v>45917</v>
      </c>
      <c r="F2102" s="80" t="s">
        <v>329</v>
      </c>
      <c r="G2102" s="60" t="s">
        <v>40</v>
      </c>
      <c r="H2102" s="80" t="s">
        <v>241</v>
      </c>
      <c r="I2102" s="80" t="s">
        <v>34</v>
      </c>
      <c r="J2102" s="80" t="s">
        <v>403</v>
      </c>
      <c r="K2102" s="80" t="s">
        <v>347</v>
      </c>
      <c r="L2102" s="80" t="s">
        <v>343</v>
      </c>
      <c r="M2102" s="81">
        <v>0.33</v>
      </c>
      <c r="N2102" s="82">
        <v>24.75</v>
      </c>
    </row>
    <row r="2103" spans="1:14" x14ac:dyDescent="0.25">
      <c r="A2103" s="10" t="str">
        <f>_xlfn.IFNA(
    IF(J2103=
        "PCB-0001",
        "CSS",
        IF(
            ISNUMBER(MATCH(_xlfn.TEXTBEFORE(J2103,"-"), {"CSS","CSN","PCB","PCF","BEC","CSD","PCM"}, 0)),
            _xlfn.TEXTBEFORE(J2103,"-"),
            "Other"
        )
    ),
"Add")</f>
        <v>PCB</v>
      </c>
      <c r="B2103" s="10" t="str">
        <f t="shared" si="33"/>
        <v>0104</v>
      </c>
      <c r="C2103" s="10" t="str">
        <f>_xlfn.LET(
    _xlpm.val, IF(Datadetails[[#This Row],[Activity]]="D02","C20",Datadetails[[#This Row],[Activity]]),
    IF(ISNUMBER(MATCH(_xlpm.val,{"D04","C30","c40","C20"},0)), _xlpm.val, "Other")
)</f>
        <v>C30</v>
      </c>
      <c r="D2103" s="10" t="str">
        <f>IFERROR(VLOOKUP(Datadetails[[#This Row],[Taskcode]],Dashboard!A:A,1,FALSE),"00 Err Missing")</f>
        <v>0104</v>
      </c>
      <c r="E2103" s="79">
        <v>45917</v>
      </c>
      <c r="F2103" s="80" t="s">
        <v>325</v>
      </c>
      <c r="G2103" s="60" t="s">
        <v>40</v>
      </c>
      <c r="H2103" s="80" t="s">
        <v>271</v>
      </c>
      <c r="I2103" s="80" t="s">
        <v>34</v>
      </c>
      <c r="J2103" s="80" t="s">
        <v>363</v>
      </c>
      <c r="K2103" s="80" t="s">
        <v>347</v>
      </c>
      <c r="L2103" s="80" t="s">
        <v>343</v>
      </c>
      <c r="M2103" s="81">
        <v>0.25</v>
      </c>
      <c r="N2103" s="82">
        <v>18.75</v>
      </c>
    </row>
    <row r="2104" spans="1:14" x14ac:dyDescent="0.25">
      <c r="A2104" s="10" t="str">
        <f>_xlfn.IFNA(
    IF(J2104=
        "PCB-0001",
        "CSS",
        IF(
            ISNUMBER(MATCH(_xlfn.TEXTBEFORE(J2104,"-"), {"CSS","CSN","PCB","PCF","BEC","CSD","PCM"}, 0)),
            _xlfn.TEXTBEFORE(J2104,"-"),
            "Other"
        )
    ),
"Add")</f>
        <v>PCB</v>
      </c>
      <c r="B2104" s="10" t="str">
        <f t="shared" si="33"/>
        <v>0123</v>
      </c>
      <c r="C2104" s="10" t="str">
        <f>_xlfn.LET(
    _xlpm.val, IF(Datadetails[[#This Row],[Activity]]="D02","C20",Datadetails[[#This Row],[Activity]]),
    IF(ISNUMBER(MATCH(_xlpm.val,{"D04","C30","c40","C20"},0)), _xlpm.val, "Other")
)</f>
        <v>C30</v>
      </c>
      <c r="D2104" s="10" t="str">
        <f>IFERROR(VLOOKUP(Datadetails[[#This Row],[Taskcode]],Dashboard!A:A,1,FALSE),"00 Err Missing")</f>
        <v>0123</v>
      </c>
      <c r="E2104" s="79">
        <v>45917</v>
      </c>
      <c r="F2104" s="80" t="s">
        <v>325</v>
      </c>
      <c r="G2104" s="60" t="s">
        <v>40</v>
      </c>
      <c r="H2104" s="80" t="s">
        <v>290</v>
      </c>
      <c r="I2104" s="80" t="s">
        <v>34</v>
      </c>
      <c r="J2104" s="80" t="s">
        <v>428</v>
      </c>
      <c r="K2104" s="80" t="s">
        <v>347</v>
      </c>
      <c r="L2104" s="80" t="s">
        <v>343</v>
      </c>
      <c r="M2104" s="81">
        <v>0.33</v>
      </c>
      <c r="N2104" s="82">
        <v>24.75</v>
      </c>
    </row>
    <row r="2105" spans="1:14" x14ac:dyDescent="0.25">
      <c r="A2105" s="10" t="str">
        <f>_xlfn.IFNA(
    IF(J2105=
        "PCB-0001",
        "CSS",
        IF(
            ISNUMBER(MATCH(_xlfn.TEXTBEFORE(J2105,"-"), {"CSS","CSN","PCB","PCF","BEC","CSD","PCM"}, 0)),
            _xlfn.TEXTBEFORE(J2105,"-"),
            "Other"
        )
    ),
"Add")</f>
        <v>PCB</v>
      </c>
      <c r="B2105" s="10" t="str">
        <f t="shared" si="33"/>
        <v>0128</v>
      </c>
      <c r="C2105" s="10" t="str">
        <f>_xlfn.LET(
    _xlpm.val, IF(Datadetails[[#This Row],[Activity]]="D02","C20",Datadetails[[#This Row],[Activity]]),
    IF(ISNUMBER(MATCH(_xlpm.val,{"D04","C30","c40","C20"},0)), _xlpm.val, "Other")
)</f>
        <v>C30</v>
      </c>
      <c r="D2105" s="10" t="str">
        <f>IFERROR(VLOOKUP(Datadetails[[#This Row],[Taskcode]],Dashboard!A:A,1,FALSE),"00 Err Missing")</f>
        <v>0128</v>
      </c>
      <c r="E2105" s="79">
        <v>45917</v>
      </c>
      <c r="F2105" s="80" t="s">
        <v>329</v>
      </c>
      <c r="G2105" s="60" t="s">
        <v>40</v>
      </c>
      <c r="H2105" s="80" t="s">
        <v>295</v>
      </c>
      <c r="I2105" s="80" t="s">
        <v>34</v>
      </c>
      <c r="J2105" s="80" t="s">
        <v>379</v>
      </c>
      <c r="K2105" s="80" t="s">
        <v>347</v>
      </c>
      <c r="L2105" s="80" t="s">
        <v>343</v>
      </c>
      <c r="M2105" s="81">
        <v>0.17</v>
      </c>
      <c r="N2105" s="82">
        <v>12.750000000000002</v>
      </c>
    </row>
    <row r="2106" spans="1:14" x14ac:dyDescent="0.25">
      <c r="A2106" s="10" t="str">
        <f>_xlfn.IFNA(
    IF(J2106=
        "PCB-0001",
        "CSS",
        IF(
            ISNUMBER(MATCH(_xlfn.TEXTBEFORE(J2106,"-"), {"CSS","CSN","PCB","PCF","BEC","CSD","PCM"}, 0)),
            _xlfn.TEXTBEFORE(J2106,"-"),
            "Other"
        )
    ),
"Add")</f>
        <v>PCB</v>
      </c>
      <c r="B2106" s="10" t="str">
        <f t="shared" si="33"/>
        <v>0092</v>
      </c>
      <c r="C2106" s="10" t="str">
        <f>_xlfn.LET(
    _xlpm.val, IF(Datadetails[[#This Row],[Activity]]="D02","C20",Datadetails[[#This Row],[Activity]]),
    IF(ISNUMBER(MATCH(_xlpm.val,{"D04","C30","c40","C20"},0)), _xlpm.val, "Other")
)</f>
        <v>C30</v>
      </c>
      <c r="D2106" s="10" t="str">
        <f>IFERROR(VLOOKUP(Datadetails[[#This Row],[Taskcode]],Dashboard!A:A,1,FALSE),"00 Err Missing")</f>
        <v>0092</v>
      </c>
      <c r="E2106" s="79">
        <v>45917</v>
      </c>
      <c r="F2106" s="80" t="s">
        <v>329</v>
      </c>
      <c r="G2106" s="60" t="s">
        <v>40</v>
      </c>
      <c r="H2106" s="80" t="s">
        <v>259</v>
      </c>
      <c r="I2106" s="80" t="s">
        <v>34</v>
      </c>
      <c r="J2106" s="80" t="s">
        <v>407</v>
      </c>
      <c r="K2106" s="80" t="s">
        <v>347</v>
      </c>
      <c r="L2106" s="80" t="s">
        <v>343</v>
      </c>
      <c r="M2106" s="81">
        <v>0.25</v>
      </c>
      <c r="N2106" s="82">
        <v>18.75</v>
      </c>
    </row>
    <row r="2107" spans="1:14" x14ac:dyDescent="0.25">
      <c r="A2107" s="10" t="str">
        <f>_xlfn.IFNA(
    IF(J2107=
        "PCB-0001",
        "CSS",
        IF(
            ISNUMBER(MATCH(_xlfn.TEXTBEFORE(J2107,"-"), {"CSS","CSN","PCB","PCF","BEC","CSD","PCM"}, 0)),
            _xlfn.TEXTBEFORE(J2107,"-"),
            "Other"
        )
    ),
"Add")</f>
        <v>PCB</v>
      </c>
      <c r="B2107" s="10" t="str">
        <f t="shared" si="33"/>
        <v>0088</v>
      </c>
      <c r="C2107" s="10" t="str">
        <f>_xlfn.LET(
    _xlpm.val, IF(Datadetails[[#This Row],[Activity]]="D02","C20",Datadetails[[#This Row],[Activity]]),
    IF(ISNUMBER(MATCH(_xlpm.val,{"D04","C30","c40","C20"},0)), _xlpm.val, "Other")
)</f>
        <v>C30</v>
      </c>
      <c r="D2107" s="10" t="str">
        <f>IFERROR(VLOOKUP(Datadetails[[#This Row],[Taskcode]],Dashboard!A:A,1,FALSE),"00 Err Missing")</f>
        <v>0088</v>
      </c>
      <c r="E2107" s="79">
        <v>45917</v>
      </c>
      <c r="F2107" s="80" t="s">
        <v>330</v>
      </c>
      <c r="G2107" s="60" t="s">
        <v>40</v>
      </c>
      <c r="H2107" s="80" t="s">
        <v>255</v>
      </c>
      <c r="I2107" s="80" t="s">
        <v>34</v>
      </c>
      <c r="J2107" s="80" t="s">
        <v>462</v>
      </c>
      <c r="K2107" s="80" t="s">
        <v>347</v>
      </c>
      <c r="L2107" s="80" t="s">
        <v>343</v>
      </c>
      <c r="M2107" s="81">
        <v>1</v>
      </c>
      <c r="N2107" s="82">
        <v>60</v>
      </c>
    </row>
    <row r="2108" spans="1:14" x14ac:dyDescent="0.25">
      <c r="A2108" s="10" t="str">
        <f>_xlfn.IFNA(
    IF(J2108=
        "PCB-0001",
        "CSS",
        IF(
            ISNUMBER(MATCH(_xlfn.TEXTBEFORE(J2108,"-"), {"CSS","CSN","PCB","PCF","BEC","CSD","PCM"}, 0)),
            _xlfn.TEXTBEFORE(J2108,"-"),
            "Other"
        )
    ),
"Add")</f>
        <v>PCB</v>
      </c>
      <c r="B2108" s="10" t="str">
        <f t="shared" si="33"/>
        <v>0095</v>
      </c>
      <c r="C2108" s="10" t="str">
        <f>_xlfn.LET(
    _xlpm.val, IF(Datadetails[[#This Row],[Activity]]="D02","C20",Datadetails[[#This Row],[Activity]]),
    IF(ISNUMBER(MATCH(_xlpm.val,{"D04","C30","c40","C20"},0)), _xlpm.val, "Other")
)</f>
        <v>C30</v>
      </c>
      <c r="D2108" s="10" t="str">
        <f>IFERROR(VLOOKUP(Datadetails[[#This Row],[Taskcode]],Dashboard!A:A,1,FALSE),"00 Err Missing")</f>
        <v>0095</v>
      </c>
      <c r="E2108" s="79">
        <v>45917</v>
      </c>
      <c r="F2108" s="80" t="s">
        <v>325</v>
      </c>
      <c r="G2108" s="60" t="s">
        <v>40</v>
      </c>
      <c r="H2108" s="80" t="s">
        <v>262</v>
      </c>
      <c r="I2108" s="80" t="s">
        <v>34</v>
      </c>
      <c r="J2108" s="80" t="s">
        <v>442</v>
      </c>
      <c r="K2108" s="80" t="s">
        <v>347</v>
      </c>
      <c r="L2108" s="80" t="s">
        <v>343</v>
      </c>
      <c r="M2108" s="81">
        <v>0.17</v>
      </c>
      <c r="N2108" s="82">
        <v>12.750000000000002</v>
      </c>
    </row>
    <row r="2109" spans="1:14" x14ac:dyDescent="0.25">
      <c r="A2109" s="10" t="str">
        <f>_xlfn.IFNA(
    IF(J2109=
        "PCB-0001",
        "CSS",
        IF(
            ISNUMBER(MATCH(_xlfn.TEXTBEFORE(J2109,"-"), {"CSS","CSN","PCB","PCF","BEC","CSD","PCM"}, 0)),
            _xlfn.TEXTBEFORE(J2109,"-"),
            "Other"
        )
    ),
"Add")</f>
        <v>PCB</v>
      </c>
      <c r="B2109" s="10" t="str">
        <f t="shared" si="33"/>
        <v>0080</v>
      </c>
      <c r="C2109" s="10" t="str">
        <f>_xlfn.LET(
    _xlpm.val, IF(Datadetails[[#This Row],[Activity]]="D02","C20",Datadetails[[#This Row],[Activity]]),
    IF(ISNUMBER(MATCH(_xlpm.val,{"D04","C30","c40","C20"},0)), _xlpm.val, "Other")
)</f>
        <v>C30</v>
      </c>
      <c r="D2109" s="10" t="str">
        <f>IFERROR(VLOOKUP(Datadetails[[#This Row],[Taskcode]],Dashboard!A:A,1,FALSE),"00 Err Missing")</f>
        <v>0080</v>
      </c>
      <c r="E2109" s="79">
        <v>45917</v>
      </c>
      <c r="F2109" s="80" t="s">
        <v>329</v>
      </c>
      <c r="G2109" s="60" t="s">
        <v>40</v>
      </c>
      <c r="H2109" s="80" t="s">
        <v>247</v>
      </c>
      <c r="I2109" s="80" t="s">
        <v>34</v>
      </c>
      <c r="J2109" s="80" t="s">
        <v>375</v>
      </c>
      <c r="K2109" s="80" t="s">
        <v>347</v>
      </c>
      <c r="L2109" s="80" t="s">
        <v>343</v>
      </c>
      <c r="M2109" s="81">
        <v>0.17</v>
      </c>
      <c r="N2109" s="82">
        <v>12.750000000000002</v>
      </c>
    </row>
    <row r="2110" spans="1:14" x14ac:dyDescent="0.25">
      <c r="A2110" s="10" t="str">
        <f>_xlfn.IFNA(
    IF(J2110=
        "PCB-0001",
        "CSS",
        IF(
            ISNUMBER(MATCH(_xlfn.TEXTBEFORE(J2110,"-"), {"CSS","CSN","PCB","PCF","BEC","CSD","PCM"}, 0)),
            _xlfn.TEXTBEFORE(J2110,"-"),
            "Other"
        )
    ),
"Add")</f>
        <v>PCB</v>
      </c>
      <c r="B2110" s="10" t="str">
        <f t="shared" si="33"/>
        <v>0101</v>
      </c>
      <c r="C2110" s="10" t="str">
        <f>_xlfn.LET(
    _xlpm.val, IF(Datadetails[[#This Row],[Activity]]="D02","C20",Datadetails[[#This Row],[Activity]]),
    IF(ISNUMBER(MATCH(_xlpm.val,{"D04","C30","c40","C20"},0)), _xlpm.val, "Other")
)</f>
        <v>C30</v>
      </c>
      <c r="D2110" s="10" t="str">
        <f>IFERROR(VLOOKUP(Datadetails[[#This Row],[Taskcode]],Dashboard!A:A,1,FALSE),"00 Err Missing")</f>
        <v>0101</v>
      </c>
      <c r="E2110" s="79">
        <v>45917</v>
      </c>
      <c r="F2110" s="80" t="s">
        <v>329</v>
      </c>
      <c r="G2110" s="60" t="s">
        <v>40</v>
      </c>
      <c r="H2110" s="80" t="s">
        <v>268</v>
      </c>
      <c r="I2110" s="80" t="s">
        <v>34</v>
      </c>
      <c r="J2110" s="80" t="s">
        <v>386</v>
      </c>
      <c r="K2110" s="80" t="s">
        <v>347</v>
      </c>
      <c r="L2110" s="80" t="s">
        <v>343</v>
      </c>
      <c r="M2110" s="81">
        <v>0.08</v>
      </c>
      <c r="N2110" s="82">
        <v>6</v>
      </c>
    </row>
    <row r="2111" spans="1:14" x14ac:dyDescent="0.25">
      <c r="A2111" s="10" t="str">
        <f>_xlfn.IFNA(
    IF(J2111=
        "PCB-0001",
        "CSS",
        IF(
            ISNUMBER(MATCH(_xlfn.TEXTBEFORE(J2111,"-"), {"CSS","CSN","PCB","PCF","BEC","CSD","PCM"}, 0)),
            _xlfn.TEXTBEFORE(J2111,"-"),
            "Other"
        )
    ),
"Add")</f>
        <v>PCF</v>
      </c>
      <c r="B2111" s="10" t="str">
        <f t="shared" si="33"/>
        <v>0060</v>
      </c>
      <c r="C2111" s="10" t="str">
        <f>_xlfn.LET(
    _xlpm.val, IF(Datadetails[[#This Row],[Activity]]="D02","C20",Datadetails[[#This Row],[Activity]]),
    IF(ISNUMBER(MATCH(_xlpm.val,{"D04","C30","c40","C20"},0)), _xlpm.val, "Other")
)</f>
        <v>C20</v>
      </c>
      <c r="D2111" s="10" t="str">
        <f>IFERROR(VLOOKUP(Datadetails[[#This Row],[Taskcode]],Dashboard!A:A,1,FALSE),"00 Err Missing")</f>
        <v>0060</v>
      </c>
      <c r="E2111" s="79">
        <v>45917</v>
      </c>
      <c r="F2111" s="80" t="s">
        <v>326</v>
      </c>
      <c r="G2111" s="60" t="s">
        <v>40</v>
      </c>
      <c r="H2111" s="80" t="s">
        <v>227</v>
      </c>
      <c r="I2111" s="80" t="s">
        <v>36</v>
      </c>
      <c r="J2111" s="80" t="s">
        <v>453</v>
      </c>
      <c r="K2111" s="80" t="s">
        <v>348</v>
      </c>
      <c r="L2111" s="80" t="s">
        <v>342</v>
      </c>
      <c r="M2111" s="81">
        <v>0.75</v>
      </c>
      <c r="N2111" s="82">
        <v>45</v>
      </c>
    </row>
    <row r="2112" spans="1:14" x14ac:dyDescent="0.25">
      <c r="A2112" s="10" t="str">
        <f>_xlfn.IFNA(
    IF(J2112=
        "PCB-0001",
        "CSS",
        IF(
            ISNUMBER(MATCH(_xlfn.TEXTBEFORE(J2112,"-"), {"CSS","CSN","PCB","PCF","BEC","CSD","PCM"}, 0)),
            _xlfn.TEXTBEFORE(J2112,"-"),
            "Other"
        )
    ),
"Add")</f>
        <v>BEC</v>
      </c>
      <c r="B2112" s="10" t="str">
        <f t="shared" si="33"/>
        <v>0001</v>
      </c>
      <c r="C2112" s="10" t="str">
        <f>_xlfn.LET(
    _xlpm.val, IF(Datadetails[[#This Row],[Activity]]="D02","C20",Datadetails[[#This Row],[Activity]]),
    IF(ISNUMBER(MATCH(_xlpm.val,{"D04","C30","c40","C20"},0)), _xlpm.val, "Other")
)</f>
        <v>D04</v>
      </c>
      <c r="D2112" s="10" t="str">
        <f>IFERROR(VLOOKUP(Datadetails[[#This Row],[Taskcode]],Dashboard!A:A,1,FALSE),"00 Err Missing")</f>
        <v>0001</v>
      </c>
      <c r="E2112" s="79">
        <v>45917</v>
      </c>
      <c r="F2112" s="80" t="s">
        <v>332</v>
      </c>
      <c r="G2112" s="60" t="s">
        <v>40</v>
      </c>
      <c r="H2112" s="80" t="s">
        <v>314</v>
      </c>
      <c r="I2112" s="80" t="s">
        <v>35</v>
      </c>
      <c r="J2112" s="80" t="s">
        <v>359</v>
      </c>
      <c r="K2112" s="80" t="s">
        <v>339</v>
      </c>
      <c r="L2112" s="80" t="s">
        <v>352</v>
      </c>
      <c r="M2112" s="81">
        <v>9.33</v>
      </c>
      <c r="N2112" s="82">
        <v>373.2</v>
      </c>
    </row>
    <row r="2113" spans="1:14" x14ac:dyDescent="0.25">
      <c r="A2113" s="10" t="str">
        <f>_xlfn.IFNA(
    IF(J2113=
        "PCB-0001",
        "CSS",
        IF(
            ISNUMBER(MATCH(_xlfn.TEXTBEFORE(J2113,"-"), {"CSS","CSN","PCB","PCF","BEC","CSD","PCM"}, 0)),
            _xlfn.TEXTBEFORE(J2113,"-"),
            "Other"
        )
    ),
"Add")</f>
        <v>BEC</v>
      </c>
      <c r="B2113" s="10" t="str">
        <f t="shared" si="33"/>
        <v>0001</v>
      </c>
      <c r="C2113" s="10" t="str">
        <f>_xlfn.LET(
    _xlpm.val, IF(Datadetails[[#This Row],[Activity]]="D02","C20",Datadetails[[#This Row],[Activity]]),
    IF(ISNUMBER(MATCH(_xlpm.val,{"D04","C30","c40","C20"},0)), _xlpm.val, "Other")
)</f>
        <v>D04</v>
      </c>
      <c r="D2113" s="10" t="str">
        <f>IFERROR(VLOOKUP(Datadetails[[#This Row],[Taskcode]],Dashboard!A:A,1,FALSE),"00 Err Missing")</f>
        <v>0001</v>
      </c>
      <c r="E2113" s="79">
        <v>45917</v>
      </c>
      <c r="F2113" s="80" t="s">
        <v>324</v>
      </c>
      <c r="G2113" s="60" t="s">
        <v>40</v>
      </c>
      <c r="H2113" s="80" t="s">
        <v>314</v>
      </c>
      <c r="I2113" s="80" t="s">
        <v>35</v>
      </c>
      <c r="J2113" s="80" t="s">
        <v>359</v>
      </c>
      <c r="K2113" s="80" t="s">
        <v>339</v>
      </c>
      <c r="L2113" s="80" t="s">
        <v>352</v>
      </c>
      <c r="M2113" s="81">
        <v>3.42</v>
      </c>
      <c r="N2113" s="82">
        <v>256.5</v>
      </c>
    </row>
    <row r="2114" spans="1:14" x14ac:dyDescent="0.25">
      <c r="A2114" s="10" t="str">
        <f>_xlfn.IFNA(
    IF(J2114=
        "PCB-0001",
        "CSS",
        IF(
            ISNUMBER(MATCH(_xlfn.TEXTBEFORE(J2114,"-"), {"CSS","CSN","PCB","PCF","BEC","CSD","PCM"}, 0)),
            _xlfn.TEXTBEFORE(J2114,"-"),
            "Other"
        )
    ),
"Add")</f>
        <v>CSN</v>
      </c>
      <c r="B2114" s="10" t="str">
        <f t="shared" si="33"/>
        <v>0001</v>
      </c>
      <c r="C2114" s="10" t="str">
        <f>_xlfn.LET(
    _xlpm.val, IF(Datadetails[[#This Row],[Activity]]="D02","C20",Datadetails[[#This Row],[Activity]]),
    IF(ISNUMBER(MATCH(_xlpm.val,{"D04","C30","c40","C20"},0)), _xlpm.val, "Other")
)</f>
        <v>D04</v>
      </c>
      <c r="D2114" s="10" t="str">
        <f>IFERROR(VLOOKUP(Datadetails[[#This Row],[Taskcode]],Dashboard!A:A,1,FALSE),"00 Err Missing")</f>
        <v>0001</v>
      </c>
      <c r="E2114" s="79">
        <v>45918</v>
      </c>
      <c r="F2114" s="80" t="s">
        <v>329</v>
      </c>
      <c r="G2114" s="60" t="s">
        <v>40</v>
      </c>
      <c r="H2114" s="80" t="s">
        <v>316</v>
      </c>
      <c r="I2114" s="80" t="s">
        <v>35</v>
      </c>
      <c r="J2114" s="80" t="s">
        <v>338</v>
      </c>
      <c r="K2114" s="80" t="s">
        <v>337</v>
      </c>
      <c r="L2114" s="80" t="s">
        <v>352</v>
      </c>
      <c r="M2114" s="81">
        <v>1</v>
      </c>
      <c r="N2114" s="82">
        <v>75</v>
      </c>
    </row>
    <row r="2115" spans="1:14" x14ac:dyDescent="0.25">
      <c r="A2115" s="10" t="str">
        <f>_xlfn.IFNA(
    IF(J2115=
        "PCB-0001",
        "CSS",
        IF(
            ISNUMBER(MATCH(_xlfn.TEXTBEFORE(J2115,"-"), {"CSS","CSN","PCB","PCF","BEC","CSD","PCM"}, 0)),
            _xlfn.TEXTBEFORE(J2115,"-"),
            "Other"
        )
    ),
"Add")</f>
        <v>PCB</v>
      </c>
      <c r="B2115" s="10" t="str">
        <f t="shared" si="33"/>
        <v>0042</v>
      </c>
      <c r="C2115" s="10" t="str">
        <f>_xlfn.LET(
    _xlpm.val, IF(Datadetails[[#This Row],[Activity]]="D02","C20",Datadetails[[#This Row],[Activity]]),
    IF(ISNUMBER(MATCH(_xlpm.val,{"D04","C30","c40","C20"},0)), _xlpm.val, "Other")
)</f>
        <v>C40</v>
      </c>
      <c r="D2115" s="10" t="str">
        <f>IFERROR(VLOOKUP(Datadetails[[#This Row],[Taskcode]],Dashboard!A:A,1,FALSE),"00 Err Missing")</f>
        <v>0042</v>
      </c>
      <c r="E2115" s="79">
        <v>45918</v>
      </c>
      <c r="F2115" s="80" t="s">
        <v>330</v>
      </c>
      <c r="G2115" s="60" t="s">
        <v>40</v>
      </c>
      <c r="H2115" s="80" t="s">
        <v>209</v>
      </c>
      <c r="I2115" s="80" t="s">
        <v>341</v>
      </c>
      <c r="J2115" s="80" t="s">
        <v>370</v>
      </c>
      <c r="K2115" s="80" t="s">
        <v>347</v>
      </c>
      <c r="L2115" s="80" t="s">
        <v>344</v>
      </c>
      <c r="M2115" s="81">
        <v>2</v>
      </c>
      <c r="N2115" s="82">
        <v>120</v>
      </c>
    </row>
    <row r="2116" spans="1:14" x14ac:dyDescent="0.25">
      <c r="A2116" s="10" t="str">
        <f>_xlfn.IFNA(
    IF(J2116=
        "PCB-0001",
        "CSS",
        IF(
            ISNUMBER(MATCH(_xlfn.TEXTBEFORE(J2116,"-"), {"CSS","CSN","PCB","PCF","BEC","CSD","PCM"}, 0)),
            _xlfn.TEXTBEFORE(J2116,"-"),
            "Other"
        )
    ),
"Add")</f>
        <v>CSD</v>
      </c>
      <c r="B2116" s="10" t="str">
        <f t="shared" ref="B2116:B2179" si="34">_xlfn.IFNA(_xlfn.TEXTAFTER(J2116,"-"),"Data to C2")</f>
        <v>0001</v>
      </c>
      <c r="C2116" s="10" t="str">
        <f>_xlfn.LET(
    _xlpm.val, IF(Datadetails[[#This Row],[Activity]]="D02","C20",Datadetails[[#This Row],[Activity]]),
    IF(ISNUMBER(MATCH(_xlpm.val,{"D04","C30","c40","C20"},0)), _xlpm.val, "Other")
)</f>
        <v>D04</v>
      </c>
      <c r="D2116" s="10" t="str">
        <f>IFERROR(VLOOKUP(Datadetails[[#This Row],[Taskcode]],Dashboard!A:A,1,FALSE),"00 Err Missing")</f>
        <v>0001</v>
      </c>
      <c r="E2116" s="79">
        <v>45918</v>
      </c>
      <c r="F2116" s="80" t="s">
        <v>333</v>
      </c>
      <c r="G2116" s="60" t="s">
        <v>40</v>
      </c>
      <c r="H2116" s="80" t="s">
        <v>320</v>
      </c>
      <c r="I2116" s="80" t="s">
        <v>35</v>
      </c>
      <c r="J2116" s="80" t="s">
        <v>322</v>
      </c>
      <c r="K2116" s="80" t="s">
        <v>319</v>
      </c>
      <c r="L2116" s="80" t="s">
        <v>352</v>
      </c>
      <c r="M2116" s="81">
        <v>8.9499999999999993</v>
      </c>
      <c r="N2116" s="82">
        <v>286.39999999999998</v>
      </c>
    </row>
    <row r="2117" spans="1:14" x14ac:dyDescent="0.25">
      <c r="A2117" s="10" t="str">
        <f>_xlfn.IFNA(
    IF(J2117=
        "PCB-0001",
        "CSS",
        IF(
            ISNUMBER(MATCH(_xlfn.TEXTBEFORE(J2117,"-"), {"CSS","CSN","PCB","PCF","BEC","CSD","PCM"}, 0)),
            _xlfn.TEXTBEFORE(J2117,"-"),
            "Other"
        )
    ),
"Add")</f>
        <v>PCM</v>
      </c>
      <c r="B2117" s="10" t="str">
        <f t="shared" si="34"/>
        <v>0064</v>
      </c>
      <c r="C2117" s="10" t="str">
        <f>_xlfn.LET(
    _xlpm.val, IF(Datadetails[[#This Row],[Activity]]="D02","C20",Datadetails[[#This Row],[Activity]]),
    IF(ISNUMBER(MATCH(_xlpm.val,{"D04","C30","c40","C20"},0)), _xlpm.val, "Other")
)</f>
        <v>C20</v>
      </c>
      <c r="D2117" s="10" t="str">
        <f>IFERROR(VLOOKUP(Datadetails[[#This Row],[Taskcode]],Dashboard!A:A,1,FALSE),"00 Err Missing")</f>
        <v>0064</v>
      </c>
      <c r="E2117" s="79">
        <v>45918</v>
      </c>
      <c r="F2117" s="80" t="s">
        <v>323</v>
      </c>
      <c r="G2117" s="60" t="s">
        <v>40</v>
      </c>
      <c r="H2117" s="80" t="s">
        <v>231</v>
      </c>
      <c r="I2117" s="80" t="s">
        <v>36</v>
      </c>
      <c r="J2117" s="80" t="s">
        <v>420</v>
      </c>
      <c r="K2117" s="80" t="s">
        <v>346</v>
      </c>
      <c r="L2117" s="80" t="s">
        <v>342</v>
      </c>
      <c r="M2117" s="81">
        <v>1.33</v>
      </c>
      <c r="N2117" s="82">
        <v>79.800000000000011</v>
      </c>
    </row>
    <row r="2118" spans="1:14" x14ac:dyDescent="0.25">
      <c r="A2118" s="10" t="str">
        <f>_xlfn.IFNA(
    IF(J2118=
        "PCB-0001",
        "CSS",
        IF(
            ISNUMBER(MATCH(_xlfn.TEXTBEFORE(J2118,"-"), {"CSS","CSN","PCB","PCF","BEC","CSD","PCM"}, 0)),
            _xlfn.TEXTBEFORE(J2118,"-"),
            "Other"
        )
    ),
"Add")</f>
        <v>PCM</v>
      </c>
      <c r="B2118" s="10" t="str">
        <f t="shared" si="34"/>
        <v>0113</v>
      </c>
      <c r="C2118" s="10" t="str">
        <f>_xlfn.LET(
    _xlpm.val, IF(Datadetails[[#This Row],[Activity]]="D02","C20",Datadetails[[#This Row],[Activity]]),
    IF(ISNUMBER(MATCH(_xlpm.val,{"D04","C30","c40","C20"},0)), _xlpm.val, "Other")
)</f>
        <v>C20</v>
      </c>
      <c r="D2118" s="10" t="str">
        <f>IFERROR(VLOOKUP(Datadetails[[#This Row],[Taskcode]],Dashboard!A:A,1,FALSE),"00 Err Missing")</f>
        <v>0113</v>
      </c>
      <c r="E2118" s="79">
        <v>45918</v>
      </c>
      <c r="F2118" s="80" t="s">
        <v>323</v>
      </c>
      <c r="G2118" s="60" t="s">
        <v>40</v>
      </c>
      <c r="H2118" s="80" t="s">
        <v>280</v>
      </c>
      <c r="I2118" s="80" t="s">
        <v>36</v>
      </c>
      <c r="J2118" s="80" t="s">
        <v>445</v>
      </c>
      <c r="K2118" s="80" t="s">
        <v>346</v>
      </c>
      <c r="L2118" s="80" t="s">
        <v>342</v>
      </c>
      <c r="M2118" s="81">
        <v>0.25</v>
      </c>
      <c r="N2118" s="82">
        <v>15</v>
      </c>
    </row>
    <row r="2119" spans="1:14" x14ac:dyDescent="0.25">
      <c r="A2119" s="10" t="str">
        <f>_xlfn.IFNA(
    IF(J2119=
        "PCB-0001",
        "CSS",
        IF(
            ISNUMBER(MATCH(_xlfn.TEXTBEFORE(J2119,"-"), {"CSS","CSN","PCB","PCF","BEC","CSD","PCM"}, 0)),
            _xlfn.TEXTBEFORE(J2119,"-"),
            "Other"
        )
    ),
"Add")</f>
        <v>PCM</v>
      </c>
      <c r="B2119" s="10" t="str">
        <f t="shared" si="34"/>
        <v>0114</v>
      </c>
      <c r="C2119" s="10" t="str">
        <f>_xlfn.LET(
    _xlpm.val, IF(Datadetails[[#This Row],[Activity]]="D02","C20",Datadetails[[#This Row],[Activity]]),
    IF(ISNUMBER(MATCH(_xlpm.val,{"D04","C30","c40","C20"},0)), _xlpm.val, "Other")
)</f>
        <v>C20</v>
      </c>
      <c r="D2119" s="10" t="str">
        <f>IFERROR(VLOOKUP(Datadetails[[#This Row],[Taskcode]],Dashboard!A:A,1,FALSE),"00 Err Missing")</f>
        <v>0114</v>
      </c>
      <c r="E2119" s="79">
        <v>45918</v>
      </c>
      <c r="F2119" s="80" t="s">
        <v>323</v>
      </c>
      <c r="G2119" s="60" t="s">
        <v>40</v>
      </c>
      <c r="H2119" s="80" t="s">
        <v>281</v>
      </c>
      <c r="I2119" s="80" t="s">
        <v>36</v>
      </c>
      <c r="J2119" s="80" t="s">
        <v>430</v>
      </c>
      <c r="K2119" s="80" t="s">
        <v>346</v>
      </c>
      <c r="L2119" s="80" t="s">
        <v>342</v>
      </c>
      <c r="M2119" s="81">
        <v>0.25</v>
      </c>
      <c r="N2119" s="82">
        <v>15</v>
      </c>
    </row>
    <row r="2120" spans="1:14" x14ac:dyDescent="0.25">
      <c r="A2120" s="10" t="str">
        <f>_xlfn.IFNA(
    IF(J2120=
        "PCB-0001",
        "CSS",
        IF(
            ISNUMBER(MATCH(_xlfn.TEXTBEFORE(J2120,"-"), {"CSS","CSN","PCB","PCF","BEC","CSD","PCM"}, 0)),
            _xlfn.TEXTBEFORE(J2120,"-"),
            "Other"
        )
    ),
"Add")</f>
        <v>PCB</v>
      </c>
      <c r="B2120" s="10" t="str">
        <f t="shared" si="34"/>
        <v>0039</v>
      </c>
      <c r="C2120" s="10" t="str">
        <f>_xlfn.LET(
    _xlpm.val, IF(Datadetails[[#This Row],[Activity]]="D02","C20",Datadetails[[#This Row],[Activity]]),
    IF(ISNUMBER(MATCH(_xlpm.val,{"D04","C30","c40","C20"},0)), _xlpm.val, "Other")
)</f>
        <v>C30</v>
      </c>
      <c r="D2120" s="10" t="str">
        <f>IFERROR(VLOOKUP(Datadetails[[#This Row],[Taskcode]],Dashboard!A:A,1,FALSE),"00 Err Missing")</f>
        <v>0039</v>
      </c>
      <c r="E2120" s="79">
        <v>45918</v>
      </c>
      <c r="F2120" s="80" t="s">
        <v>329</v>
      </c>
      <c r="G2120" s="60" t="s">
        <v>40</v>
      </c>
      <c r="H2120" s="80" t="s">
        <v>206</v>
      </c>
      <c r="I2120" s="80" t="s">
        <v>34</v>
      </c>
      <c r="J2120" s="80" t="s">
        <v>367</v>
      </c>
      <c r="K2120" s="80" t="s">
        <v>347</v>
      </c>
      <c r="L2120" s="80" t="s">
        <v>343</v>
      </c>
      <c r="M2120" s="81">
        <v>0.25</v>
      </c>
      <c r="N2120" s="82">
        <v>18.75</v>
      </c>
    </row>
    <row r="2121" spans="1:14" x14ac:dyDescent="0.25">
      <c r="A2121" s="10" t="str">
        <f>_xlfn.IFNA(
    IF(J2121=
        "PCB-0001",
        "CSS",
        IF(
            ISNUMBER(MATCH(_xlfn.TEXTBEFORE(J2121,"-"), {"CSS","CSN","PCB","PCF","BEC","CSD","PCM"}, 0)),
            _xlfn.TEXTBEFORE(J2121,"-"),
            "Other"
        )
    ),
"Add")</f>
        <v>PCB</v>
      </c>
      <c r="B2121" s="10" t="str">
        <f t="shared" si="34"/>
        <v>0137</v>
      </c>
      <c r="C2121" s="10" t="str">
        <f>_xlfn.LET(
    _xlpm.val, IF(Datadetails[[#This Row],[Activity]]="D02","C20",Datadetails[[#This Row],[Activity]]),
    IF(ISNUMBER(MATCH(_xlpm.val,{"D04","C30","c40","C20"},0)), _xlpm.val, "Other")
)</f>
        <v>C30</v>
      </c>
      <c r="D2121" s="10" t="str">
        <f>IFERROR(VLOOKUP(Datadetails[[#This Row],[Taskcode]],Dashboard!A:A,1,FALSE),"00 Err Missing")</f>
        <v>0137</v>
      </c>
      <c r="E2121" s="79">
        <v>45918</v>
      </c>
      <c r="F2121" s="80" t="s">
        <v>325</v>
      </c>
      <c r="G2121" s="60" t="s">
        <v>40</v>
      </c>
      <c r="H2121" s="80" t="s">
        <v>304</v>
      </c>
      <c r="I2121" s="80" t="s">
        <v>34</v>
      </c>
      <c r="J2121" s="80" t="s">
        <v>372</v>
      </c>
      <c r="K2121" s="80" t="s">
        <v>347</v>
      </c>
      <c r="L2121" s="80" t="s">
        <v>343</v>
      </c>
      <c r="M2121" s="81">
        <v>0.25</v>
      </c>
      <c r="N2121" s="82">
        <v>18.75</v>
      </c>
    </row>
    <row r="2122" spans="1:14" x14ac:dyDescent="0.25">
      <c r="A2122" s="10" t="str">
        <f>_xlfn.IFNA(
    IF(J2122=
        "PCB-0001",
        "CSS",
        IF(
            ISNUMBER(MATCH(_xlfn.TEXTBEFORE(J2122,"-"), {"CSS","CSN","PCB","PCF","BEC","CSD","PCM"}, 0)),
            _xlfn.TEXTBEFORE(J2122,"-"),
            "Other"
        )
    ),
"Add")</f>
        <v>PCB</v>
      </c>
      <c r="B2122" s="10" t="str">
        <f t="shared" si="34"/>
        <v>0043</v>
      </c>
      <c r="C2122" s="10" t="str">
        <f>_xlfn.LET(
    _xlpm.val, IF(Datadetails[[#This Row],[Activity]]="D02","C20",Datadetails[[#This Row],[Activity]]),
    IF(ISNUMBER(MATCH(_xlpm.val,{"D04","C30","c40","C20"},0)), _xlpm.val, "Other")
)</f>
        <v>C30</v>
      </c>
      <c r="D2122" s="10" t="str">
        <f>IFERROR(VLOOKUP(Datadetails[[#This Row],[Taskcode]],Dashboard!A:A,1,FALSE),"00 Err Missing")</f>
        <v>0043</v>
      </c>
      <c r="E2122" s="79">
        <v>45918</v>
      </c>
      <c r="F2122" s="80" t="s">
        <v>325</v>
      </c>
      <c r="G2122" s="60" t="s">
        <v>40</v>
      </c>
      <c r="H2122" s="80" t="s">
        <v>210</v>
      </c>
      <c r="I2122" s="80" t="s">
        <v>34</v>
      </c>
      <c r="J2122" s="80" t="s">
        <v>399</v>
      </c>
      <c r="K2122" s="80" t="s">
        <v>347</v>
      </c>
      <c r="L2122" s="80" t="s">
        <v>343</v>
      </c>
      <c r="M2122" s="81">
        <v>0.25</v>
      </c>
      <c r="N2122" s="82">
        <v>18.75</v>
      </c>
    </row>
    <row r="2123" spans="1:14" x14ac:dyDescent="0.25">
      <c r="A2123" s="10" t="str">
        <f>_xlfn.IFNA(
    IF(J2123=
        "PCB-0001",
        "CSS",
        IF(
            ISNUMBER(MATCH(_xlfn.TEXTBEFORE(J2123,"-"), {"CSS","CSN","PCB","PCF","BEC","CSD","PCM"}, 0)),
            _xlfn.TEXTBEFORE(J2123,"-"),
            "Other"
        )
    ),
"Add")</f>
        <v>PCB</v>
      </c>
      <c r="B2123" s="10" t="str">
        <f t="shared" si="34"/>
        <v>0121</v>
      </c>
      <c r="C2123" s="10" t="str">
        <f>_xlfn.LET(
    _xlpm.val, IF(Datadetails[[#This Row],[Activity]]="D02","C20",Datadetails[[#This Row],[Activity]]),
    IF(ISNUMBER(MATCH(_xlpm.val,{"D04","C30","c40","C20"},0)), _xlpm.val, "Other")
)</f>
        <v>C30</v>
      </c>
      <c r="D2123" s="10" t="str">
        <f>IFERROR(VLOOKUP(Datadetails[[#This Row],[Taskcode]],Dashboard!A:A,1,FALSE),"00 Err Missing")</f>
        <v>0121</v>
      </c>
      <c r="E2123" s="79">
        <v>45918</v>
      </c>
      <c r="F2123" s="80" t="s">
        <v>329</v>
      </c>
      <c r="G2123" s="60" t="s">
        <v>40</v>
      </c>
      <c r="H2123" s="80" t="s">
        <v>288</v>
      </c>
      <c r="I2123" s="80" t="s">
        <v>34</v>
      </c>
      <c r="J2123" s="80" t="s">
        <v>405</v>
      </c>
      <c r="K2123" s="80" t="s">
        <v>347</v>
      </c>
      <c r="L2123" s="80" t="s">
        <v>343</v>
      </c>
      <c r="M2123" s="81">
        <v>0.08</v>
      </c>
      <c r="N2123" s="82">
        <v>6</v>
      </c>
    </row>
    <row r="2124" spans="1:14" x14ac:dyDescent="0.25">
      <c r="A2124" s="10" t="str">
        <f>_xlfn.IFNA(
    IF(J2124=
        "PCB-0001",
        "CSS",
        IF(
            ISNUMBER(MATCH(_xlfn.TEXTBEFORE(J2124,"-"), {"CSS","CSN","PCB","PCF","BEC","CSD","PCM"}, 0)),
            _xlfn.TEXTBEFORE(J2124,"-"),
            "Other"
        )
    ),
"Add")</f>
        <v>PCB</v>
      </c>
      <c r="B2124" s="10" t="str">
        <f t="shared" si="34"/>
        <v>0081</v>
      </c>
      <c r="C2124" s="10" t="str">
        <f>_xlfn.LET(
    _xlpm.val, IF(Datadetails[[#This Row],[Activity]]="D02","C20",Datadetails[[#This Row],[Activity]]),
    IF(ISNUMBER(MATCH(_xlpm.val,{"D04","C30","c40","C20"},0)), _xlpm.val, "Other")
)</f>
        <v>C30</v>
      </c>
      <c r="D2124" s="10" t="str">
        <f>IFERROR(VLOOKUP(Datadetails[[#This Row],[Taskcode]],Dashboard!A:A,1,FALSE),"00 Err Missing")</f>
        <v>0081</v>
      </c>
      <c r="E2124" s="79">
        <v>45918</v>
      </c>
      <c r="F2124" s="80" t="s">
        <v>329</v>
      </c>
      <c r="G2124" s="60" t="s">
        <v>40</v>
      </c>
      <c r="H2124" s="80" t="s">
        <v>248</v>
      </c>
      <c r="I2124" s="80" t="s">
        <v>34</v>
      </c>
      <c r="J2124" s="80" t="s">
        <v>385</v>
      </c>
      <c r="K2124" s="80" t="s">
        <v>347</v>
      </c>
      <c r="L2124" s="80" t="s">
        <v>343</v>
      </c>
      <c r="M2124" s="81">
        <v>0.17</v>
      </c>
      <c r="N2124" s="82">
        <v>12.750000000000002</v>
      </c>
    </row>
    <row r="2125" spans="1:14" x14ac:dyDescent="0.25">
      <c r="A2125" s="10" t="str">
        <f>_xlfn.IFNA(
    IF(J2125=
        "PCB-0001",
        "CSS",
        IF(
            ISNUMBER(MATCH(_xlfn.TEXTBEFORE(J2125,"-"), {"CSS","CSN","PCB","PCF","BEC","CSD","PCM"}, 0)),
            _xlfn.TEXTBEFORE(J2125,"-"),
            "Other"
        )
    ),
"Add")</f>
        <v>PCB</v>
      </c>
      <c r="B2125" s="10" t="str">
        <f t="shared" si="34"/>
        <v>0080</v>
      </c>
      <c r="C2125" s="10" t="str">
        <f>_xlfn.LET(
    _xlpm.val, IF(Datadetails[[#This Row],[Activity]]="D02","C20",Datadetails[[#This Row],[Activity]]),
    IF(ISNUMBER(MATCH(_xlpm.val,{"D04","C30","c40","C20"},0)), _xlpm.val, "Other")
)</f>
        <v>C30</v>
      </c>
      <c r="D2125" s="10" t="str">
        <f>IFERROR(VLOOKUP(Datadetails[[#This Row],[Taskcode]],Dashboard!A:A,1,FALSE),"00 Err Missing")</f>
        <v>0080</v>
      </c>
      <c r="E2125" s="79">
        <v>45918</v>
      </c>
      <c r="F2125" s="80" t="s">
        <v>329</v>
      </c>
      <c r="G2125" s="60" t="s">
        <v>40</v>
      </c>
      <c r="H2125" s="80" t="s">
        <v>247</v>
      </c>
      <c r="I2125" s="80" t="s">
        <v>34</v>
      </c>
      <c r="J2125" s="80" t="s">
        <v>375</v>
      </c>
      <c r="K2125" s="80" t="s">
        <v>347</v>
      </c>
      <c r="L2125" s="80" t="s">
        <v>343</v>
      </c>
      <c r="M2125" s="81">
        <v>0.17</v>
      </c>
      <c r="N2125" s="82">
        <v>12.750000000000002</v>
      </c>
    </row>
    <row r="2126" spans="1:14" x14ac:dyDescent="0.25">
      <c r="A2126" s="10" t="str">
        <f>_xlfn.IFNA(
    IF(J2126=
        "PCB-0001",
        "CSS",
        IF(
            ISNUMBER(MATCH(_xlfn.TEXTBEFORE(J2126,"-"), {"CSS","CSN","PCB","PCF","BEC","CSD","PCM"}, 0)),
            _xlfn.TEXTBEFORE(J2126,"-"),
            "Other"
        )
    ),
"Add")</f>
        <v>PCB</v>
      </c>
      <c r="B2126" s="10" t="str">
        <f t="shared" si="34"/>
        <v>0063</v>
      </c>
      <c r="C2126" s="10" t="str">
        <f>_xlfn.LET(
    _xlpm.val, IF(Datadetails[[#This Row],[Activity]]="D02","C20",Datadetails[[#This Row],[Activity]]),
    IF(ISNUMBER(MATCH(_xlpm.val,{"D04","C30","c40","C20"},0)), _xlpm.val, "Other")
)</f>
        <v>C30</v>
      </c>
      <c r="D2126" s="10" t="str">
        <f>IFERROR(VLOOKUP(Datadetails[[#This Row],[Taskcode]],Dashboard!A:A,1,FALSE),"00 Err Missing")</f>
        <v>0063</v>
      </c>
      <c r="E2126" s="79">
        <v>45918</v>
      </c>
      <c r="F2126" s="80" t="s">
        <v>329</v>
      </c>
      <c r="G2126" s="60" t="s">
        <v>40</v>
      </c>
      <c r="H2126" s="80" t="s">
        <v>230</v>
      </c>
      <c r="I2126" s="80" t="s">
        <v>34</v>
      </c>
      <c r="J2126" s="80" t="s">
        <v>410</v>
      </c>
      <c r="K2126" s="80" t="s">
        <v>347</v>
      </c>
      <c r="L2126" s="80" t="s">
        <v>343</v>
      </c>
      <c r="M2126" s="81">
        <v>0.08</v>
      </c>
      <c r="N2126" s="82">
        <v>6</v>
      </c>
    </row>
    <row r="2127" spans="1:14" x14ac:dyDescent="0.25">
      <c r="A2127" s="10" t="str">
        <f>_xlfn.IFNA(
    IF(J2127=
        "PCB-0001",
        "CSS",
        IF(
            ISNUMBER(MATCH(_xlfn.TEXTBEFORE(J2127,"-"), {"CSS","CSN","PCB","PCF","BEC","CSD","PCM"}, 0)),
            _xlfn.TEXTBEFORE(J2127,"-"),
            "Other"
        )
    ),
"Add")</f>
        <v>PCB</v>
      </c>
      <c r="B2127" s="10" t="str">
        <f t="shared" si="34"/>
        <v>0132</v>
      </c>
      <c r="C2127" s="10" t="str">
        <f>_xlfn.LET(
    _xlpm.val, IF(Datadetails[[#This Row],[Activity]]="D02","C20",Datadetails[[#This Row],[Activity]]),
    IF(ISNUMBER(MATCH(_xlpm.val,{"D04","C30","c40","C20"},0)), _xlpm.val, "Other")
)</f>
        <v>C20</v>
      </c>
      <c r="D2127" s="10" t="str">
        <f>IFERROR(VLOOKUP(Datadetails[[#This Row],[Taskcode]],Dashboard!A:A,1,FALSE),"00 Err Missing")</f>
        <v>0132</v>
      </c>
      <c r="E2127" s="79">
        <v>45918</v>
      </c>
      <c r="F2127" s="80" t="s">
        <v>329</v>
      </c>
      <c r="G2127" s="60" t="s">
        <v>40</v>
      </c>
      <c r="H2127" s="80" t="s">
        <v>299</v>
      </c>
      <c r="I2127" s="80" t="s">
        <v>312</v>
      </c>
      <c r="J2127" s="80" t="s">
        <v>455</v>
      </c>
      <c r="K2127" s="80" t="s">
        <v>347</v>
      </c>
      <c r="L2127" s="80" t="s">
        <v>350</v>
      </c>
      <c r="M2127" s="81">
        <v>3</v>
      </c>
      <c r="N2127" s="82">
        <v>225</v>
      </c>
    </row>
    <row r="2128" spans="1:14" x14ac:dyDescent="0.25">
      <c r="A2128" s="10" t="str">
        <f>_xlfn.IFNA(
    IF(J2128=
        "PCB-0001",
        "CSS",
        IF(
            ISNUMBER(MATCH(_xlfn.TEXTBEFORE(J2128,"-"), {"CSS","CSN","PCB","PCF","BEC","CSD","PCM"}, 0)),
            _xlfn.TEXTBEFORE(J2128,"-"),
            "Other"
        )
    ),
"Add")</f>
        <v>BEC</v>
      </c>
      <c r="B2128" s="10" t="str">
        <f t="shared" si="34"/>
        <v>0001</v>
      </c>
      <c r="C2128" s="10" t="str">
        <f>_xlfn.LET(
    _xlpm.val, IF(Datadetails[[#This Row],[Activity]]="D02","C20",Datadetails[[#This Row],[Activity]]),
    IF(ISNUMBER(MATCH(_xlpm.val,{"D04","C30","c40","C20"},0)), _xlpm.val, "Other")
)</f>
        <v>D04</v>
      </c>
      <c r="D2128" s="10" t="str">
        <f>IFERROR(VLOOKUP(Datadetails[[#This Row],[Taskcode]],Dashboard!A:A,1,FALSE),"00 Err Missing")</f>
        <v>0001</v>
      </c>
      <c r="E2128" s="79">
        <v>45918</v>
      </c>
      <c r="F2128" s="80" t="s">
        <v>332</v>
      </c>
      <c r="G2128" s="60" t="s">
        <v>40</v>
      </c>
      <c r="H2128" s="80" t="s">
        <v>314</v>
      </c>
      <c r="I2128" s="80" t="s">
        <v>35</v>
      </c>
      <c r="J2128" s="80" t="s">
        <v>359</v>
      </c>
      <c r="K2128" s="80" t="s">
        <v>339</v>
      </c>
      <c r="L2128" s="80" t="s">
        <v>352</v>
      </c>
      <c r="M2128" s="81">
        <v>8.67</v>
      </c>
      <c r="N2128" s="82">
        <v>346.8</v>
      </c>
    </row>
    <row r="2129" spans="1:14" x14ac:dyDescent="0.25">
      <c r="A2129" s="10" t="str">
        <f>_xlfn.IFNA(
    IF(J2129=
        "PCB-0001",
        "CSS",
        IF(
            ISNUMBER(MATCH(_xlfn.TEXTBEFORE(J2129,"-"), {"CSS","CSN","PCB","PCF","BEC","CSD","PCM"}, 0)),
            _xlfn.TEXTBEFORE(J2129,"-"),
            "Other"
        )
    ),
"Add")</f>
        <v>BEC</v>
      </c>
      <c r="B2129" s="10" t="str">
        <f t="shared" si="34"/>
        <v>0001</v>
      </c>
      <c r="C2129" s="10" t="str">
        <f>_xlfn.LET(
    _xlpm.val, IF(Datadetails[[#This Row],[Activity]]="D02","C20",Datadetails[[#This Row],[Activity]]),
    IF(ISNUMBER(MATCH(_xlpm.val,{"D04","C30","c40","C20"},0)), _xlpm.val, "Other")
)</f>
        <v>D04</v>
      </c>
      <c r="D2129" s="10" t="str">
        <f>IFERROR(VLOOKUP(Datadetails[[#This Row],[Taskcode]],Dashboard!A:A,1,FALSE),"00 Err Missing")</f>
        <v>0001</v>
      </c>
      <c r="E2129" s="79">
        <v>45918</v>
      </c>
      <c r="F2129" s="80" t="s">
        <v>324</v>
      </c>
      <c r="G2129" s="60" t="s">
        <v>40</v>
      </c>
      <c r="H2129" s="80" t="s">
        <v>314</v>
      </c>
      <c r="I2129" s="80" t="s">
        <v>35</v>
      </c>
      <c r="J2129" s="80" t="s">
        <v>359</v>
      </c>
      <c r="K2129" s="80" t="s">
        <v>339</v>
      </c>
      <c r="L2129" s="80" t="s">
        <v>352</v>
      </c>
      <c r="M2129" s="81">
        <v>5.75</v>
      </c>
      <c r="N2129" s="82">
        <v>431.25</v>
      </c>
    </row>
    <row r="2130" spans="1:14" x14ac:dyDescent="0.25">
      <c r="A2130" s="10" t="str">
        <f>_xlfn.IFNA(
    IF(J2130=
        "PCB-0001",
        "CSS",
        IF(
            ISNUMBER(MATCH(_xlfn.TEXTBEFORE(J2130,"-"), {"CSS","CSN","PCB","PCF","BEC","CSD","PCM"}, 0)),
            _xlfn.TEXTBEFORE(J2130,"-"),
            "Other"
        )
    ),
"Add")</f>
        <v>CSN</v>
      </c>
      <c r="B2130" s="10" t="str">
        <f t="shared" si="34"/>
        <v>0001</v>
      </c>
      <c r="C2130" s="10" t="str">
        <f>_xlfn.LET(
    _xlpm.val, IF(Datadetails[[#This Row],[Activity]]="D02","C20",Datadetails[[#This Row],[Activity]]),
    IF(ISNUMBER(MATCH(_xlpm.val,{"D04","C30","c40","C20"},0)), _xlpm.val, "Other")
)</f>
        <v>D04</v>
      </c>
      <c r="D2130" s="10" t="str">
        <f>IFERROR(VLOOKUP(Datadetails[[#This Row],[Taskcode]],Dashboard!A:A,1,FALSE),"00 Err Missing")</f>
        <v>0001</v>
      </c>
      <c r="E2130" s="79">
        <v>45919</v>
      </c>
      <c r="F2130" s="80" t="s">
        <v>329</v>
      </c>
      <c r="G2130" s="60" t="s">
        <v>40</v>
      </c>
      <c r="H2130" s="80" t="s">
        <v>316</v>
      </c>
      <c r="I2130" s="80" t="s">
        <v>35</v>
      </c>
      <c r="J2130" s="80" t="s">
        <v>338</v>
      </c>
      <c r="K2130" s="80" t="s">
        <v>337</v>
      </c>
      <c r="L2130" s="80" t="s">
        <v>352</v>
      </c>
      <c r="M2130" s="81">
        <v>1.75</v>
      </c>
      <c r="N2130" s="82">
        <v>131.25</v>
      </c>
    </row>
    <row r="2131" spans="1:14" x14ac:dyDescent="0.25">
      <c r="A2131" s="10" t="str">
        <f>_xlfn.IFNA(
    IF(J2131=
        "PCB-0001",
        "CSS",
        IF(
            ISNUMBER(MATCH(_xlfn.TEXTBEFORE(J2131,"-"), {"CSS","CSN","PCB","PCF","BEC","CSD","PCM"}, 0)),
            _xlfn.TEXTBEFORE(J2131,"-"),
            "Other"
        )
    ),
"Add")</f>
        <v>PCB</v>
      </c>
      <c r="B2131" s="10" t="str">
        <f t="shared" si="34"/>
        <v>0016</v>
      </c>
      <c r="C2131" s="10" t="str">
        <f>_xlfn.LET(
    _xlpm.val, IF(Datadetails[[#This Row],[Activity]]="D02","C20",Datadetails[[#This Row],[Activity]]),
    IF(ISNUMBER(MATCH(_xlpm.val,{"D04","C30","c40","C20"},0)), _xlpm.val, "Other")
)</f>
        <v>C40</v>
      </c>
      <c r="D2131" s="10" t="str">
        <f>IFERROR(VLOOKUP(Datadetails[[#This Row],[Taskcode]],Dashboard!A:A,1,FALSE),"00 Err Missing")</f>
        <v>0016</v>
      </c>
      <c r="E2131" s="79">
        <v>45919</v>
      </c>
      <c r="F2131" s="80" t="s">
        <v>329</v>
      </c>
      <c r="G2131" s="60" t="s">
        <v>40</v>
      </c>
      <c r="H2131" s="80" t="s">
        <v>183</v>
      </c>
      <c r="I2131" s="80" t="s">
        <v>341</v>
      </c>
      <c r="J2131" s="80" t="s">
        <v>368</v>
      </c>
      <c r="K2131" s="80" t="s">
        <v>347</v>
      </c>
      <c r="L2131" s="80" t="s">
        <v>344</v>
      </c>
      <c r="M2131" s="81">
        <v>2.75</v>
      </c>
      <c r="N2131" s="82">
        <v>206.25</v>
      </c>
    </row>
    <row r="2132" spans="1:14" x14ac:dyDescent="0.25">
      <c r="A2132" s="10" t="str">
        <f>_xlfn.IFNA(
    IF(J2132=
        "PCB-0001",
        "CSS",
        IF(
            ISNUMBER(MATCH(_xlfn.TEXTBEFORE(J2132,"-"), {"CSS","CSN","PCB","PCF","BEC","CSD","PCM"}, 0)),
            _xlfn.TEXTBEFORE(J2132,"-"),
            "Other"
        )
    ),
"Add")</f>
        <v>CSD</v>
      </c>
      <c r="B2132" s="10" t="str">
        <f t="shared" si="34"/>
        <v>0001</v>
      </c>
      <c r="C2132" s="10" t="str">
        <f>_xlfn.LET(
    _xlpm.val, IF(Datadetails[[#This Row],[Activity]]="D02","C20",Datadetails[[#This Row],[Activity]]),
    IF(ISNUMBER(MATCH(_xlpm.val,{"D04","C30","c40","C20"},0)), _xlpm.val, "Other")
)</f>
        <v>D04</v>
      </c>
      <c r="D2132" s="10" t="str">
        <f>IFERROR(VLOOKUP(Datadetails[[#This Row],[Taskcode]],Dashboard!A:A,1,FALSE),"00 Err Missing")</f>
        <v>0001</v>
      </c>
      <c r="E2132" s="79">
        <v>45919</v>
      </c>
      <c r="F2132" s="80" t="s">
        <v>333</v>
      </c>
      <c r="G2132" s="60" t="s">
        <v>40</v>
      </c>
      <c r="H2132" s="80" t="s">
        <v>320</v>
      </c>
      <c r="I2132" s="80" t="s">
        <v>35</v>
      </c>
      <c r="J2132" s="80" t="s">
        <v>322</v>
      </c>
      <c r="K2132" s="80" t="s">
        <v>319</v>
      </c>
      <c r="L2132" s="80" t="s">
        <v>352</v>
      </c>
      <c r="M2132" s="81">
        <v>8.7200000000000006</v>
      </c>
      <c r="N2132" s="82">
        <v>279.04000000000002</v>
      </c>
    </row>
    <row r="2133" spans="1:14" x14ac:dyDescent="0.25">
      <c r="A2133" s="10" t="str">
        <f>_xlfn.IFNA(
    IF(J2133=
        "PCB-0001",
        "CSS",
        IF(
            ISNUMBER(MATCH(_xlfn.TEXTBEFORE(J2133,"-"), {"CSS","CSN","PCB","PCF","BEC","CSD","PCM"}, 0)),
            _xlfn.TEXTBEFORE(J2133,"-"),
            "Other"
        )
    ),
"Add")</f>
        <v>PCM</v>
      </c>
      <c r="B2133" s="10" t="str">
        <f t="shared" si="34"/>
        <v>0064</v>
      </c>
      <c r="C2133" s="10" t="str">
        <f>_xlfn.LET(
    _xlpm.val, IF(Datadetails[[#This Row],[Activity]]="D02","C20",Datadetails[[#This Row],[Activity]]),
    IF(ISNUMBER(MATCH(_xlpm.val,{"D04","C30","c40","C20"},0)), _xlpm.val, "Other")
)</f>
        <v>C20</v>
      </c>
      <c r="D2133" s="10" t="str">
        <f>IFERROR(VLOOKUP(Datadetails[[#This Row],[Taskcode]],Dashboard!A:A,1,FALSE),"00 Err Missing")</f>
        <v>0064</v>
      </c>
      <c r="E2133" s="79">
        <v>45919</v>
      </c>
      <c r="F2133" s="80" t="s">
        <v>323</v>
      </c>
      <c r="G2133" s="60" t="s">
        <v>40</v>
      </c>
      <c r="H2133" s="80" t="s">
        <v>231</v>
      </c>
      <c r="I2133" s="80" t="s">
        <v>36</v>
      </c>
      <c r="J2133" s="80" t="s">
        <v>420</v>
      </c>
      <c r="K2133" s="80" t="s">
        <v>346</v>
      </c>
      <c r="L2133" s="80" t="s">
        <v>342</v>
      </c>
      <c r="M2133" s="81">
        <v>0.17</v>
      </c>
      <c r="N2133" s="82">
        <v>10.200000000000001</v>
      </c>
    </row>
    <row r="2134" spans="1:14" x14ac:dyDescent="0.25">
      <c r="A2134" s="10" t="str">
        <f>_xlfn.IFNA(
    IF(J2134=
        "PCB-0001",
        "CSS",
        IF(
            ISNUMBER(MATCH(_xlfn.TEXTBEFORE(J2134,"-"), {"CSS","CSN","PCB","PCF","BEC","CSD","PCM"}, 0)),
            _xlfn.TEXTBEFORE(J2134,"-"),
            "Other"
        )
    ),
"Add")</f>
        <v>PCB</v>
      </c>
      <c r="B2134" s="10" t="str">
        <f t="shared" si="34"/>
        <v>0030</v>
      </c>
      <c r="C2134" s="10" t="str">
        <f>_xlfn.LET(
    _xlpm.val, IF(Datadetails[[#This Row],[Activity]]="D02","C20",Datadetails[[#This Row],[Activity]]),
    IF(ISNUMBER(MATCH(_xlpm.val,{"D04","C30","c40","C20"},0)), _xlpm.val, "Other")
)</f>
        <v>C30</v>
      </c>
      <c r="D2134" s="10" t="str">
        <f>IFERROR(VLOOKUP(Datadetails[[#This Row],[Taskcode]],Dashboard!A:A,1,FALSE),"00 Err Missing")</f>
        <v>0030</v>
      </c>
      <c r="E2134" s="79">
        <v>45919</v>
      </c>
      <c r="F2134" s="80" t="s">
        <v>329</v>
      </c>
      <c r="G2134" s="60" t="s">
        <v>40</v>
      </c>
      <c r="H2134" s="80" t="s">
        <v>197</v>
      </c>
      <c r="I2134" s="80" t="s">
        <v>34</v>
      </c>
      <c r="J2134" s="80" t="s">
        <v>366</v>
      </c>
      <c r="K2134" s="80" t="s">
        <v>347</v>
      </c>
      <c r="L2134" s="80" t="s">
        <v>343</v>
      </c>
      <c r="M2134" s="81">
        <v>0.17</v>
      </c>
      <c r="N2134" s="82">
        <v>12.750000000000002</v>
      </c>
    </row>
    <row r="2135" spans="1:14" x14ac:dyDescent="0.25">
      <c r="A2135" s="10" t="str">
        <f>_xlfn.IFNA(
    IF(J2135=
        "PCB-0001",
        "CSS",
        IF(
            ISNUMBER(MATCH(_xlfn.TEXTBEFORE(J2135,"-"), {"CSS","CSN","PCB","PCF","BEC","CSD","PCM"}, 0)),
            _xlfn.TEXTBEFORE(J2135,"-"),
            "Other"
        )
    ),
"Add")</f>
        <v>PCB</v>
      </c>
      <c r="B2135" s="10" t="str">
        <f t="shared" si="34"/>
        <v>0031</v>
      </c>
      <c r="C2135" s="10" t="str">
        <f>_xlfn.LET(
    _xlpm.val, IF(Datadetails[[#This Row],[Activity]]="D02","C20",Datadetails[[#This Row],[Activity]]),
    IF(ISNUMBER(MATCH(_xlpm.val,{"D04","C30","c40","C20"},0)), _xlpm.val, "Other")
)</f>
        <v>C30</v>
      </c>
      <c r="D2135" s="10" t="str">
        <f>IFERROR(VLOOKUP(Datadetails[[#This Row],[Taskcode]],Dashboard!A:A,1,FALSE),"00 Err Missing")</f>
        <v>0031</v>
      </c>
      <c r="E2135" s="79">
        <v>45919</v>
      </c>
      <c r="F2135" s="80" t="s">
        <v>325</v>
      </c>
      <c r="G2135" s="60" t="s">
        <v>40</v>
      </c>
      <c r="H2135" s="80" t="s">
        <v>198</v>
      </c>
      <c r="I2135" s="80" t="s">
        <v>34</v>
      </c>
      <c r="J2135" s="80" t="s">
        <v>413</v>
      </c>
      <c r="K2135" s="80" t="s">
        <v>347</v>
      </c>
      <c r="L2135" s="80" t="s">
        <v>343</v>
      </c>
      <c r="M2135" s="81">
        <v>0.17</v>
      </c>
      <c r="N2135" s="82">
        <v>12.750000000000002</v>
      </c>
    </row>
    <row r="2136" spans="1:14" x14ac:dyDescent="0.25">
      <c r="A2136" s="10" t="str">
        <f>_xlfn.IFNA(
    IF(J2136=
        "PCB-0001",
        "CSS",
        IF(
            ISNUMBER(MATCH(_xlfn.TEXTBEFORE(J2136,"-"), {"CSS","CSN","PCB","PCF","BEC","CSD","PCM"}, 0)),
            _xlfn.TEXTBEFORE(J2136,"-"),
            "Other"
        )
    ),
"Add")</f>
        <v>PCB</v>
      </c>
      <c r="B2136" s="10" t="str">
        <f t="shared" si="34"/>
        <v>0012</v>
      </c>
      <c r="C2136" s="10" t="str">
        <f>_xlfn.LET(
    _xlpm.val, IF(Datadetails[[#This Row],[Activity]]="D02","C20",Datadetails[[#This Row],[Activity]]),
    IF(ISNUMBER(MATCH(_xlpm.val,{"D04","C30","c40","C20"},0)), _xlpm.val, "Other")
)</f>
        <v>C30</v>
      </c>
      <c r="D2136" s="10" t="str">
        <f>IFERROR(VLOOKUP(Datadetails[[#This Row],[Taskcode]],Dashboard!A:A,1,FALSE),"00 Err Missing")</f>
        <v>0012</v>
      </c>
      <c r="E2136" s="79">
        <v>45919</v>
      </c>
      <c r="F2136" s="80" t="s">
        <v>325</v>
      </c>
      <c r="G2136" s="60" t="s">
        <v>40</v>
      </c>
      <c r="H2136" s="80" t="s">
        <v>179</v>
      </c>
      <c r="I2136" s="80" t="s">
        <v>34</v>
      </c>
      <c r="J2136" s="80" t="s">
        <v>422</v>
      </c>
      <c r="K2136" s="80" t="s">
        <v>347</v>
      </c>
      <c r="L2136" s="80" t="s">
        <v>343</v>
      </c>
      <c r="M2136" s="81">
        <v>0.42</v>
      </c>
      <c r="N2136" s="82">
        <v>31.5</v>
      </c>
    </row>
    <row r="2137" spans="1:14" x14ac:dyDescent="0.25">
      <c r="A2137" s="10" t="str">
        <f>_xlfn.IFNA(
    IF(J2137=
        "PCB-0001",
        "CSS",
        IF(
            ISNUMBER(MATCH(_xlfn.TEXTBEFORE(J2137,"-"), {"CSS","CSN","PCB","PCF","BEC","CSD","PCM"}, 0)),
            _xlfn.TEXTBEFORE(J2137,"-"),
            "Other"
        )
    ),
"Add")</f>
        <v>PCB</v>
      </c>
      <c r="B2137" s="10" t="str">
        <f t="shared" si="34"/>
        <v>0003</v>
      </c>
      <c r="C2137" s="10" t="str">
        <f>_xlfn.LET(
    _xlpm.val, IF(Datadetails[[#This Row],[Activity]]="D02","C20",Datadetails[[#This Row],[Activity]]),
    IF(ISNUMBER(MATCH(_xlpm.val,{"D04","C30","c40","C20"},0)), _xlpm.val, "Other")
)</f>
        <v>C30</v>
      </c>
      <c r="D2137" s="10" t="str">
        <f>IFERROR(VLOOKUP(Datadetails[[#This Row],[Taskcode]],Dashboard!A:A,1,FALSE),"00 Err Missing")</f>
        <v>0003</v>
      </c>
      <c r="E2137" s="79">
        <v>45919</v>
      </c>
      <c r="F2137" s="80" t="s">
        <v>325</v>
      </c>
      <c r="G2137" s="60" t="s">
        <v>40</v>
      </c>
      <c r="H2137" s="80" t="s">
        <v>170</v>
      </c>
      <c r="I2137" s="80" t="s">
        <v>34</v>
      </c>
      <c r="J2137" s="80" t="s">
        <v>424</v>
      </c>
      <c r="K2137" s="80" t="s">
        <v>347</v>
      </c>
      <c r="L2137" s="80" t="s">
        <v>343</v>
      </c>
      <c r="M2137" s="81">
        <v>0.25</v>
      </c>
      <c r="N2137" s="82">
        <v>18.75</v>
      </c>
    </row>
    <row r="2138" spans="1:14" x14ac:dyDescent="0.25">
      <c r="A2138" s="10" t="str">
        <f>_xlfn.IFNA(
    IF(J2138=
        "PCB-0001",
        "CSS",
        IF(
            ISNUMBER(MATCH(_xlfn.TEXTBEFORE(J2138,"-"), {"CSS","CSN","PCB","PCF","BEC","CSD","PCM"}, 0)),
            _xlfn.TEXTBEFORE(J2138,"-"),
            "Other"
        )
    ),
"Add")</f>
        <v>PCB</v>
      </c>
      <c r="B2138" s="10" t="str">
        <f t="shared" si="34"/>
        <v>0039</v>
      </c>
      <c r="C2138" s="10" t="str">
        <f>_xlfn.LET(
    _xlpm.val, IF(Datadetails[[#This Row],[Activity]]="D02","C20",Datadetails[[#This Row],[Activity]]),
    IF(ISNUMBER(MATCH(_xlpm.val,{"D04","C30","c40","C20"},0)), _xlpm.val, "Other")
)</f>
        <v>C30</v>
      </c>
      <c r="D2138" s="10" t="str">
        <f>IFERROR(VLOOKUP(Datadetails[[#This Row],[Taskcode]],Dashboard!A:A,1,FALSE),"00 Err Missing")</f>
        <v>0039</v>
      </c>
      <c r="E2138" s="79">
        <v>45919</v>
      </c>
      <c r="F2138" s="80" t="s">
        <v>329</v>
      </c>
      <c r="G2138" s="60" t="s">
        <v>40</v>
      </c>
      <c r="H2138" s="80" t="s">
        <v>206</v>
      </c>
      <c r="I2138" s="80" t="s">
        <v>34</v>
      </c>
      <c r="J2138" s="80" t="s">
        <v>367</v>
      </c>
      <c r="K2138" s="80" t="s">
        <v>347</v>
      </c>
      <c r="L2138" s="80" t="s">
        <v>343</v>
      </c>
      <c r="M2138" s="81">
        <v>0.17</v>
      </c>
      <c r="N2138" s="82">
        <v>12.750000000000002</v>
      </c>
    </row>
    <row r="2139" spans="1:14" x14ac:dyDescent="0.25">
      <c r="A2139" s="10" t="str">
        <f>_xlfn.IFNA(
    IF(J2139=
        "PCB-0001",
        "CSS",
        IF(
            ISNUMBER(MATCH(_xlfn.TEXTBEFORE(J2139,"-"), {"CSS","CSN","PCB","PCF","BEC","CSD","PCM"}, 0)),
            _xlfn.TEXTBEFORE(J2139,"-"),
            "Other"
        )
    ),
"Add")</f>
        <v>PCB</v>
      </c>
      <c r="B2139" s="10" t="str">
        <f t="shared" si="34"/>
        <v>0137</v>
      </c>
      <c r="C2139" s="10" t="str">
        <f>_xlfn.LET(
    _xlpm.val, IF(Datadetails[[#This Row],[Activity]]="D02","C20",Datadetails[[#This Row],[Activity]]),
    IF(ISNUMBER(MATCH(_xlpm.val,{"D04","C30","c40","C20"},0)), _xlpm.val, "Other")
)</f>
        <v>C30</v>
      </c>
      <c r="D2139" s="10" t="str">
        <f>IFERROR(VLOOKUP(Datadetails[[#This Row],[Taskcode]],Dashboard!A:A,1,FALSE),"00 Err Missing")</f>
        <v>0137</v>
      </c>
      <c r="E2139" s="79">
        <v>45919</v>
      </c>
      <c r="F2139" s="80" t="s">
        <v>325</v>
      </c>
      <c r="G2139" s="60" t="s">
        <v>40</v>
      </c>
      <c r="H2139" s="80" t="s">
        <v>304</v>
      </c>
      <c r="I2139" s="80" t="s">
        <v>34</v>
      </c>
      <c r="J2139" s="80" t="s">
        <v>372</v>
      </c>
      <c r="K2139" s="80" t="s">
        <v>347</v>
      </c>
      <c r="L2139" s="80" t="s">
        <v>343</v>
      </c>
      <c r="M2139" s="81">
        <v>0.25</v>
      </c>
      <c r="N2139" s="82">
        <v>18.75</v>
      </c>
    </row>
    <row r="2140" spans="1:14" x14ac:dyDescent="0.25">
      <c r="A2140" s="10" t="str">
        <f>_xlfn.IFNA(
    IF(J2140=
        "PCB-0001",
        "CSS",
        IF(
            ISNUMBER(MATCH(_xlfn.TEXTBEFORE(J2140,"-"), {"CSS","CSN","PCB","PCF","BEC","CSD","PCM"}, 0)),
            _xlfn.TEXTBEFORE(J2140,"-"),
            "Other"
        )
    ),
"Add")</f>
        <v>PCB</v>
      </c>
      <c r="B2140" s="10" t="str">
        <f t="shared" si="34"/>
        <v>0074</v>
      </c>
      <c r="C2140" s="10" t="str">
        <f>_xlfn.LET(
    _xlpm.val, IF(Datadetails[[#This Row],[Activity]]="D02","C20",Datadetails[[#This Row],[Activity]]),
    IF(ISNUMBER(MATCH(_xlpm.val,{"D04","C30","c40","C20"},0)), _xlpm.val, "Other")
)</f>
        <v>C30</v>
      </c>
      <c r="D2140" s="10" t="str">
        <f>IFERROR(VLOOKUP(Datadetails[[#This Row],[Taskcode]],Dashboard!A:A,1,FALSE),"00 Err Missing")</f>
        <v>0074</v>
      </c>
      <c r="E2140" s="79">
        <v>45919</v>
      </c>
      <c r="F2140" s="80" t="s">
        <v>329</v>
      </c>
      <c r="G2140" s="60" t="s">
        <v>40</v>
      </c>
      <c r="H2140" s="80" t="s">
        <v>241</v>
      </c>
      <c r="I2140" s="80" t="s">
        <v>34</v>
      </c>
      <c r="J2140" s="80" t="s">
        <v>403</v>
      </c>
      <c r="K2140" s="80" t="s">
        <v>347</v>
      </c>
      <c r="L2140" s="80" t="s">
        <v>343</v>
      </c>
      <c r="M2140" s="81">
        <v>0.17</v>
      </c>
      <c r="N2140" s="82">
        <v>12.750000000000002</v>
      </c>
    </row>
    <row r="2141" spans="1:14" x14ac:dyDescent="0.25">
      <c r="A2141" s="10" t="str">
        <f>_xlfn.IFNA(
    IF(J2141=
        "PCB-0001",
        "CSS",
        IF(
            ISNUMBER(MATCH(_xlfn.TEXTBEFORE(J2141,"-"), {"CSS","CSN","PCB","PCF","BEC","CSD","PCM"}, 0)),
            _xlfn.TEXTBEFORE(J2141,"-"),
            "Other"
        )
    ),
"Add")</f>
        <v>PCB</v>
      </c>
      <c r="B2141" s="10" t="str">
        <f t="shared" si="34"/>
        <v>0075</v>
      </c>
      <c r="C2141" s="10" t="str">
        <f>_xlfn.LET(
    _xlpm.val, IF(Datadetails[[#This Row],[Activity]]="D02","C20",Datadetails[[#This Row],[Activity]]),
    IF(ISNUMBER(MATCH(_xlpm.val,{"D04","C30","c40","C20"},0)), _xlpm.val, "Other")
)</f>
        <v>C30</v>
      </c>
      <c r="D2141" s="10" t="str">
        <f>IFERROR(VLOOKUP(Datadetails[[#This Row],[Taskcode]],Dashboard!A:A,1,FALSE),"00 Err Missing")</f>
        <v>0075</v>
      </c>
      <c r="E2141" s="79">
        <v>45919</v>
      </c>
      <c r="F2141" s="80" t="s">
        <v>329</v>
      </c>
      <c r="G2141" s="60" t="s">
        <v>40</v>
      </c>
      <c r="H2141" s="80" t="s">
        <v>242</v>
      </c>
      <c r="I2141" s="80" t="s">
        <v>34</v>
      </c>
      <c r="J2141" s="80" t="s">
        <v>404</v>
      </c>
      <c r="K2141" s="80" t="s">
        <v>347</v>
      </c>
      <c r="L2141" s="80" t="s">
        <v>343</v>
      </c>
      <c r="M2141" s="81">
        <v>0.17</v>
      </c>
      <c r="N2141" s="82">
        <v>12.750000000000002</v>
      </c>
    </row>
    <row r="2142" spans="1:14" x14ac:dyDescent="0.25">
      <c r="A2142" s="10" t="str">
        <f>_xlfn.IFNA(
    IF(J2142=
        "PCB-0001",
        "CSS",
        IF(
            ISNUMBER(MATCH(_xlfn.TEXTBEFORE(J2142,"-"), {"CSS","CSN","PCB","PCF","BEC","CSD","PCM"}, 0)),
            _xlfn.TEXTBEFORE(J2142,"-"),
            "Other"
        )
    ),
"Add")</f>
        <v>PCB</v>
      </c>
      <c r="B2142" s="10" t="str">
        <f t="shared" si="34"/>
        <v>0104</v>
      </c>
      <c r="C2142" s="10" t="str">
        <f>_xlfn.LET(
    _xlpm.val, IF(Datadetails[[#This Row],[Activity]]="D02","C20",Datadetails[[#This Row],[Activity]]),
    IF(ISNUMBER(MATCH(_xlpm.val,{"D04","C30","c40","C20"},0)), _xlpm.val, "Other")
)</f>
        <v>C30</v>
      </c>
      <c r="D2142" s="10" t="str">
        <f>IFERROR(VLOOKUP(Datadetails[[#This Row],[Taskcode]],Dashboard!A:A,1,FALSE),"00 Err Missing")</f>
        <v>0104</v>
      </c>
      <c r="E2142" s="79">
        <v>45919</v>
      </c>
      <c r="F2142" s="80" t="s">
        <v>325</v>
      </c>
      <c r="G2142" s="60" t="s">
        <v>40</v>
      </c>
      <c r="H2142" s="80" t="s">
        <v>271</v>
      </c>
      <c r="I2142" s="80" t="s">
        <v>34</v>
      </c>
      <c r="J2142" s="80" t="s">
        <v>363</v>
      </c>
      <c r="K2142" s="80" t="s">
        <v>347</v>
      </c>
      <c r="L2142" s="80" t="s">
        <v>343</v>
      </c>
      <c r="M2142" s="81">
        <v>0.17</v>
      </c>
      <c r="N2142" s="82">
        <v>12.750000000000002</v>
      </c>
    </row>
    <row r="2143" spans="1:14" x14ac:dyDescent="0.25">
      <c r="A2143" s="10" t="str">
        <f>_xlfn.IFNA(
    IF(J2143=
        "PCB-0001",
        "CSS",
        IF(
            ISNUMBER(MATCH(_xlfn.TEXTBEFORE(J2143,"-"), {"CSS","CSN","PCB","PCF","BEC","CSD","PCM"}, 0)),
            _xlfn.TEXTBEFORE(J2143,"-"),
            "Other"
        )
    ),
"Add")</f>
        <v>PCB</v>
      </c>
      <c r="B2143" s="10" t="str">
        <f t="shared" si="34"/>
        <v>0120</v>
      </c>
      <c r="C2143" s="10" t="str">
        <f>_xlfn.LET(
    _xlpm.val, IF(Datadetails[[#This Row],[Activity]]="D02","C20",Datadetails[[#This Row],[Activity]]),
    IF(ISNUMBER(MATCH(_xlpm.val,{"D04","C30","c40","C20"},0)), _xlpm.val, "Other")
)</f>
        <v>C30</v>
      </c>
      <c r="D2143" s="10" t="str">
        <f>IFERROR(VLOOKUP(Datadetails[[#This Row],[Taskcode]],Dashboard!A:A,1,FALSE),"00 Err Missing")</f>
        <v>0120</v>
      </c>
      <c r="E2143" s="79">
        <v>45919</v>
      </c>
      <c r="F2143" s="80" t="s">
        <v>325</v>
      </c>
      <c r="G2143" s="60" t="s">
        <v>40</v>
      </c>
      <c r="H2143" s="80" t="s">
        <v>287</v>
      </c>
      <c r="I2143" s="80" t="s">
        <v>34</v>
      </c>
      <c r="J2143" s="80" t="s">
        <v>378</v>
      </c>
      <c r="K2143" s="80" t="s">
        <v>347</v>
      </c>
      <c r="L2143" s="80" t="s">
        <v>343</v>
      </c>
      <c r="M2143" s="81">
        <v>0.25</v>
      </c>
      <c r="N2143" s="82">
        <v>18.75</v>
      </c>
    </row>
    <row r="2144" spans="1:14" x14ac:dyDescent="0.25">
      <c r="A2144" s="10" t="str">
        <f>_xlfn.IFNA(
    IF(J2144=
        "PCB-0001",
        "CSS",
        IF(
            ISNUMBER(MATCH(_xlfn.TEXTBEFORE(J2144,"-"), {"CSS","CSN","PCB","PCF","BEC","CSD","PCM"}, 0)),
            _xlfn.TEXTBEFORE(J2144,"-"),
            "Other"
        )
    ),
"Add")</f>
        <v>PCB</v>
      </c>
      <c r="B2144" s="10" t="str">
        <f t="shared" si="34"/>
        <v>0128</v>
      </c>
      <c r="C2144" s="10" t="str">
        <f>_xlfn.LET(
    _xlpm.val, IF(Datadetails[[#This Row],[Activity]]="D02","C20",Datadetails[[#This Row],[Activity]]),
    IF(ISNUMBER(MATCH(_xlpm.val,{"D04","C30","c40","C20"},0)), _xlpm.val, "Other")
)</f>
        <v>C30</v>
      </c>
      <c r="D2144" s="10" t="str">
        <f>IFERROR(VLOOKUP(Datadetails[[#This Row],[Taskcode]],Dashboard!A:A,1,FALSE),"00 Err Missing")</f>
        <v>0128</v>
      </c>
      <c r="E2144" s="79">
        <v>45919</v>
      </c>
      <c r="F2144" s="80" t="s">
        <v>329</v>
      </c>
      <c r="G2144" s="60" t="s">
        <v>40</v>
      </c>
      <c r="H2144" s="80" t="s">
        <v>295</v>
      </c>
      <c r="I2144" s="80" t="s">
        <v>34</v>
      </c>
      <c r="J2144" s="80" t="s">
        <v>379</v>
      </c>
      <c r="K2144" s="80" t="s">
        <v>347</v>
      </c>
      <c r="L2144" s="80" t="s">
        <v>343</v>
      </c>
      <c r="M2144" s="81">
        <v>0.17</v>
      </c>
      <c r="N2144" s="82">
        <v>12.750000000000002</v>
      </c>
    </row>
    <row r="2145" spans="1:14" x14ac:dyDescent="0.25">
      <c r="A2145" s="10" t="str">
        <f>_xlfn.IFNA(
    IF(J2145=
        "PCB-0001",
        "CSS",
        IF(
            ISNUMBER(MATCH(_xlfn.TEXTBEFORE(J2145,"-"), {"CSS","CSN","PCB","PCF","BEC","CSD","PCM"}, 0)),
            _xlfn.TEXTBEFORE(J2145,"-"),
            "Other"
        )
    ),
"Add")</f>
        <v>PCB</v>
      </c>
      <c r="B2145" s="10" t="str">
        <f t="shared" si="34"/>
        <v>0081</v>
      </c>
      <c r="C2145" s="10" t="str">
        <f>_xlfn.LET(
    _xlpm.val, IF(Datadetails[[#This Row],[Activity]]="D02","C20",Datadetails[[#This Row],[Activity]]),
    IF(ISNUMBER(MATCH(_xlpm.val,{"D04","C30","c40","C20"},0)), _xlpm.val, "Other")
)</f>
        <v>C30</v>
      </c>
      <c r="D2145" s="10" t="str">
        <f>IFERROR(VLOOKUP(Datadetails[[#This Row],[Taskcode]],Dashboard!A:A,1,FALSE),"00 Err Missing")</f>
        <v>0081</v>
      </c>
      <c r="E2145" s="79">
        <v>45919</v>
      </c>
      <c r="F2145" s="80" t="s">
        <v>329</v>
      </c>
      <c r="G2145" s="60" t="s">
        <v>40</v>
      </c>
      <c r="H2145" s="80" t="s">
        <v>248</v>
      </c>
      <c r="I2145" s="80" t="s">
        <v>34</v>
      </c>
      <c r="J2145" s="80" t="s">
        <v>385</v>
      </c>
      <c r="K2145" s="80" t="s">
        <v>347</v>
      </c>
      <c r="L2145" s="80" t="s">
        <v>343</v>
      </c>
      <c r="M2145" s="81">
        <v>0.33</v>
      </c>
      <c r="N2145" s="82">
        <v>24.75</v>
      </c>
    </row>
    <row r="2146" spans="1:14" x14ac:dyDescent="0.25">
      <c r="A2146" s="10" t="str">
        <f>_xlfn.IFNA(
    IF(J2146=
        "PCB-0001",
        "CSS",
        IF(
            ISNUMBER(MATCH(_xlfn.TEXTBEFORE(J2146,"-"), {"CSS","CSN","PCB","PCF","BEC","CSD","PCM"}, 0)),
            _xlfn.TEXTBEFORE(J2146,"-"),
            "Other"
        )
    ),
"Add")</f>
        <v>PCB</v>
      </c>
      <c r="B2146" s="10" t="str">
        <f t="shared" si="34"/>
        <v>0063</v>
      </c>
      <c r="C2146" s="10" t="str">
        <f>_xlfn.LET(
    _xlpm.val, IF(Datadetails[[#This Row],[Activity]]="D02","C20",Datadetails[[#This Row],[Activity]]),
    IF(ISNUMBER(MATCH(_xlpm.val,{"D04","C30","c40","C20"},0)), _xlpm.val, "Other")
)</f>
        <v>C30</v>
      </c>
      <c r="D2146" s="10" t="str">
        <f>IFERROR(VLOOKUP(Datadetails[[#This Row],[Taskcode]],Dashboard!A:A,1,FALSE),"00 Err Missing")</f>
        <v>0063</v>
      </c>
      <c r="E2146" s="79">
        <v>45919</v>
      </c>
      <c r="F2146" s="80" t="s">
        <v>329</v>
      </c>
      <c r="G2146" s="60" t="s">
        <v>40</v>
      </c>
      <c r="H2146" s="80" t="s">
        <v>230</v>
      </c>
      <c r="I2146" s="80" t="s">
        <v>34</v>
      </c>
      <c r="J2146" s="80" t="s">
        <v>410</v>
      </c>
      <c r="K2146" s="80" t="s">
        <v>347</v>
      </c>
      <c r="L2146" s="80" t="s">
        <v>343</v>
      </c>
      <c r="M2146" s="81">
        <v>0.33</v>
      </c>
      <c r="N2146" s="82">
        <v>24.75</v>
      </c>
    </row>
    <row r="2147" spans="1:14" x14ac:dyDescent="0.25">
      <c r="A2147" s="10" t="str">
        <f>_xlfn.IFNA(
    IF(J2147=
        "PCB-0001",
        "CSS",
        IF(
            ISNUMBER(MATCH(_xlfn.TEXTBEFORE(J2147,"-"), {"CSS","CSN","PCB","PCF","BEC","CSD","PCM"}, 0)),
            _xlfn.TEXTBEFORE(J2147,"-"),
            "Other"
        )
    ),
"Add")</f>
        <v>PCF</v>
      </c>
      <c r="B2147" s="10" t="str">
        <f t="shared" si="34"/>
        <v>0021</v>
      </c>
      <c r="C2147" s="10" t="str">
        <f>_xlfn.LET(
    _xlpm.val, IF(Datadetails[[#This Row],[Activity]]="D02","C20",Datadetails[[#This Row],[Activity]]),
    IF(ISNUMBER(MATCH(_xlpm.val,{"D04","C30","c40","C20"},0)), _xlpm.val, "Other")
)</f>
        <v>C20</v>
      </c>
      <c r="D2147" s="10" t="str">
        <f>IFERROR(VLOOKUP(Datadetails[[#This Row],[Taskcode]],Dashboard!A:A,1,FALSE),"00 Err Missing")</f>
        <v>0021</v>
      </c>
      <c r="E2147" s="79">
        <v>45919</v>
      </c>
      <c r="F2147" s="80" t="s">
        <v>326</v>
      </c>
      <c r="G2147" s="60" t="s">
        <v>40</v>
      </c>
      <c r="H2147" s="80" t="s">
        <v>188</v>
      </c>
      <c r="I2147" s="80" t="s">
        <v>36</v>
      </c>
      <c r="J2147" s="80" t="s">
        <v>356</v>
      </c>
      <c r="K2147" s="80" t="s">
        <v>348</v>
      </c>
      <c r="L2147" s="80" t="s">
        <v>342</v>
      </c>
      <c r="M2147" s="81">
        <v>0.5</v>
      </c>
      <c r="N2147" s="82">
        <v>30</v>
      </c>
    </row>
    <row r="2148" spans="1:14" x14ac:dyDescent="0.25">
      <c r="A2148" s="10" t="str">
        <f>_xlfn.IFNA(
    IF(J2148=
        "PCB-0001",
        "CSS",
        IF(
            ISNUMBER(MATCH(_xlfn.TEXTBEFORE(J2148,"-"), {"CSS","CSN","PCB","PCF","BEC","CSD","PCM"}, 0)),
            _xlfn.TEXTBEFORE(J2148,"-"),
            "Other"
        )
    ),
"Add")</f>
        <v>PCF</v>
      </c>
      <c r="B2148" s="10" t="str">
        <f t="shared" si="34"/>
        <v>0060</v>
      </c>
      <c r="C2148" s="10" t="str">
        <f>_xlfn.LET(
    _xlpm.val, IF(Datadetails[[#This Row],[Activity]]="D02","C20",Datadetails[[#This Row],[Activity]]),
    IF(ISNUMBER(MATCH(_xlpm.val,{"D04","C30","c40","C20"},0)), _xlpm.val, "Other")
)</f>
        <v>C20</v>
      </c>
      <c r="D2148" s="10" t="str">
        <f>IFERROR(VLOOKUP(Datadetails[[#This Row],[Taskcode]],Dashboard!A:A,1,FALSE),"00 Err Missing")</f>
        <v>0060</v>
      </c>
      <c r="E2148" s="79">
        <v>45919</v>
      </c>
      <c r="F2148" s="80" t="s">
        <v>326</v>
      </c>
      <c r="G2148" s="60" t="s">
        <v>40</v>
      </c>
      <c r="H2148" s="80" t="s">
        <v>227</v>
      </c>
      <c r="I2148" s="80" t="s">
        <v>36</v>
      </c>
      <c r="J2148" s="80" t="s">
        <v>453</v>
      </c>
      <c r="K2148" s="80" t="s">
        <v>348</v>
      </c>
      <c r="L2148" s="80" t="s">
        <v>342</v>
      </c>
      <c r="M2148" s="81">
        <v>0.83</v>
      </c>
      <c r="N2148" s="82">
        <v>49.8</v>
      </c>
    </row>
    <row r="2149" spans="1:14" x14ac:dyDescent="0.25">
      <c r="A2149" s="10" t="str">
        <f>_xlfn.IFNA(
    IF(J2149=
        "PCB-0001",
        "CSS",
        IF(
            ISNUMBER(MATCH(_xlfn.TEXTBEFORE(J2149,"-"), {"CSS","CSN","PCB","PCF","BEC","CSD","PCM"}, 0)),
            _xlfn.TEXTBEFORE(J2149,"-"),
            "Other"
        )
    ),
"Add")</f>
        <v>PCF</v>
      </c>
      <c r="B2149" s="10" t="str">
        <f t="shared" si="34"/>
        <v>0142</v>
      </c>
      <c r="C2149" s="10" t="str">
        <f>_xlfn.LET(
    _xlpm.val, IF(Datadetails[[#This Row],[Activity]]="D02","C20",Datadetails[[#This Row],[Activity]]),
    IF(ISNUMBER(MATCH(_xlpm.val,{"D04","C30","c40","C20"},0)), _xlpm.val, "Other")
)</f>
        <v>C30</v>
      </c>
      <c r="D2149" s="10" t="str">
        <f>IFERROR(VLOOKUP(Datadetails[[#This Row],[Taskcode]],Dashboard!A:A,1,FALSE),"00 Err Missing")</f>
        <v>0142</v>
      </c>
      <c r="E2149" s="79">
        <v>45919</v>
      </c>
      <c r="F2149" s="80" t="s">
        <v>326</v>
      </c>
      <c r="G2149" s="60" t="s">
        <v>40</v>
      </c>
      <c r="H2149" s="80" t="s">
        <v>309</v>
      </c>
      <c r="I2149" s="80" t="s">
        <v>34</v>
      </c>
      <c r="J2149" s="80" t="s">
        <v>454</v>
      </c>
      <c r="K2149" s="80" t="s">
        <v>348</v>
      </c>
      <c r="L2149" s="80" t="s">
        <v>343</v>
      </c>
      <c r="M2149" s="81">
        <v>1</v>
      </c>
      <c r="N2149" s="82">
        <v>60</v>
      </c>
    </row>
    <row r="2150" spans="1:14" x14ac:dyDescent="0.25">
      <c r="A2150" s="10" t="str">
        <f>_xlfn.IFNA(
    IF(J2150=
        "PCB-0001",
        "CSS",
        IF(
            ISNUMBER(MATCH(_xlfn.TEXTBEFORE(J2150,"-"), {"CSS","CSN","PCB","PCF","BEC","CSD","PCM"}, 0)),
            _xlfn.TEXTBEFORE(J2150,"-"),
            "Other"
        )
    ),
"Add")</f>
        <v>BEC</v>
      </c>
      <c r="B2150" s="10" t="str">
        <f t="shared" si="34"/>
        <v>0001</v>
      </c>
      <c r="C2150" s="10" t="str">
        <f>_xlfn.LET(
    _xlpm.val, IF(Datadetails[[#This Row],[Activity]]="D02","C20",Datadetails[[#This Row],[Activity]]),
    IF(ISNUMBER(MATCH(_xlpm.val,{"D04","C30","c40","C20"},0)), _xlpm.val, "Other")
)</f>
        <v>D04</v>
      </c>
      <c r="D2150" s="10" t="str">
        <f>IFERROR(VLOOKUP(Datadetails[[#This Row],[Taskcode]],Dashboard!A:A,1,FALSE),"00 Err Missing")</f>
        <v>0001</v>
      </c>
      <c r="E2150" s="79">
        <v>45919</v>
      </c>
      <c r="F2150" s="80" t="s">
        <v>332</v>
      </c>
      <c r="G2150" s="60" t="s">
        <v>40</v>
      </c>
      <c r="H2150" s="80" t="s">
        <v>314</v>
      </c>
      <c r="I2150" s="80" t="s">
        <v>35</v>
      </c>
      <c r="J2150" s="80" t="s">
        <v>359</v>
      </c>
      <c r="K2150" s="80" t="s">
        <v>339</v>
      </c>
      <c r="L2150" s="80" t="s">
        <v>352</v>
      </c>
      <c r="M2150" s="81">
        <v>9.33</v>
      </c>
      <c r="N2150" s="82">
        <v>373.2</v>
      </c>
    </row>
    <row r="2151" spans="1:14" x14ac:dyDescent="0.25">
      <c r="A2151" s="10" t="str">
        <f>_xlfn.IFNA(
    IF(J2151=
        "PCB-0001",
        "CSS",
        IF(
            ISNUMBER(MATCH(_xlfn.TEXTBEFORE(J2151,"-"), {"CSS","CSN","PCB","PCF","BEC","CSD","PCM"}, 0)),
            _xlfn.TEXTBEFORE(J2151,"-"),
            "Other"
        )
    ),
"Add")</f>
        <v>BEC</v>
      </c>
      <c r="B2151" s="10" t="str">
        <f t="shared" si="34"/>
        <v>0001</v>
      </c>
      <c r="C2151" s="10" t="str">
        <f>_xlfn.LET(
    _xlpm.val, IF(Datadetails[[#This Row],[Activity]]="D02","C20",Datadetails[[#This Row],[Activity]]),
    IF(ISNUMBER(MATCH(_xlpm.val,{"D04","C30","c40","C20"},0)), _xlpm.val, "Other")
)</f>
        <v>D04</v>
      </c>
      <c r="D2151" s="10" t="str">
        <f>IFERROR(VLOOKUP(Datadetails[[#This Row],[Taskcode]],Dashboard!A:A,1,FALSE),"00 Err Missing")</f>
        <v>0001</v>
      </c>
      <c r="E2151" s="79">
        <v>45919</v>
      </c>
      <c r="F2151" s="80" t="s">
        <v>324</v>
      </c>
      <c r="G2151" s="60" t="s">
        <v>40</v>
      </c>
      <c r="H2151" s="80" t="s">
        <v>314</v>
      </c>
      <c r="I2151" s="80" t="s">
        <v>35</v>
      </c>
      <c r="J2151" s="80" t="s">
        <v>359</v>
      </c>
      <c r="K2151" s="80" t="s">
        <v>339</v>
      </c>
      <c r="L2151" s="80" t="s">
        <v>352</v>
      </c>
      <c r="M2151" s="81">
        <v>6</v>
      </c>
      <c r="N2151" s="82">
        <v>450</v>
      </c>
    </row>
    <row r="2152" spans="1:14" x14ac:dyDescent="0.25">
      <c r="A2152" s="10" t="str">
        <f>_xlfn.IFNA(
    IF(J2152=
        "PCB-0001",
        "CSS",
        IF(
            ISNUMBER(MATCH(_xlfn.TEXTBEFORE(J2152,"-"), {"CSS","CSN","PCB","PCF","BEC","CSD","PCM"}, 0)),
            _xlfn.TEXTBEFORE(J2152,"-"),
            "Other"
        )
    ),
"Add")</f>
        <v>BEC</v>
      </c>
      <c r="B2152" s="10" t="str">
        <f t="shared" si="34"/>
        <v>0001</v>
      </c>
      <c r="C2152" s="10" t="str">
        <f>_xlfn.LET(
    _xlpm.val, IF(Datadetails[[#This Row],[Activity]]="D02","C20",Datadetails[[#This Row],[Activity]]),
    IF(ISNUMBER(MATCH(_xlpm.val,{"D04","C30","c40","C20"},0)), _xlpm.val, "Other")
)</f>
        <v>D04</v>
      </c>
      <c r="D2152" s="10" t="str">
        <f>IFERROR(VLOOKUP(Datadetails[[#This Row],[Taskcode]],Dashboard!A:A,1,FALSE),"00 Err Missing")</f>
        <v>0001</v>
      </c>
      <c r="E2152" s="79">
        <v>45920</v>
      </c>
      <c r="F2152" s="80" t="s">
        <v>332</v>
      </c>
      <c r="G2152" s="60" t="s">
        <v>40</v>
      </c>
      <c r="H2152" s="80" t="s">
        <v>314</v>
      </c>
      <c r="I2152" s="80" t="s">
        <v>35</v>
      </c>
      <c r="J2152" s="80" t="s">
        <v>359</v>
      </c>
      <c r="K2152" s="80" t="s">
        <v>339</v>
      </c>
      <c r="L2152" s="80" t="s">
        <v>352</v>
      </c>
      <c r="M2152" s="81">
        <v>3</v>
      </c>
      <c r="N2152" s="82">
        <v>120</v>
      </c>
    </row>
    <row r="2153" spans="1:14" x14ac:dyDescent="0.25">
      <c r="A2153" s="10" t="str">
        <f>_xlfn.IFNA(
    IF(J2153=
        "PCB-0001",
        "CSS",
        IF(
            ISNUMBER(MATCH(_xlfn.TEXTBEFORE(J2153,"-"), {"CSS","CSN","PCB","PCF","BEC","CSD","PCM"}, 0)),
            _xlfn.TEXTBEFORE(J2153,"-"),
            "Other"
        )
    ),
"Add")</f>
        <v>PCM</v>
      </c>
      <c r="B2153" s="10" t="str">
        <f t="shared" si="34"/>
        <v>0002</v>
      </c>
      <c r="C2153" s="10" t="str">
        <f>_xlfn.LET(
    _xlpm.val, IF(Datadetails[[#This Row],[Activity]]="D02","C20",Datadetails[[#This Row],[Activity]]),
    IF(ISNUMBER(MATCH(_xlpm.val,{"D04","C30","c40","C20"},0)), _xlpm.val, "Other")
)</f>
        <v>C20</v>
      </c>
      <c r="D2153" s="10" t="str">
        <f>IFERROR(VLOOKUP(Datadetails[[#This Row],[Taskcode]],Dashboard!A:A,1,FALSE),"00 Err Missing")</f>
        <v>0002</v>
      </c>
      <c r="E2153" s="79">
        <v>45922</v>
      </c>
      <c r="F2153" s="80" t="s">
        <v>323</v>
      </c>
      <c r="G2153" s="60" t="s">
        <v>40</v>
      </c>
      <c r="H2153" s="80" t="s">
        <v>169</v>
      </c>
      <c r="I2153" s="80" t="s">
        <v>36</v>
      </c>
      <c r="J2153" s="80" t="s">
        <v>433</v>
      </c>
      <c r="K2153" s="80" t="s">
        <v>346</v>
      </c>
      <c r="L2153" s="80" t="s">
        <v>342</v>
      </c>
      <c r="M2153" s="81">
        <v>0.33</v>
      </c>
      <c r="N2153" s="82">
        <v>19.8</v>
      </c>
    </row>
    <row r="2154" spans="1:14" x14ac:dyDescent="0.25">
      <c r="A2154" s="10" t="str">
        <f>_xlfn.IFNA(
    IF(J2154=
        "PCB-0001",
        "CSS",
        IF(
            ISNUMBER(MATCH(_xlfn.TEXTBEFORE(J2154,"-"), {"CSS","CSN","PCB","PCF","BEC","CSD","PCM"}, 0)),
            _xlfn.TEXTBEFORE(J2154,"-"),
            "Other"
        )
    ),
"Add")</f>
        <v>PCM</v>
      </c>
      <c r="B2154" s="10" t="str">
        <f t="shared" si="34"/>
        <v>0041</v>
      </c>
      <c r="C2154" s="10" t="str">
        <f>_xlfn.LET(
    _xlpm.val, IF(Datadetails[[#This Row],[Activity]]="D02","C20",Datadetails[[#This Row],[Activity]]),
    IF(ISNUMBER(MATCH(_xlpm.val,{"D04","C30","c40","C20"},0)), _xlpm.val, "Other")
)</f>
        <v>C20</v>
      </c>
      <c r="D2154" s="10" t="str">
        <f>IFERROR(VLOOKUP(Datadetails[[#This Row],[Taskcode]],Dashboard!A:A,1,FALSE),"00 Err Missing")</f>
        <v>0041</v>
      </c>
      <c r="E2154" s="79">
        <v>45922</v>
      </c>
      <c r="F2154" s="80" t="s">
        <v>323</v>
      </c>
      <c r="G2154" s="60" t="s">
        <v>40</v>
      </c>
      <c r="H2154" s="80" t="s">
        <v>208</v>
      </c>
      <c r="I2154" s="80" t="s">
        <v>36</v>
      </c>
      <c r="J2154" s="80" t="s">
        <v>456</v>
      </c>
      <c r="K2154" s="80" t="s">
        <v>346</v>
      </c>
      <c r="L2154" s="80" t="s">
        <v>342</v>
      </c>
      <c r="M2154" s="81">
        <v>0.25</v>
      </c>
      <c r="N2154" s="82">
        <v>15</v>
      </c>
    </row>
    <row r="2155" spans="1:14" x14ac:dyDescent="0.25">
      <c r="A2155" s="10" t="str">
        <f>_xlfn.IFNA(
    IF(J2155=
        "PCB-0001",
        "CSS",
        IF(
            ISNUMBER(MATCH(_xlfn.TEXTBEFORE(J2155,"-"), {"CSS","CSN","PCB","PCF","BEC","CSD","PCM"}, 0)),
            _xlfn.TEXTBEFORE(J2155,"-"),
            "Other"
        )
    ),
"Add")</f>
        <v>CSD</v>
      </c>
      <c r="B2155" s="10" t="str">
        <f t="shared" si="34"/>
        <v>0001</v>
      </c>
      <c r="C2155" s="10" t="str">
        <f>_xlfn.LET(
    _xlpm.val, IF(Datadetails[[#This Row],[Activity]]="D02","C20",Datadetails[[#This Row],[Activity]]),
    IF(ISNUMBER(MATCH(_xlpm.val,{"D04","C30","c40","C20"},0)), _xlpm.val, "Other")
)</f>
        <v>D04</v>
      </c>
      <c r="D2155" s="10" t="str">
        <f>IFERROR(VLOOKUP(Datadetails[[#This Row],[Taskcode]],Dashboard!A:A,1,FALSE),"00 Err Missing")</f>
        <v>0001</v>
      </c>
      <c r="E2155" s="79">
        <v>45922</v>
      </c>
      <c r="F2155" s="80" t="s">
        <v>333</v>
      </c>
      <c r="G2155" s="60" t="s">
        <v>40</v>
      </c>
      <c r="H2155" s="80" t="s">
        <v>320</v>
      </c>
      <c r="I2155" s="80" t="s">
        <v>35</v>
      </c>
      <c r="J2155" s="80" t="s">
        <v>322</v>
      </c>
      <c r="K2155" s="80" t="s">
        <v>319</v>
      </c>
      <c r="L2155" s="80" t="s">
        <v>352</v>
      </c>
      <c r="M2155" s="81">
        <v>9.1300000000000008</v>
      </c>
      <c r="N2155" s="82">
        <v>292.16000000000003</v>
      </c>
    </row>
    <row r="2156" spans="1:14" x14ac:dyDescent="0.25">
      <c r="A2156" s="10" t="str">
        <f>_xlfn.IFNA(
    IF(J2156=
        "PCB-0001",
        "CSS",
        IF(
            ISNUMBER(MATCH(_xlfn.TEXTBEFORE(J2156,"-"), {"CSS","CSN","PCB","PCF","BEC","CSD","PCM"}, 0)),
            _xlfn.TEXTBEFORE(J2156,"-"),
            "Other"
        )
    ),
"Add")</f>
        <v>PCM</v>
      </c>
      <c r="B2156" s="10" t="str">
        <f t="shared" si="34"/>
        <v>0064</v>
      </c>
      <c r="C2156" s="10" t="str">
        <f>_xlfn.LET(
    _xlpm.val, IF(Datadetails[[#This Row],[Activity]]="D02","C20",Datadetails[[#This Row],[Activity]]),
    IF(ISNUMBER(MATCH(_xlpm.val,{"D04","C30","c40","C20"},0)), _xlpm.val, "Other")
)</f>
        <v>C20</v>
      </c>
      <c r="D2156" s="10" t="str">
        <f>IFERROR(VLOOKUP(Datadetails[[#This Row],[Taskcode]],Dashboard!A:A,1,FALSE),"00 Err Missing")</f>
        <v>0064</v>
      </c>
      <c r="E2156" s="79">
        <v>45922</v>
      </c>
      <c r="F2156" s="80" t="s">
        <v>323</v>
      </c>
      <c r="G2156" s="60" t="s">
        <v>40</v>
      </c>
      <c r="H2156" s="80" t="s">
        <v>231</v>
      </c>
      <c r="I2156" s="80" t="s">
        <v>36</v>
      </c>
      <c r="J2156" s="80" t="s">
        <v>420</v>
      </c>
      <c r="K2156" s="80" t="s">
        <v>346</v>
      </c>
      <c r="L2156" s="80" t="s">
        <v>342</v>
      </c>
      <c r="M2156" s="81">
        <v>0.25</v>
      </c>
      <c r="N2156" s="82">
        <v>15</v>
      </c>
    </row>
    <row r="2157" spans="1:14" x14ac:dyDescent="0.25">
      <c r="A2157" s="10" t="str">
        <f>_xlfn.IFNA(
    IF(J2157=
        "PCB-0001",
        "CSS",
        IF(
            ISNUMBER(MATCH(_xlfn.TEXTBEFORE(J2157,"-"), {"CSS","CSN","PCB","PCF","BEC","CSD","PCM"}, 0)),
            _xlfn.TEXTBEFORE(J2157,"-"),
            "Other"
        )
    ),
"Add")</f>
        <v>PCB</v>
      </c>
      <c r="B2157" s="10" t="str">
        <f t="shared" si="34"/>
        <v>0031</v>
      </c>
      <c r="C2157" s="10" t="str">
        <f>_xlfn.LET(
    _xlpm.val, IF(Datadetails[[#This Row],[Activity]]="D02","C20",Datadetails[[#This Row],[Activity]]),
    IF(ISNUMBER(MATCH(_xlpm.val,{"D04","C30","c40","C20"},0)), _xlpm.val, "Other")
)</f>
        <v>C30</v>
      </c>
      <c r="D2157" s="10" t="str">
        <f>IFERROR(VLOOKUP(Datadetails[[#This Row],[Taskcode]],Dashboard!A:A,1,FALSE),"00 Err Missing")</f>
        <v>0031</v>
      </c>
      <c r="E2157" s="79">
        <v>45922</v>
      </c>
      <c r="F2157" s="80" t="s">
        <v>325</v>
      </c>
      <c r="G2157" s="60" t="s">
        <v>40</v>
      </c>
      <c r="H2157" s="80" t="s">
        <v>198</v>
      </c>
      <c r="I2157" s="80" t="s">
        <v>34</v>
      </c>
      <c r="J2157" s="80" t="s">
        <v>413</v>
      </c>
      <c r="K2157" s="80" t="s">
        <v>347</v>
      </c>
      <c r="L2157" s="80" t="s">
        <v>343</v>
      </c>
      <c r="M2157" s="81">
        <v>0.25</v>
      </c>
      <c r="N2157" s="82">
        <v>18.75</v>
      </c>
    </row>
    <row r="2158" spans="1:14" x14ac:dyDescent="0.25">
      <c r="A2158" s="10" t="str">
        <f>_xlfn.IFNA(
    IF(J2158=
        "PCB-0001",
        "CSS",
        IF(
            ISNUMBER(MATCH(_xlfn.TEXTBEFORE(J2158,"-"), {"CSS","CSN","PCB","PCF","BEC","CSD","PCM"}, 0)),
            _xlfn.TEXTBEFORE(J2158,"-"),
            "Other"
        )
    ),
"Add")</f>
        <v>PCB</v>
      </c>
      <c r="B2158" s="10" t="str">
        <f t="shared" si="34"/>
        <v>0012</v>
      </c>
      <c r="C2158" s="10" t="str">
        <f>_xlfn.LET(
    _xlpm.val, IF(Datadetails[[#This Row],[Activity]]="D02","C20",Datadetails[[#This Row],[Activity]]),
    IF(ISNUMBER(MATCH(_xlpm.val,{"D04","C30","c40","C20"},0)), _xlpm.val, "Other")
)</f>
        <v>C30</v>
      </c>
      <c r="D2158" s="10" t="str">
        <f>IFERROR(VLOOKUP(Datadetails[[#This Row],[Taskcode]],Dashboard!A:A,1,FALSE),"00 Err Missing")</f>
        <v>0012</v>
      </c>
      <c r="E2158" s="79">
        <v>45922</v>
      </c>
      <c r="F2158" s="80" t="s">
        <v>325</v>
      </c>
      <c r="G2158" s="60" t="s">
        <v>40</v>
      </c>
      <c r="H2158" s="80" t="s">
        <v>179</v>
      </c>
      <c r="I2158" s="80" t="s">
        <v>34</v>
      </c>
      <c r="J2158" s="80" t="s">
        <v>422</v>
      </c>
      <c r="K2158" s="80" t="s">
        <v>347</v>
      </c>
      <c r="L2158" s="80" t="s">
        <v>343</v>
      </c>
      <c r="M2158" s="81">
        <v>0.17</v>
      </c>
      <c r="N2158" s="82">
        <v>12.750000000000002</v>
      </c>
    </row>
    <row r="2159" spans="1:14" x14ac:dyDescent="0.25">
      <c r="A2159" s="10" t="str">
        <f>_xlfn.IFNA(
    IF(J2159=
        "PCB-0001",
        "CSS",
        IF(
            ISNUMBER(MATCH(_xlfn.TEXTBEFORE(J2159,"-"), {"CSS","CSN","PCB","PCF","BEC","CSD","PCM"}, 0)),
            _xlfn.TEXTBEFORE(J2159,"-"),
            "Other"
        )
    ),
"Add")</f>
        <v>PCB</v>
      </c>
      <c r="B2159" s="10" t="str">
        <f t="shared" si="34"/>
        <v>0095</v>
      </c>
      <c r="C2159" s="10" t="str">
        <f>_xlfn.LET(
    _xlpm.val, IF(Datadetails[[#This Row],[Activity]]="D02","C20",Datadetails[[#This Row],[Activity]]),
    IF(ISNUMBER(MATCH(_xlpm.val,{"D04","C30","c40","C20"},0)), _xlpm.val, "Other")
)</f>
        <v>C30</v>
      </c>
      <c r="D2159" s="10" t="str">
        <f>IFERROR(VLOOKUP(Datadetails[[#This Row],[Taskcode]],Dashboard!A:A,1,FALSE),"00 Err Missing")</f>
        <v>0095</v>
      </c>
      <c r="E2159" s="79">
        <v>45922</v>
      </c>
      <c r="F2159" s="80" t="s">
        <v>325</v>
      </c>
      <c r="G2159" s="60" t="s">
        <v>40</v>
      </c>
      <c r="H2159" s="80" t="s">
        <v>262</v>
      </c>
      <c r="I2159" s="80" t="s">
        <v>34</v>
      </c>
      <c r="J2159" s="80" t="s">
        <v>442</v>
      </c>
      <c r="K2159" s="80" t="s">
        <v>347</v>
      </c>
      <c r="L2159" s="80" t="s">
        <v>343</v>
      </c>
      <c r="M2159" s="81">
        <v>0.42</v>
      </c>
      <c r="N2159" s="82">
        <v>31.5</v>
      </c>
    </row>
    <row r="2160" spans="1:14" x14ac:dyDescent="0.25">
      <c r="A2160" s="10" t="str">
        <f>_xlfn.IFNA(
    IF(J2160=
        "PCB-0001",
        "CSS",
        IF(
            ISNUMBER(MATCH(_xlfn.TEXTBEFORE(J2160,"-"), {"CSS","CSN","PCB","PCF","BEC","CSD","PCM"}, 0)),
            _xlfn.TEXTBEFORE(J2160,"-"),
            "Other"
        )
    ),
"Add")</f>
        <v>PCB</v>
      </c>
      <c r="B2160" s="10" t="str">
        <f t="shared" si="34"/>
        <v>0095</v>
      </c>
      <c r="C2160" s="10" t="str">
        <f>_xlfn.LET(
    _xlpm.val, IF(Datadetails[[#This Row],[Activity]]="D02","C20",Datadetails[[#This Row],[Activity]]),
    IF(ISNUMBER(MATCH(_xlpm.val,{"D04","C30","c40","C20"},0)), _xlpm.val, "Other")
)</f>
        <v>C40</v>
      </c>
      <c r="D2160" s="10" t="str">
        <f>IFERROR(VLOOKUP(Datadetails[[#This Row],[Taskcode]],Dashboard!A:A,1,FALSE),"00 Err Missing")</f>
        <v>0095</v>
      </c>
      <c r="E2160" s="79">
        <v>45922</v>
      </c>
      <c r="F2160" s="80" t="s">
        <v>325</v>
      </c>
      <c r="G2160" s="60" t="s">
        <v>40</v>
      </c>
      <c r="H2160" s="80" t="s">
        <v>262</v>
      </c>
      <c r="I2160" s="80" t="s">
        <v>341</v>
      </c>
      <c r="J2160" s="80" t="s">
        <v>442</v>
      </c>
      <c r="K2160" s="80" t="s">
        <v>347</v>
      </c>
      <c r="L2160" s="80" t="s">
        <v>344</v>
      </c>
      <c r="M2160" s="81">
        <v>1.67</v>
      </c>
      <c r="N2160" s="82">
        <v>125.25</v>
      </c>
    </row>
    <row r="2161" spans="1:14" x14ac:dyDescent="0.25">
      <c r="A2161" s="10" t="str">
        <f>_xlfn.IFNA(
    IF(J2161=
        "PCB-0001",
        "CSS",
        IF(
            ISNUMBER(MATCH(_xlfn.TEXTBEFORE(J2161,"-"), {"CSS","CSN","PCB","PCF","BEC","CSD","PCM"}, 0)),
            _xlfn.TEXTBEFORE(J2161,"-"),
            "Other"
        )
    ),
"Add")</f>
        <v>BEC</v>
      </c>
      <c r="B2161" s="10" t="str">
        <f t="shared" si="34"/>
        <v>0001</v>
      </c>
      <c r="C2161" s="10" t="str">
        <f>_xlfn.LET(
    _xlpm.val, IF(Datadetails[[#This Row],[Activity]]="D02","C20",Datadetails[[#This Row],[Activity]]),
    IF(ISNUMBER(MATCH(_xlpm.val,{"D04","C30","c40","C20"},0)), _xlpm.val, "Other")
)</f>
        <v>D04</v>
      </c>
      <c r="D2161" s="10" t="str">
        <f>IFERROR(VLOOKUP(Datadetails[[#This Row],[Taskcode]],Dashboard!A:A,1,FALSE),"00 Err Missing")</f>
        <v>0001</v>
      </c>
      <c r="E2161" s="79">
        <v>45922</v>
      </c>
      <c r="F2161" s="80" t="s">
        <v>332</v>
      </c>
      <c r="G2161" s="60" t="s">
        <v>40</v>
      </c>
      <c r="H2161" s="80" t="s">
        <v>314</v>
      </c>
      <c r="I2161" s="80" t="s">
        <v>35</v>
      </c>
      <c r="J2161" s="80" t="s">
        <v>359</v>
      </c>
      <c r="K2161" s="80" t="s">
        <v>339</v>
      </c>
      <c r="L2161" s="80" t="s">
        <v>352</v>
      </c>
      <c r="M2161" s="81">
        <v>9.08</v>
      </c>
      <c r="N2161" s="82">
        <v>363.2</v>
      </c>
    </row>
    <row r="2162" spans="1:14" x14ac:dyDescent="0.25">
      <c r="A2162" s="10" t="str">
        <f>_xlfn.IFNA(
    IF(J2162=
        "PCB-0001",
        "CSS",
        IF(
            ISNUMBER(MATCH(_xlfn.TEXTBEFORE(J2162,"-"), {"CSS","CSN","PCB","PCF","BEC","CSD","PCM"}, 0)),
            _xlfn.TEXTBEFORE(J2162,"-"),
            "Other"
        )
    ),
"Add")</f>
        <v>BEC</v>
      </c>
      <c r="B2162" s="10" t="str">
        <f t="shared" si="34"/>
        <v>0001</v>
      </c>
      <c r="C2162" s="10" t="str">
        <f>_xlfn.LET(
    _xlpm.val, IF(Datadetails[[#This Row],[Activity]]="D02","C20",Datadetails[[#This Row],[Activity]]),
    IF(ISNUMBER(MATCH(_xlpm.val,{"D04","C30","c40","C20"},0)), _xlpm.val, "Other")
)</f>
        <v>D04</v>
      </c>
      <c r="D2162" s="10" t="str">
        <f>IFERROR(VLOOKUP(Datadetails[[#This Row],[Taskcode]],Dashboard!A:A,1,FALSE),"00 Err Missing")</f>
        <v>0001</v>
      </c>
      <c r="E2162" s="79">
        <v>45922</v>
      </c>
      <c r="F2162" s="80" t="s">
        <v>324</v>
      </c>
      <c r="G2162" s="60" t="s">
        <v>40</v>
      </c>
      <c r="H2162" s="80" t="s">
        <v>314</v>
      </c>
      <c r="I2162" s="80" t="s">
        <v>35</v>
      </c>
      <c r="J2162" s="80" t="s">
        <v>359</v>
      </c>
      <c r="K2162" s="80" t="s">
        <v>339</v>
      </c>
      <c r="L2162" s="80" t="s">
        <v>352</v>
      </c>
      <c r="M2162" s="81">
        <v>5.58</v>
      </c>
      <c r="N2162" s="82">
        <v>418.5</v>
      </c>
    </row>
    <row r="2163" spans="1:14" x14ac:dyDescent="0.25">
      <c r="A2163" s="10" t="str">
        <f>_xlfn.IFNA(
    IF(J2163=
        "PCB-0001",
        "CSS",
        IF(
            ISNUMBER(MATCH(_xlfn.TEXTBEFORE(J2163,"-"), {"CSS","CSN","PCB","PCF","BEC","CSD","PCM"}, 0)),
            _xlfn.TEXTBEFORE(J2163,"-"),
            "Other"
        )
    ),
"Add")</f>
        <v>CSN</v>
      </c>
      <c r="B2163" s="10" t="str">
        <f t="shared" si="34"/>
        <v>0001</v>
      </c>
      <c r="C2163" s="10" t="str">
        <f>_xlfn.LET(
    _xlpm.val, IF(Datadetails[[#This Row],[Activity]]="D02","C20",Datadetails[[#This Row],[Activity]]),
    IF(ISNUMBER(MATCH(_xlpm.val,{"D04","C30","c40","C20"},0)), _xlpm.val, "Other")
)</f>
        <v>D04</v>
      </c>
      <c r="D2163" s="10" t="str">
        <f>IFERROR(VLOOKUP(Datadetails[[#This Row],[Taskcode]],Dashboard!A:A,1,FALSE),"00 Err Missing")</f>
        <v>0001</v>
      </c>
      <c r="E2163" s="79">
        <v>45923</v>
      </c>
      <c r="F2163" s="80" t="s">
        <v>329</v>
      </c>
      <c r="G2163" s="60" t="s">
        <v>40</v>
      </c>
      <c r="H2163" s="80" t="s">
        <v>316</v>
      </c>
      <c r="I2163" s="80" t="s">
        <v>35</v>
      </c>
      <c r="J2163" s="80" t="s">
        <v>338</v>
      </c>
      <c r="K2163" s="80" t="s">
        <v>337</v>
      </c>
      <c r="L2163" s="80" t="s">
        <v>352</v>
      </c>
      <c r="M2163" s="81">
        <v>1.25</v>
      </c>
      <c r="N2163" s="82">
        <v>93.75</v>
      </c>
    </row>
    <row r="2164" spans="1:14" x14ac:dyDescent="0.25">
      <c r="A2164" s="10" t="str">
        <f>_xlfn.IFNA(
    IF(J2164=
        "PCB-0001",
        "CSS",
        IF(
            ISNUMBER(MATCH(_xlfn.TEXTBEFORE(J2164,"-"), {"CSS","CSN","PCB","PCF","BEC","CSD","PCM"}, 0)),
            _xlfn.TEXTBEFORE(J2164,"-"),
            "Other"
        )
    ),
"Add")</f>
        <v>PCB</v>
      </c>
      <c r="B2164" s="10" t="str">
        <f t="shared" si="34"/>
        <v>0102</v>
      </c>
      <c r="C2164" s="10" t="str">
        <f>_xlfn.LET(
    _xlpm.val, IF(Datadetails[[#This Row],[Activity]]="D02","C20",Datadetails[[#This Row],[Activity]]),
    IF(ISNUMBER(MATCH(_xlpm.val,{"D04","C30","c40","C20"},0)), _xlpm.val, "Other")
)</f>
        <v>C30</v>
      </c>
      <c r="D2164" s="10" t="str">
        <f>IFERROR(VLOOKUP(Datadetails[[#This Row],[Taskcode]],Dashboard!A:A,1,FALSE),"00 Err Missing")</f>
        <v>0102</v>
      </c>
      <c r="E2164" s="79">
        <v>45923</v>
      </c>
      <c r="F2164" s="80" t="s">
        <v>329</v>
      </c>
      <c r="G2164" s="60" t="s">
        <v>40</v>
      </c>
      <c r="H2164" s="80" t="s">
        <v>269</v>
      </c>
      <c r="I2164" s="80" t="s">
        <v>34</v>
      </c>
      <c r="J2164" s="80" t="s">
        <v>361</v>
      </c>
      <c r="K2164" s="80" t="s">
        <v>347</v>
      </c>
      <c r="L2164" s="80" t="s">
        <v>343</v>
      </c>
      <c r="M2164" s="81">
        <v>0.5</v>
      </c>
      <c r="N2164" s="82">
        <v>37.5</v>
      </c>
    </row>
    <row r="2165" spans="1:14" x14ac:dyDescent="0.25">
      <c r="A2165" s="10" t="str">
        <f>_xlfn.IFNA(
    IF(J2165=
        "PCB-0001",
        "CSS",
        IF(
            ISNUMBER(MATCH(_xlfn.TEXTBEFORE(J2165,"-"), {"CSS","CSN","PCB","PCF","BEC","CSD","PCM"}, 0)),
            _xlfn.TEXTBEFORE(J2165,"-"),
            "Other"
        )
    ),
"Add")</f>
        <v>PCM</v>
      </c>
      <c r="B2165" s="10" t="str">
        <f t="shared" si="34"/>
        <v>0001</v>
      </c>
      <c r="C2165" s="10" t="str">
        <f>_xlfn.LET(
    _xlpm.val, IF(Datadetails[[#This Row],[Activity]]="D02","C20",Datadetails[[#This Row],[Activity]]),
    IF(ISNUMBER(MATCH(_xlpm.val,{"D04","C30","c40","C20"},0)), _xlpm.val, "Other")
)</f>
        <v>C20</v>
      </c>
      <c r="D2165" s="10" t="str">
        <f>IFERROR(VLOOKUP(Datadetails[[#This Row],[Taskcode]],Dashboard!A:A,1,FALSE),"00 Err Missing")</f>
        <v>0001</v>
      </c>
      <c r="E2165" s="79">
        <v>45923</v>
      </c>
      <c r="F2165" s="80" t="s">
        <v>323</v>
      </c>
      <c r="G2165" s="60" t="s">
        <v>40</v>
      </c>
      <c r="H2165" s="80" t="s">
        <v>168</v>
      </c>
      <c r="I2165" s="80" t="s">
        <v>36</v>
      </c>
      <c r="J2165" s="80" t="s">
        <v>419</v>
      </c>
      <c r="K2165" s="80" t="s">
        <v>346</v>
      </c>
      <c r="L2165" s="80" t="s">
        <v>342</v>
      </c>
      <c r="M2165" s="81">
        <v>0.25</v>
      </c>
      <c r="N2165" s="82">
        <v>15</v>
      </c>
    </row>
    <row r="2166" spans="1:14" x14ac:dyDescent="0.25">
      <c r="A2166" s="10" t="str">
        <f>_xlfn.IFNA(
    IF(J2166=
        "PCB-0001",
        "CSS",
        IF(
            ISNUMBER(MATCH(_xlfn.TEXTBEFORE(J2166,"-"), {"CSS","CSN","PCB","PCF","BEC","CSD","PCM"}, 0)),
            _xlfn.TEXTBEFORE(J2166,"-"),
            "Other"
        )
    ),
"Add")</f>
        <v>PCM</v>
      </c>
      <c r="B2166" s="10" t="str">
        <f t="shared" si="34"/>
        <v>0002</v>
      </c>
      <c r="C2166" s="10" t="str">
        <f>_xlfn.LET(
    _xlpm.val, IF(Datadetails[[#This Row],[Activity]]="D02","C20",Datadetails[[#This Row],[Activity]]),
    IF(ISNUMBER(MATCH(_xlpm.val,{"D04","C30","c40","C20"},0)), _xlpm.val, "Other")
)</f>
        <v>C20</v>
      </c>
      <c r="D2166" s="10" t="str">
        <f>IFERROR(VLOOKUP(Datadetails[[#This Row],[Taskcode]],Dashboard!A:A,1,FALSE),"00 Err Missing")</f>
        <v>0002</v>
      </c>
      <c r="E2166" s="79">
        <v>45923</v>
      </c>
      <c r="F2166" s="80" t="s">
        <v>323</v>
      </c>
      <c r="G2166" s="60" t="s">
        <v>40</v>
      </c>
      <c r="H2166" s="80" t="s">
        <v>169</v>
      </c>
      <c r="I2166" s="80" t="s">
        <v>36</v>
      </c>
      <c r="J2166" s="80" t="s">
        <v>433</v>
      </c>
      <c r="K2166" s="80" t="s">
        <v>346</v>
      </c>
      <c r="L2166" s="80" t="s">
        <v>342</v>
      </c>
      <c r="M2166" s="81">
        <v>0.17</v>
      </c>
      <c r="N2166" s="82">
        <v>10.200000000000001</v>
      </c>
    </row>
    <row r="2167" spans="1:14" x14ac:dyDescent="0.25">
      <c r="A2167" s="10" t="str">
        <f>_xlfn.IFNA(
    IF(J2167=
        "PCB-0001",
        "CSS",
        IF(
            ISNUMBER(MATCH(_xlfn.TEXTBEFORE(J2167,"-"), {"CSS","CSN","PCB","PCF","BEC","CSD","PCM"}, 0)),
            _xlfn.TEXTBEFORE(J2167,"-"),
            "Other"
        )
    ),
"Add")</f>
        <v>CSD</v>
      </c>
      <c r="B2167" s="10" t="str">
        <f t="shared" si="34"/>
        <v>0001</v>
      </c>
      <c r="C2167" s="10" t="str">
        <f>_xlfn.LET(
    _xlpm.val, IF(Datadetails[[#This Row],[Activity]]="D02","C20",Datadetails[[#This Row],[Activity]]),
    IF(ISNUMBER(MATCH(_xlpm.val,{"D04","C30","c40","C20"},0)), _xlpm.val, "Other")
)</f>
        <v>D04</v>
      </c>
      <c r="D2167" s="10" t="str">
        <f>IFERROR(VLOOKUP(Datadetails[[#This Row],[Taskcode]],Dashboard!A:A,1,FALSE),"00 Err Missing")</f>
        <v>0001</v>
      </c>
      <c r="E2167" s="79">
        <v>45923</v>
      </c>
      <c r="F2167" s="80" t="s">
        <v>333</v>
      </c>
      <c r="G2167" s="60" t="s">
        <v>40</v>
      </c>
      <c r="H2167" s="80" t="s">
        <v>320</v>
      </c>
      <c r="I2167" s="80" t="s">
        <v>35</v>
      </c>
      <c r="J2167" s="80" t="s">
        <v>322</v>
      </c>
      <c r="K2167" s="80" t="s">
        <v>319</v>
      </c>
      <c r="L2167" s="80" t="s">
        <v>352</v>
      </c>
      <c r="M2167" s="81">
        <v>8.8800000000000008</v>
      </c>
      <c r="N2167" s="82">
        <v>284.16000000000003</v>
      </c>
    </row>
    <row r="2168" spans="1:14" x14ac:dyDescent="0.25">
      <c r="A2168" s="10" t="str">
        <f>_xlfn.IFNA(
    IF(J2168=
        "PCB-0001",
        "CSS",
        IF(
            ISNUMBER(MATCH(_xlfn.TEXTBEFORE(J2168,"-"), {"CSS","CSN","PCB","PCF","BEC","CSD","PCM"}, 0)),
            _xlfn.TEXTBEFORE(J2168,"-"),
            "Other"
        )
    ),
"Add")</f>
        <v>PCM</v>
      </c>
      <c r="B2168" s="10" t="str">
        <f t="shared" si="34"/>
        <v>0064</v>
      </c>
      <c r="C2168" s="10" t="str">
        <f>_xlfn.LET(
    _xlpm.val, IF(Datadetails[[#This Row],[Activity]]="D02","C20",Datadetails[[#This Row],[Activity]]),
    IF(ISNUMBER(MATCH(_xlpm.val,{"D04","C30","c40","C20"},0)), _xlpm.val, "Other")
)</f>
        <v>C20</v>
      </c>
      <c r="D2168" s="10" t="str">
        <f>IFERROR(VLOOKUP(Datadetails[[#This Row],[Taskcode]],Dashboard!A:A,1,FALSE),"00 Err Missing")</f>
        <v>0064</v>
      </c>
      <c r="E2168" s="79">
        <v>45923</v>
      </c>
      <c r="F2168" s="80" t="s">
        <v>323</v>
      </c>
      <c r="G2168" s="60" t="s">
        <v>40</v>
      </c>
      <c r="H2168" s="80" t="s">
        <v>231</v>
      </c>
      <c r="I2168" s="80" t="s">
        <v>36</v>
      </c>
      <c r="J2168" s="80" t="s">
        <v>420</v>
      </c>
      <c r="K2168" s="80" t="s">
        <v>346</v>
      </c>
      <c r="L2168" s="80" t="s">
        <v>342</v>
      </c>
      <c r="M2168" s="81">
        <v>0.25</v>
      </c>
      <c r="N2168" s="82">
        <v>15</v>
      </c>
    </row>
    <row r="2169" spans="1:14" x14ac:dyDescent="0.25">
      <c r="A2169" s="10" t="str">
        <f>_xlfn.IFNA(
    IF(J2169=
        "PCB-0001",
        "CSS",
        IF(
            ISNUMBER(MATCH(_xlfn.TEXTBEFORE(J2169,"-"), {"CSS","CSN","PCB","PCF","BEC","CSD","PCM"}, 0)),
            _xlfn.TEXTBEFORE(J2169,"-"),
            "Other"
        )
    ),
"Add")</f>
        <v>PCM</v>
      </c>
      <c r="B2169" s="10" t="str">
        <f t="shared" si="34"/>
        <v>0064</v>
      </c>
      <c r="C2169" s="10" t="str">
        <f>_xlfn.LET(
    _xlpm.val, IF(Datadetails[[#This Row],[Activity]]="D02","C20",Datadetails[[#This Row],[Activity]]),
    IF(ISNUMBER(MATCH(_xlpm.val,{"D04","C30","c40","C20"},0)), _xlpm.val, "Other")
)</f>
        <v>C30</v>
      </c>
      <c r="D2169" s="10" t="str">
        <f>IFERROR(VLOOKUP(Datadetails[[#This Row],[Taskcode]],Dashboard!A:A,1,FALSE),"00 Err Missing")</f>
        <v>0064</v>
      </c>
      <c r="E2169" s="79">
        <v>45923</v>
      </c>
      <c r="F2169" s="80" t="s">
        <v>323</v>
      </c>
      <c r="G2169" s="60" t="s">
        <v>40</v>
      </c>
      <c r="H2169" s="80" t="s">
        <v>231</v>
      </c>
      <c r="I2169" s="80" t="s">
        <v>34</v>
      </c>
      <c r="J2169" s="80" t="s">
        <v>420</v>
      </c>
      <c r="K2169" s="80" t="s">
        <v>346</v>
      </c>
      <c r="L2169" s="80" t="s">
        <v>343</v>
      </c>
      <c r="M2169" s="81">
        <v>0.33</v>
      </c>
      <c r="N2169" s="82">
        <v>19.8</v>
      </c>
    </row>
    <row r="2170" spans="1:14" x14ac:dyDescent="0.25">
      <c r="A2170" s="10" t="str">
        <f>_xlfn.IFNA(
    IF(J2170=
        "PCB-0001",
        "CSS",
        IF(
            ISNUMBER(MATCH(_xlfn.TEXTBEFORE(J2170,"-"), {"CSS","CSN","PCB","PCF","BEC","CSD","PCM"}, 0)),
            _xlfn.TEXTBEFORE(J2170,"-"),
            "Other"
        )
    ),
"Add")</f>
        <v>PCM</v>
      </c>
      <c r="B2170" s="10" t="str">
        <f t="shared" si="34"/>
        <v>0119</v>
      </c>
      <c r="C2170" s="10" t="str">
        <f>_xlfn.LET(
    _xlpm.val, IF(Datadetails[[#This Row],[Activity]]="D02","C20",Datadetails[[#This Row],[Activity]]),
    IF(ISNUMBER(MATCH(_xlpm.val,{"D04","C30","c40","C20"},0)), _xlpm.val, "Other")
)</f>
        <v>C30</v>
      </c>
      <c r="D2170" s="10" t="str">
        <f>IFERROR(VLOOKUP(Datadetails[[#This Row],[Taskcode]],Dashboard!A:A,1,FALSE),"00 Err Missing")</f>
        <v>0119</v>
      </c>
      <c r="E2170" s="79">
        <v>45923</v>
      </c>
      <c r="F2170" s="80" t="s">
        <v>323</v>
      </c>
      <c r="G2170" s="60" t="s">
        <v>40</v>
      </c>
      <c r="H2170" s="80" t="s">
        <v>286</v>
      </c>
      <c r="I2170" s="80" t="s">
        <v>34</v>
      </c>
      <c r="J2170" s="80" t="s">
        <v>434</v>
      </c>
      <c r="K2170" s="80" t="s">
        <v>346</v>
      </c>
      <c r="L2170" s="80" t="s">
        <v>343</v>
      </c>
      <c r="M2170" s="81">
        <v>0.33</v>
      </c>
      <c r="N2170" s="82">
        <v>19.8</v>
      </c>
    </row>
    <row r="2171" spans="1:14" x14ac:dyDescent="0.25">
      <c r="A2171" s="10" t="str">
        <f>_xlfn.IFNA(
    IF(J2171=
        "PCB-0001",
        "CSS",
        IF(
            ISNUMBER(MATCH(_xlfn.TEXTBEFORE(J2171,"-"), {"CSS","CSN","PCB","PCF","BEC","CSD","PCM"}, 0)),
            _xlfn.TEXTBEFORE(J2171,"-"),
            "Other"
        )
    ),
"Add")</f>
        <v>PCM</v>
      </c>
      <c r="B2171" s="10" t="str">
        <f t="shared" si="34"/>
        <v>0065</v>
      </c>
      <c r="C2171" s="10" t="str">
        <f>_xlfn.LET(
    _xlpm.val, IF(Datadetails[[#This Row],[Activity]]="D02","C20",Datadetails[[#This Row],[Activity]]),
    IF(ISNUMBER(MATCH(_xlpm.val,{"D04","C30","c40","C20"},0)), _xlpm.val, "Other")
)</f>
        <v>C40</v>
      </c>
      <c r="D2171" s="10" t="str">
        <f>IFERROR(VLOOKUP(Datadetails[[#This Row],[Taskcode]],Dashboard!A:A,1,FALSE),"00 Err Missing")</f>
        <v>0065</v>
      </c>
      <c r="E2171" s="79">
        <v>45923</v>
      </c>
      <c r="F2171" s="80" t="s">
        <v>323</v>
      </c>
      <c r="G2171" s="60" t="s">
        <v>40</v>
      </c>
      <c r="H2171" s="80" t="s">
        <v>232</v>
      </c>
      <c r="I2171" s="80" t="s">
        <v>341</v>
      </c>
      <c r="J2171" s="80" t="s">
        <v>393</v>
      </c>
      <c r="K2171" s="80" t="s">
        <v>346</v>
      </c>
      <c r="L2171" s="80" t="s">
        <v>344</v>
      </c>
      <c r="M2171" s="81">
        <v>1</v>
      </c>
      <c r="N2171" s="82">
        <v>60</v>
      </c>
    </row>
    <row r="2172" spans="1:14" x14ac:dyDescent="0.25">
      <c r="A2172" s="10" t="str">
        <f>_xlfn.IFNA(
    IF(J2172=
        "PCB-0001",
        "CSS",
        IF(
            ISNUMBER(MATCH(_xlfn.TEXTBEFORE(J2172,"-"), {"CSS","CSN","PCB","PCF","BEC","CSD","PCM"}, 0)),
            _xlfn.TEXTBEFORE(J2172,"-"),
            "Other"
        )
    ),
"Add")</f>
        <v>PCB</v>
      </c>
      <c r="B2172" s="10" t="str">
        <f t="shared" si="34"/>
        <v>0104</v>
      </c>
      <c r="C2172" s="10" t="str">
        <f>_xlfn.LET(
    _xlpm.val, IF(Datadetails[[#This Row],[Activity]]="D02","C20",Datadetails[[#This Row],[Activity]]),
    IF(ISNUMBER(MATCH(_xlpm.val,{"D04","C30","c40","C20"},0)), _xlpm.val, "Other")
)</f>
        <v>C20</v>
      </c>
      <c r="D2172" s="10" t="str">
        <f>IFERROR(VLOOKUP(Datadetails[[#This Row],[Taskcode]],Dashboard!A:A,1,FALSE),"00 Err Missing")</f>
        <v>0104</v>
      </c>
      <c r="E2172" s="79">
        <v>45923</v>
      </c>
      <c r="F2172" s="80" t="s">
        <v>325</v>
      </c>
      <c r="G2172" s="60" t="s">
        <v>40</v>
      </c>
      <c r="H2172" s="80" t="s">
        <v>271</v>
      </c>
      <c r="I2172" s="80" t="s">
        <v>36</v>
      </c>
      <c r="J2172" s="80" t="s">
        <v>363</v>
      </c>
      <c r="K2172" s="80" t="s">
        <v>347</v>
      </c>
      <c r="L2172" s="80" t="s">
        <v>342</v>
      </c>
      <c r="M2172" s="81">
        <v>0.17</v>
      </c>
      <c r="N2172" s="82">
        <v>12.750000000000002</v>
      </c>
    </row>
    <row r="2173" spans="1:14" x14ac:dyDescent="0.25">
      <c r="A2173" s="10" t="str">
        <f>_xlfn.IFNA(
    IF(J2173=
        "PCB-0001",
        "CSS",
        IF(
            ISNUMBER(MATCH(_xlfn.TEXTBEFORE(J2173,"-"), {"CSS","CSN","PCB","PCF","BEC","CSD","PCM"}, 0)),
            _xlfn.TEXTBEFORE(J2173,"-"),
            "Other"
        )
    ),
"Add")</f>
        <v>PCB</v>
      </c>
      <c r="B2173" s="10" t="str">
        <f t="shared" si="34"/>
        <v>0135</v>
      </c>
      <c r="C2173" s="10" t="str">
        <f>_xlfn.LET(
    _xlpm.val, IF(Datadetails[[#This Row],[Activity]]="D02","C20",Datadetails[[#This Row],[Activity]]),
    IF(ISNUMBER(MATCH(_xlpm.val,{"D04","C30","c40","C20"},0)), _xlpm.val, "Other")
)</f>
        <v>C30</v>
      </c>
      <c r="D2173" s="10" t="str">
        <f>IFERROR(VLOOKUP(Datadetails[[#This Row],[Taskcode]],Dashboard!A:A,1,FALSE),"00 Err Missing")</f>
        <v>0135</v>
      </c>
      <c r="E2173" s="79">
        <v>45923</v>
      </c>
      <c r="F2173" s="80" t="s">
        <v>329</v>
      </c>
      <c r="G2173" s="60" t="s">
        <v>40</v>
      </c>
      <c r="H2173" s="80" t="s">
        <v>302</v>
      </c>
      <c r="I2173" s="80" t="s">
        <v>34</v>
      </c>
      <c r="J2173" s="80" t="s">
        <v>398</v>
      </c>
      <c r="K2173" s="80" t="s">
        <v>347</v>
      </c>
      <c r="L2173" s="80" t="s">
        <v>343</v>
      </c>
      <c r="M2173" s="81">
        <v>0.5</v>
      </c>
      <c r="N2173" s="82">
        <v>37.5</v>
      </c>
    </row>
    <row r="2174" spans="1:14" x14ac:dyDescent="0.25">
      <c r="A2174" s="10" t="str">
        <f>_xlfn.IFNA(
    IF(J2174=
        "PCB-0001",
        "CSS",
        IF(
            ISNUMBER(MATCH(_xlfn.TEXTBEFORE(J2174,"-"), {"CSS","CSN","PCB","PCF","BEC","CSD","PCM"}, 0)),
            _xlfn.TEXTBEFORE(J2174,"-"),
            "Other"
        )
    ),
"Add")</f>
        <v>PCB</v>
      </c>
      <c r="B2174" s="10" t="str">
        <f t="shared" si="34"/>
        <v>0043</v>
      </c>
      <c r="C2174" s="10" t="str">
        <f>_xlfn.LET(
    _xlpm.val, IF(Datadetails[[#This Row],[Activity]]="D02","C20",Datadetails[[#This Row],[Activity]]),
    IF(ISNUMBER(MATCH(_xlpm.val,{"D04","C30","c40","C20"},0)), _xlpm.val, "Other")
)</f>
        <v>C30</v>
      </c>
      <c r="D2174" s="10" t="str">
        <f>IFERROR(VLOOKUP(Datadetails[[#This Row],[Taskcode]],Dashboard!A:A,1,FALSE),"00 Err Missing")</f>
        <v>0043</v>
      </c>
      <c r="E2174" s="79">
        <v>45923</v>
      </c>
      <c r="F2174" s="80" t="s">
        <v>325</v>
      </c>
      <c r="G2174" s="60" t="s">
        <v>40</v>
      </c>
      <c r="H2174" s="80" t="s">
        <v>210</v>
      </c>
      <c r="I2174" s="80" t="s">
        <v>34</v>
      </c>
      <c r="J2174" s="80" t="s">
        <v>399</v>
      </c>
      <c r="K2174" s="80" t="s">
        <v>347</v>
      </c>
      <c r="L2174" s="80" t="s">
        <v>343</v>
      </c>
      <c r="M2174" s="81">
        <v>0.17</v>
      </c>
      <c r="N2174" s="82">
        <v>12.750000000000002</v>
      </c>
    </row>
    <row r="2175" spans="1:14" x14ac:dyDescent="0.25">
      <c r="A2175" s="10" t="str">
        <f>_xlfn.IFNA(
    IF(J2175=
        "PCB-0001",
        "CSS",
        IF(
            ISNUMBER(MATCH(_xlfn.TEXTBEFORE(J2175,"-"), {"CSS","CSN","PCB","PCF","BEC","CSD","PCM"}, 0)),
            _xlfn.TEXTBEFORE(J2175,"-"),
            "Other"
        )
    ),
"Add")</f>
        <v>PCB</v>
      </c>
      <c r="B2175" s="10" t="str">
        <f t="shared" si="34"/>
        <v>0134</v>
      </c>
      <c r="C2175" s="10" t="str">
        <f>_xlfn.LET(
    _xlpm.val, IF(Datadetails[[#This Row],[Activity]]="D02","C20",Datadetails[[#This Row],[Activity]]),
    IF(ISNUMBER(MATCH(_xlpm.val,{"D04","C30","c40","C20"},0)), _xlpm.val, "Other")
)</f>
        <v>C30</v>
      </c>
      <c r="D2175" s="10" t="str">
        <f>IFERROR(VLOOKUP(Datadetails[[#This Row],[Taskcode]],Dashboard!A:A,1,FALSE),"00 Err Missing")</f>
        <v>0134</v>
      </c>
      <c r="E2175" s="79">
        <v>45923</v>
      </c>
      <c r="F2175" s="80" t="s">
        <v>329</v>
      </c>
      <c r="G2175" s="60" t="s">
        <v>40</v>
      </c>
      <c r="H2175" s="80" t="s">
        <v>301</v>
      </c>
      <c r="I2175" s="80" t="s">
        <v>34</v>
      </c>
      <c r="J2175" s="80" t="s">
        <v>371</v>
      </c>
      <c r="K2175" s="80" t="s">
        <v>347</v>
      </c>
      <c r="L2175" s="80" t="s">
        <v>343</v>
      </c>
      <c r="M2175" s="81">
        <v>0.25</v>
      </c>
      <c r="N2175" s="82">
        <v>18.75</v>
      </c>
    </row>
    <row r="2176" spans="1:14" x14ac:dyDescent="0.25">
      <c r="A2176" s="10" t="str">
        <f>_xlfn.IFNA(
    IF(J2176=
        "PCB-0001",
        "CSS",
        IF(
            ISNUMBER(MATCH(_xlfn.TEXTBEFORE(J2176,"-"), {"CSS","CSN","PCB","PCF","BEC","CSD","PCM"}, 0)),
            _xlfn.TEXTBEFORE(J2176,"-"),
            "Other"
        )
    ),
"Add")</f>
        <v>PCB</v>
      </c>
      <c r="B2176" s="10" t="str">
        <f t="shared" si="34"/>
        <v>0062</v>
      </c>
      <c r="C2176" s="10" t="str">
        <f>_xlfn.LET(
    _xlpm.val, IF(Datadetails[[#This Row],[Activity]]="D02","C20",Datadetails[[#This Row],[Activity]]),
    IF(ISNUMBER(MATCH(_xlpm.val,{"D04","C30","c40","C20"},0)), _xlpm.val, "Other")
)</f>
        <v>C30</v>
      </c>
      <c r="D2176" s="10" t="str">
        <f>IFERROR(VLOOKUP(Datadetails[[#This Row],[Taskcode]],Dashboard!A:A,1,FALSE),"00 Err Missing")</f>
        <v>0062</v>
      </c>
      <c r="E2176" s="79">
        <v>45923</v>
      </c>
      <c r="F2176" s="80" t="s">
        <v>329</v>
      </c>
      <c r="G2176" s="60" t="s">
        <v>40</v>
      </c>
      <c r="H2176" s="80" t="s">
        <v>229</v>
      </c>
      <c r="I2176" s="80" t="s">
        <v>34</v>
      </c>
      <c r="J2176" s="80" t="s">
        <v>373</v>
      </c>
      <c r="K2176" s="80" t="s">
        <v>347</v>
      </c>
      <c r="L2176" s="80" t="s">
        <v>343</v>
      </c>
      <c r="M2176" s="81">
        <v>0.5</v>
      </c>
      <c r="N2176" s="82">
        <v>37.5</v>
      </c>
    </row>
    <row r="2177" spans="1:14" x14ac:dyDescent="0.25">
      <c r="A2177" s="10" t="str">
        <f>_xlfn.IFNA(
    IF(J2177=
        "PCB-0001",
        "CSS",
        IF(
            ISNUMBER(MATCH(_xlfn.TEXTBEFORE(J2177,"-"), {"CSS","CSN","PCB","PCF","BEC","CSD","PCM"}, 0)),
            _xlfn.TEXTBEFORE(J2177,"-"),
            "Other"
        )
    ),
"Add")</f>
        <v>PCB</v>
      </c>
      <c r="B2177" s="10" t="str">
        <f t="shared" si="34"/>
        <v>0075</v>
      </c>
      <c r="C2177" s="10" t="str">
        <f>_xlfn.LET(
    _xlpm.val, IF(Datadetails[[#This Row],[Activity]]="D02","C20",Datadetails[[#This Row],[Activity]]),
    IF(ISNUMBER(MATCH(_xlpm.val,{"D04","C30","c40","C20"},0)), _xlpm.val, "Other")
)</f>
        <v>C30</v>
      </c>
      <c r="D2177" s="10" t="str">
        <f>IFERROR(VLOOKUP(Datadetails[[#This Row],[Taskcode]],Dashboard!A:A,1,FALSE),"00 Err Missing")</f>
        <v>0075</v>
      </c>
      <c r="E2177" s="79">
        <v>45923</v>
      </c>
      <c r="F2177" s="80" t="s">
        <v>329</v>
      </c>
      <c r="G2177" s="60" t="s">
        <v>40</v>
      </c>
      <c r="H2177" s="80" t="s">
        <v>242</v>
      </c>
      <c r="I2177" s="80" t="s">
        <v>34</v>
      </c>
      <c r="J2177" s="80" t="s">
        <v>404</v>
      </c>
      <c r="K2177" s="80" t="s">
        <v>347</v>
      </c>
      <c r="L2177" s="80" t="s">
        <v>343</v>
      </c>
      <c r="M2177" s="81">
        <v>0.08</v>
      </c>
      <c r="N2177" s="82">
        <v>6</v>
      </c>
    </row>
    <row r="2178" spans="1:14" x14ac:dyDescent="0.25">
      <c r="A2178" s="10" t="str">
        <f>_xlfn.IFNA(
    IF(J2178=
        "PCB-0001",
        "CSS",
        IF(
            ISNUMBER(MATCH(_xlfn.TEXTBEFORE(J2178,"-"), {"CSS","CSN","PCB","PCF","BEC","CSD","PCM"}, 0)),
            _xlfn.TEXTBEFORE(J2178,"-"),
            "Other"
        )
    ),
"Add")</f>
        <v>PCB</v>
      </c>
      <c r="B2178" s="10" t="str">
        <f t="shared" si="34"/>
        <v>0127</v>
      </c>
      <c r="C2178" s="10" t="str">
        <f>_xlfn.LET(
    _xlpm.val, IF(Datadetails[[#This Row],[Activity]]="D02","C20",Datadetails[[#This Row],[Activity]]),
    IF(ISNUMBER(MATCH(_xlpm.val,{"D04","C30","c40","C20"},0)), _xlpm.val, "Other")
)</f>
        <v>C30</v>
      </c>
      <c r="D2178" s="10" t="str">
        <f>IFERROR(VLOOKUP(Datadetails[[#This Row],[Taskcode]],Dashboard!A:A,1,FALSE),"00 Err Missing")</f>
        <v>0127</v>
      </c>
      <c r="E2178" s="79">
        <v>45923</v>
      </c>
      <c r="F2178" s="80" t="s">
        <v>329</v>
      </c>
      <c r="G2178" s="60" t="s">
        <v>40</v>
      </c>
      <c r="H2178" s="80" t="s">
        <v>294</v>
      </c>
      <c r="I2178" s="80" t="s">
        <v>34</v>
      </c>
      <c r="J2178" s="80" t="s">
        <v>377</v>
      </c>
      <c r="K2178" s="80" t="s">
        <v>347</v>
      </c>
      <c r="L2178" s="80" t="s">
        <v>343</v>
      </c>
      <c r="M2178" s="81">
        <v>0.5</v>
      </c>
      <c r="N2178" s="82">
        <v>37.5</v>
      </c>
    </row>
    <row r="2179" spans="1:14" x14ac:dyDescent="0.25">
      <c r="A2179" s="10" t="str">
        <f>_xlfn.IFNA(
    IF(J2179=
        "PCB-0001",
        "CSS",
        IF(
            ISNUMBER(MATCH(_xlfn.TEXTBEFORE(J2179,"-"), {"CSS","CSN","PCB","PCF","BEC","CSD","PCM"}, 0)),
            _xlfn.TEXTBEFORE(J2179,"-"),
            "Other"
        )
    ),
"Add")</f>
        <v>PCB</v>
      </c>
      <c r="B2179" s="10" t="str">
        <f t="shared" si="34"/>
        <v>0128</v>
      </c>
      <c r="C2179" s="10" t="str">
        <f>_xlfn.LET(
    _xlpm.val, IF(Datadetails[[#This Row],[Activity]]="D02","C20",Datadetails[[#This Row],[Activity]]),
    IF(ISNUMBER(MATCH(_xlpm.val,{"D04","C30","c40","C20"},0)), _xlpm.val, "Other")
)</f>
        <v>C30</v>
      </c>
      <c r="D2179" s="10" t="str">
        <f>IFERROR(VLOOKUP(Datadetails[[#This Row],[Taskcode]],Dashboard!A:A,1,FALSE),"00 Err Missing")</f>
        <v>0128</v>
      </c>
      <c r="E2179" s="79">
        <v>45923</v>
      </c>
      <c r="F2179" s="80" t="s">
        <v>329</v>
      </c>
      <c r="G2179" s="60" t="s">
        <v>40</v>
      </c>
      <c r="H2179" s="80" t="s">
        <v>295</v>
      </c>
      <c r="I2179" s="80" t="s">
        <v>34</v>
      </c>
      <c r="J2179" s="80" t="s">
        <v>379</v>
      </c>
      <c r="K2179" s="80" t="s">
        <v>347</v>
      </c>
      <c r="L2179" s="80" t="s">
        <v>343</v>
      </c>
      <c r="M2179" s="81">
        <v>0.5</v>
      </c>
      <c r="N2179" s="82">
        <v>37.5</v>
      </c>
    </row>
    <row r="2180" spans="1:14" x14ac:dyDescent="0.25">
      <c r="A2180" s="10" t="str">
        <f>_xlfn.IFNA(
    IF(J2180=
        "PCB-0001",
        "CSS",
        IF(
            ISNUMBER(MATCH(_xlfn.TEXTBEFORE(J2180,"-"), {"CSS","CSN","PCB","PCF","BEC","CSD","PCM"}, 0)),
            _xlfn.TEXTBEFORE(J2180,"-"),
            "Other"
        )
    ),
"Add")</f>
        <v>PCB</v>
      </c>
      <c r="B2180" s="10" t="str">
        <f t="shared" ref="B2180:B2243" si="35">_xlfn.IFNA(_xlfn.TEXTAFTER(J2180,"-"),"Data to C2")</f>
        <v>0129</v>
      </c>
      <c r="C2180" s="10" t="str">
        <f>_xlfn.LET(
    _xlpm.val, IF(Datadetails[[#This Row],[Activity]]="D02","C20",Datadetails[[#This Row],[Activity]]),
    IF(ISNUMBER(MATCH(_xlpm.val,{"D04","C30","c40","C20"},0)), _xlpm.val, "Other")
)</f>
        <v>C30</v>
      </c>
      <c r="D2180" s="10" t="str">
        <f>IFERROR(VLOOKUP(Datadetails[[#This Row],[Taskcode]],Dashboard!A:A,1,FALSE),"00 Err Missing")</f>
        <v>0129</v>
      </c>
      <c r="E2180" s="79">
        <v>45923</v>
      </c>
      <c r="F2180" s="80" t="s">
        <v>329</v>
      </c>
      <c r="G2180" s="60" t="s">
        <v>40</v>
      </c>
      <c r="H2180" s="80" t="s">
        <v>296</v>
      </c>
      <c r="I2180" s="80" t="s">
        <v>34</v>
      </c>
      <c r="J2180" s="80" t="s">
        <v>411</v>
      </c>
      <c r="K2180" s="80" t="s">
        <v>347</v>
      </c>
      <c r="L2180" s="80" t="s">
        <v>343</v>
      </c>
      <c r="M2180" s="81">
        <v>0.08</v>
      </c>
      <c r="N2180" s="82">
        <v>6</v>
      </c>
    </row>
    <row r="2181" spans="1:14" x14ac:dyDescent="0.25">
      <c r="A2181" s="10" t="str">
        <f>_xlfn.IFNA(
    IF(J2181=
        "PCB-0001",
        "CSS",
        IF(
            ISNUMBER(MATCH(_xlfn.TEXTBEFORE(J2181,"-"), {"CSS","CSN","PCB","PCF","BEC","CSD","PCM"}, 0)),
            _xlfn.TEXTBEFORE(J2181,"-"),
            "Other"
        )
    ),
"Add")</f>
        <v>PCB</v>
      </c>
      <c r="B2181" s="10" t="str">
        <f t="shared" si="35"/>
        <v>0130</v>
      </c>
      <c r="C2181" s="10" t="str">
        <f>_xlfn.LET(
    _xlpm.val, IF(Datadetails[[#This Row],[Activity]]="D02","C20",Datadetails[[#This Row],[Activity]]),
    IF(ISNUMBER(MATCH(_xlpm.val,{"D04","C30","c40","C20"},0)), _xlpm.val, "Other")
)</f>
        <v>C30</v>
      </c>
      <c r="D2181" s="10" t="str">
        <f>IFERROR(VLOOKUP(Datadetails[[#This Row],[Taskcode]],Dashboard!A:A,1,FALSE),"00 Err Missing")</f>
        <v>0130</v>
      </c>
      <c r="E2181" s="79">
        <v>45923</v>
      </c>
      <c r="F2181" s="80" t="s">
        <v>329</v>
      </c>
      <c r="G2181" s="60" t="s">
        <v>40</v>
      </c>
      <c r="H2181" s="80" t="s">
        <v>297</v>
      </c>
      <c r="I2181" s="80" t="s">
        <v>34</v>
      </c>
      <c r="J2181" s="80" t="s">
        <v>380</v>
      </c>
      <c r="K2181" s="80" t="s">
        <v>347</v>
      </c>
      <c r="L2181" s="80" t="s">
        <v>343</v>
      </c>
      <c r="M2181" s="81">
        <v>0.25</v>
      </c>
      <c r="N2181" s="82">
        <v>18.75</v>
      </c>
    </row>
    <row r="2182" spans="1:14" x14ac:dyDescent="0.25">
      <c r="A2182" s="10" t="str">
        <f>_xlfn.IFNA(
    IF(J2182=
        "PCB-0001",
        "CSS",
        IF(
            ISNUMBER(MATCH(_xlfn.TEXTBEFORE(J2182,"-"), {"CSS","CSN","PCB","PCF","BEC","CSD","PCM"}, 0)),
            _xlfn.TEXTBEFORE(J2182,"-"),
            "Other"
        )
    ),
"Add")</f>
        <v>PCB</v>
      </c>
      <c r="B2182" s="10" t="str">
        <f t="shared" si="35"/>
        <v>0080</v>
      </c>
      <c r="C2182" s="10" t="str">
        <f>_xlfn.LET(
    _xlpm.val, IF(Datadetails[[#This Row],[Activity]]="D02","C20",Datadetails[[#This Row],[Activity]]),
    IF(ISNUMBER(MATCH(_xlpm.val,{"D04","C30","c40","C20"},0)), _xlpm.val, "Other")
)</f>
        <v>C30</v>
      </c>
      <c r="D2182" s="10" t="str">
        <f>IFERROR(VLOOKUP(Datadetails[[#This Row],[Taskcode]],Dashboard!A:A,1,FALSE),"00 Err Missing")</f>
        <v>0080</v>
      </c>
      <c r="E2182" s="79">
        <v>45923</v>
      </c>
      <c r="F2182" s="80" t="s">
        <v>329</v>
      </c>
      <c r="G2182" s="60" t="s">
        <v>40</v>
      </c>
      <c r="H2182" s="80" t="s">
        <v>247</v>
      </c>
      <c r="I2182" s="80" t="s">
        <v>34</v>
      </c>
      <c r="J2182" s="80" t="s">
        <v>375</v>
      </c>
      <c r="K2182" s="80" t="s">
        <v>347</v>
      </c>
      <c r="L2182" s="80" t="s">
        <v>343</v>
      </c>
      <c r="M2182" s="81">
        <v>0.17</v>
      </c>
      <c r="N2182" s="82">
        <v>12.750000000000002</v>
      </c>
    </row>
    <row r="2183" spans="1:14" x14ac:dyDescent="0.25">
      <c r="A2183" s="10" t="str">
        <f>_xlfn.IFNA(
    IF(J2183=
        "PCB-0001",
        "CSS",
        IF(
            ISNUMBER(MATCH(_xlfn.TEXTBEFORE(J2183,"-"), {"CSS","CSN","PCB","PCF","BEC","CSD","PCM"}, 0)),
            _xlfn.TEXTBEFORE(J2183,"-"),
            "Other"
        )
    ),
"Add")</f>
        <v>PCB</v>
      </c>
      <c r="B2183" s="10" t="str">
        <f t="shared" si="35"/>
        <v>0101</v>
      </c>
      <c r="C2183" s="10" t="str">
        <f>_xlfn.LET(
    _xlpm.val, IF(Datadetails[[#This Row],[Activity]]="D02","C20",Datadetails[[#This Row],[Activity]]),
    IF(ISNUMBER(MATCH(_xlpm.val,{"D04","C30","c40","C20"},0)), _xlpm.val, "Other")
)</f>
        <v>C30</v>
      </c>
      <c r="D2183" s="10" t="str">
        <f>IFERROR(VLOOKUP(Datadetails[[#This Row],[Taskcode]],Dashboard!A:A,1,FALSE),"00 Err Missing")</f>
        <v>0101</v>
      </c>
      <c r="E2183" s="79">
        <v>45923</v>
      </c>
      <c r="F2183" s="80" t="s">
        <v>329</v>
      </c>
      <c r="G2183" s="60" t="s">
        <v>40</v>
      </c>
      <c r="H2183" s="80" t="s">
        <v>268</v>
      </c>
      <c r="I2183" s="80" t="s">
        <v>34</v>
      </c>
      <c r="J2183" s="80" t="s">
        <v>386</v>
      </c>
      <c r="K2183" s="80" t="s">
        <v>347</v>
      </c>
      <c r="L2183" s="80" t="s">
        <v>343</v>
      </c>
      <c r="M2183" s="81">
        <v>0.5</v>
      </c>
      <c r="N2183" s="82">
        <v>37.5</v>
      </c>
    </row>
    <row r="2184" spans="1:14" x14ac:dyDescent="0.25">
      <c r="A2184" s="10" t="str">
        <f>_xlfn.IFNA(
    IF(J2184=
        "PCB-0001",
        "CSS",
        IF(
            ISNUMBER(MATCH(_xlfn.TEXTBEFORE(J2184,"-"), {"CSS","CSN","PCB","PCF","BEC","CSD","PCM"}, 0)),
            _xlfn.TEXTBEFORE(J2184,"-"),
            "Other"
        )
    ),
"Add")</f>
        <v>PCB</v>
      </c>
      <c r="B2184" s="10" t="str">
        <f t="shared" si="35"/>
        <v>0105</v>
      </c>
      <c r="C2184" s="10" t="str">
        <f>_xlfn.LET(
    _xlpm.val, IF(Datadetails[[#This Row],[Activity]]="D02","C20",Datadetails[[#This Row],[Activity]]),
    IF(ISNUMBER(MATCH(_xlpm.val,{"D04","C30","c40","C20"},0)), _xlpm.val, "Other")
)</f>
        <v>C30</v>
      </c>
      <c r="D2184" s="10" t="str">
        <f>IFERROR(VLOOKUP(Datadetails[[#This Row],[Taskcode]],Dashboard!A:A,1,FALSE),"00 Err Missing")</f>
        <v>0105</v>
      </c>
      <c r="E2184" s="79">
        <v>45923</v>
      </c>
      <c r="F2184" s="80" t="s">
        <v>329</v>
      </c>
      <c r="G2184" s="60" t="s">
        <v>40</v>
      </c>
      <c r="H2184" s="80" t="s">
        <v>272</v>
      </c>
      <c r="I2184" s="80" t="s">
        <v>34</v>
      </c>
      <c r="J2184" s="80" t="s">
        <v>362</v>
      </c>
      <c r="K2184" s="80" t="s">
        <v>347</v>
      </c>
      <c r="L2184" s="80" t="s">
        <v>343</v>
      </c>
      <c r="M2184" s="81">
        <v>0.5</v>
      </c>
      <c r="N2184" s="82">
        <v>37.5</v>
      </c>
    </row>
    <row r="2185" spans="1:14" x14ac:dyDescent="0.25">
      <c r="A2185" s="10" t="str">
        <f>_xlfn.IFNA(
    IF(J2185=
        "PCB-0001",
        "CSS",
        IF(
            ISNUMBER(MATCH(_xlfn.TEXTBEFORE(J2185,"-"), {"CSS","CSN","PCB","PCF","BEC","CSD","PCM"}, 0)),
            _xlfn.TEXTBEFORE(J2185,"-"),
            "Other"
        )
    ),
"Add")</f>
        <v>PCB</v>
      </c>
      <c r="B2185" s="10" t="str">
        <f t="shared" si="35"/>
        <v>0130</v>
      </c>
      <c r="C2185" s="10" t="str">
        <f>_xlfn.LET(
    _xlpm.val, IF(Datadetails[[#This Row],[Activity]]="D02","C20",Datadetails[[#This Row],[Activity]]),
    IF(ISNUMBER(MATCH(_xlpm.val,{"D04","C30","c40","C20"},0)), _xlpm.val, "Other")
)</f>
        <v>C40</v>
      </c>
      <c r="D2185" s="10" t="str">
        <f>IFERROR(VLOOKUP(Datadetails[[#This Row],[Taskcode]],Dashboard!A:A,1,FALSE),"00 Err Missing")</f>
        <v>0130</v>
      </c>
      <c r="E2185" s="79">
        <v>45923</v>
      </c>
      <c r="F2185" s="80" t="s">
        <v>330</v>
      </c>
      <c r="G2185" s="60" t="s">
        <v>40</v>
      </c>
      <c r="H2185" s="80" t="s">
        <v>297</v>
      </c>
      <c r="I2185" s="80" t="s">
        <v>341</v>
      </c>
      <c r="J2185" s="80" t="s">
        <v>380</v>
      </c>
      <c r="K2185" s="80" t="s">
        <v>347</v>
      </c>
      <c r="L2185" s="80" t="s">
        <v>344</v>
      </c>
      <c r="M2185" s="81">
        <v>3.5</v>
      </c>
      <c r="N2185" s="82">
        <v>210</v>
      </c>
    </row>
    <row r="2186" spans="1:14" x14ac:dyDescent="0.25">
      <c r="A2186" s="10" t="str">
        <f>_xlfn.IFNA(
    IF(J2186=
        "PCB-0001",
        "CSS",
        IF(
            ISNUMBER(MATCH(_xlfn.TEXTBEFORE(J2186,"-"), {"CSS","CSN","PCB","PCF","BEC","CSD","PCM"}, 0)),
            _xlfn.TEXTBEFORE(J2186,"-"),
            "Other"
        )
    ),
"Add")</f>
        <v>PCF</v>
      </c>
      <c r="B2186" s="10" t="str">
        <f t="shared" si="35"/>
        <v>0098</v>
      </c>
      <c r="C2186" s="10" t="str">
        <f>_xlfn.LET(
    _xlpm.val, IF(Datadetails[[#This Row],[Activity]]="D02","C20",Datadetails[[#This Row],[Activity]]),
    IF(ISNUMBER(MATCH(_xlpm.val,{"D04","C30","c40","C20"},0)), _xlpm.val, "Other")
)</f>
        <v>C30</v>
      </c>
      <c r="D2186" s="10" t="str">
        <f>IFERROR(VLOOKUP(Datadetails[[#This Row],[Taskcode]],Dashboard!A:A,1,FALSE),"00 Err Missing")</f>
        <v>0098</v>
      </c>
      <c r="E2186" s="79">
        <v>45923</v>
      </c>
      <c r="F2186" s="80" t="s">
        <v>326</v>
      </c>
      <c r="G2186" s="60" t="s">
        <v>40</v>
      </c>
      <c r="H2186" s="80" t="s">
        <v>265</v>
      </c>
      <c r="I2186" s="80" t="s">
        <v>34</v>
      </c>
      <c r="J2186" s="80" t="s">
        <v>358</v>
      </c>
      <c r="K2186" s="80" t="s">
        <v>348</v>
      </c>
      <c r="L2186" s="80" t="s">
        <v>343</v>
      </c>
      <c r="M2186" s="81">
        <v>1.33</v>
      </c>
      <c r="N2186" s="82">
        <v>79.800000000000011</v>
      </c>
    </row>
    <row r="2187" spans="1:14" x14ac:dyDescent="0.25">
      <c r="A2187" s="10" t="str">
        <f>_xlfn.IFNA(
    IF(J2187=
        "PCB-0001",
        "CSS",
        IF(
            ISNUMBER(MATCH(_xlfn.TEXTBEFORE(J2187,"-"), {"CSS","CSN","PCB","PCF","BEC","CSD","PCM"}, 0)),
            _xlfn.TEXTBEFORE(J2187,"-"),
            "Other"
        )
    ),
"Add")</f>
        <v>BEC</v>
      </c>
      <c r="B2187" s="10" t="str">
        <f t="shared" si="35"/>
        <v>0001</v>
      </c>
      <c r="C2187" s="10" t="str">
        <f>_xlfn.LET(
    _xlpm.val, IF(Datadetails[[#This Row],[Activity]]="D02","C20",Datadetails[[#This Row],[Activity]]),
    IF(ISNUMBER(MATCH(_xlpm.val,{"D04","C30","c40","C20"},0)), _xlpm.val, "Other")
)</f>
        <v>D04</v>
      </c>
      <c r="D2187" s="10" t="str">
        <f>IFERROR(VLOOKUP(Datadetails[[#This Row],[Taskcode]],Dashboard!A:A,1,FALSE),"00 Err Missing")</f>
        <v>0001</v>
      </c>
      <c r="E2187" s="79">
        <v>45923</v>
      </c>
      <c r="F2187" s="80" t="s">
        <v>332</v>
      </c>
      <c r="G2187" s="60" t="s">
        <v>40</v>
      </c>
      <c r="H2187" s="80" t="s">
        <v>314</v>
      </c>
      <c r="I2187" s="80" t="s">
        <v>35</v>
      </c>
      <c r="J2187" s="80" t="s">
        <v>359</v>
      </c>
      <c r="K2187" s="80" t="s">
        <v>339</v>
      </c>
      <c r="L2187" s="80" t="s">
        <v>352</v>
      </c>
      <c r="M2187" s="81">
        <v>9</v>
      </c>
      <c r="N2187" s="82">
        <v>360</v>
      </c>
    </row>
    <row r="2188" spans="1:14" x14ac:dyDescent="0.25">
      <c r="A2188" s="10" t="str">
        <f>_xlfn.IFNA(
    IF(J2188=
        "PCB-0001",
        "CSS",
        IF(
            ISNUMBER(MATCH(_xlfn.TEXTBEFORE(J2188,"-"), {"CSS","CSN","PCB","PCF","BEC","CSD","PCM"}, 0)),
            _xlfn.TEXTBEFORE(J2188,"-"),
            "Other"
        )
    ),
"Add")</f>
        <v>BEC</v>
      </c>
      <c r="B2188" s="10" t="str">
        <f t="shared" si="35"/>
        <v>0001</v>
      </c>
      <c r="C2188" s="10" t="str">
        <f>_xlfn.LET(
    _xlpm.val, IF(Datadetails[[#This Row],[Activity]]="D02","C20",Datadetails[[#This Row],[Activity]]),
    IF(ISNUMBER(MATCH(_xlpm.val,{"D04","C30","c40","C20"},0)), _xlpm.val, "Other")
)</f>
        <v>D04</v>
      </c>
      <c r="D2188" s="10" t="str">
        <f>IFERROR(VLOOKUP(Datadetails[[#This Row],[Taskcode]],Dashboard!A:A,1,FALSE),"00 Err Missing")</f>
        <v>0001</v>
      </c>
      <c r="E2188" s="79">
        <v>45923</v>
      </c>
      <c r="F2188" s="80" t="s">
        <v>324</v>
      </c>
      <c r="G2188" s="60" t="s">
        <v>40</v>
      </c>
      <c r="H2188" s="80" t="s">
        <v>314</v>
      </c>
      <c r="I2188" s="80" t="s">
        <v>35</v>
      </c>
      <c r="J2188" s="80" t="s">
        <v>359</v>
      </c>
      <c r="K2188" s="80" t="s">
        <v>339</v>
      </c>
      <c r="L2188" s="80" t="s">
        <v>352</v>
      </c>
      <c r="M2188" s="81">
        <v>6.25</v>
      </c>
      <c r="N2188" s="82">
        <v>468.75</v>
      </c>
    </row>
    <row r="2189" spans="1:14" x14ac:dyDescent="0.25">
      <c r="A2189" s="10" t="str">
        <f>_xlfn.IFNA(
    IF(J2189=
        "PCB-0001",
        "CSS",
        IF(
            ISNUMBER(MATCH(_xlfn.TEXTBEFORE(J2189,"-"), {"CSS","CSN","PCB","PCF","BEC","CSD","PCM"}, 0)),
            _xlfn.TEXTBEFORE(J2189,"-"),
            "Other"
        )
    ),
"Add")</f>
        <v>CSN</v>
      </c>
      <c r="B2189" s="10" t="str">
        <f t="shared" si="35"/>
        <v>0001</v>
      </c>
      <c r="C2189" s="10" t="str">
        <f>_xlfn.LET(
    _xlpm.val, IF(Datadetails[[#This Row],[Activity]]="D02","C20",Datadetails[[#This Row],[Activity]]),
    IF(ISNUMBER(MATCH(_xlpm.val,{"D04","C30","c40","C20"},0)), _xlpm.val, "Other")
)</f>
        <v>D04</v>
      </c>
      <c r="D2189" s="10" t="str">
        <f>IFERROR(VLOOKUP(Datadetails[[#This Row],[Taskcode]],Dashboard!A:A,1,FALSE),"00 Err Missing")</f>
        <v>0001</v>
      </c>
      <c r="E2189" s="79">
        <v>45924</v>
      </c>
      <c r="F2189" s="80" t="s">
        <v>329</v>
      </c>
      <c r="G2189" s="60" t="s">
        <v>40</v>
      </c>
      <c r="H2189" s="80" t="s">
        <v>316</v>
      </c>
      <c r="I2189" s="80" t="s">
        <v>35</v>
      </c>
      <c r="J2189" s="80" t="s">
        <v>338</v>
      </c>
      <c r="K2189" s="80" t="s">
        <v>337</v>
      </c>
      <c r="L2189" s="80" t="s">
        <v>352</v>
      </c>
      <c r="M2189" s="81">
        <v>1.25</v>
      </c>
      <c r="N2189" s="82">
        <v>93.75</v>
      </c>
    </row>
    <row r="2190" spans="1:14" x14ac:dyDescent="0.25">
      <c r="A2190" s="10" t="str">
        <f>_xlfn.IFNA(
    IF(J2190=
        "PCB-0001",
        "CSS",
        IF(
            ISNUMBER(MATCH(_xlfn.TEXTBEFORE(J2190,"-"), {"CSS","CSN","PCB","PCF","BEC","CSD","PCM"}, 0)),
            _xlfn.TEXTBEFORE(J2190,"-"),
            "Other"
        )
    ),
"Add")</f>
        <v>PCB</v>
      </c>
      <c r="B2190" s="10" t="str">
        <f t="shared" si="35"/>
        <v>0105</v>
      </c>
      <c r="C2190" s="10" t="str">
        <f>_xlfn.LET(
    _xlpm.val, IF(Datadetails[[#This Row],[Activity]]="D02","C20",Datadetails[[#This Row],[Activity]]),
    IF(ISNUMBER(MATCH(_xlpm.val,{"D04","C30","c40","C20"},0)), _xlpm.val, "Other")
)</f>
        <v>C30</v>
      </c>
      <c r="D2190" s="10" t="str">
        <f>IFERROR(VLOOKUP(Datadetails[[#This Row],[Taskcode]],Dashboard!A:A,1,FALSE),"00 Err Missing")</f>
        <v>0105</v>
      </c>
      <c r="E2190" s="79">
        <v>45924</v>
      </c>
      <c r="F2190" s="80" t="s">
        <v>329</v>
      </c>
      <c r="G2190" s="60" t="s">
        <v>40</v>
      </c>
      <c r="H2190" s="80" t="s">
        <v>272</v>
      </c>
      <c r="I2190" s="80" t="s">
        <v>34</v>
      </c>
      <c r="J2190" s="80" t="s">
        <v>362</v>
      </c>
      <c r="K2190" s="80" t="s">
        <v>347</v>
      </c>
      <c r="L2190" s="80" t="s">
        <v>343</v>
      </c>
      <c r="M2190" s="81">
        <v>0.25</v>
      </c>
      <c r="N2190" s="82">
        <v>18.75</v>
      </c>
    </row>
    <row r="2191" spans="1:14" x14ac:dyDescent="0.25">
      <c r="A2191" s="10" t="str">
        <f>_xlfn.IFNA(
    IF(J2191=
        "PCB-0001",
        "CSS",
        IF(
            ISNUMBER(MATCH(_xlfn.TEXTBEFORE(J2191,"-"), {"CSS","CSN","PCB","PCF","BEC","CSD","PCM"}, 0)),
            _xlfn.TEXTBEFORE(J2191,"-"),
            "Other"
        )
    ),
"Add")</f>
        <v>PCB</v>
      </c>
      <c r="B2191" s="10" t="str">
        <f t="shared" si="35"/>
        <v>0101</v>
      </c>
      <c r="C2191" s="10" t="str">
        <f>_xlfn.LET(
    _xlpm.val, IF(Datadetails[[#This Row],[Activity]]="D02","C20",Datadetails[[#This Row],[Activity]]),
    IF(ISNUMBER(MATCH(_xlpm.val,{"D04","C30","c40","C20"},0)), _xlpm.val, "Other")
)</f>
        <v>C30</v>
      </c>
      <c r="D2191" s="10" t="str">
        <f>IFERROR(VLOOKUP(Datadetails[[#This Row],[Taskcode]],Dashboard!A:A,1,FALSE),"00 Err Missing")</f>
        <v>0101</v>
      </c>
      <c r="E2191" s="79">
        <v>45924</v>
      </c>
      <c r="F2191" s="80" t="s">
        <v>329</v>
      </c>
      <c r="G2191" s="60" t="s">
        <v>40</v>
      </c>
      <c r="H2191" s="80" t="s">
        <v>268</v>
      </c>
      <c r="I2191" s="80" t="s">
        <v>34</v>
      </c>
      <c r="J2191" s="80" t="s">
        <v>386</v>
      </c>
      <c r="K2191" s="80" t="s">
        <v>347</v>
      </c>
      <c r="L2191" s="80" t="s">
        <v>343</v>
      </c>
      <c r="M2191" s="81">
        <v>0.33</v>
      </c>
      <c r="N2191" s="82">
        <v>24.75</v>
      </c>
    </row>
    <row r="2192" spans="1:14" x14ac:dyDescent="0.25">
      <c r="A2192" s="10" t="str">
        <f>_xlfn.IFNA(
    IF(J2192=
        "PCB-0001",
        "CSS",
        IF(
            ISNUMBER(MATCH(_xlfn.TEXTBEFORE(J2192,"-"), {"CSS","CSN","PCB","PCF","BEC","CSD","PCM"}, 0)),
            _xlfn.TEXTBEFORE(J2192,"-"),
            "Other"
        )
    ),
"Add")</f>
        <v>PCB</v>
      </c>
      <c r="B2192" s="10" t="str">
        <f t="shared" si="35"/>
        <v>0102</v>
      </c>
      <c r="C2192" s="10" t="str">
        <f>_xlfn.LET(
    _xlpm.val, IF(Datadetails[[#This Row],[Activity]]="D02","C20",Datadetails[[#This Row],[Activity]]),
    IF(ISNUMBER(MATCH(_xlpm.val,{"D04","C30","c40","C20"},0)), _xlpm.val, "Other")
)</f>
        <v>C40</v>
      </c>
      <c r="D2192" s="10" t="str">
        <f>IFERROR(VLOOKUP(Datadetails[[#This Row],[Taskcode]],Dashboard!A:A,1,FALSE),"00 Err Missing")</f>
        <v>0102</v>
      </c>
      <c r="E2192" s="79">
        <v>45924</v>
      </c>
      <c r="F2192" s="80" t="s">
        <v>329</v>
      </c>
      <c r="G2192" s="60" t="s">
        <v>40</v>
      </c>
      <c r="H2192" s="80" t="s">
        <v>269</v>
      </c>
      <c r="I2192" s="80" t="s">
        <v>341</v>
      </c>
      <c r="J2192" s="80" t="s">
        <v>361</v>
      </c>
      <c r="K2192" s="80" t="s">
        <v>347</v>
      </c>
      <c r="L2192" s="80" t="s">
        <v>344</v>
      </c>
      <c r="M2192" s="81">
        <v>1.5</v>
      </c>
      <c r="N2192" s="82">
        <v>112.5</v>
      </c>
    </row>
    <row r="2193" spans="1:14" x14ac:dyDescent="0.25">
      <c r="A2193" s="10" t="str">
        <f>_xlfn.IFNA(
    IF(J2193=
        "PCB-0001",
        "CSS",
        IF(
            ISNUMBER(MATCH(_xlfn.TEXTBEFORE(J2193,"-"), {"CSS","CSN","PCB","PCF","BEC","CSD","PCM"}, 0)),
            _xlfn.TEXTBEFORE(J2193,"-"),
            "Other"
        )
    ),
"Add")</f>
        <v>PCB</v>
      </c>
      <c r="B2193" s="10" t="str">
        <f t="shared" si="35"/>
        <v>0105</v>
      </c>
      <c r="C2193" s="10" t="str">
        <f>_xlfn.LET(
    _xlpm.val, IF(Datadetails[[#This Row],[Activity]]="D02","C20",Datadetails[[#This Row],[Activity]]),
    IF(ISNUMBER(MATCH(_xlpm.val,{"D04","C30","c40","C20"},0)), _xlpm.val, "Other")
)</f>
        <v>C40</v>
      </c>
      <c r="D2193" s="10" t="str">
        <f>IFERROR(VLOOKUP(Datadetails[[#This Row],[Taskcode]],Dashboard!A:A,1,FALSE),"00 Err Missing")</f>
        <v>0105</v>
      </c>
      <c r="E2193" s="79">
        <v>45924</v>
      </c>
      <c r="F2193" s="80" t="s">
        <v>329</v>
      </c>
      <c r="G2193" s="60" t="s">
        <v>40</v>
      </c>
      <c r="H2193" s="80" t="s">
        <v>272</v>
      </c>
      <c r="I2193" s="80" t="s">
        <v>341</v>
      </c>
      <c r="J2193" s="80" t="s">
        <v>362</v>
      </c>
      <c r="K2193" s="80" t="s">
        <v>347</v>
      </c>
      <c r="L2193" s="80" t="s">
        <v>344</v>
      </c>
      <c r="M2193" s="81">
        <v>3.25</v>
      </c>
      <c r="N2193" s="82">
        <v>243.75</v>
      </c>
    </row>
    <row r="2194" spans="1:14" x14ac:dyDescent="0.25">
      <c r="A2194" s="10" t="str">
        <f>_xlfn.IFNA(
    IF(J2194=
        "PCB-0001",
        "CSS",
        IF(
            ISNUMBER(MATCH(_xlfn.TEXTBEFORE(J2194,"-"), {"CSS","CSN","PCB","PCF","BEC","CSD","PCM"}, 0)),
            _xlfn.TEXTBEFORE(J2194,"-"),
            "Other"
        )
    ),
"Add")</f>
        <v>PCB</v>
      </c>
      <c r="B2194" s="10" t="str">
        <f t="shared" si="35"/>
        <v>0101</v>
      </c>
      <c r="C2194" s="10" t="str">
        <f>_xlfn.LET(
    _xlpm.val, IF(Datadetails[[#This Row],[Activity]]="D02","C20",Datadetails[[#This Row],[Activity]]),
    IF(ISNUMBER(MATCH(_xlpm.val,{"D04","C30","c40","C20"},0)), _xlpm.val, "Other")
)</f>
        <v>C40</v>
      </c>
      <c r="D2194" s="10" t="str">
        <f>IFERROR(VLOOKUP(Datadetails[[#This Row],[Taskcode]],Dashboard!A:A,1,FALSE),"00 Err Missing")</f>
        <v>0101</v>
      </c>
      <c r="E2194" s="79">
        <v>45924</v>
      </c>
      <c r="F2194" s="80" t="s">
        <v>329</v>
      </c>
      <c r="G2194" s="60" t="s">
        <v>40</v>
      </c>
      <c r="H2194" s="80" t="s">
        <v>268</v>
      </c>
      <c r="I2194" s="80" t="s">
        <v>341</v>
      </c>
      <c r="J2194" s="80" t="s">
        <v>386</v>
      </c>
      <c r="K2194" s="80" t="s">
        <v>347</v>
      </c>
      <c r="L2194" s="80" t="s">
        <v>344</v>
      </c>
      <c r="M2194" s="81">
        <v>1</v>
      </c>
      <c r="N2194" s="82">
        <v>75</v>
      </c>
    </row>
    <row r="2195" spans="1:14" x14ac:dyDescent="0.25">
      <c r="A2195" s="10" t="str">
        <f>_xlfn.IFNA(
    IF(J2195=
        "PCB-0001",
        "CSS",
        IF(
            ISNUMBER(MATCH(_xlfn.TEXTBEFORE(J2195,"-"), {"CSS","CSN","PCB","PCF","BEC","CSD","PCM"}, 0)),
            _xlfn.TEXTBEFORE(J2195,"-"),
            "Other"
        )
    ),
"Add")</f>
        <v>CSD</v>
      </c>
      <c r="B2195" s="10" t="str">
        <f t="shared" si="35"/>
        <v>0001</v>
      </c>
      <c r="C2195" s="10" t="str">
        <f>_xlfn.LET(
    _xlpm.val, IF(Datadetails[[#This Row],[Activity]]="D02","C20",Datadetails[[#This Row],[Activity]]),
    IF(ISNUMBER(MATCH(_xlpm.val,{"D04","C30","c40","C20"},0)), _xlpm.val, "Other")
)</f>
        <v>D04</v>
      </c>
      <c r="D2195" s="10" t="str">
        <f>IFERROR(VLOOKUP(Datadetails[[#This Row],[Taskcode]],Dashboard!A:A,1,FALSE),"00 Err Missing")</f>
        <v>0001</v>
      </c>
      <c r="E2195" s="79">
        <v>45924</v>
      </c>
      <c r="F2195" s="80" t="s">
        <v>327</v>
      </c>
      <c r="G2195" s="60" t="s">
        <v>40</v>
      </c>
      <c r="H2195" s="80" t="s">
        <v>320</v>
      </c>
      <c r="I2195" s="80" t="s">
        <v>35</v>
      </c>
      <c r="J2195" s="80" t="s">
        <v>322</v>
      </c>
      <c r="K2195" s="80" t="s">
        <v>319</v>
      </c>
      <c r="L2195" s="80" t="s">
        <v>352</v>
      </c>
      <c r="M2195" s="81">
        <v>7.5</v>
      </c>
      <c r="N2195" s="82">
        <v>240</v>
      </c>
    </row>
    <row r="2196" spans="1:14" x14ac:dyDescent="0.25">
      <c r="A2196" s="10" t="str">
        <f>_xlfn.IFNA(
    IF(J2196=
        "PCB-0001",
        "CSS",
        IF(
            ISNUMBER(MATCH(_xlfn.TEXTBEFORE(J2196,"-"), {"CSS","CSN","PCB","PCF","BEC","CSD","PCM"}, 0)),
            _xlfn.TEXTBEFORE(J2196,"-"),
            "Other"
        )
    ),
"Add")</f>
        <v>PCM</v>
      </c>
      <c r="B2196" s="10" t="str">
        <f t="shared" si="35"/>
        <v>0078</v>
      </c>
      <c r="C2196" s="10" t="str">
        <f>_xlfn.LET(
    _xlpm.val, IF(Datadetails[[#This Row],[Activity]]="D02","C20",Datadetails[[#This Row],[Activity]]),
    IF(ISNUMBER(MATCH(_xlpm.val,{"D04","C30","c40","C20"},0)), _xlpm.val, "Other")
)</f>
        <v>C30</v>
      </c>
      <c r="D2196" s="10" t="str">
        <f>IFERROR(VLOOKUP(Datadetails[[#This Row],[Taskcode]],Dashboard!A:A,1,FALSE),"00 Err Missing")</f>
        <v>0078</v>
      </c>
      <c r="E2196" s="79">
        <v>45924</v>
      </c>
      <c r="F2196" s="80" t="s">
        <v>323</v>
      </c>
      <c r="G2196" s="60" t="s">
        <v>40</v>
      </c>
      <c r="H2196" s="80" t="s">
        <v>245</v>
      </c>
      <c r="I2196" s="80" t="s">
        <v>34</v>
      </c>
      <c r="J2196" s="80" t="s">
        <v>435</v>
      </c>
      <c r="K2196" s="80" t="s">
        <v>346</v>
      </c>
      <c r="L2196" s="80" t="s">
        <v>343</v>
      </c>
      <c r="M2196" s="81">
        <v>1</v>
      </c>
      <c r="N2196" s="82">
        <v>60</v>
      </c>
    </row>
    <row r="2197" spans="1:14" x14ac:dyDescent="0.25">
      <c r="A2197" s="10" t="str">
        <f>_xlfn.IFNA(
    IF(J2197=
        "PCB-0001",
        "CSS",
        IF(
            ISNUMBER(MATCH(_xlfn.TEXTBEFORE(J2197,"-"), {"CSS","CSN","PCB","PCF","BEC","CSD","PCM"}, 0)),
            _xlfn.TEXTBEFORE(J2197,"-"),
            "Other"
        )
    ),
"Add")</f>
        <v>PCM</v>
      </c>
      <c r="B2197" s="10" t="str">
        <f t="shared" si="35"/>
        <v>0114</v>
      </c>
      <c r="C2197" s="10" t="str">
        <f>_xlfn.LET(
    _xlpm.val, IF(Datadetails[[#This Row],[Activity]]="D02","C20",Datadetails[[#This Row],[Activity]]),
    IF(ISNUMBER(MATCH(_xlpm.val,{"D04","C30","c40","C20"},0)), _xlpm.val, "Other")
)</f>
        <v>C30</v>
      </c>
      <c r="D2197" s="10" t="str">
        <f>IFERROR(VLOOKUP(Datadetails[[#This Row],[Taskcode]],Dashboard!A:A,1,FALSE),"00 Err Missing")</f>
        <v>0114</v>
      </c>
      <c r="E2197" s="79">
        <v>45924</v>
      </c>
      <c r="F2197" s="80" t="s">
        <v>323</v>
      </c>
      <c r="G2197" s="60" t="s">
        <v>40</v>
      </c>
      <c r="H2197" s="80" t="s">
        <v>281</v>
      </c>
      <c r="I2197" s="80" t="s">
        <v>34</v>
      </c>
      <c r="J2197" s="80" t="s">
        <v>430</v>
      </c>
      <c r="K2197" s="80" t="s">
        <v>346</v>
      </c>
      <c r="L2197" s="80" t="s">
        <v>343</v>
      </c>
      <c r="M2197" s="81">
        <v>0.25</v>
      </c>
      <c r="N2197" s="82">
        <v>15</v>
      </c>
    </row>
    <row r="2198" spans="1:14" x14ac:dyDescent="0.25">
      <c r="A2198" s="10" t="str">
        <f>_xlfn.IFNA(
    IF(J2198=
        "PCB-0001",
        "CSS",
        IF(
            ISNUMBER(MATCH(_xlfn.TEXTBEFORE(J2198,"-"), {"CSS","CSN","PCB","PCF","BEC","CSD","PCM"}, 0)),
            _xlfn.TEXTBEFORE(J2198,"-"),
            "Other"
        )
    ),
"Add")</f>
        <v>PCM</v>
      </c>
      <c r="B2198" s="10" t="str">
        <f t="shared" si="35"/>
        <v>0119</v>
      </c>
      <c r="C2198" s="10" t="str">
        <f>_xlfn.LET(
    _xlpm.val, IF(Datadetails[[#This Row],[Activity]]="D02","C20",Datadetails[[#This Row],[Activity]]),
    IF(ISNUMBER(MATCH(_xlpm.val,{"D04","C30","c40","C20"},0)), _xlpm.val, "Other")
)</f>
        <v>C30</v>
      </c>
      <c r="D2198" s="10" t="str">
        <f>IFERROR(VLOOKUP(Datadetails[[#This Row],[Taskcode]],Dashboard!A:A,1,FALSE),"00 Err Missing")</f>
        <v>0119</v>
      </c>
      <c r="E2198" s="79">
        <v>45924</v>
      </c>
      <c r="F2198" s="80" t="s">
        <v>323</v>
      </c>
      <c r="G2198" s="60" t="s">
        <v>40</v>
      </c>
      <c r="H2198" s="80" t="s">
        <v>286</v>
      </c>
      <c r="I2198" s="80" t="s">
        <v>34</v>
      </c>
      <c r="J2198" s="80" t="s">
        <v>434</v>
      </c>
      <c r="K2198" s="80" t="s">
        <v>346</v>
      </c>
      <c r="L2198" s="80" t="s">
        <v>343</v>
      </c>
      <c r="M2198" s="81">
        <v>0.5</v>
      </c>
      <c r="N2198" s="82">
        <v>30</v>
      </c>
    </row>
    <row r="2199" spans="1:14" x14ac:dyDescent="0.25">
      <c r="A2199" s="10" t="str">
        <f>_xlfn.IFNA(
    IF(J2199=
        "PCB-0001",
        "CSS",
        IF(
            ISNUMBER(MATCH(_xlfn.TEXTBEFORE(J2199,"-"), {"CSS","CSN","PCB","PCF","BEC","CSD","PCM"}, 0)),
            _xlfn.TEXTBEFORE(J2199,"-"),
            "Other"
        )
    ),
"Add")</f>
        <v>PCB</v>
      </c>
      <c r="B2199" s="10" t="str">
        <f t="shared" si="35"/>
        <v>0012</v>
      </c>
      <c r="C2199" s="10" t="str">
        <f>_xlfn.LET(
    _xlpm.val, IF(Datadetails[[#This Row],[Activity]]="D02","C20",Datadetails[[#This Row],[Activity]]),
    IF(ISNUMBER(MATCH(_xlpm.val,{"D04","C30","c40","C20"},0)), _xlpm.val, "Other")
)</f>
        <v>C30</v>
      </c>
      <c r="D2199" s="10" t="str">
        <f>IFERROR(VLOOKUP(Datadetails[[#This Row],[Taskcode]],Dashboard!A:A,1,FALSE),"00 Err Missing")</f>
        <v>0012</v>
      </c>
      <c r="E2199" s="79">
        <v>45924</v>
      </c>
      <c r="F2199" s="80" t="s">
        <v>325</v>
      </c>
      <c r="G2199" s="60" t="s">
        <v>40</v>
      </c>
      <c r="H2199" s="80" t="s">
        <v>179</v>
      </c>
      <c r="I2199" s="80" t="s">
        <v>34</v>
      </c>
      <c r="J2199" s="80" t="s">
        <v>422</v>
      </c>
      <c r="K2199" s="80" t="s">
        <v>347</v>
      </c>
      <c r="L2199" s="80" t="s">
        <v>343</v>
      </c>
      <c r="M2199" s="81">
        <v>0.33</v>
      </c>
      <c r="N2199" s="82">
        <v>24.75</v>
      </c>
    </row>
    <row r="2200" spans="1:14" x14ac:dyDescent="0.25">
      <c r="A2200" s="10" t="str">
        <f>_xlfn.IFNA(
    IF(J2200=
        "PCB-0001",
        "CSS",
        IF(
            ISNUMBER(MATCH(_xlfn.TEXTBEFORE(J2200,"-"), {"CSS","CSN","PCB","PCF","BEC","CSD","PCM"}, 0)),
            _xlfn.TEXTBEFORE(J2200,"-"),
            "Other"
        )
    ),
"Add")</f>
        <v>PCB</v>
      </c>
      <c r="B2200" s="10" t="str">
        <f t="shared" si="35"/>
        <v>0039</v>
      </c>
      <c r="C2200" s="10" t="str">
        <f>_xlfn.LET(
    _xlpm.val, IF(Datadetails[[#This Row],[Activity]]="D02","C20",Datadetails[[#This Row],[Activity]]),
    IF(ISNUMBER(MATCH(_xlpm.val,{"D04","C30","c40","C20"},0)), _xlpm.val, "Other")
)</f>
        <v>C30</v>
      </c>
      <c r="D2200" s="10" t="str">
        <f>IFERROR(VLOOKUP(Datadetails[[#This Row],[Taskcode]],Dashboard!A:A,1,FALSE),"00 Err Missing")</f>
        <v>0039</v>
      </c>
      <c r="E2200" s="79">
        <v>45924</v>
      </c>
      <c r="F2200" s="80" t="s">
        <v>329</v>
      </c>
      <c r="G2200" s="60" t="s">
        <v>40</v>
      </c>
      <c r="H2200" s="80" t="s">
        <v>206</v>
      </c>
      <c r="I2200" s="80" t="s">
        <v>34</v>
      </c>
      <c r="J2200" s="80" t="s">
        <v>367</v>
      </c>
      <c r="K2200" s="80" t="s">
        <v>347</v>
      </c>
      <c r="L2200" s="80" t="s">
        <v>343</v>
      </c>
      <c r="M2200" s="81">
        <v>0.33</v>
      </c>
      <c r="N2200" s="82">
        <v>24.75</v>
      </c>
    </row>
    <row r="2201" spans="1:14" x14ac:dyDescent="0.25">
      <c r="A2201" s="10" t="str">
        <f>_xlfn.IFNA(
    IF(J2201=
        "PCB-0001",
        "CSS",
        IF(
            ISNUMBER(MATCH(_xlfn.TEXTBEFORE(J2201,"-"), {"CSS","CSN","PCB","PCF","BEC","CSD","PCM"}, 0)),
            _xlfn.TEXTBEFORE(J2201,"-"),
            "Other"
        )
    ),
"Add")</f>
        <v>PCB</v>
      </c>
      <c r="B2201" s="10" t="str">
        <f t="shared" si="35"/>
        <v>0062</v>
      </c>
      <c r="C2201" s="10" t="str">
        <f>_xlfn.LET(
    _xlpm.val, IF(Datadetails[[#This Row],[Activity]]="D02","C20",Datadetails[[#This Row],[Activity]]),
    IF(ISNUMBER(MATCH(_xlpm.val,{"D04","C30","c40","C20"},0)), _xlpm.val, "Other")
)</f>
        <v>C30</v>
      </c>
      <c r="D2201" s="10" t="str">
        <f>IFERROR(VLOOKUP(Datadetails[[#This Row],[Taskcode]],Dashboard!A:A,1,FALSE),"00 Err Missing")</f>
        <v>0062</v>
      </c>
      <c r="E2201" s="79">
        <v>45924</v>
      </c>
      <c r="F2201" s="80" t="s">
        <v>329</v>
      </c>
      <c r="G2201" s="60" t="s">
        <v>40</v>
      </c>
      <c r="H2201" s="80" t="s">
        <v>229</v>
      </c>
      <c r="I2201" s="80" t="s">
        <v>34</v>
      </c>
      <c r="J2201" s="80" t="s">
        <v>373</v>
      </c>
      <c r="K2201" s="80" t="s">
        <v>347</v>
      </c>
      <c r="L2201" s="80" t="s">
        <v>343</v>
      </c>
      <c r="M2201" s="81">
        <v>0.25</v>
      </c>
      <c r="N2201" s="82">
        <v>18.75</v>
      </c>
    </row>
    <row r="2202" spans="1:14" x14ac:dyDescent="0.25">
      <c r="A2202" s="10" t="str">
        <f>_xlfn.IFNA(
    IF(J2202=
        "PCB-0001",
        "CSS",
        IF(
            ISNUMBER(MATCH(_xlfn.TEXTBEFORE(J2202,"-"), {"CSS","CSN","PCB","PCF","BEC","CSD","PCM"}, 0)),
            _xlfn.TEXTBEFORE(J2202,"-"),
            "Other"
        )
    ),
"Add")</f>
        <v>PCB</v>
      </c>
      <c r="B2202" s="10" t="str">
        <f t="shared" si="35"/>
        <v>0104</v>
      </c>
      <c r="C2202" s="10" t="str">
        <f>_xlfn.LET(
    _xlpm.val, IF(Datadetails[[#This Row],[Activity]]="D02","C20",Datadetails[[#This Row],[Activity]]),
    IF(ISNUMBER(MATCH(_xlpm.val,{"D04","C30","c40","C20"},0)), _xlpm.val, "Other")
)</f>
        <v>C30</v>
      </c>
      <c r="D2202" s="10" t="str">
        <f>IFERROR(VLOOKUP(Datadetails[[#This Row],[Taskcode]],Dashboard!A:A,1,FALSE),"00 Err Missing")</f>
        <v>0104</v>
      </c>
      <c r="E2202" s="79">
        <v>45924</v>
      </c>
      <c r="F2202" s="80" t="s">
        <v>325</v>
      </c>
      <c r="G2202" s="60" t="s">
        <v>40</v>
      </c>
      <c r="H2202" s="80" t="s">
        <v>271</v>
      </c>
      <c r="I2202" s="80" t="s">
        <v>34</v>
      </c>
      <c r="J2202" s="80" t="s">
        <v>363</v>
      </c>
      <c r="K2202" s="80" t="s">
        <v>347</v>
      </c>
      <c r="L2202" s="80" t="s">
        <v>343</v>
      </c>
      <c r="M2202" s="81">
        <v>0.33</v>
      </c>
      <c r="N2202" s="82">
        <v>24.75</v>
      </c>
    </row>
    <row r="2203" spans="1:14" x14ac:dyDescent="0.25">
      <c r="A2203" s="10" t="str">
        <f>_xlfn.IFNA(
    IF(J2203=
        "PCB-0001",
        "CSS",
        IF(
            ISNUMBER(MATCH(_xlfn.TEXTBEFORE(J2203,"-"), {"CSS","CSN","PCB","PCF","BEC","CSD","PCM"}, 0)),
            _xlfn.TEXTBEFORE(J2203,"-"),
            "Other"
        )
    ),
"Add")</f>
        <v>PCB</v>
      </c>
      <c r="B2203" s="10" t="str">
        <f t="shared" si="35"/>
        <v>0011</v>
      </c>
      <c r="C2203" s="10" t="str">
        <f>_xlfn.LET(
    _xlpm.val, IF(Datadetails[[#This Row],[Activity]]="D02","C20",Datadetails[[#This Row],[Activity]]),
    IF(ISNUMBER(MATCH(_xlpm.val,{"D04","C30","c40","C20"},0)), _xlpm.val, "Other")
)</f>
        <v>C30</v>
      </c>
      <c r="D2203" s="10" t="str">
        <f>IFERROR(VLOOKUP(Datadetails[[#This Row],[Taskcode]],Dashboard!A:A,1,FALSE),"00 Err Missing")</f>
        <v>0011</v>
      </c>
      <c r="E2203" s="79">
        <v>45924</v>
      </c>
      <c r="F2203" s="80" t="s">
        <v>330</v>
      </c>
      <c r="G2203" s="60" t="s">
        <v>40</v>
      </c>
      <c r="H2203" s="80" t="s">
        <v>178</v>
      </c>
      <c r="I2203" s="80" t="s">
        <v>34</v>
      </c>
      <c r="J2203" s="80" t="s">
        <v>460</v>
      </c>
      <c r="K2203" s="80" t="s">
        <v>347</v>
      </c>
      <c r="L2203" s="80" t="s">
        <v>343</v>
      </c>
      <c r="M2203" s="81">
        <v>0.5</v>
      </c>
      <c r="N2203" s="82">
        <v>30</v>
      </c>
    </row>
    <row r="2204" spans="1:14" x14ac:dyDescent="0.25">
      <c r="A2204" s="10" t="str">
        <f>_xlfn.IFNA(
    IF(J2204=
        "PCB-0001",
        "CSS",
        IF(
            ISNUMBER(MATCH(_xlfn.TEXTBEFORE(J2204,"-"), {"CSS","CSN","PCB","PCF","BEC","CSD","PCM"}, 0)),
            _xlfn.TEXTBEFORE(J2204,"-"),
            "Other"
        )
    ),
"Add")</f>
        <v>PCB</v>
      </c>
      <c r="B2204" s="10" t="str">
        <f t="shared" si="35"/>
        <v>0126</v>
      </c>
      <c r="C2204" s="10" t="str">
        <f>_xlfn.LET(
    _xlpm.val, IF(Datadetails[[#This Row],[Activity]]="D02","C20",Datadetails[[#This Row],[Activity]]),
    IF(ISNUMBER(MATCH(_xlpm.val,{"D04","C30","c40","C20"},0)), _xlpm.val, "Other")
)</f>
        <v>C30</v>
      </c>
      <c r="D2204" s="10" t="str">
        <f>IFERROR(VLOOKUP(Datadetails[[#This Row],[Taskcode]],Dashboard!A:A,1,FALSE),"00 Err Missing")</f>
        <v>0126</v>
      </c>
      <c r="E2204" s="79">
        <v>45924</v>
      </c>
      <c r="F2204" s="80" t="s">
        <v>329</v>
      </c>
      <c r="G2204" s="60" t="s">
        <v>40</v>
      </c>
      <c r="H2204" s="80" t="s">
        <v>293</v>
      </c>
      <c r="I2204" s="80" t="s">
        <v>34</v>
      </c>
      <c r="J2204" s="80" t="s">
        <v>376</v>
      </c>
      <c r="K2204" s="80" t="s">
        <v>347</v>
      </c>
      <c r="L2204" s="80" t="s">
        <v>343</v>
      </c>
      <c r="M2204" s="81">
        <v>0.25</v>
      </c>
      <c r="N2204" s="82">
        <v>18.75</v>
      </c>
    </row>
    <row r="2205" spans="1:14" x14ac:dyDescent="0.25">
      <c r="A2205" s="10" t="str">
        <f>_xlfn.IFNA(
    IF(J2205=
        "PCB-0001",
        "CSS",
        IF(
            ISNUMBER(MATCH(_xlfn.TEXTBEFORE(J2205,"-"), {"CSS","CSN","PCB","PCF","BEC","CSD","PCM"}, 0)),
            _xlfn.TEXTBEFORE(J2205,"-"),
            "Other"
        )
    ),
"Add")</f>
        <v>PCB</v>
      </c>
      <c r="B2205" s="10" t="str">
        <f t="shared" si="35"/>
        <v>0127</v>
      </c>
      <c r="C2205" s="10" t="str">
        <f>_xlfn.LET(
    _xlpm.val, IF(Datadetails[[#This Row],[Activity]]="D02","C20",Datadetails[[#This Row],[Activity]]),
    IF(ISNUMBER(MATCH(_xlpm.val,{"D04","C30","c40","C20"},0)), _xlpm.val, "Other")
)</f>
        <v>C30</v>
      </c>
      <c r="D2205" s="10" t="str">
        <f>IFERROR(VLOOKUP(Datadetails[[#This Row],[Taskcode]],Dashboard!A:A,1,FALSE),"00 Err Missing")</f>
        <v>0127</v>
      </c>
      <c r="E2205" s="79">
        <v>45924</v>
      </c>
      <c r="F2205" s="80" t="s">
        <v>329</v>
      </c>
      <c r="G2205" s="60" t="s">
        <v>40</v>
      </c>
      <c r="H2205" s="80" t="s">
        <v>294</v>
      </c>
      <c r="I2205" s="80" t="s">
        <v>34</v>
      </c>
      <c r="J2205" s="80" t="s">
        <v>377</v>
      </c>
      <c r="K2205" s="80" t="s">
        <v>347</v>
      </c>
      <c r="L2205" s="80" t="s">
        <v>343</v>
      </c>
      <c r="M2205" s="81">
        <v>0.08</v>
      </c>
      <c r="N2205" s="82">
        <v>6</v>
      </c>
    </row>
    <row r="2206" spans="1:14" x14ac:dyDescent="0.25">
      <c r="A2206" s="10" t="str">
        <f>_xlfn.IFNA(
    IF(J2206=
        "PCB-0001",
        "CSS",
        IF(
            ISNUMBER(MATCH(_xlfn.TEXTBEFORE(J2206,"-"), {"CSS","CSN","PCB","PCF","BEC","CSD","PCM"}, 0)),
            _xlfn.TEXTBEFORE(J2206,"-"),
            "Other"
        )
    ),
"Add")</f>
        <v>PCB</v>
      </c>
      <c r="B2206" s="10" t="str">
        <f t="shared" si="35"/>
        <v>0095</v>
      </c>
      <c r="C2206" s="10" t="str">
        <f>_xlfn.LET(
    _xlpm.val, IF(Datadetails[[#This Row],[Activity]]="D02","C20",Datadetails[[#This Row],[Activity]]),
    IF(ISNUMBER(MATCH(_xlpm.val,{"D04","C30","c40","C20"},0)), _xlpm.val, "Other")
)</f>
        <v>C30</v>
      </c>
      <c r="D2206" s="10" t="str">
        <f>IFERROR(VLOOKUP(Datadetails[[#This Row],[Taskcode]],Dashboard!A:A,1,FALSE),"00 Err Missing")</f>
        <v>0095</v>
      </c>
      <c r="E2206" s="79">
        <v>45924</v>
      </c>
      <c r="F2206" s="80" t="s">
        <v>325</v>
      </c>
      <c r="G2206" s="60" t="s">
        <v>40</v>
      </c>
      <c r="H2206" s="80" t="s">
        <v>262</v>
      </c>
      <c r="I2206" s="80" t="s">
        <v>34</v>
      </c>
      <c r="J2206" s="80" t="s">
        <v>442</v>
      </c>
      <c r="K2206" s="80" t="s">
        <v>347</v>
      </c>
      <c r="L2206" s="80" t="s">
        <v>343</v>
      </c>
      <c r="M2206" s="81">
        <v>0.17</v>
      </c>
      <c r="N2206" s="82">
        <v>12.750000000000002</v>
      </c>
    </row>
    <row r="2207" spans="1:14" x14ac:dyDescent="0.25">
      <c r="A2207" s="10" t="str">
        <f>_xlfn.IFNA(
    IF(J2207=
        "PCB-0001",
        "CSS",
        IF(
            ISNUMBER(MATCH(_xlfn.TEXTBEFORE(J2207,"-"), {"CSS","CSN","PCB","PCF","BEC","CSD","PCM"}, 0)),
            _xlfn.TEXTBEFORE(J2207,"-"),
            "Other"
        )
    ),
"Add")</f>
        <v>PCB</v>
      </c>
      <c r="B2207" s="10" t="str">
        <f t="shared" si="35"/>
        <v>0082</v>
      </c>
      <c r="C2207" s="10" t="str">
        <f>_xlfn.LET(
    _xlpm.val, IF(Datadetails[[#This Row],[Activity]]="D02","C20",Datadetails[[#This Row],[Activity]]),
    IF(ISNUMBER(MATCH(_xlpm.val,{"D04","C30","c40","C20"},0)), _xlpm.val, "Other")
)</f>
        <v>C30</v>
      </c>
      <c r="D2207" s="10" t="str">
        <f>IFERROR(VLOOKUP(Datadetails[[#This Row],[Taskcode]],Dashboard!A:A,1,FALSE),"00 Err Missing")</f>
        <v>0082</v>
      </c>
      <c r="E2207" s="79">
        <v>45924</v>
      </c>
      <c r="F2207" s="80" t="s">
        <v>325</v>
      </c>
      <c r="G2207" s="60" t="s">
        <v>40</v>
      </c>
      <c r="H2207" s="80" t="s">
        <v>249</v>
      </c>
      <c r="I2207" s="80" t="s">
        <v>34</v>
      </c>
      <c r="J2207" s="80" t="s">
        <v>409</v>
      </c>
      <c r="K2207" s="80" t="s">
        <v>347</v>
      </c>
      <c r="L2207" s="80" t="s">
        <v>343</v>
      </c>
      <c r="M2207" s="81">
        <v>0.25</v>
      </c>
      <c r="N2207" s="82">
        <v>18.75</v>
      </c>
    </row>
    <row r="2208" spans="1:14" x14ac:dyDescent="0.25">
      <c r="A2208" s="10" t="str">
        <f>_xlfn.IFNA(
    IF(J2208=
        "PCB-0001",
        "CSS",
        IF(
            ISNUMBER(MATCH(_xlfn.TEXTBEFORE(J2208,"-"), {"CSS","CSN","PCB","PCF","BEC","CSD","PCM"}, 0)),
            _xlfn.TEXTBEFORE(J2208,"-"),
            "Other"
        )
    ),
"Add")</f>
        <v>PCB</v>
      </c>
      <c r="B2208" s="10" t="str">
        <f t="shared" si="35"/>
        <v>0080</v>
      </c>
      <c r="C2208" s="10" t="str">
        <f>_xlfn.LET(
    _xlpm.val, IF(Datadetails[[#This Row],[Activity]]="D02","C20",Datadetails[[#This Row],[Activity]]),
    IF(ISNUMBER(MATCH(_xlpm.val,{"D04","C30","c40","C20"},0)), _xlpm.val, "Other")
)</f>
        <v>C30</v>
      </c>
      <c r="D2208" s="10" t="str">
        <f>IFERROR(VLOOKUP(Datadetails[[#This Row],[Taskcode]],Dashboard!A:A,1,FALSE),"00 Err Missing")</f>
        <v>0080</v>
      </c>
      <c r="E2208" s="79">
        <v>45924</v>
      </c>
      <c r="F2208" s="80" t="s">
        <v>329</v>
      </c>
      <c r="G2208" s="60" t="s">
        <v>40</v>
      </c>
      <c r="H2208" s="80" t="s">
        <v>247</v>
      </c>
      <c r="I2208" s="80" t="s">
        <v>34</v>
      </c>
      <c r="J2208" s="80" t="s">
        <v>375</v>
      </c>
      <c r="K2208" s="80" t="s">
        <v>347</v>
      </c>
      <c r="L2208" s="80" t="s">
        <v>343</v>
      </c>
      <c r="M2208" s="81">
        <v>0.08</v>
      </c>
      <c r="N2208" s="82">
        <v>6</v>
      </c>
    </row>
    <row r="2209" spans="1:14" x14ac:dyDescent="0.25">
      <c r="A2209" s="10" t="str">
        <f>_xlfn.IFNA(
    IF(J2209=
        "PCB-0001",
        "CSS",
        IF(
            ISNUMBER(MATCH(_xlfn.TEXTBEFORE(J2209,"-"), {"CSS","CSN","PCB","PCF","BEC","CSD","PCM"}, 0)),
            _xlfn.TEXTBEFORE(J2209,"-"),
            "Other"
        )
    ),
"Add")</f>
        <v>PCB</v>
      </c>
      <c r="B2209" s="10" t="str">
        <f t="shared" si="35"/>
        <v>0111</v>
      </c>
      <c r="C2209" s="10" t="str">
        <f>_xlfn.LET(
    _xlpm.val, IF(Datadetails[[#This Row],[Activity]]="D02","C20",Datadetails[[#This Row],[Activity]]),
    IF(ISNUMBER(MATCH(_xlpm.val,{"D04","C30","c40","C20"},0)), _xlpm.val, "Other")
)</f>
        <v>C30</v>
      </c>
      <c r="D2209" s="10" t="str">
        <f>IFERROR(VLOOKUP(Datadetails[[#This Row],[Taskcode]],Dashboard!A:A,1,FALSE),"00 Err Missing")</f>
        <v>0111</v>
      </c>
      <c r="E2209" s="79">
        <v>45924</v>
      </c>
      <c r="F2209" s="80" t="s">
        <v>325</v>
      </c>
      <c r="G2209" s="60" t="s">
        <v>40</v>
      </c>
      <c r="H2209" s="80" t="s">
        <v>278</v>
      </c>
      <c r="I2209" s="80" t="s">
        <v>34</v>
      </c>
      <c r="J2209" s="80" t="s">
        <v>452</v>
      </c>
      <c r="K2209" s="80" t="s">
        <v>347</v>
      </c>
      <c r="L2209" s="80" t="s">
        <v>343</v>
      </c>
      <c r="M2209" s="81">
        <v>0.17</v>
      </c>
      <c r="N2209" s="82">
        <v>12.750000000000002</v>
      </c>
    </row>
    <row r="2210" spans="1:14" x14ac:dyDescent="0.25">
      <c r="A2210" s="10" t="str">
        <f>_xlfn.IFNA(
    IF(J2210=
        "PCB-0001",
        "CSS",
        IF(
            ISNUMBER(MATCH(_xlfn.TEXTBEFORE(J2210,"-"), {"CSS","CSN","PCB","PCF","BEC","CSD","PCM"}, 0)),
            _xlfn.TEXTBEFORE(J2210,"-"),
            "Other"
        )
    ),
"Add")</f>
        <v>PCB</v>
      </c>
      <c r="B2210" s="10" t="str">
        <f t="shared" si="35"/>
        <v>0063</v>
      </c>
      <c r="C2210" s="10" t="str">
        <f>_xlfn.LET(
    _xlpm.val, IF(Datadetails[[#This Row],[Activity]]="D02","C20",Datadetails[[#This Row],[Activity]]),
    IF(ISNUMBER(MATCH(_xlpm.val,{"D04","C30","c40","C20"},0)), _xlpm.val, "Other")
)</f>
        <v>C30</v>
      </c>
      <c r="D2210" s="10" t="str">
        <f>IFERROR(VLOOKUP(Datadetails[[#This Row],[Taskcode]],Dashboard!A:A,1,FALSE),"00 Err Missing")</f>
        <v>0063</v>
      </c>
      <c r="E2210" s="79">
        <v>45924</v>
      </c>
      <c r="F2210" s="80" t="s">
        <v>329</v>
      </c>
      <c r="G2210" s="60" t="s">
        <v>40</v>
      </c>
      <c r="H2210" s="80" t="s">
        <v>230</v>
      </c>
      <c r="I2210" s="80" t="s">
        <v>34</v>
      </c>
      <c r="J2210" s="80" t="s">
        <v>410</v>
      </c>
      <c r="K2210" s="80" t="s">
        <v>347</v>
      </c>
      <c r="L2210" s="80" t="s">
        <v>343</v>
      </c>
      <c r="M2210" s="81">
        <v>0.5</v>
      </c>
      <c r="N2210" s="82">
        <v>37.5</v>
      </c>
    </row>
    <row r="2211" spans="1:14" x14ac:dyDescent="0.25">
      <c r="A2211" s="10" t="str">
        <f>_xlfn.IFNA(
    IF(J2211=
        "PCB-0001",
        "CSS",
        IF(
            ISNUMBER(MATCH(_xlfn.TEXTBEFORE(J2211,"-"), {"CSS","CSN","PCB","PCF","BEC","CSD","PCM"}, 0)),
            _xlfn.TEXTBEFORE(J2211,"-"),
            "Other"
        )
    ),
"Add")</f>
        <v>PCF</v>
      </c>
      <c r="B2211" s="10" t="str">
        <f t="shared" si="35"/>
        <v>0021</v>
      </c>
      <c r="C2211" s="10" t="str">
        <f>_xlfn.LET(
    _xlpm.val, IF(Datadetails[[#This Row],[Activity]]="D02","C20",Datadetails[[#This Row],[Activity]]),
    IF(ISNUMBER(MATCH(_xlpm.val,{"D04","C30","c40","C20"},0)), _xlpm.val, "Other")
)</f>
        <v>C20</v>
      </c>
      <c r="D2211" s="10" t="str">
        <f>IFERROR(VLOOKUP(Datadetails[[#This Row],[Taskcode]],Dashboard!A:A,1,FALSE),"00 Err Missing")</f>
        <v>0021</v>
      </c>
      <c r="E2211" s="79">
        <v>45924</v>
      </c>
      <c r="F2211" s="80" t="s">
        <v>326</v>
      </c>
      <c r="G2211" s="60" t="s">
        <v>40</v>
      </c>
      <c r="H2211" s="80" t="s">
        <v>188</v>
      </c>
      <c r="I2211" s="80" t="s">
        <v>36</v>
      </c>
      <c r="J2211" s="80" t="s">
        <v>356</v>
      </c>
      <c r="K2211" s="80" t="s">
        <v>348</v>
      </c>
      <c r="L2211" s="80" t="s">
        <v>342</v>
      </c>
      <c r="M2211" s="81">
        <v>1</v>
      </c>
      <c r="N2211" s="82">
        <v>60</v>
      </c>
    </row>
    <row r="2212" spans="1:14" x14ac:dyDescent="0.25">
      <c r="A2212" s="10" t="str">
        <f>_xlfn.IFNA(
    IF(J2212=
        "PCB-0001",
        "CSS",
        IF(
            ISNUMBER(MATCH(_xlfn.TEXTBEFORE(J2212,"-"), {"CSS","CSN","PCB","PCF","BEC","CSD","PCM"}, 0)),
            _xlfn.TEXTBEFORE(J2212,"-"),
            "Other"
        )
    ),
"Add")</f>
        <v>PCF</v>
      </c>
      <c r="B2212" s="10" t="str">
        <f t="shared" si="35"/>
        <v>0068</v>
      </c>
      <c r="C2212" s="10" t="str">
        <f>_xlfn.LET(
    _xlpm.val, IF(Datadetails[[#This Row],[Activity]]="D02","C20",Datadetails[[#This Row],[Activity]]),
    IF(ISNUMBER(MATCH(_xlpm.val,{"D04","C30","c40","C20"},0)), _xlpm.val, "Other")
)</f>
        <v>C30</v>
      </c>
      <c r="D2212" s="10" t="str">
        <f>IFERROR(VLOOKUP(Datadetails[[#This Row],[Taskcode]],Dashboard!A:A,1,FALSE),"00 Err Missing")</f>
        <v>0068</v>
      </c>
      <c r="E2212" s="79">
        <v>45924</v>
      </c>
      <c r="F2212" s="80" t="s">
        <v>326</v>
      </c>
      <c r="G2212" s="60" t="s">
        <v>40</v>
      </c>
      <c r="H2212" s="80" t="s">
        <v>235</v>
      </c>
      <c r="I2212" s="80" t="s">
        <v>34</v>
      </c>
      <c r="J2212" s="80" t="s">
        <v>355</v>
      </c>
      <c r="K2212" s="80" t="s">
        <v>348</v>
      </c>
      <c r="L2212" s="80" t="s">
        <v>343</v>
      </c>
      <c r="M2212" s="81">
        <v>0.67</v>
      </c>
      <c r="N2212" s="82">
        <v>40.200000000000003</v>
      </c>
    </row>
    <row r="2213" spans="1:14" x14ac:dyDescent="0.25">
      <c r="A2213" s="10" t="str">
        <f>_xlfn.IFNA(
    IF(J2213=
        "PCB-0001",
        "CSS",
        IF(
            ISNUMBER(MATCH(_xlfn.TEXTBEFORE(J2213,"-"), {"CSS","CSN","PCB","PCF","BEC","CSD","PCM"}, 0)),
            _xlfn.TEXTBEFORE(J2213,"-"),
            "Other"
        )
    ),
"Add")</f>
        <v>BEC</v>
      </c>
      <c r="B2213" s="10" t="str">
        <f t="shared" si="35"/>
        <v>0001</v>
      </c>
      <c r="C2213" s="10" t="str">
        <f>_xlfn.LET(
    _xlpm.val, IF(Datadetails[[#This Row],[Activity]]="D02","C20",Datadetails[[#This Row],[Activity]]),
    IF(ISNUMBER(MATCH(_xlpm.val,{"D04","C30","c40","C20"},0)), _xlpm.val, "Other")
)</f>
        <v>D04</v>
      </c>
      <c r="D2213" s="10" t="str">
        <f>IFERROR(VLOOKUP(Datadetails[[#This Row],[Taskcode]],Dashboard!A:A,1,FALSE),"00 Err Missing")</f>
        <v>0001</v>
      </c>
      <c r="E2213" s="79">
        <v>45924</v>
      </c>
      <c r="F2213" s="80" t="s">
        <v>332</v>
      </c>
      <c r="G2213" s="60" t="s">
        <v>40</v>
      </c>
      <c r="H2213" s="80" t="s">
        <v>314</v>
      </c>
      <c r="I2213" s="80" t="s">
        <v>35</v>
      </c>
      <c r="J2213" s="80" t="s">
        <v>359</v>
      </c>
      <c r="K2213" s="80" t="s">
        <v>339</v>
      </c>
      <c r="L2213" s="80" t="s">
        <v>352</v>
      </c>
      <c r="M2213" s="81">
        <v>7.67</v>
      </c>
      <c r="N2213" s="82">
        <v>306.8</v>
      </c>
    </row>
    <row r="2214" spans="1:14" x14ac:dyDescent="0.25">
      <c r="A2214" s="10" t="str">
        <f>_xlfn.IFNA(
    IF(J2214=
        "PCB-0001",
        "CSS",
        IF(
            ISNUMBER(MATCH(_xlfn.TEXTBEFORE(J2214,"-"), {"CSS","CSN","PCB","PCF","BEC","CSD","PCM"}, 0)),
            _xlfn.TEXTBEFORE(J2214,"-"),
            "Other"
        )
    ),
"Add")</f>
        <v>BEC</v>
      </c>
      <c r="B2214" s="10" t="str">
        <f t="shared" si="35"/>
        <v>0001</v>
      </c>
      <c r="C2214" s="10" t="str">
        <f>_xlfn.LET(
    _xlpm.val, IF(Datadetails[[#This Row],[Activity]]="D02","C20",Datadetails[[#This Row],[Activity]]),
    IF(ISNUMBER(MATCH(_xlpm.val,{"D04","C30","c40","C20"},0)), _xlpm.val, "Other")
)</f>
        <v>D04</v>
      </c>
      <c r="D2214" s="10" t="str">
        <f>IFERROR(VLOOKUP(Datadetails[[#This Row],[Taskcode]],Dashboard!A:A,1,FALSE),"00 Err Missing")</f>
        <v>0001</v>
      </c>
      <c r="E2214" s="79">
        <v>45924</v>
      </c>
      <c r="F2214" s="80" t="s">
        <v>324</v>
      </c>
      <c r="G2214" s="60" t="s">
        <v>40</v>
      </c>
      <c r="H2214" s="80" t="s">
        <v>314</v>
      </c>
      <c r="I2214" s="80" t="s">
        <v>35</v>
      </c>
      <c r="J2214" s="80" t="s">
        <v>359</v>
      </c>
      <c r="K2214" s="80" t="s">
        <v>339</v>
      </c>
      <c r="L2214" s="80" t="s">
        <v>352</v>
      </c>
      <c r="M2214" s="81">
        <v>8</v>
      </c>
      <c r="N2214" s="82">
        <v>600</v>
      </c>
    </row>
    <row r="2215" spans="1:14" x14ac:dyDescent="0.25">
      <c r="A2215" s="10" t="str">
        <f>_xlfn.IFNA(
    IF(J2215=
        "PCB-0001",
        "CSS",
        IF(
            ISNUMBER(MATCH(_xlfn.TEXTBEFORE(J2215,"-"), {"CSS","CSN","PCB","PCF","BEC","CSD","PCM"}, 0)),
            _xlfn.TEXTBEFORE(J2215,"-"),
            "Other"
        )
    ),
"Add")</f>
        <v>CSN</v>
      </c>
      <c r="B2215" s="10" t="str">
        <f t="shared" si="35"/>
        <v>0001</v>
      </c>
      <c r="C2215" s="10" t="str">
        <f>_xlfn.LET(
    _xlpm.val, IF(Datadetails[[#This Row],[Activity]]="D02","C20",Datadetails[[#This Row],[Activity]]),
    IF(ISNUMBER(MATCH(_xlpm.val,{"D04","C30","c40","C20"},0)), _xlpm.val, "Other")
)</f>
        <v>D04</v>
      </c>
      <c r="D2215" s="10" t="str">
        <f>IFERROR(VLOOKUP(Datadetails[[#This Row],[Taskcode]],Dashboard!A:A,1,FALSE),"00 Err Missing")</f>
        <v>0001</v>
      </c>
      <c r="E2215" s="79">
        <v>45925</v>
      </c>
      <c r="F2215" s="80" t="s">
        <v>329</v>
      </c>
      <c r="G2215" s="60" t="s">
        <v>40</v>
      </c>
      <c r="H2215" s="80" t="s">
        <v>316</v>
      </c>
      <c r="I2215" s="80" t="s">
        <v>35</v>
      </c>
      <c r="J2215" s="80" t="s">
        <v>338</v>
      </c>
      <c r="K2215" s="80" t="s">
        <v>337</v>
      </c>
      <c r="L2215" s="80" t="s">
        <v>352</v>
      </c>
      <c r="M2215" s="81">
        <v>1.17</v>
      </c>
      <c r="N2215" s="82">
        <v>87.75</v>
      </c>
    </row>
    <row r="2216" spans="1:14" x14ac:dyDescent="0.25">
      <c r="A2216" s="10" t="str">
        <f>_xlfn.IFNA(
    IF(J2216=
        "PCB-0001",
        "CSS",
        IF(
            ISNUMBER(MATCH(_xlfn.TEXTBEFORE(J2216,"-"), {"CSS","CSN","PCB","PCF","BEC","CSD","PCM"}, 0)),
            _xlfn.TEXTBEFORE(J2216,"-"),
            "Other"
        )
    ),
"Add")</f>
        <v>Other</v>
      </c>
      <c r="B2216" s="10" t="str">
        <f t="shared" si="35"/>
        <v>0123</v>
      </c>
      <c r="C2216" s="10" t="str">
        <f>_xlfn.LET(
    _xlpm.val, IF(Datadetails[[#This Row],[Activity]]="D02","C20",Datadetails[[#This Row],[Activity]]),
    IF(ISNUMBER(MATCH(_xlpm.val,{"D04","C30","c40","C20"},0)), _xlpm.val, "Other")
)</f>
        <v>Other</v>
      </c>
      <c r="D2216" s="10" t="str">
        <f>IFERROR(VLOOKUP(Datadetails[[#This Row],[Taskcode]],Dashboard!A:A,1,FALSE),"00 Err Missing")</f>
        <v>0123</v>
      </c>
      <c r="E2216" s="79">
        <v>45925</v>
      </c>
      <c r="F2216" s="80" t="s">
        <v>328</v>
      </c>
      <c r="G2216" s="60" t="s">
        <v>40</v>
      </c>
      <c r="H2216" s="80" t="s">
        <v>290</v>
      </c>
      <c r="I2216" s="80" t="s">
        <v>313</v>
      </c>
      <c r="J2216" s="80" t="s">
        <v>471</v>
      </c>
      <c r="K2216" s="80" t="s">
        <v>345</v>
      </c>
      <c r="L2216" s="80" t="s">
        <v>351</v>
      </c>
      <c r="M2216" s="81">
        <v>0.5</v>
      </c>
      <c r="N2216" s="82">
        <v>45</v>
      </c>
    </row>
    <row r="2217" spans="1:14" x14ac:dyDescent="0.25">
      <c r="A2217" s="10" t="str">
        <f>_xlfn.IFNA(
    IF(J2217=
        "PCB-0001",
        "CSS",
        IF(
            ISNUMBER(MATCH(_xlfn.TEXTBEFORE(J2217,"-"), {"CSS","CSN","PCB","PCF","BEC","CSD","PCM"}, 0)),
            _xlfn.TEXTBEFORE(J2217,"-"),
            "Other"
        )
    ),
"Add")</f>
        <v>PCB</v>
      </c>
      <c r="B2217" s="10" t="str">
        <f t="shared" si="35"/>
        <v>0102</v>
      </c>
      <c r="C2217" s="10" t="str">
        <f>_xlfn.LET(
    _xlpm.val, IF(Datadetails[[#This Row],[Activity]]="D02","C20",Datadetails[[#This Row],[Activity]]),
    IF(ISNUMBER(MATCH(_xlpm.val,{"D04","C30","c40","C20"},0)), _xlpm.val, "Other")
)</f>
        <v>C30</v>
      </c>
      <c r="D2217" s="10" t="str">
        <f>IFERROR(VLOOKUP(Datadetails[[#This Row],[Taskcode]],Dashboard!A:A,1,FALSE),"00 Err Missing")</f>
        <v>0102</v>
      </c>
      <c r="E2217" s="79">
        <v>45925</v>
      </c>
      <c r="F2217" s="80" t="s">
        <v>329</v>
      </c>
      <c r="G2217" s="60" t="s">
        <v>40</v>
      </c>
      <c r="H2217" s="80" t="s">
        <v>269</v>
      </c>
      <c r="I2217" s="80" t="s">
        <v>34</v>
      </c>
      <c r="J2217" s="80" t="s">
        <v>361</v>
      </c>
      <c r="K2217" s="80" t="s">
        <v>347</v>
      </c>
      <c r="L2217" s="80" t="s">
        <v>343</v>
      </c>
      <c r="M2217" s="81">
        <v>0.17</v>
      </c>
      <c r="N2217" s="82">
        <v>12.750000000000002</v>
      </c>
    </row>
    <row r="2218" spans="1:14" x14ac:dyDescent="0.25">
      <c r="A2218" s="10" t="str">
        <f>_xlfn.IFNA(
    IF(J2218=
        "PCB-0001",
        "CSS",
        IF(
            ISNUMBER(MATCH(_xlfn.TEXTBEFORE(J2218,"-"), {"CSS","CSN","PCB","PCF","BEC","CSD","PCM"}, 0)),
            _xlfn.TEXTBEFORE(J2218,"-"),
            "Other"
        )
    ),
"Add")</f>
        <v>PCB</v>
      </c>
      <c r="B2218" s="10" t="str">
        <f t="shared" si="35"/>
        <v>0101</v>
      </c>
      <c r="C2218" s="10" t="str">
        <f>_xlfn.LET(
    _xlpm.val, IF(Datadetails[[#This Row],[Activity]]="D02","C20",Datadetails[[#This Row],[Activity]]),
    IF(ISNUMBER(MATCH(_xlpm.val,{"D04","C30","c40","C20"},0)), _xlpm.val, "Other")
)</f>
        <v>C30</v>
      </c>
      <c r="D2218" s="10" t="str">
        <f>IFERROR(VLOOKUP(Datadetails[[#This Row],[Taskcode]],Dashboard!A:A,1,FALSE),"00 Err Missing")</f>
        <v>0101</v>
      </c>
      <c r="E2218" s="79">
        <v>45925</v>
      </c>
      <c r="F2218" s="80" t="s">
        <v>329</v>
      </c>
      <c r="G2218" s="60" t="s">
        <v>40</v>
      </c>
      <c r="H2218" s="80" t="s">
        <v>268</v>
      </c>
      <c r="I2218" s="80" t="s">
        <v>34</v>
      </c>
      <c r="J2218" s="80" t="s">
        <v>386</v>
      </c>
      <c r="K2218" s="80" t="s">
        <v>347</v>
      </c>
      <c r="L2218" s="80" t="s">
        <v>343</v>
      </c>
      <c r="M2218" s="81">
        <v>0.17</v>
      </c>
      <c r="N2218" s="82">
        <v>12.750000000000002</v>
      </c>
    </row>
    <row r="2219" spans="1:14" x14ac:dyDescent="0.25">
      <c r="A2219" s="10" t="str">
        <f>_xlfn.IFNA(
    IF(J2219=
        "PCB-0001",
        "CSS",
        IF(
            ISNUMBER(MATCH(_xlfn.TEXTBEFORE(J2219,"-"), {"CSS","CSN","PCB","PCF","BEC","CSD","PCM"}, 0)),
            _xlfn.TEXTBEFORE(J2219,"-"),
            "Other"
        )
    ),
"Add")</f>
        <v>CSD</v>
      </c>
      <c r="B2219" s="10" t="str">
        <f t="shared" si="35"/>
        <v>0001</v>
      </c>
      <c r="C2219" s="10" t="str">
        <f>_xlfn.LET(
    _xlpm.val, IF(Datadetails[[#This Row],[Activity]]="D02","C20",Datadetails[[#This Row],[Activity]]),
    IF(ISNUMBER(MATCH(_xlpm.val,{"D04","C30","c40","C20"},0)), _xlpm.val, "Other")
)</f>
        <v>D04</v>
      </c>
      <c r="D2219" s="10" t="str">
        <f>IFERROR(VLOOKUP(Datadetails[[#This Row],[Taskcode]],Dashboard!A:A,1,FALSE),"00 Err Missing")</f>
        <v>0001</v>
      </c>
      <c r="E2219" s="79">
        <v>45925</v>
      </c>
      <c r="F2219" s="80" t="s">
        <v>333</v>
      </c>
      <c r="G2219" s="60" t="s">
        <v>40</v>
      </c>
      <c r="H2219" s="80" t="s">
        <v>320</v>
      </c>
      <c r="I2219" s="80" t="s">
        <v>35</v>
      </c>
      <c r="J2219" s="80" t="s">
        <v>322</v>
      </c>
      <c r="K2219" s="80" t="s">
        <v>319</v>
      </c>
      <c r="L2219" s="80" t="s">
        <v>352</v>
      </c>
      <c r="M2219" s="81">
        <v>7.4</v>
      </c>
      <c r="N2219" s="82">
        <v>236.8</v>
      </c>
    </row>
    <row r="2220" spans="1:14" x14ac:dyDescent="0.25">
      <c r="A2220" s="10" t="str">
        <f>_xlfn.IFNA(
    IF(J2220=
        "PCB-0001",
        "CSS",
        IF(
            ISNUMBER(MATCH(_xlfn.TEXTBEFORE(J2220,"-"), {"CSS","CSN","PCB","PCF","BEC","CSD","PCM"}, 0)),
            _xlfn.TEXTBEFORE(J2220,"-"),
            "Other"
        )
    ),
"Add")</f>
        <v>CSD</v>
      </c>
      <c r="B2220" s="10" t="str">
        <f t="shared" si="35"/>
        <v>0001</v>
      </c>
      <c r="C2220" s="10" t="str">
        <f>_xlfn.LET(
    _xlpm.val, IF(Datadetails[[#This Row],[Activity]]="D02","C20",Datadetails[[#This Row],[Activity]]),
    IF(ISNUMBER(MATCH(_xlpm.val,{"D04","C30","c40","C20"},0)), _xlpm.val, "Other")
)</f>
        <v>D04</v>
      </c>
      <c r="D2220" s="10" t="str">
        <f>IFERROR(VLOOKUP(Datadetails[[#This Row],[Taskcode]],Dashboard!A:A,1,FALSE),"00 Err Missing")</f>
        <v>0001</v>
      </c>
      <c r="E2220" s="79">
        <v>45925</v>
      </c>
      <c r="F2220" s="80" t="s">
        <v>327</v>
      </c>
      <c r="G2220" s="60" t="s">
        <v>40</v>
      </c>
      <c r="H2220" s="80" t="s">
        <v>320</v>
      </c>
      <c r="I2220" s="80" t="s">
        <v>35</v>
      </c>
      <c r="J2220" s="80" t="s">
        <v>322</v>
      </c>
      <c r="K2220" s="80" t="s">
        <v>319</v>
      </c>
      <c r="L2220" s="80" t="s">
        <v>352</v>
      </c>
      <c r="M2220" s="81">
        <v>7.42</v>
      </c>
      <c r="N2220" s="82">
        <v>237.44</v>
      </c>
    </row>
    <row r="2221" spans="1:14" x14ac:dyDescent="0.25">
      <c r="A2221" s="10" t="str">
        <f>_xlfn.IFNA(
    IF(J2221=
        "PCB-0001",
        "CSS",
        IF(
            ISNUMBER(MATCH(_xlfn.TEXTBEFORE(J2221,"-"), {"CSS","CSN","PCB","PCF","BEC","CSD","PCM"}, 0)),
            _xlfn.TEXTBEFORE(J2221,"-"),
            "Other"
        )
    ),
"Add")</f>
        <v>PCM</v>
      </c>
      <c r="B2221" s="10" t="str">
        <f t="shared" si="35"/>
        <v>0078</v>
      </c>
      <c r="C2221" s="10" t="str">
        <f>_xlfn.LET(
    _xlpm.val, IF(Datadetails[[#This Row],[Activity]]="D02","C20",Datadetails[[#This Row],[Activity]]),
    IF(ISNUMBER(MATCH(_xlpm.val,{"D04","C30","c40","C20"},0)), _xlpm.val, "Other")
)</f>
        <v>C30</v>
      </c>
      <c r="D2221" s="10" t="str">
        <f>IFERROR(VLOOKUP(Datadetails[[#This Row],[Taskcode]],Dashboard!A:A,1,FALSE),"00 Err Missing")</f>
        <v>0078</v>
      </c>
      <c r="E2221" s="79">
        <v>45925</v>
      </c>
      <c r="F2221" s="80" t="s">
        <v>323</v>
      </c>
      <c r="G2221" s="60" t="s">
        <v>40</v>
      </c>
      <c r="H2221" s="80" t="s">
        <v>245</v>
      </c>
      <c r="I2221" s="80" t="s">
        <v>34</v>
      </c>
      <c r="J2221" s="80" t="s">
        <v>435</v>
      </c>
      <c r="K2221" s="80" t="s">
        <v>346</v>
      </c>
      <c r="L2221" s="80" t="s">
        <v>343</v>
      </c>
      <c r="M2221" s="81">
        <v>0.33</v>
      </c>
      <c r="N2221" s="82">
        <v>19.8</v>
      </c>
    </row>
    <row r="2222" spans="1:14" x14ac:dyDescent="0.25">
      <c r="A2222" s="10" t="str">
        <f>_xlfn.IFNA(
    IF(J2222=
        "PCB-0001",
        "CSS",
        IF(
            ISNUMBER(MATCH(_xlfn.TEXTBEFORE(J2222,"-"), {"CSS","CSN","PCB","PCF","BEC","CSD","PCM"}, 0)),
            _xlfn.TEXTBEFORE(J2222,"-"),
            "Other"
        )
    ),
"Add")</f>
        <v>PCM</v>
      </c>
      <c r="B2222" s="10" t="str">
        <f t="shared" si="35"/>
        <v>0118</v>
      </c>
      <c r="C2222" s="10" t="str">
        <f>_xlfn.LET(
    _xlpm.val, IF(Datadetails[[#This Row],[Activity]]="D02","C20",Datadetails[[#This Row],[Activity]]),
    IF(ISNUMBER(MATCH(_xlpm.val,{"D04","C30","c40","C20"},0)), _xlpm.val, "Other")
)</f>
        <v>C30</v>
      </c>
      <c r="D2222" s="10" t="str">
        <f>IFERROR(VLOOKUP(Datadetails[[#This Row],[Taskcode]],Dashboard!A:A,1,FALSE),"00 Err Missing")</f>
        <v>0118</v>
      </c>
      <c r="E2222" s="79">
        <v>45925</v>
      </c>
      <c r="F2222" s="80" t="s">
        <v>323</v>
      </c>
      <c r="G2222" s="60" t="s">
        <v>40</v>
      </c>
      <c r="H2222" s="80" t="s">
        <v>285</v>
      </c>
      <c r="I2222" s="80" t="s">
        <v>34</v>
      </c>
      <c r="J2222" s="80" t="s">
        <v>448</v>
      </c>
      <c r="K2222" s="80" t="s">
        <v>346</v>
      </c>
      <c r="L2222" s="80" t="s">
        <v>343</v>
      </c>
      <c r="M2222" s="81">
        <v>0.25</v>
      </c>
      <c r="N2222" s="82">
        <v>15</v>
      </c>
    </row>
    <row r="2223" spans="1:14" x14ac:dyDescent="0.25">
      <c r="A2223" s="10" t="str">
        <f>_xlfn.IFNA(
    IF(J2223=
        "PCB-0001",
        "CSS",
        IF(
            ISNUMBER(MATCH(_xlfn.TEXTBEFORE(J2223,"-"), {"CSS","CSN","PCB","PCF","BEC","CSD","PCM"}, 0)),
            _xlfn.TEXTBEFORE(J2223,"-"),
            "Other"
        )
    ),
"Add")</f>
        <v>PCB</v>
      </c>
      <c r="B2223" s="10" t="str">
        <f t="shared" si="35"/>
        <v>0019</v>
      </c>
      <c r="C2223" s="10" t="str">
        <f>_xlfn.LET(
    _xlpm.val, IF(Datadetails[[#This Row],[Activity]]="D02","C20",Datadetails[[#This Row],[Activity]]),
    IF(ISNUMBER(MATCH(_xlpm.val,{"D04","C30","c40","C20"},0)), _xlpm.val, "Other")
)</f>
        <v>C30</v>
      </c>
      <c r="D2223" s="10" t="str">
        <f>IFERROR(VLOOKUP(Datadetails[[#This Row],[Taskcode]],Dashboard!A:A,1,FALSE),"00 Err Missing")</f>
        <v>0019</v>
      </c>
      <c r="E2223" s="79">
        <v>45925</v>
      </c>
      <c r="F2223" s="80" t="s">
        <v>329</v>
      </c>
      <c r="G2223" s="60" t="s">
        <v>40</v>
      </c>
      <c r="H2223" s="80" t="s">
        <v>186</v>
      </c>
      <c r="I2223" s="80" t="s">
        <v>34</v>
      </c>
      <c r="J2223" s="80" t="s">
        <v>397</v>
      </c>
      <c r="K2223" s="80" t="s">
        <v>347</v>
      </c>
      <c r="L2223" s="80" t="s">
        <v>343</v>
      </c>
      <c r="M2223" s="81">
        <v>0.25</v>
      </c>
      <c r="N2223" s="82">
        <v>18.75</v>
      </c>
    </row>
    <row r="2224" spans="1:14" x14ac:dyDescent="0.25">
      <c r="A2224" s="10" t="str">
        <f>_xlfn.IFNA(
    IF(J2224=
        "PCB-0001",
        "CSS",
        IF(
            ISNUMBER(MATCH(_xlfn.TEXTBEFORE(J2224,"-"), {"CSS","CSN","PCB","PCF","BEC","CSD","PCM"}, 0)),
            _xlfn.TEXTBEFORE(J2224,"-"),
            "Other"
        )
    ),
"Add")</f>
        <v>PCB</v>
      </c>
      <c r="B2224" s="10" t="str">
        <f t="shared" si="35"/>
        <v>0038</v>
      </c>
      <c r="C2224" s="10" t="str">
        <f>_xlfn.LET(
    _xlpm.val, IF(Datadetails[[#This Row],[Activity]]="D02","C20",Datadetails[[#This Row],[Activity]]),
    IF(ISNUMBER(MATCH(_xlpm.val,{"D04","C30","c40","C20"},0)), _xlpm.val, "Other")
)</f>
        <v>C30</v>
      </c>
      <c r="D2224" s="10" t="str">
        <f>IFERROR(VLOOKUP(Datadetails[[#This Row],[Taskcode]],Dashboard!A:A,1,FALSE),"00 Err Missing")</f>
        <v>0038</v>
      </c>
      <c r="E2224" s="79">
        <v>45925</v>
      </c>
      <c r="F2224" s="80" t="s">
        <v>325</v>
      </c>
      <c r="G2224" s="60" t="s">
        <v>40</v>
      </c>
      <c r="H2224" s="80" t="s">
        <v>205</v>
      </c>
      <c r="I2224" s="80" t="s">
        <v>34</v>
      </c>
      <c r="J2224" s="80" t="s">
        <v>470</v>
      </c>
      <c r="K2224" s="80" t="s">
        <v>347</v>
      </c>
      <c r="L2224" s="80" t="s">
        <v>343</v>
      </c>
      <c r="M2224" s="81">
        <v>0.17</v>
      </c>
      <c r="N2224" s="82">
        <v>12.750000000000002</v>
      </c>
    </row>
    <row r="2225" spans="1:14" x14ac:dyDescent="0.25">
      <c r="A2225" s="10" t="str">
        <f>_xlfn.IFNA(
    IF(J2225=
        "PCB-0001",
        "CSS",
        IF(
            ISNUMBER(MATCH(_xlfn.TEXTBEFORE(J2225,"-"), {"CSS","CSN","PCB","PCF","BEC","CSD","PCM"}, 0)),
            _xlfn.TEXTBEFORE(J2225,"-"),
            "Other"
        )
    ),
"Add")</f>
        <v>PCB</v>
      </c>
      <c r="B2225" s="10" t="str">
        <f t="shared" si="35"/>
        <v>0009</v>
      </c>
      <c r="C2225" s="10" t="str">
        <f>_xlfn.LET(
    _xlpm.val, IF(Datadetails[[#This Row],[Activity]]="D02","C20",Datadetails[[#This Row],[Activity]]),
    IF(ISNUMBER(MATCH(_xlpm.val,{"D04","C30","c40","C20"},0)), _xlpm.val, "Other")
)</f>
        <v>C30</v>
      </c>
      <c r="D2225" s="10" t="str">
        <f>IFERROR(VLOOKUP(Datadetails[[#This Row],[Taskcode]],Dashboard!A:A,1,FALSE),"00 Err Missing")</f>
        <v>0009</v>
      </c>
      <c r="E2225" s="79">
        <v>45925</v>
      </c>
      <c r="F2225" s="80" t="s">
        <v>330</v>
      </c>
      <c r="G2225" s="60" t="s">
        <v>40</v>
      </c>
      <c r="H2225" s="80" t="s">
        <v>176</v>
      </c>
      <c r="I2225" s="80" t="s">
        <v>34</v>
      </c>
      <c r="J2225" s="80" t="s">
        <v>458</v>
      </c>
      <c r="K2225" s="80" t="s">
        <v>347</v>
      </c>
      <c r="L2225" s="80" t="s">
        <v>343</v>
      </c>
      <c r="M2225" s="81">
        <v>0.5</v>
      </c>
      <c r="N2225" s="82">
        <v>30</v>
      </c>
    </row>
    <row r="2226" spans="1:14" x14ac:dyDescent="0.25">
      <c r="A2226" s="10" t="str">
        <f>_xlfn.IFNA(
    IF(J2226=
        "PCB-0001",
        "CSS",
        IF(
            ISNUMBER(MATCH(_xlfn.TEXTBEFORE(J2226,"-"), {"CSS","CSN","PCB","PCF","BEC","CSD","PCM"}, 0)),
            _xlfn.TEXTBEFORE(J2226,"-"),
            "Other"
        )
    ),
"Add")</f>
        <v>PCB</v>
      </c>
      <c r="B2226" s="10" t="str">
        <f t="shared" si="35"/>
        <v>0016</v>
      </c>
      <c r="C2226" s="10" t="str">
        <f>_xlfn.LET(
    _xlpm.val, IF(Datadetails[[#This Row],[Activity]]="D02","C20",Datadetails[[#This Row],[Activity]]),
    IF(ISNUMBER(MATCH(_xlpm.val,{"D04","C30","c40","C20"},0)), _xlpm.val, "Other")
)</f>
        <v>C30</v>
      </c>
      <c r="D2226" s="10" t="str">
        <f>IFERROR(VLOOKUP(Datadetails[[#This Row],[Taskcode]],Dashboard!A:A,1,FALSE),"00 Err Missing")</f>
        <v>0016</v>
      </c>
      <c r="E2226" s="79">
        <v>45925</v>
      </c>
      <c r="F2226" s="80" t="s">
        <v>329</v>
      </c>
      <c r="G2226" s="60" t="s">
        <v>40</v>
      </c>
      <c r="H2226" s="80" t="s">
        <v>183</v>
      </c>
      <c r="I2226" s="80" t="s">
        <v>34</v>
      </c>
      <c r="J2226" s="80" t="s">
        <v>368</v>
      </c>
      <c r="K2226" s="80" t="s">
        <v>347</v>
      </c>
      <c r="L2226" s="80" t="s">
        <v>343</v>
      </c>
      <c r="M2226" s="81">
        <v>0.42</v>
      </c>
      <c r="N2226" s="82">
        <v>31.5</v>
      </c>
    </row>
    <row r="2227" spans="1:14" x14ac:dyDescent="0.25">
      <c r="A2227" s="10" t="str">
        <f>_xlfn.IFNA(
    IF(J2227=
        "PCB-0001",
        "CSS",
        IF(
            ISNUMBER(MATCH(_xlfn.TEXTBEFORE(J2227,"-"), {"CSS","CSN","PCB","PCF","BEC","CSD","PCM"}, 0)),
            _xlfn.TEXTBEFORE(J2227,"-"),
            "Other"
        )
    ),
"Add")</f>
        <v>PCB</v>
      </c>
      <c r="B2227" s="10" t="str">
        <f t="shared" si="35"/>
        <v>0039</v>
      </c>
      <c r="C2227" s="10" t="str">
        <f>_xlfn.LET(
    _xlpm.val, IF(Datadetails[[#This Row],[Activity]]="D02","C20",Datadetails[[#This Row],[Activity]]),
    IF(ISNUMBER(MATCH(_xlpm.val,{"D04","C30","c40","C20"},0)), _xlpm.val, "Other")
)</f>
        <v>C30</v>
      </c>
      <c r="D2227" s="10" t="str">
        <f>IFERROR(VLOOKUP(Datadetails[[#This Row],[Taskcode]],Dashboard!A:A,1,FALSE),"00 Err Missing")</f>
        <v>0039</v>
      </c>
      <c r="E2227" s="79">
        <v>45925</v>
      </c>
      <c r="F2227" s="80" t="s">
        <v>329</v>
      </c>
      <c r="G2227" s="60" t="s">
        <v>40</v>
      </c>
      <c r="H2227" s="80" t="s">
        <v>206</v>
      </c>
      <c r="I2227" s="80" t="s">
        <v>34</v>
      </c>
      <c r="J2227" s="80" t="s">
        <v>367</v>
      </c>
      <c r="K2227" s="80" t="s">
        <v>347</v>
      </c>
      <c r="L2227" s="80" t="s">
        <v>343</v>
      </c>
      <c r="M2227" s="81">
        <v>0.25</v>
      </c>
      <c r="N2227" s="82">
        <v>18.75</v>
      </c>
    </row>
    <row r="2228" spans="1:14" x14ac:dyDescent="0.25">
      <c r="A2228" s="10" t="str">
        <f>_xlfn.IFNA(
    IF(J2228=
        "PCB-0001",
        "CSS",
        IF(
            ISNUMBER(MATCH(_xlfn.TEXTBEFORE(J2228,"-"), {"CSS","CSN","PCB","PCF","BEC","CSD","PCM"}, 0)),
            _xlfn.TEXTBEFORE(J2228,"-"),
            "Other"
        )
    ),
"Add")</f>
        <v>PCB</v>
      </c>
      <c r="B2228" s="10" t="str">
        <f t="shared" si="35"/>
        <v>0134</v>
      </c>
      <c r="C2228" s="10" t="str">
        <f>_xlfn.LET(
    _xlpm.val, IF(Datadetails[[#This Row],[Activity]]="D02","C20",Datadetails[[#This Row],[Activity]]),
    IF(ISNUMBER(MATCH(_xlpm.val,{"D04","C30","c40","C20"},0)), _xlpm.val, "Other")
)</f>
        <v>C30</v>
      </c>
      <c r="D2228" s="10" t="str">
        <f>IFERROR(VLOOKUP(Datadetails[[#This Row],[Taskcode]],Dashboard!A:A,1,FALSE),"00 Err Missing")</f>
        <v>0134</v>
      </c>
      <c r="E2228" s="79">
        <v>45925</v>
      </c>
      <c r="F2228" s="80" t="s">
        <v>329</v>
      </c>
      <c r="G2228" s="60" t="s">
        <v>40</v>
      </c>
      <c r="H2228" s="80" t="s">
        <v>301</v>
      </c>
      <c r="I2228" s="80" t="s">
        <v>34</v>
      </c>
      <c r="J2228" s="80" t="s">
        <v>371</v>
      </c>
      <c r="K2228" s="80" t="s">
        <v>347</v>
      </c>
      <c r="L2228" s="80" t="s">
        <v>343</v>
      </c>
      <c r="M2228" s="81">
        <v>0.33</v>
      </c>
      <c r="N2228" s="82">
        <v>24.75</v>
      </c>
    </row>
    <row r="2229" spans="1:14" x14ac:dyDescent="0.25">
      <c r="A2229" s="10" t="str">
        <f>_xlfn.IFNA(
    IF(J2229=
        "PCB-0001",
        "CSS",
        IF(
            ISNUMBER(MATCH(_xlfn.TEXTBEFORE(J2229,"-"), {"CSS","CSN","PCB","PCF","BEC","CSD","PCM"}, 0)),
            _xlfn.TEXTBEFORE(J2229,"-"),
            "Other"
        )
    ),
"Add")</f>
        <v>PCB</v>
      </c>
      <c r="B2229" s="10" t="str">
        <f t="shared" si="35"/>
        <v>0062</v>
      </c>
      <c r="C2229" s="10" t="str">
        <f>_xlfn.LET(
    _xlpm.val, IF(Datadetails[[#This Row],[Activity]]="D02","C20",Datadetails[[#This Row],[Activity]]),
    IF(ISNUMBER(MATCH(_xlpm.val,{"D04","C30","c40","C20"},0)), _xlpm.val, "Other")
)</f>
        <v>C30</v>
      </c>
      <c r="D2229" s="10" t="str">
        <f>IFERROR(VLOOKUP(Datadetails[[#This Row],[Taskcode]],Dashboard!A:A,1,FALSE),"00 Err Missing")</f>
        <v>0062</v>
      </c>
      <c r="E2229" s="79">
        <v>45925</v>
      </c>
      <c r="F2229" s="80" t="s">
        <v>329</v>
      </c>
      <c r="G2229" s="60" t="s">
        <v>40</v>
      </c>
      <c r="H2229" s="80" t="s">
        <v>229</v>
      </c>
      <c r="I2229" s="80" t="s">
        <v>34</v>
      </c>
      <c r="J2229" s="80" t="s">
        <v>373</v>
      </c>
      <c r="K2229" s="80" t="s">
        <v>347</v>
      </c>
      <c r="L2229" s="80" t="s">
        <v>343</v>
      </c>
      <c r="M2229" s="81">
        <v>0.17</v>
      </c>
      <c r="N2229" s="82">
        <v>12.750000000000002</v>
      </c>
    </row>
    <row r="2230" spans="1:14" x14ac:dyDescent="0.25">
      <c r="A2230" s="10" t="str">
        <f>_xlfn.IFNA(
    IF(J2230=
        "PCB-0001",
        "CSS",
        IF(
            ISNUMBER(MATCH(_xlfn.TEXTBEFORE(J2230,"-"), {"CSS","CSN","PCB","PCF","BEC","CSD","PCM"}, 0)),
            _xlfn.TEXTBEFORE(J2230,"-"),
            "Other"
        )
    ),
"Add")</f>
        <v>PCB</v>
      </c>
      <c r="B2230" s="10" t="str">
        <f t="shared" si="35"/>
        <v>0057</v>
      </c>
      <c r="C2230" s="10" t="str">
        <f>_xlfn.LET(
    _xlpm.val, IF(Datadetails[[#This Row],[Activity]]="D02","C20",Datadetails[[#This Row],[Activity]]),
    IF(ISNUMBER(MATCH(_xlpm.val,{"D04","C30","c40","C20"},0)), _xlpm.val, "Other")
)</f>
        <v>C30</v>
      </c>
      <c r="D2230" s="10" t="str">
        <f>IFERROR(VLOOKUP(Datadetails[[#This Row],[Taskcode]],Dashboard!A:A,1,FALSE),"00 Err Missing")</f>
        <v>0057</v>
      </c>
      <c r="E2230" s="79">
        <v>45925</v>
      </c>
      <c r="F2230" s="80" t="s">
        <v>325</v>
      </c>
      <c r="G2230" s="60" t="s">
        <v>40</v>
      </c>
      <c r="H2230" s="80" t="s">
        <v>224</v>
      </c>
      <c r="I2230" s="80" t="s">
        <v>34</v>
      </c>
      <c r="J2230" s="80" t="s">
        <v>423</v>
      </c>
      <c r="K2230" s="80" t="s">
        <v>347</v>
      </c>
      <c r="L2230" s="80" t="s">
        <v>343</v>
      </c>
      <c r="M2230" s="81">
        <v>0.17</v>
      </c>
      <c r="N2230" s="82">
        <v>12.750000000000002</v>
      </c>
    </row>
    <row r="2231" spans="1:14" x14ac:dyDescent="0.25">
      <c r="A2231" s="10" t="str">
        <f>_xlfn.IFNA(
    IF(J2231=
        "PCB-0001",
        "CSS",
        IF(
            ISNUMBER(MATCH(_xlfn.TEXTBEFORE(J2231,"-"), {"CSS","CSN","PCB","PCF","BEC","CSD","PCM"}, 0)),
            _xlfn.TEXTBEFORE(J2231,"-"),
            "Other"
        )
    ),
"Add")</f>
        <v>PCB</v>
      </c>
      <c r="B2231" s="10" t="str">
        <f t="shared" si="35"/>
        <v>0136</v>
      </c>
      <c r="C2231" s="10" t="str">
        <f>_xlfn.LET(
    _xlpm.val, IF(Datadetails[[#This Row],[Activity]]="D02","C20",Datadetails[[#This Row],[Activity]]),
    IF(ISNUMBER(MATCH(_xlpm.val,{"D04","C30","c40","C20"},0)), _xlpm.val, "Other")
)</f>
        <v>C30</v>
      </c>
      <c r="D2231" s="10" t="str">
        <f>IFERROR(VLOOKUP(Datadetails[[#This Row],[Taskcode]],Dashboard!A:A,1,FALSE),"00 Err Missing")</f>
        <v>0136</v>
      </c>
      <c r="E2231" s="79">
        <v>45925</v>
      </c>
      <c r="F2231" s="80" t="s">
        <v>329</v>
      </c>
      <c r="G2231" s="60" t="s">
        <v>40</v>
      </c>
      <c r="H2231" s="80" t="s">
        <v>303</v>
      </c>
      <c r="I2231" s="80" t="s">
        <v>34</v>
      </c>
      <c r="J2231" s="80" t="s">
        <v>400</v>
      </c>
      <c r="K2231" s="80" t="s">
        <v>347</v>
      </c>
      <c r="L2231" s="80" t="s">
        <v>343</v>
      </c>
      <c r="M2231" s="81">
        <v>0.5</v>
      </c>
      <c r="N2231" s="82">
        <v>37.5</v>
      </c>
    </row>
    <row r="2232" spans="1:14" x14ac:dyDescent="0.25">
      <c r="A2232" s="10" t="str">
        <f>_xlfn.IFNA(
    IF(J2232=
        "PCB-0001",
        "CSS",
        IF(
            ISNUMBER(MATCH(_xlfn.TEXTBEFORE(J2232,"-"), {"CSS","CSN","PCB","PCF","BEC","CSD","PCM"}, 0)),
            _xlfn.TEXTBEFORE(J2232,"-"),
            "Other"
        )
    ),
"Add")</f>
        <v>PCB</v>
      </c>
      <c r="B2232" s="10" t="str">
        <f t="shared" si="35"/>
        <v>0073</v>
      </c>
      <c r="C2232" s="10" t="str">
        <f>_xlfn.LET(
    _xlpm.val, IF(Datadetails[[#This Row],[Activity]]="D02","C20",Datadetails[[#This Row],[Activity]]),
    IF(ISNUMBER(MATCH(_xlpm.val,{"D04","C30","c40","C20"},0)), _xlpm.val, "Other")
)</f>
        <v>C30</v>
      </c>
      <c r="D2232" s="10" t="str">
        <f>IFERROR(VLOOKUP(Datadetails[[#This Row],[Taskcode]],Dashboard!A:A,1,FALSE),"00 Err Missing")</f>
        <v>0073</v>
      </c>
      <c r="E2232" s="79">
        <v>45925</v>
      </c>
      <c r="F2232" s="80" t="s">
        <v>329</v>
      </c>
      <c r="G2232" s="60" t="s">
        <v>40</v>
      </c>
      <c r="H2232" s="80" t="s">
        <v>240</v>
      </c>
      <c r="I2232" s="80" t="s">
        <v>34</v>
      </c>
      <c r="J2232" s="80" t="s">
        <v>402</v>
      </c>
      <c r="K2232" s="80" t="s">
        <v>347</v>
      </c>
      <c r="L2232" s="80" t="s">
        <v>343</v>
      </c>
      <c r="M2232" s="81">
        <v>0.08</v>
      </c>
      <c r="N2232" s="82">
        <v>6</v>
      </c>
    </row>
    <row r="2233" spans="1:14" x14ac:dyDescent="0.25">
      <c r="A2233" s="10" t="str">
        <f>_xlfn.IFNA(
    IF(J2233=
        "PCB-0001",
        "CSS",
        IF(
            ISNUMBER(MATCH(_xlfn.TEXTBEFORE(J2233,"-"), {"CSS","CSN","PCB","PCF","BEC","CSD","PCM"}, 0)),
            _xlfn.TEXTBEFORE(J2233,"-"),
            "Other"
        )
    ),
"Add")</f>
        <v>PCB</v>
      </c>
      <c r="B2233" s="10" t="str">
        <f t="shared" si="35"/>
        <v>0074</v>
      </c>
      <c r="C2233" s="10" t="str">
        <f>_xlfn.LET(
    _xlpm.val, IF(Datadetails[[#This Row],[Activity]]="D02","C20",Datadetails[[#This Row],[Activity]]),
    IF(ISNUMBER(MATCH(_xlpm.val,{"D04","C30","c40","C20"},0)), _xlpm.val, "Other")
)</f>
        <v>C30</v>
      </c>
      <c r="D2233" s="10" t="str">
        <f>IFERROR(VLOOKUP(Datadetails[[#This Row],[Taskcode]],Dashboard!A:A,1,FALSE),"00 Err Missing")</f>
        <v>0074</v>
      </c>
      <c r="E2233" s="79">
        <v>45925</v>
      </c>
      <c r="F2233" s="80" t="s">
        <v>329</v>
      </c>
      <c r="G2233" s="60" t="s">
        <v>40</v>
      </c>
      <c r="H2233" s="80" t="s">
        <v>241</v>
      </c>
      <c r="I2233" s="80" t="s">
        <v>34</v>
      </c>
      <c r="J2233" s="80" t="s">
        <v>403</v>
      </c>
      <c r="K2233" s="80" t="s">
        <v>347</v>
      </c>
      <c r="L2233" s="80" t="s">
        <v>343</v>
      </c>
      <c r="M2233" s="81">
        <v>0.08</v>
      </c>
      <c r="N2233" s="82">
        <v>6</v>
      </c>
    </row>
    <row r="2234" spans="1:14" x14ac:dyDescent="0.25">
      <c r="A2234" s="10" t="str">
        <f>_xlfn.IFNA(
    IF(J2234=
        "PCB-0001",
        "CSS",
        IF(
            ISNUMBER(MATCH(_xlfn.TEXTBEFORE(J2234,"-"), {"CSS","CSN","PCB","PCF","BEC","CSD","PCM"}, 0)),
            _xlfn.TEXTBEFORE(J2234,"-"),
            "Other"
        )
    ),
"Add")</f>
        <v>PCB</v>
      </c>
      <c r="B2234" s="10" t="str">
        <f t="shared" si="35"/>
        <v>0011</v>
      </c>
      <c r="C2234" s="10" t="str">
        <f>_xlfn.LET(
    _xlpm.val, IF(Datadetails[[#This Row],[Activity]]="D02","C20",Datadetails[[#This Row],[Activity]]),
    IF(ISNUMBER(MATCH(_xlpm.val,{"D04","C30","c40","C20"},0)), _xlpm.val, "Other")
)</f>
        <v>C30</v>
      </c>
      <c r="D2234" s="10" t="str">
        <f>IFERROR(VLOOKUP(Datadetails[[#This Row],[Taskcode]],Dashboard!A:A,1,FALSE),"00 Err Missing")</f>
        <v>0011</v>
      </c>
      <c r="E2234" s="79">
        <v>45925</v>
      </c>
      <c r="F2234" s="80" t="s">
        <v>330</v>
      </c>
      <c r="G2234" s="60" t="s">
        <v>40</v>
      </c>
      <c r="H2234" s="80" t="s">
        <v>178</v>
      </c>
      <c r="I2234" s="80" t="s">
        <v>34</v>
      </c>
      <c r="J2234" s="80" t="s">
        <v>460</v>
      </c>
      <c r="K2234" s="80" t="s">
        <v>347</v>
      </c>
      <c r="L2234" s="80" t="s">
        <v>343</v>
      </c>
      <c r="M2234" s="81">
        <v>1</v>
      </c>
      <c r="N2234" s="82">
        <v>60</v>
      </c>
    </row>
    <row r="2235" spans="1:14" x14ac:dyDescent="0.25">
      <c r="A2235" s="10" t="str">
        <f>_xlfn.IFNA(
    IF(J2235=
        "PCB-0001",
        "CSS",
        IF(
            ISNUMBER(MATCH(_xlfn.TEXTBEFORE(J2235,"-"), {"CSS","CSN","PCB","PCF","BEC","CSD","PCM"}, 0)),
            _xlfn.TEXTBEFORE(J2235,"-"),
            "Other"
        )
    ),
"Add")</f>
        <v>PCB</v>
      </c>
      <c r="B2235" s="10" t="str">
        <f t="shared" si="35"/>
        <v>0121</v>
      </c>
      <c r="C2235" s="10" t="str">
        <f>_xlfn.LET(
    _xlpm.val, IF(Datadetails[[#This Row],[Activity]]="D02","C20",Datadetails[[#This Row],[Activity]]),
    IF(ISNUMBER(MATCH(_xlpm.val,{"D04","C30","c40","C20"},0)), _xlpm.val, "Other")
)</f>
        <v>C30</v>
      </c>
      <c r="D2235" s="10" t="str">
        <f>IFERROR(VLOOKUP(Datadetails[[#This Row],[Taskcode]],Dashboard!A:A,1,FALSE),"00 Err Missing")</f>
        <v>0121</v>
      </c>
      <c r="E2235" s="79">
        <v>45925</v>
      </c>
      <c r="F2235" s="80" t="s">
        <v>329</v>
      </c>
      <c r="G2235" s="60" t="s">
        <v>40</v>
      </c>
      <c r="H2235" s="80" t="s">
        <v>288</v>
      </c>
      <c r="I2235" s="80" t="s">
        <v>34</v>
      </c>
      <c r="J2235" s="80" t="s">
        <v>405</v>
      </c>
      <c r="K2235" s="80" t="s">
        <v>347</v>
      </c>
      <c r="L2235" s="80" t="s">
        <v>343</v>
      </c>
      <c r="M2235" s="81">
        <v>0.42</v>
      </c>
      <c r="N2235" s="82">
        <v>31.5</v>
      </c>
    </row>
    <row r="2236" spans="1:14" x14ac:dyDescent="0.25">
      <c r="A2236" s="10" t="str">
        <f>_xlfn.IFNA(
    IF(J2236=
        "PCB-0001",
        "CSS",
        IF(
            ISNUMBER(MATCH(_xlfn.TEXTBEFORE(J2236,"-"), {"CSS","CSN","PCB","PCF","BEC","CSD","PCM"}, 0)),
            _xlfn.TEXTBEFORE(J2236,"-"),
            "Other"
        )
    ),
"Add")</f>
        <v>PCB</v>
      </c>
      <c r="B2236" s="10" t="str">
        <f t="shared" si="35"/>
        <v>0126</v>
      </c>
      <c r="C2236" s="10" t="str">
        <f>_xlfn.LET(
    _xlpm.val, IF(Datadetails[[#This Row],[Activity]]="D02","C20",Datadetails[[#This Row],[Activity]]),
    IF(ISNUMBER(MATCH(_xlpm.val,{"D04","C30","c40","C20"},0)), _xlpm.val, "Other")
)</f>
        <v>C30</v>
      </c>
      <c r="D2236" s="10" t="str">
        <f>IFERROR(VLOOKUP(Datadetails[[#This Row],[Taskcode]],Dashboard!A:A,1,FALSE),"00 Err Missing")</f>
        <v>0126</v>
      </c>
      <c r="E2236" s="79">
        <v>45925</v>
      </c>
      <c r="F2236" s="80" t="s">
        <v>329</v>
      </c>
      <c r="G2236" s="60" t="s">
        <v>40</v>
      </c>
      <c r="H2236" s="80" t="s">
        <v>293</v>
      </c>
      <c r="I2236" s="80" t="s">
        <v>34</v>
      </c>
      <c r="J2236" s="80" t="s">
        <v>376</v>
      </c>
      <c r="K2236" s="80" t="s">
        <v>347</v>
      </c>
      <c r="L2236" s="80" t="s">
        <v>343</v>
      </c>
      <c r="M2236" s="81">
        <v>0.17</v>
      </c>
      <c r="N2236" s="82">
        <v>12.750000000000002</v>
      </c>
    </row>
    <row r="2237" spans="1:14" x14ac:dyDescent="0.25">
      <c r="A2237" s="10" t="str">
        <f>_xlfn.IFNA(
    IF(J2237=
        "PCB-0001",
        "CSS",
        IF(
            ISNUMBER(MATCH(_xlfn.TEXTBEFORE(J2237,"-"), {"CSS","CSN","PCB","PCF","BEC","CSD","PCM"}, 0)),
            _xlfn.TEXTBEFORE(J2237,"-"),
            "Other"
        )
    ),
"Add")</f>
        <v>PCB</v>
      </c>
      <c r="B2237" s="10" t="str">
        <f t="shared" si="35"/>
        <v>0127</v>
      </c>
      <c r="C2237" s="10" t="str">
        <f>_xlfn.LET(
    _xlpm.val, IF(Datadetails[[#This Row],[Activity]]="D02","C20",Datadetails[[#This Row],[Activity]]),
    IF(ISNUMBER(MATCH(_xlpm.val,{"D04","C30","c40","C20"},0)), _xlpm.val, "Other")
)</f>
        <v>C30</v>
      </c>
      <c r="D2237" s="10" t="str">
        <f>IFERROR(VLOOKUP(Datadetails[[#This Row],[Taskcode]],Dashboard!A:A,1,FALSE),"00 Err Missing")</f>
        <v>0127</v>
      </c>
      <c r="E2237" s="79">
        <v>45925</v>
      </c>
      <c r="F2237" s="80" t="s">
        <v>329</v>
      </c>
      <c r="G2237" s="60" t="s">
        <v>40</v>
      </c>
      <c r="H2237" s="80" t="s">
        <v>294</v>
      </c>
      <c r="I2237" s="80" t="s">
        <v>34</v>
      </c>
      <c r="J2237" s="80" t="s">
        <v>377</v>
      </c>
      <c r="K2237" s="80" t="s">
        <v>347</v>
      </c>
      <c r="L2237" s="80" t="s">
        <v>343</v>
      </c>
      <c r="M2237" s="81">
        <v>0.17</v>
      </c>
      <c r="N2237" s="82">
        <v>12.750000000000002</v>
      </c>
    </row>
    <row r="2238" spans="1:14" x14ac:dyDescent="0.25">
      <c r="A2238" s="10" t="str">
        <f>_xlfn.IFNA(
    IF(J2238=
        "PCB-0001",
        "CSS",
        IF(
            ISNUMBER(MATCH(_xlfn.TEXTBEFORE(J2238,"-"), {"CSS","CSN","PCB","PCF","BEC","CSD","PCM"}, 0)),
            _xlfn.TEXTBEFORE(J2238,"-"),
            "Other"
        )
    ),
"Add")</f>
        <v>PCB</v>
      </c>
      <c r="B2238" s="10" t="str">
        <f t="shared" si="35"/>
        <v>0128</v>
      </c>
      <c r="C2238" s="10" t="str">
        <f>_xlfn.LET(
    _xlpm.val, IF(Datadetails[[#This Row],[Activity]]="D02","C20",Datadetails[[#This Row],[Activity]]),
    IF(ISNUMBER(MATCH(_xlpm.val,{"D04","C30","c40","C20"},0)), _xlpm.val, "Other")
)</f>
        <v>C30</v>
      </c>
      <c r="D2238" s="10" t="str">
        <f>IFERROR(VLOOKUP(Datadetails[[#This Row],[Taskcode]],Dashboard!A:A,1,FALSE),"00 Err Missing")</f>
        <v>0128</v>
      </c>
      <c r="E2238" s="79">
        <v>45925</v>
      </c>
      <c r="F2238" s="80" t="s">
        <v>329</v>
      </c>
      <c r="G2238" s="60" t="s">
        <v>40</v>
      </c>
      <c r="H2238" s="80" t="s">
        <v>295</v>
      </c>
      <c r="I2238" s="80" t="s">
        <v>34</v>
      </c>
      <c r="J2238" s="80" t="s">
        <v>379</v>
      </c>
      <c r="K2238" s="80" t="s">
        <v>347</v>
      </c>
      <c r="L2238" s="80" t="s">
        <v>343</v>
      </c>
      <c r="M2238" s="81">
        <v>0.17</v>
      </c>
      <c r="N2238" s="82">
        <v>12.750000000000002</v>
      </c>
    </row>
    <row r="2239" spans="1:14" x14ac:dyDescent="0.25">
      <c r="A2239" s="10" t="str">
        <f>_xlfn.IFNA(
    IF(J2239=
        "PCB-0001",
        "CSS",
        IF(
            ISNUMBER(MATCH(_xlfn.TEXTBEFORE(J2239,"-"), {"CSS","CSN","PCB","PCF","BEC","CSD","PCM"}, 0)),
            _xlfn.TEXTBEFORE(J2239,"-"),
            "Other"
        )
    ),
"Add")</f>
        <v>PCB</v>
      </c>
      <c r="B2239" s="10" t="str">
        <f t="shared" si="35"/>
        <v>0129</v>
      </c>
      <c r="C2239" s="10" t="str">
        <f>_xlfn.LET(
    _xlpm.val, IF(Datadetails[[#This Row],[Activity]]="D02","C20",Datadetails[[#This Row],[Activity]]),
    IF(ISNUMBER(MATCH(_xlpm.val,{"D04","C30","c40","C20"},0)), _xlpm.val, "Other")
)</f>
        <v>C30</v>
      </c>
      <c r="D2239" s="10" t="str">
        <f>IFERROR(VLOOKUP(Datadetails[[#This Row],[Taskcode]],Dashboard!A:A,1,FALSE),"00 Err Missing")</f>
        <v>0129</v>
      </c>
      <c r="E2239" s="79">
        <v>45925</v>
      </c>
      <c r="F2239" s="80" t="s">
        <v>329</v>
      </c>
      <c r="G2239" s="60" t="s">
        <v>40</v>
      </c>
      <c r="H2239" s="80" t="s">
        <v>296</v>
      </c>
      <c r="I2239" s="80" t="s">
        <v>34</v>
      </c>
      <c r="J2239" s="80" t="s">
        <v>411</v>
      </c>
      <c r="K2239" s="80" t="s">
        <v>347</v>
      </c>
      <c r="L2239" s="80" t="s">
        <v>343</v>
      </c>
      <c r="M2239" s="81">
        <v>0.08</v>
      </c>
      <c r="N2239" s="82">
        <v>6</v>
      </c>
    </row>
    <row r="2240" spans="1:14" x14ac:dyDescent="0.25">
      <c r="A2240" s="10" t="str">
        <f>_xlfn.IFNA(
    IF(J2240=
        "PCB-0001",
        "CSS",
        IF(
            ISNUMBER(MATCH(_xlfn.TEXTBEFORE(J2240,"-"), {"CSS","CSN","PCB","PCF","BEC","CSD","PCM"}, 0)),
            _xlfn.TEXTBEFORE(J2240,"-"),
            "Other"
        )
    ),
"Add")</f>
        <v>PCB</v>
      </c>
      <c r="B2240" s="10" t="str">
        <f t="shared" si="35"/>
        <v>0086</v>
      </c>
      <c r="C2240" s="10" t="str">
        <f>_xlfn.LET(
    _xlpm.val, IF(Datadetails[[#This Row],[Activity]]="D02","C20",Datadetails[[#This Row],[Activity]]),
    IF(ISNUMBER(MATCH(_xlpm.val,{"D04","C30","c40","C20"},0)), _xlpm.val, "Other")
)</f>
        <v>C30</v>
      </c>
      <c r="D2240" s="10" t="str">
        <f>IFERROR(VLOOKUP(Datadetails[[#This Row],[Taskcode]],Dashboard!A:A,1,FALSE),"00 Err Missing")</f>
        <v>0086</v>
      </c>
      <c r="E2240" s="79">
        <v>45925</v>
      </c>
      <c r="F2240" s="80" t="s">
        <v>325</v>
      </c>
      <c r="G2240" s="60" t="s">
        <v>40</v>
      </c>
      <c r="H2240" s="80" t="s">
        <v>253</v>
      </c>
      <c r="I2240" s="80" t="s">
        <v>34</v>
      </c>
      <c r="J2240" s="80" t="s">
        <v>408</v>
      </c>
      <c r="K2240" s="80" t="s">
        <v>347</v>
      </c>
      <c r="L2240" s="80" t="s">
        <v>343</v>
      </c>
      <c r="M2240" s="81">
        <v>0.17</v>
      </c>
      <c r="N2240" s="82">
        <v>12.750000000000002</v>
      </c>
    </row>
    <row r="2241" spans="1:14" x14ac:dyDescent="0.25">
      <c r="A2241" s="10" t="str">
        <f>_xlfn.IFNA(
    IF(J2241=
        "PCB-0001",
        "CSS",
        IF(
            ISNUMBER(MATCH(_xlfn.TEXTBEFORE(J2241,"-"), {"CSS","CSN","PCB","PCF","BEC","CSD","PCM"}, 0)),
            _xlfn.TEXTBEFORE(J2241,"-"),
            "Other"
        )
    ),
"Add")</f>
        <v>PCB</v>
      </c>
      <c r="B2241" s="10" t="str">
        <f t="shared" si="35"/>
        <v>0095</v>
      </c>
      <c r="C2241" s="10" t="str">
        <f>_xlfn.LET(
    _xlpm.val, IF(Datadetails[[#This Row],[Activity]]="D02","C20",Datadetails[[#This Row],[Activity]]),
    IF(ISNUMBER(MATCH(_xlpm.val,{"D04","C30","c40","C20"},0)), _xlpm.val, "Other")
)</f>
        <v>C30</v>
      </c>
      <c r="D2241" s="10" t="str">
        <f>IFERROR(VLOOKUP(Datadetails[[#This Row],[Taskcode]],Dashboard!A:A,1,FALSE),"00 Err Missing")</f>
        <v>0095</v>
      </c>
      <c r="E2241" s="79">
        <v>45925</v>
      </c>
      <c r="F2241" s="80" t="s">
        <v>325</v>
      </c>
      <c r="G2241" s="60" t="s">
        <v>40</v>
      </c>
      <c r="H2241" s="80" t="s">
        <v>262</v>
      </c>
      <c r="I2241" s="80" t="s">
        <v>34</v>
      </c>
      <c r="J2241" s="80" t="s">
        <v>442</v>
      </c>
      <c r="K2241" s="80" t="s">
        <v>347</v>
      </c>
      <c r="L2241" s="80" t="s">
        <v>343</v>
      </c>
      <c r="M2241" s="81">
        <v>0.17</v>
      </c>
      <c r="N2241" s="82">
        <v>12.750000000000002</v>
      </c>
    </row>
    <row r="2242" spans="1:14" x14ac:dyDescent="0.25">
      <c r="A2242" s="10" t="str">
        <f>_xlfn.IFNA(
    IF(J2242=
        "PCB-0001",
        "CSS",
        IF(
            ISNUMBER(MATCH(_xlfn.TEXTBEFORE(J2242,"-"), {"CSS","CSN","PCB","PCF","BEC","CSD","PCM"}, 0)),
            _xlfn.TEXTBEFORE(J2242,"-"),
            "Other"
        )
    ),
"Add")</f>
        <v>PCB</v>
      </c>
      <c r="B2242" s="10" t="str">
        <f t="shared" si="35"/>
        <v>0081</v>
      </c>
      <c r="C2242" s="10" t="str">
        <f>_xlfn.LET(
    _xlpm.val, IF(Datadetails[[#This Row],[Activity]]="D02","C20",Datadetails[[#This Row],[Activity]]),
    IF(ISNUMBER(MATCH(_xlpm.val,{"D04","C30","c40","C20"},0)), _xlpm.val, "Other")
)</f>
        <v>C30</v>
      </c>
      <c r="D2242" s="10" t="str">
        <f>IFERROR(VLOOKUP(Datadetails[[#This Row],[Taskcode]],Dashboard!A:A,1,FALSE),"00 Err Missing")</f>
        <v>0081</v>
      </c>
      <c r="E2242" s="79">
        <v>45925</v>
      </c>
      <c r="F2242" s="80" t="s">
        <v>329</v>
      </c>
      <c r="G2242" s="60" t="s">
        <v>40</v>
      </c>
      <c r="H2242" s="80" t="s">
        <v>248</v>
      </c>
      <c r="I2242" s="80" t="s">
        <v>34</v>
      </c>
      <c r="J2242" s="80" t="s">
        <v>385</v>
      </c>
      <c r="K2242" s="80" t="s">
        <v>347</v>
      </c>
      <c r="L2242" s="80" t="s">
        <v>343</v>
      </c>
      <c r="M2242" s="81">
        <v>0.5</v>
      </c>
      <c r="N2242" s="82">
        <v>37.5</v>
      </c>
    </row>
    <row r="2243" spans="1:14" x14ac:dyDescent="0.25">
      <c r="A2243" s="10" t="str">
        <f>_xlfn.IFNA(
    IF(J2243=
        "PCB-0001",
        "CSS",
        IF(
            ISNUMBER(MATCH(_xlfn.TEXTBEFORE(J2243,"-"), {"CSS","CSN","PCB","PCF","BEC","CSD","PCM"}, 0)),
            _xlfn.TEXTBEFORE(J2243,"-"),
            "Other"
        )
    ),
"Add")</f>
        <v>PCB</v>
      </c>
      <c r="B2243" s="10" t="str">
        <f t="shared" si="35"/>
        <v>0082</v>
      </c>
      <c r="C2243" s="10" t="str">
        <f>_xlfn.LET(
    _xlpm.val, IF(Datadetails[[#This Row],[Activity]]="D02","C20",Datadetails[[#This Row],[Activity]]),
    IF(ISNUMBER(MATCH(_xlpm.val,{"D04","C30","c40","C20"},0)), _xlpm.val, "Other")
)</f>
        <v>C30</v>
      </c>
      <c r="D2243" s="10" t="str">
        <f>IFERROR(VLOOKUP(Datadetails[[#This Row],[Taskcode]],Dashboard!A:A,1,FALSE),"00 Err Missing")</f>
        <v>0082</v>
      </c>
      <c r="E2243" s="79">
        <v>45925</v>
      </c>
      <c r="F2243" s="80" t="s">
        <v>325</v>
      </c>
      <c r="G2243" s="60" t="s">
        <v>40</v>
      </c>
      <c r="H2243" s="80" t="s">
        <v>249</v>
      </c>
      <c r="I2243" s="80" t="s">
        <v>34</v>
      </c>
      <c r="J2243" s="80" t="s">
        <v>409</v>
      </c>
      <c r="K2243" s="80" t="s">
        <v>347</v>
      </c>
      <c r="L2243" s="80" t="s">
        <v>343</v>
      </c>
      <c r="M2243" s="81">
        <v>0.17</v>
      </c>
      <c r="N2243" s="82">
        <v>12.750000000000002</v>
      </c>
    </row>
    <row r="2244" spans="1:14" x14ac:dyDescent="0.25">
      <c r="A2244" s="10" t="str">
        <f>_xlfn.IFNA(
    IF(J2244=
        "PCB-0001",
        "CSS",
        IF(
            ISNUMBER(MATCH(_xlfn.TEXTBEFORE(J2244,"-"), {"CSS","CSN","PCB","PCF","BEC","CSD","PCM"}, 0)),
            _xlfn.TEXTBEFORE(J2244,"-"),
            "Other"
        )
    ),
"Add")</f>
        <v>PCB</v>
      </c>
      <c r="B2244" s="10" t="str">
        <f t="shared" ref="B2244:B2307" si="36">_xlfn.IFNA(_xlfn.TEXTAFTER(J2244,"-"),"Data to C2")</f>
        <v>0110</v>
      </c>
      <c r="C2244" s="10" t="str">
        <f>_xlfn.LET(
    _xlpm.val, IF(Datadetails[[#This Row],[Activity]]="D02","C20",Datadetails[[#This Row],[Activity]]),
    IF(ISNUMBER(MATCH(_xlpm.val,{"D04","C30","c40","C20"},0)), _xlpm.val, "Other")
)</f>
        <v>C30</v>
      </c>
      <c r="D2244" s="10" t="str">
        <f>IFERROR(VLOOKUP(Datadetails[[#This Row],[Taskcode]],Dashboard!A:A,1,FALSE),"00 Err Missing")</f>
        <v>0110</v>
      </c>
      <c r="E2244" s="79">
        <v>45925</v>
      </c>
      <c r="F2244" s="80" t="s">
        <v>325</v>
      </c>
      <c r="G2244" s="60" t="s">
        <v>40</v>
      </c>
      <c r="H2244" s="80" t="s">
        <v>277</v>
      </c>
      <c r="I2244" s="80" t="s">
        <v>34</v>
      </c>
      <c r="J2244" s="80" t="s">
        <v>353</v>
      </c>
      <c r="K2244" s="80" t="s">
        <v>347</v>
      </c>
      <c r="L2244" s="80" t="s">
        <v>343</v>
      </c>
      <c r="M2244" s="81">
        <v>0.25</v>
      </c>
      <c r="N2244" s="82">
        <v>18.75</v>
      </c>
    </row>
    <row r="2245" spans="1:14" x14ac:dyDescent="0.25">
      <c r="A2245" s="10" t="str">
        <f>_xlfn.IFNA(
    IF(J2245=
        "PCB-0001",
        "CSS",
        IF(
            ISNUMBER(MATCH(_xlfn.TEXTBEFORE(J2245,"-"), {"CSS","CSN","PCB","PCF","BEC","CSD","PCM"}, 0)),
            _xlfn.TEXTBEFORE(J2245,"-"),
            "Other"
        )
    ),
"Add")</f>
        <v>PCB</v>
      </c>
      <c r="B2245" s="10" t="str">
        <f t="shared" si="36"/>
        <v>0063</v>
      </c>
      <c r="C2245" s="10" t="str">
        <f>_xlfn.LET(
    _xlpm.val, IF(Datadetails[[#This Row],[Activity]]="D02","C20",Datadetails[[#This Row],[Activity]]),
    IF(ISNUMBER(MATCH(_xlpm.val,{"D04","C30","c40","C20"},0)), _xlpm.val, "Other")
)</f>
        <v>C30</v>
      </c>
      <c r="D2245" s="10" t="str">
        <f>IFERROR(VLOOKUP(Datadetails[[#This Row],[Taskcode]],Dashboard!A:A,1,FALSE),"00 Err Missing")</f>
        <v>0063</v>
      </c>
      <c r="E2245" s="79">
        <v>45925</v>
      </c>
      <c r="F2245" s="80" t="s">
        <v>329</v>
      </c>
      <c r="G2245" s="60" t="s">
        <v>40</v>
      </c>
      <c r="H2245" s="80" t="s">
        <v>230</v>
      </c>
      <c r="I2245" s="80" t="s">
        <v>34</v>
      </c>
      <c r="J2245" s="80" t="s">
        <v>410</v>
      </c>
      <c r="K2245" s="80" t="s">
        <v>347</v>
      </c>
      <c r="L2245" s="80" t="s">
        <v>343</v>
      </c>
      <c r="M2245" s="81">
        <v>0.17</v>
      </c>
      <c r="N2245" s="82">
        <v>12.750000000000002</v>
      </c>
    </row>
    <row r="2246" spans="1:14" x14ac:dyDescent="0.25">
      <c r="A2246" s="10" t="str">
        <f>_xlfn.IFNA(
    IF(J2246=
        "PCB-0001",
        "CSS",
        IF(
            ISNUMBER(MATCH(_xlfn.TEXTBEFORE(J2246,"-"), {"CSS","CSN","PCB","PCF","BEC","CSD","PCM"}, 0)),
            _xlfn.TEXTBEFORE(J2246,"-"),
            "Other"
        )
    ),
"Add")</f>
        <v>PCB</v>
      </c>
      <c r="B2246" s="10" t="str">
        <f t="shared" si="36"/>
        <v>0082</v>
      </c>
      <c r="C2246" s="10" t="str">
        <f>_xlfn.LET(
    _xlpm.val, IF(Datadetails[[#This Row],[Activity]]="D02","C20",Datadetails[[#This Row],[Activity]]),
    IF(ISNUMBER(MATCH(_xlpm.val,{"D04","C30","c40","C20"},0)), _xlpm.val, "Other")
)</f>
        <v>C40</v>
      </c>
      <c r="D2246" s="10" t="str">
        <f>IFERROR(VLOOKUP(Datadetails[[#This Row],[Taskcode]],Dashboard!A:A,1,FALSE),"00 Err Missing")</f>
        <v>0082</v>
      </c>
      <c r="E2246" s="79">
        <v>45925</v>
      </c>
      <c r="F2246" s="80" t="s">
        <v>325</v>
      </c>
      <c r="G2246" s="60" t="s">
        <v>40</v>
      </c>
      <c r="H2246" s="80" t="s">
        <v>249</v>
      </c>
      <c r="I2246" s="80" t="s">
        <v>341</v>
      </c>
      <c r="J2246" s="80" t="s">
        <v>409</v>
      </c>
      <c r="K2246" s="80" t="s">
        <v>347</v>
      </c>
      <c r="L2246" s="80" t="s">
        <v>344</v>
      </c>
      <c r="M2246" s="81">
        <v>1.25</v>
      </c>
      <c r="N2246" s="82">
        <v>93.75</v>
      </c>
    </row>
    <row r="2247" spans="1:14" x14ac:dyDescent="0.25">
      <c r="A2247" s="10" t="str">
        <f>_xlfn.IFNA(
    IF(J2247=
        "PCB-0001",
        "CSS",
        IF(
            ISNUMBER(MATCH(_xlfn.TEXTBEFORE(J2247,"-"), {"CSS","CSN","PCB","PCF","BEC","CSD","PCM"}, 0)),
            _xlfn.TEXTBEFORE(J2247,"-"),
            "Other"
        )
    ),
"Add")</f>
        <v>PCF</v>
      </c>
      <c r="B2247" s="10" t="str">
        <f t="shared" si="36"/>
        <v>0060</v>
      </c>
      <c r="C2247" s="10" t="str">
        <f>_xlfn.LET(
    _xlpm.val, IF(Datadetails[[#This Row],[Activity]]="D02","C20",Datadetails[[#This Row],[Activity]]),
    IF(ISNUMBER(MATCH(_xlpm.val,{"D04","C30","c40","C20"},0)), _xlpm.val, "Other")
)</f>
        <v>C20</v>
      </c>
      <c r="D2247" s="10" t="str">
        <f>IFERROR(VLOOKUP(Datadetails[[#This Row],[Taskcode]],Dashboard!A:A,1,FALSE),"00 Err Missing")</f>
        <v>0060</v>
      </c>
      <c r="E2247" s="79">
        <v>45925</v>
      </c>
      <c r="F2247" s="80" t="s">
        <v>326</v>
      </c>
      <c r="G2247" s="60" t="s">
        <v>40</v>
      </c>
      <c r="H2247" s="80" t="s">
        <v>227</v>
      </c>
      <c r="I2247" s="80" t="s">
        <v>36</v>
      </c>
      <c r="J2247" s="80" t="s">
        <v>453</v>
      </c>
      <c r="K2247" s="80" t="s">
        <v>348</v>
      </c>
      <c r="L2247" s="80" t="s">
        <v>342</v>
      </c>
      <c r="M2247" s="81">
        <v>0.83</v>
      </c>
      <c r="N2247" s="82">
        <v>49.8</v>
      </c>
    </row>
    <row r="2248" spans="1:14" x14ac:dyDescent="0.25">
      <c r="A2248" s="10" t="str">
        <f>_xlfn.IFNA(
    IF(J2248=
        "PCB-0001",
        "CSS",
        IF(
            ISNUMBER(MATCH(_xlfn.TEXTBEFORE(J2248,"-"), {"CSS","CSN","PCB","PCF","BEC","CSD","PCM"}, 0)),
            _xlfn.TEXTBEFORE(J2248,"-"),
            "Other"
        )
    ),
"Add")</f>
        <v>PCF</v>
      </c>
      <c r="B2248" s="10" t="str">
        <f t="shared" si="36"/>
        <v>0098</v>
      </c>
      <c r="C2248" s="10" t="str">
        <f>_xlfn.LET(
    _xlpm.val, IF(Datadetails[[#This Row],[Activity]]="D02","C20",Datadetails[[#This Row],[Activity]]),
    IF(ISNUMBER(MATCH(_xlpm.val,{"D04","C30","c40","C20"},0)), _xlpm.val, "Other")
)</f>
        <v>C30</v>
      </c>
      <c r="D2248" s="10" t="str">
        <f>IFERROR(VLOOKUP(Datadetails[[#This Row],[Taskcode]],Dashboard!A:A,1,FALSE),"00 Err Missing")</f>
        <v>0098</v>
      </c>
      <c r="E2248" s="79">
        <v>45925</v>
      </c>
      <c r="F2248" s="80" t="s">
        <v>326</v>
      </c>
      <c r="G2248" s="60" t="s">
        <v>40</v>
      </c>
      <c r="H2248" s="80" t="s">
        <v>265</v>
      </c>
      <c r="I2248" s="80" t="s">
        <v>34</v>
      </c>
      <c r="J2248" s="80" t="s">
        <v>358</v>
      </c>
      <c r="K2248" s="80" t="s">
        <v>348</v>
      </c>
      <c r="L2248" s="80" t="s">
        <v>343</v>
      </c>
      <c r="M2248" s="81">
        <v>1.17</v>
      </c>
      <c r="N2248" s="82">
        <v>70.199999999999989</v>
      </c>
    </row>
    <row r="2249" spans="1:14" x14ac:dyDescent="0.25">
      <c r="A2249" s="10" t="str">
        <f>_xlfn.IFNA(
    IF(J2249=
        "PCB-0001",
        "CSS",
        IF(
            ISNUMBER(MATCH(_xlfn.TEXTBEFORE(J2249,"-"), {"CSS","CSN","PCB","PCF","BEC","CSD","PCM"}, 0)),
            _xlfn.TEXTBEFORE(J2249,"-"),
            "Other"
        )
    ),
"Add")</f>
        <v>BEC</v>
      </c>
      <c r="B2249" s="10" t="str">
        <f t="shared" si="36"/>
        <v>0001</v>
      </c>
      <c r="C2249" s="10" t="str">
        <f>_xlfn.LET(
    _xlpm.val, IF(Datadetails[[#This Row],[Activity]]="D02","C20",Datadetails[[#This Row],[Activity]]),
    IF(ISNUMBER(MATCH(_xlpm.val,{"D04","C30","c40","C20"},0)), _xlpm.val, "Other")
)</f>
        <v>D04</v>
      </c>
      <c r="D2249" s="10" t="str">
        <f>IFERROR(VLOOKUP(Datadetails[[#This Row],[Taskcode]],Dashboard!A:A,1,FALSE),"00 Err Missing")</f>
        <v>0001</v>
      </c>
      <c r="E2249" s="79">
        <v>45925</v>
      </c>
      <c r="F2249" s="80" t="s">
        <v>332</v>
      </c>
      <c r="G2249" s="60" t="s">
        <v>40</v>
      </c>
      <c r="H2249" s="80" t="s">
        <v>314</v>
      </c>
      <c r="I2249" s="80" t="s">
        <v>35</v>
      </c>
      <c r="J2249" s="80" t="s">
        <v>359</v>
      </c>
      <c r="K2249" s="80" t="s">
        <v>339</v>
      </c>
      <c r="L2249" s="80" t="s">
        <v>352</v>
      </c>
      <c r="M2249" s="81">
        <v>9.33</v>
      </c>
      <c r="N2249" s="82">
        <v>373.2</v>
      </c>
    </row>
    <row r="2250" spans="1:14" x14ac:dyDescent="0.25">
      <c r="A2250" s="10" t="str">
        <f>_xlfn.IFNA(
    IF(J2250=
        "PCB-0001",
        "CSS",
        IF(
            ISNUMBER(MATCH(_xlfn.TEXTBEFORE(J2250,"-"), {"CSS","CSN","PCB","PCF","BEC","CSD","PCM"}, 0)),
            _xlfn.TEXTBEFORE(J2250,"-"),
            "Other"
        )
    ),
"Add")</f>
        <v>BEC</v>
      </c>
      <c r="B2250" s="10" t="str">
        <f t="shared" si="36"/>
        <v>0001</v>
      </c>
      <c r="C2250" s="10" t="str">
        <f>_xlfn.LET(
    _xlpm.val, IF(Datadetails[[#This Row],[Activity]]="D02","C20",Datadetails[[#This Row],[Activity]]),
    IF(ISNUMBER(MATCH(_xlpm.val,{"D04","C30","c40","C20"},0)), _xlpm.val, "Other")
)</f>
        <v>D04</v>
      </c>
      <c r="D2250" s="10" t="str">
        <f>IFERROR(VLOOKUP(Datadetails[[#This Row],[Taskcode]],Dashboard!A:A,1,FALSE),"00 Err Missing")</f>
        <v>0001</v>
      </c>
      <c r="E2250" s="79">
        <v>45925</v>
      </c>
      <c r="F2250" s="80" t="s">
        <v>324</v>
      </c>
      <c r="G2250" s="60" t="s">
        <v>40</v>
      </c>
      <c r="H2250" s="80" t="s">
        <v>314</v>
      </c>
      <c r="I2250" s="80" t="s">
        <v>35</v>
      </c>
      <c r="J2250" s="80" t="s">
        <v>359</v>
      </c>
      <c r="K2250" s="80" t="s">
        <v>339</v>
      </c>
      <c r="L2250" s="80" t="s">
        <v>352</v>
      </c>
      <c r="M2250" s="81">
        <v>4.42</v>
      </c>
      <c r="N2250" s="82">
        <v>331.5</v>
      </c>
    </row>
    <row r="2251" spans="1:14" x14ac:dyDescent="0.25">
      <c r="A2251" s="10" t="str">
        <f>_xlfn.IFNA(
    IF(J2251=
        "PCB-0001",
        "CSS",
        IF(
            ISNUMBER(MATCH(_xlfn.TEXTBEFORE(J2251,"-"), {"CSS","CSN","PCB","PCF","BEC","CSD","PCM"}, 0)),
            _xlfn.TEXTBEFORE(J2251,"-"),
            "Other"
        )
    ),
"Add")</f>
        <v>CSN</v>
      </c>
      <c r="B2251" s="10" t="str">
        <f t="shared" si="36"/>
        <v>0001</v>
      </c>
      <c r="C2251" s="10" t="str">
        <f>_xlfn.LET(
    _xlpm.val, IF(Datadetails[[#This Row],[Activity]]="D02","C20",Datadetails[[#This Row],[Activity]]),
    IF(ISNUMBER(MATCH(_xlpm.val,{"D04","C30","c40","C20"},0)), _xlpm.val, "Other")
)</f>
        <v>D04</v>
      </c>
      <c r="D2251" s="10" t="str">
        <f>IFERROR(VLOOKUP(Datadetails[[#This Row],[Taskcode]],Dashboard!A:A,1,FALSE),"00 Err Missing")</f>
        <v>0001</v>
      </c>
      <c r="E2251" s="79">
        <v>45926</v>
      </c>
      <c r="F2251" s="80" t="s">
        <v>329</v>
      </c>
      <c r="G2251" s="60" t="s">
        <v>40</v>
      </c>
      <c r="H2251" s="80" t="s">
        <v>316</v>
      </c>
      <c r="I2251" s="80" t="s">
        <v>35</v>
      </c>
      <c r="J2251" s="80" t="s">
        <v>338</v>
      </c>
      <c r="K2251" s="80" t="s">
        <v>337</v>
      </c>
      <c r="L2251" s="80" t="s">
        <v>352</v>
      </c>
      <c r="M2251" s="81">
        <v>0.42</v>
      </c>
      <c r="N2251" s="82">
        <v>31.5</v>
      </c>
    </row>
    <row r="2252" spans="1:14" x14ac:dyDescent="0.25">
      <c r="A2252" s="10" t="str">
        <f>_xlfn.IFNA(
    IF(J2252=
        "PCB-0001",
        "CSS",
        IF(
            ISNUMBER(MATCH(_xlfn.TEXTBEFORE(J2252,"-"), {"CSS","CSN","PCB","PCF","BEC","CSD","PCM"}, 0)),
            _xlfn.TEXTBEFORE(J2252,"-"),
            "Other"
        )
    ),
"Add")</f>
        <v>Other</v>
      </c>
      <c r="B2252" s="10" t="str">
        <f t="shared" si="36"/>
        <v>0123</v>
      </c>
      <c r="C2252" s="10" t="str">
        <f>_xlfn.LET(
    _xlpm.val, IF(Datadetails[[#This Row],[Activity]]="D02","C20",Datadetails[[#This Row],[Activity]]),
    IF(ISNUMBER(MATCH(_xlpm.val,{"D04","C30","c40","C20"},0)), _xlpm.val, "Other")
)</f>
        <v>Other</v>
      </c>
      <c r="D2252" s="10" t="str">
        <f>IFERROR(VLOOKUP(Datadetails[[#This Row],[Taskcode]],Dashboard!A:A,1,FALSE),"00 Err Missing")</f>
        <v>0123</v>
      </c>
      <c r="E2252" s="79">
        <v>45926</v>
      </c>
      <c r="F2252" s="80" t="s">
        <v>328</v>
      </c>
      <c r="G2252" s="60" t="s">
        <v>40</v>
      </c>
      <c r="H2252" s="80" t="s">
        <v>290</v>
      </c>
      <c r="I2252" s="80" t="s">
        <v>313</v>
      </c>
      <c r="J2252" s="80" t="s">
        <v>471</v>
      </c>
      <c r="K2252" s="80" t="s">
        <v>345</v>
      </c>
      <c r="L2252" s="80" t="s">
        <v>351</v>
      </c>
      <c r="M2252" s="81">
        <v>2.5</v>
      </c>
      <c r="N2252" s="82">
        <v>225</v>
      </c>
    </row>
    <row r="2253" spans="1:14" x14ac:dyDescent="0.25">
      <c r="A2253" s="10" t="str">
        <f>_xlfn.IFNA(
    IF(J2253=
        "PCB-0001",
        "CSS",
        IF(
            ISNUMBER(MATCH(_xlfn.TEXTBEFORE(J2253,"-"), {"CSS","CSN","PCB","PCF","BEC","CSD","PCM"}, 0)),
            _xlfn.TEXTBEFORE(J2253,"-"),
            "Other"
        )
    ),
"Add")</f>
        <v>CSD</v>
      </c>
      <c r="B2253" s="10" t="str">
        <f t="shared" si="36"/>
        <v>0001</v>
      </c>
      <c r="C2253" s="10" t="str">
        <f>_xlfn.LET(
    _xlpm.val, IF(Datadetails[[#This Row],[Activity]]="D02","C20",Datadetails[[#This Row],[Activity]]),
    IF(ISNUMBER(MATCH(_xlpm.val,{"D04","C30","c40","C20"},0)), _xlpm.val, "Other")
)</f>
        <v>D04</v>
      </c>
      <c r="D2253" s="10" t="str">
        <f>IFERROR(VLOOKUP(Datadetails[[#This Row],[Taskcode]],Dashboard!A:A,1,FALSE),"00 Err Missing")</f>
        <v>0001</v>
      </c>
      <c r="E2253" s="79">
        <v>45926</v>
      </c>
      <c r="F2253" s="80" t="s">
        <v>333</v>
      </c>
      <c r="G2253" s="60" t="s">
        <v>40</v>
      </c>
      <c r="H2253" s="80" t="s">
        <v>320</v>
      </c>
      <c r="I2253" s="80" t="s">
        <v>35</v>
      </c>
      <c r="J2253" s="80" t="s">
        <v>322</v>
      </c>
      <c r="K2253" s="80" t="s">
        <v>319</v>
      </c>
      <c r="L2253" s="80" t="s">
        <v>352</v>
      </c>
      <c r="M2253" s="81">
        <v>8.8699999999999992</v>
      </c>
      <c r="N2253" s="82">
        <v>283.83999999999997</v>
      </c>
    </row>
    <row r="2254" spans="1:14" x14ac:dyDescent="0.25">
      <c r="A2254" s="10" t="str">
        <f>_xlfn.IFNA(
    IF(J2254=
        "PCB-0001",
        "CSS",
        IF(
            ISNUMBER(MATCH(_xlfn.TEXTBEFORE(J2254,"-"), {"CSS","CSN","PCB","PCF","BEC","CSD","PCM"}, 0)),
            _xlfn.TEXTBEFORE(J2254,"-"),
            "Other"
        )
    ),
"Add")</f>
        <v>PCM</v>
      </c>
      <c r="B2254" s="10" t="str">
        <f t="shared" si="36"/>
        <v>0078</v>
      </c>
      <c r="C2254" s="10" t="str">
        <f>_xlfn.LET(
    _xlpm.val, IF(Datadetails[[#This Row],[Activity]]="D02","C20",Datadetails[[#This Row],[Activity]]),
    IF(ISNUMBER(MATCH(_xlpm.val,{"D04","C30","c40","C20"},0)), _xlpm.val, "Other")
)</f>
        <v>C30</v>
      </c>
      <c r="D2254" s="10" t="str">
        <f>IFERROR(VLOOKUP(Datadetails[[#This Row],[Taskcode]],Dashboard!A:A,1,FALSE),"00 Err Missing")</f>
        <v>0078</v>
      </c>
      <c r="E2254" s="79">
        <v>45926</v>
      </c>
      <c r="F2254" s="80" t="s">
        <v>323</v>
      </c>
      <c r="G2254" s="60" t="s">
        <v>40</v>
      </c>
      <c r="H2254" s="80" t="s">
        <v>245</v>
      </c>
      <c r="I2254" s="80" t="s">
        <v>34</v>
      </c>
      <c r="J2254" s="80" t="s">
        <v>435</v>
      </c>
      <c r="K2254" s="80" t="s">
        <v>346</v>
      </c>
      <c r="L2254" s="80" t="s">
        <v>343</v>
      </c>
      <c r="M2254" s="81">
        <v>0.33</v>
      </c>
      <c r="N2254" s="82">
        <v>19.8</v>
      </c>
    </row>
    <row r="2255" spans="1:14" x14ac:dyDescent="0.25">
      <c r="A2255" s="10" t="str">
        <f>_xlfn.IFNA(
    IF(J2255=
        "PCB-0001",
        "CSS",
        IF(
            ISNUMBER(MATCH(_xlfn.TEXTBEFORE(J2255,"-"), {"CSS","CSN","PCB","PCF","BEC","CSD","PCM"}, 0)),
            _xlfn.TEXTBEFORE(J2255,"-"),
            "Other"
        )
    ),
"Add")</f>
        <v>PCM</v>
      </c>
      <c r="B2255" s="10" t="str">
        <f t="shared" si="36"/>
        <v>0064</v>
      </c>
      <c r="C2255" s="10" t="str">
        <f>_xlfn.LET(
    _xlpm.val, IF(Datadetails[[#This Row],[Activity]]="D02","C20",Datadetails[[#This Row],[Activity]]),
    IF(ISNUMBER(MATCH(_xlpm.val,{"D04","C30","c40","C20"},0)), _xlpm.val, "Other")
)</f>
        <v>C30</v>
      </c>
      <c r="D2255" s="10" t="str">
        <f>IFERROR(VLOOKUP(Datadetails[[#This Row],[Taskcode]],Dashboard!A:A,1,FALSE),"00 Err Missing")</f>
        <v>0064</v>
      </c>
      <c r="E2255" s="79">
        <v>45926</v>
      </c>
      <c r="F2255" s="80" t="s">
        <v>323</v>
      </c>
      <c r="G2255" s="60" t="s">
        <v>40</v>
      </c>
      <c r="H2255" s="80" t="s">
        <v>231</v>
      </c>
      <c r="I2255" s="80" t="s">
        <v>34</v>
      </c>
      <c r="J2255" s="80" t="s">
        <v>420</v>
      </c>
      <c r="K2255" s="80" t="s">
        <v>346</v>
      </c>
      <c r="L2255" s="80" t="s">
        <v>343</v>
      </c>
      <c r="M2255" s="81">
        <v>1</v>
      </c>
      <c r="N2255" s="82">
        <v>60</v>
      </c>
    </row>
    <row r="2256" spans="1:14" x14ac:dyDescent="0.25">
      <c r="A2256" s="10" t="str">
        <f>_xlfn.IFNA(
    IF(J2256=
        "PCB-0001",
        "CSS",
        IF(
            ISNUMBER(MATCH(_xlfn.TEXTBEFORE(J2256,"-"), {"CSS","CSN","PCB","PCF","BEC","CSD","PCM"}, 0)),
            _xlfn.TEXTBEFORE(J2256,"-"),
            "Other"
        )
    ),
"Add")</f>
        <v>PCB</v>
      </c>
      <c r="B2256" s="10" t="str">
        <f t="shared" si="36"/>
        <v>0003</v>
      </c>
      <c r="C2256" s="10" t="str">
        <f>_xlfn.LET(
    _xlpm.val, IF(Datadetails[[#This Row],[Activity]]="D02","C20",Datadetails[[#This Row],[Activity]]),
    IF(ISNUMBER(MATCH(_xlpm.val,{"D04","C30","c40","C20"},0)), _xlpm.val, "Other")
)</f>
        <v>C30</v>
      </c>
      <c r="D2256" s="10" t="str">
        <f>IFERROR(VLOOKUP(Datadetails[[#This Row],[Taskcode]],Dashboard!A:A,1,FALSE),"00 Err Missing")</f>
        <v>0003</v>
      </c>
      <c r="E2256" s="79">
        <v>45926</v>
      </c>
      <c r="F2256" s="80" t="s">
        <v>325</v>
      </c>
      <c r="G2256" s="60" t="s">
        <v>40</v>
      </c>
      <c r="H2256" s="80" t="s">
        <v>170</v>
      </c>
      <c r="I2256" s="80" t="s">
        <v>34</v>
      </c>
      <c r="J2256" s="80" t="s">
        <v>424</v>
      </c>
      <c r="K2256" s="80" t="s">
        <v>347</v>
      </c>
      <c r="L2256" s="80" t="s">
        <v>343</v>
      </c>
      <c r="M2256" s="81">
        <v>0.33</v>
      </c>
      <c r="N2256" s="82">
        <v>24.75</v>
      </c>
    </row>
    <row r="2257" spans="1:14" x14ac:dyDescent="0.25">
      <c r="A2257" s="10" t="str">
        <f>_xlfn.IFNA(
    IF(J2257=
        "PCB-0001",
        "CSS",
        IF(
            ISNUMBER(MATCH(_xlfn.TEXTBEFORE(J2257,"-"), {"CSS","CSN","PCB","PCF","BEC","CSD","PCM"}, 0)),
            _xlfn.TEXTBEFORE(J2257,"-"),
            "Other"
        )
    ),
"Add")</f>
        <v>PCB</v>
      </c>
      <c r="B2257" s="10" t="str">
        <f t="shared" si="36"/>
        <v>0059</v>
      </c>
      <c r="C2257" s="10" t="str">
        <f>_xlfn.LET(
    _xlpm.val, IF(Datadetails[[#This Row],[Activity]]="D02","C20",Datadetails[[#This Row],[Activity]]),
    IF(ISNUMBER(MATCH(_xlpm.val,{"D04","C30","c40","C20"},0)), _xlpm.val, "Other")
)</f>
        <v>C30</v>
      </c>
      <c r="D2257" s="10" t="str">
        <f>IFERROR(VLOOKUP(Datadetails[[#This Row],[Taskcode]],Dashboard!A:A,1,FALSE),"00 Err Missing")</f>
        <v>0059</v>
      </c>
      <c r="E2257" s="79">
        <v>45926</v>
      </c>
      <c r="F2257" s="80" t="s">
        <v>325</v>
      </c>
      <c r="G2257" s="60" t="s">
        <v>40</v>
      </c>
      <c r="H2257" s="80" t="s">
        <v>226</v>
      </c>
      <c r="I2257" s="80" t="s">
        <v>34</v>
      </c>
      <c r="J2257" s="80" t="s">
        <v>401</v>
      </c>
      <c r="K2257" s="80" t="s">
        <v>347</v>
      </c>
      <c r="L2257" s="80" t="s">
        <v>343</v>
      </c>
      <c r="M2257" s="81">
        <v>0.25</v>
      </c>
      <c r="N2257" s="82">
        <v>18.75</v>
      </c>
    </row>
    <row r="2258" spans="1:14" x14ac:dyDescent="0.25">
      <c r="A2258" s="10" t="str">
        <f>_xlfn.IFNA(
    IF(J2258=
        "PCB-0001",
        "CSS",
        IF(
            ISNUMBER(MATCH(_xlfn.TEXTBEFORE(J2258,"-"), {"CSS","CSN","PCB","PCF","BEC","CSD","PCM"}, 0)),
            _xlfn.TEXTBEFORE(J2258,"-"),
            "Other"
        )
    ),
"Add")</f>
        <v>PCB</v>
      </c>
      <c r="B2258" s="10" t="str">
        <f t="shared" si="36"/>
        <v>0104</v>
      </c>
      <c r="C2258" s="10" t="str">
        <f>_xlfn.LET(
    _xlpm.val, IF(Datadetails[[#This Row],[Activity]]="D02","C20",Datadetails[[#This Row],[Activity]]),
    IF(ISNUMBER(MATCH(_xlpm.val,{"D04","C30","c40","C20"},0)), _xlpm.val, "Other")
)</f>
        <v>C30</v>
      </c>
      <c r="D2258" s="10" t="str">
        <f>IFERROR(VLOOKUP(Datadetails[[#This Row],[Taskcode]],Dashboard!A:A,1,FALSE),"00 Err Missing")</f>
        <v>0104</v>
      </c>
      <c r="E2258" s="79">
        <v>45926</v>
      </c>
      <c r="F2258" s="80" t="s">
        <v>325</v>
      </c>
      <c r="G2258" s="60" t="s">
        <v>40</v>
      </c>
      <c r="H2258" s="80" t="s">
        <v>271</v>
      </c>
      <c r="I2258" s="80" t="s">
        <v>34</v>
      </c>
      <c r="J2258" s="80" t="s">
        <v>363</v>
      </c>
      <c r="K2258" s="80" t="s">
        <v>347</v>
      </c>
      <c r="L2258" s="80" t="s">
        <v>343</v>
      </c>
      <c r="M2258" s="81">
        <v>0.17</v>
      </c>
      <c r="N2258" s="82">
        <v>12.750000000000002</v>
      </c>
    </row>
    <row r="2259" spans="1:14" x14ac:dyDescent="0.25">
      <c r="A2259" s="10" t="str">
        <f>_xlfn.IFNA(
    IF(J2259=
        "PCB-0001",
        "CSS",
        IF(
            ISNUMBER(MATCH(_xlfn.TEXTBEFORE(J2259,"-"), {"CSS","CSN","PCB","PCF","BEC","CSD","PCM"}, 0)),
            _xlfn.TEXTBEFORE(J2259,"-"),
            "Other"
        )
    ),
"Add")</f>
        <v>PCB</v>
      </c>
      <c r="B2259" s="10" t="str">
        <f t="shared" si="36"/>
        <v>0129</v>
      </c>
      <c r="C2259" s="10" t="str">
        <f>_xlfn.LET(
    _xlpm.val, IF(Datadetails[[#This Row],[Activity]]="D02","C20",Datadetails[[#This Row],[Activity]]),
    IF(ISNUMBER(MATCH(_xlpm.val,{"D04","C30","c40","C20"},0)), _xlpm.val, "Other")
)</f>
        <v>C30</v>
      </c>
      <c r="D2259" s="10" t="str">
        <f>IFERROR(VLOOKUP(Datadetails[[#This Row],[Taskcode]],Dashboard!A:A,1,FALSE),"00 Err Missing")</f>
        <v>0129</v>
      </c>
      <c r="E2259" s="79">
        <v>45926</v>
      </c>
      <c r="F2259" s="80" t="s">
        <v>329</v>
      </c>
      <c r="G2259" s="60" t="s">
        <v>40</v>
      </c>
      <c r="H2259" s="80" t="s">
        <v>296</v>
      </c>
      <c r="I2259" s="80" t="s">
        <v>34</v>
      </c>
      <c r="J2259" s="80" t="s">
        <v>411</v>
      </c>
      <c r="K2259" s="80" t="s">
        <v>347</v>
      </c>
      <c r="L2259" s="80" t="s">
        <v>343</v>
      </c>
      <c r="M2259" s="81">
        <v>1.5</v>
      </c>
      <c r="N2259" s="82">
        <v>112.5</v>
      </c>
    </row>
    <row r="2260" spans="1:14" x14ac:dyDescent="0.25">
      <c r="A2260" s="10" t="str">
        <f>_xlfn.IFNA(
    IF(J2260=
        "PCB-0001",
        "CSS",
        IF(
            ISNUMBER(MATCH(_xlfn.TEXTBEFORE(J2260,"-"), {"CSS","CSN","PCB","PCF","BEC","CSD","PCM"}, 0)),
            _xlfn.TEXTBEFORE(J2260,"-"),
            "Other"
        )
    ),
"Add")</f>
        <v>PCB</v>
      </c>
      <c r="B2260" s="10" t="str">
        <f t="shared" si="36"/>
        <v>0081</v>
      </c>
      <c r="C2260" s="10" t="str">
        <f>_xlfn.LET(
    _xlpm.val, IF(Datadetails[[#This Row],[Activity]]="D02","C20",Datadetails[[#This Row],[Activity]]),
    IF(ISNUMBER(MATCH(_xlpm.val,{"D04","C30","c40","C20"},0)), _xlpm.val, "Other")
)</f>
        <v>C30</v>
      </c>
      <c r="D2260" s="10" t="str">
        <f>IFERROR(VLOOKUP(Datadetails[[#This Row],[Taskcode]],Dashboard!A:A,1,FALSE),"00 Err Missing")</f>
        <v>0081</v>
      </c>
      <c r="E2260" s="79">
        <v>45926</v>
      </c>
      <c r="F2260" s="80" t="s">
        <v>329</v>
      </c>
      <c r="G2260" s="60" t="s">
        <v>40</v>
      </c>
      <c r="H2260" s="80" t="s">
        <v>248</v>
      </c>
      <c r="I2260" s="80" t="s">
        <v>34</v>
      </c>
      <c r="J2260" s="80" t="s">
        <v>385</v>
      </c>
      <c r="K2260" s="80" t="s">
        <v>347</v>
      </c>
      <c r="L2260" s="80" t="s">
        <v>343</v>
      </c>
      <c r="M2260" s="81">
        <v>0.33</v>
      </c>
      <c r="N2260" s="82">
        <v>24.75</v>
      </c>
    </row>
    <row r="2261" spans="1:14" x14ac:dyDescent="0.25">
      <c r="A2261" s="10" t="str">
        <f>_xlfn.IFNA(
    IF(J2261=
        "PCB-0001",
        "CSS",
        IF(
            ISNUMBER(MATCH(_xlfn.TEXTBEFORE(J2261,"-"), {"CSS","CSN","PCB","PCF","BEC","CSD","PCM"}, 0)),
            _xlfn.TEXTBEFORE(J2261,"-"),
            "Other"
        )
    ),
"Add")</f>
        <v>PCB</v>
      </c>
      <c r="B2261" s="10" t="str">
        <f t="shared" si="36"/>
        <v>0082</v>
      </c>
      <c r="C2261" s="10" t="str">
        <f>_xlfn.LET(
    _xlpm.val, IF(Datadetails[[#This Row],[Activity]]="D02","C20",Datadetails[[#This Row],[Activity]]),
    IF(ISNUMBER(MATCH(_xlpm.val,{"D04","C30","c40","C20"},0)), _xlpm.val, "Other")
)</f>
        <v>C30</v>
      </c>
      <c r="D2261" s="10" t="str">
        <f>IFERROR(VLOOKUP(Datadetails[[#This Row],[Taskcode]],Dashboard!A:A,1,FALSE),"00 Err Missing")</f>
        <v>0082</v>
      </c>
      <c r="E2261" s="79">
        <v>45926</v>
      </c>
      <c r="F2261" s="80" t="s">
        <v>325</v>
      </c>
      <c r="G2261" s="60" t="s">
        <v>40</v>
      </c>
      <c r="H2261" s="80" t="s">
        <v>249</v>
      </c>
      <c r="I2261" s="80" t="s">
        <v>34</v>
      </c>
      <c r="J2261" s="80" t="s">
        <v>409</v>
      </c>
      <c r="K2261" s="80" t="s">
        <v>347</v>
      </c>
      <c r="L2261" s="80" t="s">
        <v>343</v>
      </c>
      <c r="M2261" s="81">
        <v>0.25</v>
      </c>
      <c r="N2261" s="82">
        <v>18.75</v>
      </c>
    </row>
    <row r="2262" spans="1:14" x14ac:dyDescent="0.25">
      <c r="A2262" s="10" t="str">
        <f>_xlfn.IFNA(
    IF(J2262=
        "PCB-0001",
        "CSS",
        IF(
            ISNUMBER(MATCH(_xlfn.TEXTBEFORE(J2262,"-"), {"CSS","CSN","PCB","PCF","BEC","CSD","PCM"}, 0)),
            _xlfn.TEXTBEFORE(J2262,"-"),
            "Other"
        )
    ),
"Add")</f>
        <v>PCB</v>
      </c>
      <c r="B2262" s="10" t="str">
        <f t="shared" si="36"/>
        <v>0080</v>
      </c>
      <c r="C2262" s="10" t="str">
        <f>_xlfn.LET(
    _xlpm.val, IF(Datadetails[[#This Row],[Activity]]="D02","C20",Datadetails[[#This Row],[Activity]]),
    IF(ISNUMBER(MATCH(_xlpm.val,{"D04","C30","c40","C20"},0)), _xlpm.val, "Other")
)</f>
        <v>C30</v>
      </c>
      <c r="D2262" s="10" t="str">
        <f>IFERROR(VLOOKUP(Datadetails[[#This Row],[Taskcode]],Dashboard!A:A,1,FALSE),"00 Err Missing")</f>
        <v>0080</v>
      </c>
      <c r="E2262" s="79">
        <v>45926</v>
      </c>
      <c r="F2262" s="80" t="s">
        <v>329</v>
      </c>
      <c r="G2262" s="60" t="s">
        <v>40</v>
      </c>
      <c r="H2262" s="80" t="s">
        <v>247</v>
      </c>
      <c r="I2262" s="80" t="s">
        <v>34</v>
      </c>
      <c r="J2262" s="80" t="s">
        <v>375</v>
      </c>
      <c r="K2262" s="80" t="s">
        <v>347</v>
      </c>
      <c r="L2262" s="80" t="s">
        <v>343</v>
      </c>
      <c r="M2262" s="81">
        <v>0.17</v>
      </c>
      <c r="N2262" s="82">
        <v>12.750000000000002</v>
      </c>
    </row>
    <row r="2263" spans="1:14" x14ac:dyDescent="0.25">
      <c r="A2263" s="10" t="str">
        <f>_xlfn.IFNA(
    IF(J2263=
        "PCB-0001",
        "CSS",
        IF(
            ISNUMBER(MATCH(_xlfn.TEXTBEFORE(J2263,"-"), {"CSS","CSN","PCB","PCF","BEC","CSD","PCM"}, 0)),
            _xlfn.TEXTBEFORE(J2263,"-"),
            "Other"
        )
    ),
"Add")</f>
        <v>PCB</v>
      </c>
      <c r="B2263" s="10" t="str">
        <f t="shared" si="36"/>
        <v>0111</v>
      </c>
      <c r="C2263" s="10" t="str">
        <f>_xlfn.LET(
    _xlpm.val, IF(Datadetails[[#This Row],[Activity]]="D02","C20",Datadetails[[#This Row],[Activity]]),
    IF(ISNUMBER(MATCH(_xlpm.val,{"D04","C30","c40","C20"},0)), _xlpm.val, "Other")
)</f>
        <v>C30</v>
      </c>
      <c r="D2263" s="10" t="str">
        <f>IFERROR(VLOOKUP(Datadetails[[#This Row],[Taskcode]],Dashboard!A:A,1,FALSE),"00 Err Missing")</f>
        <v>0111</v>
      </c>
      <c r="E2263" s="79">
        <v>45926</v>
      </c>
      <c r="F2263" s="80" t="s">
        <v>325</v>
      </c>
      <c r="G2263" s="60" t="s">
        <v>40</v>
      </c>
      <c r="H2263" s="80" t="s">
        <v>278</v>
      </c>
      <c r="I2263" s="80" t="s">
        <v>34</v>
      </c>
      <c r="J2263" s="80" t="s">
        <v>452</v>
      </c>
      <c r="K2263" s="80" t="s">
        <v>347</v>
      </c>
      <c r="L2263" s="80" t="s">
        <v>343</v>
      </c>
      <c r="M2263" s="81">
        <v>0.25</v>
      </c>
      <c r="N2263" s="82">
        <v>18.75</v>
      </c>
    </row>
    <row r="2264" spans="1:14" x14ac:dyDescent="0.25">
      <c r="A2264" s="10" t="str">
        <f>_xlfn.IFNA(
    IF(J2264=
        "PCB-0001",
        "CSS",
        IF(
            ISNUMBER(MATCH(_xlfn.TEXTBEFORE(J2264,"-"), {"CSS","CSN","PCB","PCF","BEC","CSD","PCM"}, 0)),
            _xlfn.TEXTBEFORE(J2264,"-"),
            "Other"
        )
    ),
"Add")</f>
        <v>PCB</v>
      </c>
      <c r="B2264" s="10" t="str">
        <f t="shared" si="36"/>
        <v>0080</v>
      </c>
      <c r="C2264" s="10" t="str">
        <f>_xlfn.LET(
    _xlpm.val, IF(Datadetails[[#This Row],[Activity]]="D02","C20",Datadetails[[#This Row],[Activity]]),
    IF(ISNUMBER(MATCH(_xlpm.val,{"D04","C30","c40","C20"},0)), _xlpm.val, "Other")
)</f>
        <v>C40</v>
      </c>
      <c r="D2264" s="10" t="str">
        <f>IFERROR(VLOOKUP(Datadetails[[#This Row],[Taskcode]],Dashboard!A:A,1,FALSE),"00 Err Missing")</f>
        <v>0080</v>
      </c>
      <c r="E2264" s="79">
        <v>45926</v>
      </c>
      <c r="F2264" s="80" t="s">
        <v>329</v>
      </c>
      <c r="G2264" s="60" t="s">
        <v>40</v>
      </c>
      <c r="H2264" s="80" t="s">
        <v>247</v>
      </c>
      <c r="I2264" s="80" t="s">
        <v>341</v>
      </c>
      <c r="J2264" s="80" t="s">
        <v>375</v>
      </c>
      <c r="K2264" s="80" t="s">
        <v>347</v>
      </c>
      <c r="L2264" s="80" t="s">
        <v>344</v>
      </c>
      <c r="M2264" s="81">
        <v>2</v>
      </c>
      <c r="N2264" s="82">
        <v>150</v>
      </c>
    </row>
    <row r="2265" spans="1:14" x14ac:dyDescent="0.25">
      <c r="A2265" s="10" t="str">
        <f>_xlfn.IFNA(
    IF(J2265=
        "PCB-0001",
        "CSS",
        IF(
            ISNUMBER(MATCH(_xlfn.TEXTBEFORE(J2265,"-"), {"CSS","CSN","PCB","PCF","BEC","CSD","PCM"}, 0)),
            _xlfn.TEXTBEFORE(J2265,"-"),
            "Other"
        )
    ),
"Add")</f>
        <v>PCB</v>
      </c>
      <c r="B2265" s="10" t="str">
        <f t="shared" si="36"/>
        <v>0085</v>
      </c>
      <c r="C2265" s="10" t="str">
        <f>_xlfn.LET(
    _xlpm.val, IF(Datadetails[[#This Row],[Activity]]="D02","C20",Datadetails[[#This Row],[Activity]]),
    IF(ISNUMBER(MATCH(_xlpm.val,{"D04","C30","c40","C20"},0)), _xlpm.val, "Other")
)</f>
        <v>C40</v>
      </c>
      <c r="D2265" s="10" t="str">
        <f>IFERROR(VLOOKUP(Datadetails[[#This Row],[Taskcode]],Dashboard!A:A,1,FALSE),"00 Err Missing")</f>
        <v>0085</v>
      </c>
      <c r="E2265" s="79">
        <v>45926</v>
      </c>
      <c r="F2265" s="80" t="s">
        <v>330</v>
      </c>
      <c r="G2265" s="60" t="s">
        <v>40</v>
      </c>
      <c r="H2265" s="80" t="s">
        <v>252</v>
      </c>
      <c r="I2265" s="80" t="s">
        <v>341</v>
      </c>
      <c r="J2265" s="80" t="s">
        <v>416</v>
      </c>
      <c r="K2265" s="80" t="s">
        <v>347</v>
      </c>
      <c r="L2265" s="80" t="s">
        <v>344</v>
      </c>
      <c r="M2265" s="81">
        <v>2.5</v>
      </c>
      <c r="N2265" s="82">
        <v>150</v>
      </c>
    </row>
    <row r="2266" spans="1:14" x14ac:dyDescent="0.25">
      <c r="A2266" s="10" t="str">
        <f>_xlfn.IFNA(
    IF(J2266=
        "PCB-0001",
        "CSS",
        IF(
            ISNUMBER(MATCH(_xlfn.TEXTBEFORE(J2266,"-"), {"CSS","CSN","PCB","PCF","BEC","CSD","PCM"}, 0)),
            _xlfn.TEXTBEFORE(J2266,"-"),
            "Other"
        )
    ),
"Add")</f>
        <v>PCF</v>
      </c>
      <c r="B2266" s="10" t="str">
        <f t="shared" si="36"/>
        <v>0021</v>
      </c>
      <c r="C2266" s="10" t="str">
        <f>_xlfn.LET(
    _xlpm.val, IF(Datadetails[[#This Row],[Activity]]="D02","C20",Datadetails[[#This Row],[Activity]]),
    IF(ISNUMBER(MATCH(_xlpm.val,{"D04","C30","c40","C20"},0)), _xlpm.val, "Other")
)</f>
        <v>C20</v>
      </c>
      <c r="D2266" s="10" t="str">
        <f>IFERROR(VLOOKUP(Datadetails[[#This Row],[Taskcode]],Dashboard!A:A,1,FALSE),"00 Err Missing")</f>
        <v>0021</v>
      </c>
      <c r="E2266" s="79">
        <v>45926</v>
      </c>
      <c r="F2266" s="80" t="s">
        <v>326</v>
      </c>
      <c r="G2266" s="60" t="s">
        <v>40</v>
      </c>
      <c r="H2266" s="80" t="s">
        <v>188</v>
      </c>
      <c r="I2266" s="80" t="s">
        <v>36</v>
      </c>
      <c r="J2266" s="80" t="s">
        <v>356</v>
      </c>
      <c r="K2266" s="80" t="s">
        <v>348</v>
      </c>
      <c r="L2266" s="80" t="s">
        <v>342</v>
      </c>
      <c r="M2266" s="81">
        <v>0.33</v>
      </c>
      <c r="N2266" s="82">
        <v>19.8</v>
      </c>
    </row>
    <row r="2267" spans="1:14" x14ac:dyDescent="0.25">
      <c r="A2267" s="10" t="str">
        <f>_xlfn.IFNA(
    IF(J2267=
        "PCB-0001",
        "CSS",
        IF(
            ISNUMBER(MATCH(_xlfn.TEXTBEFORE(J2267,"-"), {"CSS","CSN","PCB","PCF","BEC","CSD","PCM"}, 0)),
            _xlfn.TEXTBEFORE(J2267,"-"),
            "Other"
        )
    ),
"Add")</f>
        <v>BEC</v>
      </c>
      <c r="B2267" s="10" t="str">
        <f t="shared" si="36"/>
        <v>0001</v>
      </c>
      <c r="C2267" s="10" t="str">
        <f>_xlfn.LET(
    _xlpm.val, IF(Datadetails[[#This Row],[Activity]]="D02","C20",Datadetails[[#This Row],[Activity]]),
    IF(ISNUMBER(MATCH(_xlpm.val,{"D04","C30","c40","C20"},0)), _xlpm.val, "Other")
)</f>
        <v>D04</v>
      </c>
      <c r="D2267" s="10" t="str">
        <f>IFERROR(VLOOKUP(Datadetails[[#This Row],[Taskcode]],Dashboard!A:A,1,FALSE),"00 Err Missing")</f>
        <v>0001</v>
      </c>
      <c r="E2267" s="79">
        <v>45926</v>
      </c>
      <c r="F2267" s="80" t="s">
        <v>332</v>
      </c>
      <c r="G2267" s="60" t="s">
        <v>40</v>
      </c>
      <c r="H2267" s="80" t="s">
        <v>314</v>
      </c>
      <c r="I2267" s="80" t="s">
        <v>35</v>
      </c>
      <c r="J2267" s="80" t="s">
        <v>359</v>
      </c>
      <c r="K2267" s="80" t="s">
        <v>339</v>
      </c>
      <c r="L2267" s="80" t="s">
        <v>352</v>
      </c>
      <c r="M2267" s="81">
        <v>6</v>
      </c>
      <c r="N2267" s="82">
        <v>240</v>
      </c>
    </row>
    <row r="2268" spans="1:14" x14ac:dyDescent="0.25">
      <c r="A2268" s="10" t="str">
        <f>_xlfn.IFNA(
    IF(J2268=
        "PCB-0001",
        "CSS",
        IF(
            ISNUMBER(MATCH(_xlfn.TEXTBEFORE(J2268,"-"), {"CSS","CSN","PCB","PCF","BEC","CSD","PCM"}, 0)),
            _xlfn.TEXTBEFORE(J2268,"-"),
            "Other"
        )
    ),
"Add")</f>
        <v>BEC</v>
      </c>
      <c r="B2268" s="10" t="str">
        <f t="shared" si="36"/>
        <v>0001</v>
      </c>
      <c r="C2268" s="10" t="str">
        <f>_xlfn.LET(
    _xlpm.val, IF(Datadetails[[#This Row],[Activity]]="D02","C20",Datadetails[[#This Row],[Activity]]),
    IF(ISNUMBER(MATCH(_xlpm.val,{"D04","C30","c40","C20"},0)), _xlpm.val, "Other")
)</f>
        <v>D04</v>
      </c>
      <c r="D2268" s="10" t="str">
        <f>IFERROR(VLOOKUP(Datadetails[[#This Row],[Taskcode]],Dashboard!A:A,1,FALSE),"00 Err Missing")</f>
        <v>0001</v>
      </c>
      <c r="E2268" s="79">
        <v>45926</v>
      </c>
      <c r="F2268" s="80" t="s">
        <v>324</v>
      </c>
      <c r="G2268" s="60" t="s">
        <v>40</v>
      </c>
      <c r="H2268" s="80" t="s">
        <v>314</v>
      </c>
      <c r="I2268" s="80" t="s">
        <v>35</v>
      </c>
      <c r="J2268" s="80" t="s">
        <v>359</v>
      </c>
      <c r="K2268" s="80" t="s">
        <v>339</v>
      </c>
      <c r="L2268" s="80" t="s">
        <v>352</v>
      </c>
      <c r="M2268" s="81">
        <v>3.67</v>
      </c>
      <c r="N2268" s="82">
        <v>275.25</v>
      </c>
    </row>
    <row r="2269" spans="1:14" x14ac:dyDescent="0.25">
      <c r="A2269" s="10" t="str">
        <f>_xlfn.IFNA(
    IF(J2269=
        "PCB-0001",
        "CSS",
        IF(
            ISNUMBER(MATCH(_xlfn.TEXTBEFORE(J2269,"-"), {"CSS","CSN","PCB","PCF","BEC","CSD","PCM"}, 0)),
            _xlfn.TEXTBEFORE(J2269,"-"),
            "Other"
        )
    ),
"Add")</f>
        <v>BEC</v>
      </c>
      <c r="B2269" s="10" t="str">
        <f t="shared" si="36"/>
        <v>0001</v>
      </c>
      <c r="C2269" s="10" t="str">
        <f>_xlfn.LET(
    _xlpm.val, IF(Datadetails[[#This Row],[Activity]]="D02","C20",Datadetails[[#This Row],[Activity]]),
    IF(ISNUMBER(MATCH(_xlpm.val,{"D04","C30","c40","C20"},0)), _xlpm.val, "Other")
)</f>
        <v>D04</v>
      </c>
      <c r="D2269" s="10" t="str">
        <f>IFERROR(VLOOKUP(Datadetails[[#This Row],[Taskcode]],Dashboard!A:A,1,FALSE),"00 Err Missing")</f>
        <v>0001</v>
      </c>
      <c r="E2269" s="79">
        <v>45927</v>
      </c>
      <c r="F2269" s="80" t="s">
        <v>332</v>
      </c>
      <c r="G2269" s="60" t="s">
        <v>40</v>
      </c>
      <c r="H2269" s="80" t="s">
        <v>314</v>
      </c>
      <c r="I2269" s="80" t="s">
        <v>35</v>
      </c>
      <c r="J2269" s="80" t="s">
        <v>359</v>
      </c>
      <c r="K2269" s="80" t="s">
        <v>339</v>
      </c>
      <c r="L2269" s="80" t="s">
        <v>352</v>
      </c>
      <c r="M2269" s="81">
        <v>4</v>
      </c>
      <c r="N2269" s="82">
        <v>160</v>
      </c>
    </row>
    <row r="2270" spans="1:14" x14ac:dyDescent="0.25">
      <c r="A2270" s="10" t="str">
        <f>_xlfn.IFNA(
    IF(J2270=
        "PCB-0001",
        "CSS",
        IF(
            ISNUMBER(MATCH(_xlfn.TEXTBEFORE(J2270,"-"), {"CSS","CSN","PCB","PCF","BEC","CSD","PCM"}, 0)),
            _xlfn.TEXTBEFORE(J2270,"-"),
            "Other"
        )
    ),
"Add")</f>
        <v>CSN</v>
      </c>
      <c r="B2270" s="10" t="str">
        <f t="shared" si="36"/>
        <v>0001</v>
      </c>
      <c r="C2270" s="10" t="str">
        <f>_xlfn.LET(
    _xlpm.val, IF(Datadetails[[#This Row],[Activity]]="D02","C20",Datadetails[[#This Row],[Activity]]),
    IF(ISNUMBER(MATCH(_xlpm.val,{"D04","C30","c40","C20"},0)), _xlpm.val, "Other")
)</f>
        <v>D04</v>
      </c>
      <c r="D2270" s="10" t="str">
        <f>IFERROR(VLOOKUP(Datadetails[[#This Row],[Taskcode]],Dashboard!A:A,1,FALSE),"00 Err Missing")</f>
        <v>0001</v>
      </c>
      <c r="E2270" s="79">
        <v>45929</v>
      </c>
      <c r="F2270" s="80" t="s">
        <v>329</v>
      </c>
      <c r="G2270" s="60" t="s">
        <v>40</v>
      </c>
      <c r="H2270" s="80" t="s">
        <v>316</v>
      </c>
      <c r="I2270" s="80" t="s">
        <v>35</v>
      </c>
      <c r="J2270" s="80" t="s">
        <v>338</v>
      </c>
      <c r="K2270" s="80" t="s">
        <v>337</v>
      </c>
      <c r="L2270" s="80" t="s">
        <v>352</v>
      </c>
      <c r="M2270" s="81">
        <v>0.25</v>
      </c>
      <c r="N2270" s="82">
        <v>18.75</v>
      </c>
    </row>
    <row r="2271" spans="1:14" x14ac:dyDescent="0.25">
      <c r="A2271" s="10" t="str">
        <f>_xlfn.IFNA(
    IF(J2271=
        "PCB-0001",
        "CSS",
        IF(
            ISNUMBER(MATCH(_xlfn.TEXTBEFORE(J2271,"-"), {"CSS","CSN","PCB","PCF","BEC","CSD","PCM"}, 0)),
            _xlfn.TEXTBEFORE(J2271,"-"),
            "Other"
        )
    ),
"Add")</f>
        <v>PCB</v>
      </c>
      <c r="B2271" s="10" t="str">
        <f t="shared" si="36"/>
        <v>0102</v>
      </c>
      <c r="C2271" s="10" t="str">
        <f>_xlfn.LET(
    _xlpm.val, IF(Datadetails[[#This Row],[Activity]]="D02","C20",Datadetails[[#This Row],[Activity]]),
    IF(ISNUMBER(MATCH(_xlpm.val,{"D04","C30","c40","C20"},0)), _xlpm.val, "Other")
)</f>
        <v>C30</v>
      </c>
      <c r="D2271" s="10" t="str">
        <f>IFERROR(VLOOKUP(Datadetails[[#This Row],[Taskcode]],Dashboard!A:A,1,FALSE),"00 Err Missing")</f>
        <v>0102</v>
      </c>
      <c r="E2271" s="79">
        <v>45929</v>
      </c>
      <c r="F2271" s="80" t="s">
        <v>329</v>
      </c>
      <c r="G2271" s="60" t="s">
        <v>40</v>
      </c>
      <c r="H2271" s="80" t="s">
        <v>269</v>
      </c>
      <c r="I2271" s="80" t="s">
        <v>34</v>
      </c>
      <c r="J2271" s="80" t="s">
        <v>361</v>
      </c>
      <c r="K2271" s="80" t="s">
        <v>347</v>
      </c>
      <c r="L2271" s="80" t="s">
        <v>343</v>
      </c>
      <c r="M2271" s="81">
        <v>0.33</v>
      </c>
      <c r="N2271" s="82">
        <v>24.75</v>
      </c>
    </row>
    <row r="2272" spans="1:14" x14ac:dyDescent="0.25">
      <c r="A2272" s="10" t="str">
        <f>_xlfn.IFNA(
    IF(J2272=
        "PCB-0001",
        "CSS",
        IF(
            ISNUMBER(MATCH(_xlfn.TEXTBEFORE(J2272,"-"), {"CSS","CSN","PCB","PCF","BEC","CSD","PCM"}, 0)),
            _xlfn.TEXTBEFORE(J2272,"-"),
            "Other"
        )
    ),
"Add")</f>
        <v>PCB</v>
      </c>
      <c r="B2272" s="10" t="str">
        <f t="shared" si="36"/>
        <v>0101</v>
      </c>
      <c r="C2272" s="10" t="str">
        <f>_xlfn.LET(
    _xlpm.val, IF(Datadetails[[#This Row],[Activity]]="D02","C20",Datadetails[[#This Row],[Activity]]),
    IF(ISNUMBER(MATCH(_xlpm.val,{"D04","C30","c40","C20"},0)), _xlpm.val, "Other")
)</f>
        <v>C30</v>
      </c>
      <c r="D2272" s="10" t="str">
        <f>IFERROR(VLOOKUP(Datadetails[[#This Row],[Taskcode]],Dashboard!A:A,1,FALSE),"00 Err Missing")</f>
        <v>0101</v>
      </c>
      <c r="E2272" s="79">
        <v>45929</v>
      </c>
      <c r="F2272" s="80" t="s">
        <v>329</v>
      </c>
      <c r="G2272" s="60" t="s">
        <v>40</v>
      </c>
      <c r="H2272" s="80" t="s">
        <v>268</v>
      </c>
      <c r="I2272" s="80" t="s">
        <v>34</v>
      </c>
      <c r="J2272" s="80" t="s">
        <v>386</v>
      </c>
      <c r="K2272" s="80" t="s">
        <v>347</v>
      </c>
      <c r="L2272" s="80" t="s">
        <v>343</v>
      </c>
      <c r="M2272" s="81">
        <v>0.33</v>
      </c>
      <c r="N2272" s="82">
        <v>24.75</v>
      </c>
    </row>
    <row r="2273" spans="1:14" x14ac:dyDescent="0.25">
      <c r="A2273" s="10" t="str">
        <f>_xlfn.IFNA(
    IF(J2273=
        "PCB-0001",
        "CSS",
        IF(
            ISNUMBER(MATCH(_xlfn.TEXTBEFORE(J2273,"-"), {"CSS","CSN","PCB","PCF","BEC","CSD","PCM"}, 0)),
            _xlfn.TEXTBEFORE(J2273,"-"),
            "Other"
        )
    ),
"Add")</f>
        <v>PCB</v>
      </c>
      <c r="B2273" s="10" t="str">
        <f t="shared" si="36"/>
        <v>0011</v>
      </c>
      <c r="C2273" s="10" t="str">
        <f>_xlfn.LET(
    _xlpm.val, IF(Datadetails[[#This Row],[Activity]]="D02","C20",Datadetails[[#This Row],[Activity]]),
    IF(ISNUMBER(MATCH(_xlpm.val,{"D04","C30","c40","C20"},0)), _xlpm.val, "Other")
)</f>
        <v>C40</v>
      </c>
      <c r="D2273" s="10" t="str">
        <f>IFERROR(VLOOKUP(Datadetails[[#This Row],[Taskcode]],Dashboard!A:A,1,FALSE),"00 Err Missing")</f>
        <v>0011</v>
      </c>
      <c r="E2273" s="79">
        <v>45929</v>
      </c>
      <c r="F2273" s="80" t="s">
        <v>330</v>
      </c>
      <c r="G2273" s="60" t="s">
        <v>40</v>
      </c>
      <c r="H2273" s="80" t="s">
        <v>178</v>
      </c>
      <c r="I2273" s="80" t="s">
        <v>341</v>
      </c>
      <c r="J2273" s="80" t="s">
        <v>460</v>
      </c>
      <c r="K2273" s="80" t="s">
        <v>347</v>
      </c>
      <c r="L2273" s="80" t="s">
        <v>344</v>
      </c>
      <c r="M2273" s="81">
        <v>1.5</v>
      </c>
      <c r="N2273" s="82">
        <v>90</v>
      </c>
    </row>
    <row r="2274" spans="1:14" x14ac:dyDescent="0.25">
      <c r="A2274" s="10" t="str">
        <f>_xlfn.IFNA(
    IF(J2274=
        "PCB-0001",
        "CSS",
        IF(
            ISNUMBER(MATCH(_xlfn.TEXTBEFORE(J2274,"-"), {"CSS","CSN","PCB","PCF","BEC","CSD","PCM"}, 0)),
            _xlfn.TEXTBEFORE(J2274,"-"),
            "Other"
        )
    ),
"Add")</f>
        <v>CSD</v>
      </c>
      <c r="B2274" s="10" t="str">
        <f t="shared" si="36"/>
        <v>0001</v>
      </c>
      <c r="C2274" s="10" t="str">
        <f>_xlfn.LET(
    _xlpm.val, IF(Datadetails[[#This Row],[Activity]]="D02","C20",Datadetails[[#This Row],[Activity]]),
    IF(ISNUMBER(MATCH(_xlpm.val,{"D04","C30","c40","C20"},0)), _xlpm.val, "Other")
)</f>
        <v>D04</v>
      </c>
      <c r="D2274" s="10" t="str">
        <f>IFERROR(VLOOKUP(Datadetails[[#This Row],[Taskcode]],Dashboard!A:A,1,FALSE),"00 Err Missing")</f>
        <v>0001</v>
      </c>
      <c r="E2274" s="79">
        <v>45929</v>
      </c>
      <c r="F2274" s="80" t="s">
        <v>333</v>
      </c>
      <c r="G2274" s="60" t="s">
        <v>40</v>
      </c>
      <c r="H2274" s="80" t="s">
        <v>320</v>
      </c>
      <c r="I2274" s="80" t="s">
        <v>35</v>
      </c>
      <c r="J2274" s="80" t="s">
        <v>322</v>
      </c>
      <c r="K2274" s="80" t="s">
        <v>319</v>
      </c>
      <c r="L2274" s="80" t="s">
        <v>352</v>
      </c>
      <c r="M2274" s="81">
        <v>7.65</v>
      </c>
      <c r="N2274" s="82">
        <v>244.8</v>
      </c>
    </row>
    <row r="2275" spans="1:14" x14ac:dyDescent="0.25">
      <c r="A2275" s="10" t="str">
        <f>_xlfn.IFNA(
    IF(J2275=
        "PCB-0001",
        "CSS",
        IF(
            ISNUMBER(MATCH(_xlfn.TEXTBEFORE(J2275,"-"), {"CSS","CSN","PCB","PCF","BEC","CSD","PCM"}, 0)),
            _xlfn.TEXTBEFORE(J2275,"-"),
            "Other"
        )
    ),
"Add")</f>
        <v>CSD</v>
      </c>
      <c r="B2275" s="10" t="str">
        <f t="shared" si="36"/>
        <v>0001</v>
      </c>
      <c r="C2275" s="10" t="str">
        <f>_xlfn.LET(
    _xlpm.val, IF(Datadetails[[#This Row],[Activity]]="D02","C20",Datadetails[[#This Row],[Activity]]),
    IF(ISNUMBER(MATCH(_xlpm.val,{"D04","C30","c40","C20"},0)), _xlpm.val, "Other")
)</f>
        <v>D04</v>
      </c>
      <c r="D2275" s="10" t="str">
        <f>IFERROR(VLOOKUP(Datadetails[[#This Row],[Taskcode]],Dashboard!A:A,1,FALSE),"00 Err Missing")</f>
        <v>0001</v>
      </c>
      <c r="E2275" s="79">
        <v>45929</v>
      </c>
      <c r="F2275" s="80" t="s">
        <v>327</v>
      </c>
      <c r="G2275" s="60" t="s">
        <v>40</v>
      </c>
      <c r="H2275" s="80" t="s">
        <v>320</v>
      </c>
      <c r="I2275" s="80" t="s">
        <v>35</v>
      </c>
      <c r="J2275" s="80" t="s">
        <v>322</v>
      </c>
      <c r="K2275" s="80" t="s">
        <v>319</v>
      </c>
      <c r="L2275" s="80" t="s">
        <v>352</v>
      </c>
      <c r="M2275" s="81">
        <v>7.42</v>
      </c>
      <c r="N2275" s="82">
        <v>237.44</v>
      </c>
    </row>
    <row r="2276" spans="1:14" x14ac:dyDescent="0.25">
      <c r="A2276" s="10" t="str">
        <f>_xlfn.IFNA(
    IF(J2276=
        "PCB-0001",
        "CSS",
        IF(
            ISNUMBER(MATCH(_xlfn.TEXTBEFORE(J2276,"-"), {"CSS","CSN","PCB","PCF","BEC","CSD","PCM"}, 0)),
            _xlfn.TEXTBEFORE(J2276,"-"),
            "Other"
        )
    ),
"Add")</f>
        <v>PCM</v>
      </c>
      <c r="B2276" s="10" t="str">
        <f t="shared" si="36"/>
        <v>0064</v>
      </c>
      <c r="C2276" s="10" t="str">
        <f>_xlfn.LET(
    _xlpm.val, IF(Datadetails[[#This Row],[Activity]]="D02","C20",Datadetails[[#This Row],[Activity]]),
    IF(ISNUMBER(MATCH(_xlpm.val,{"D04","C30","c40","C20"},0)), _xlpm.val, "Other")
)</f>
        <v>C20</v>
      </c>
      <c r="D2276" s="10" t="str">
        <f>IFERROR(VLOOKUP(Datadetails[[#This Row],[Taskcode]],Dashboard!A:A,1,FALSE),"00 Err Missing")</f>
        <v>0064</v>
      </c>
      <c r="E2276" s="79">
        <v>45929</v>
      </c>
      <c r="F2276" s="80" t="s">
        <v>323</v>
      </c>
      <c r="G2276" s="60" t="s">
        <v>40</v>
      </c>
      <c r="H2276" s="80" t="s">
        <v>231</v>
      </c>
      <c r="I2276" s="80" t="s">
        <v>36</v>
      </c>
      <c r="J2276" s="80" t="s">
        <v>420</v>
      </c>
      <c r="K2276" s="80" t="s">
        <v>346</v>
      </c>
      <c r="L2276" s="80" t="s">
        <v>342</v>
      </c>
      <c r="M2276" s="81">
        <v>0.5</v>
      </c>
      <c r="N2276" s="82">
        <v>30</v>
      </c>
    </row>
    <row r="2277" spans="1:14" x14ac:dyDescent="0.25">
      <c r="A2277" s="10" t="str">
        <f>_xlfn.IFNA(
    IF(J2277=
        "PCB-0001",
        "CSS",
        IF(
            ISNUMBER(MATCH(_xlfn.TEXTBEFORE(J2277,"-"), {"CSS","CSN","PCB","PCF","BEC","CSD","PCM"}, 0)),
            _xlfn.TEXTBEFORE(J2277,"-"),
            "Other"
        )
    ),
"Add")</f>
        <v>PCM</v>
      </c>
      <c r="B2277" s="10" t="str">
        <f t="shared" si="36"/>
        <v>0064</v>
      </c>
      <c r="C2277" s="10" t="str">
        <f>_xlfn.LET(
    _xlpm.val, IF(Datadetails[[#This Row],[Activity]]="D02","C20",Datadetails[[#This Row],[Activity]]),
    IF(ISNUMBER(MATCH(_xlpm.val,{"D04","C30","c40","C20"},0)), _xlpm.val, "Other")
)</f>
        <v>C40</v>
      </c>
      <c r="D2277" s="10" t="str">
        <f>IFERROR(VLOOKUP(Datadetails[[#This Row],[Taskcode]],Dashboard!A:A,1,FALSE),"00 Err Missing")</f>
        <v>0064</v>
      </c>
      <c r="E2277" s="79">
        <v>45929</v>
      </c>
      <c r="F2277" s="80" t="s">
        <v>323</v>
      </c>
      <c r="G2277" s="60" t="s">
        <v>40</v>
      </c>
      <c r="H2277" s="80" t="s">
        <v>231</v>
      </c>
      <c r="I2277" s="80" t="s">
        <v>341</v>
      </c>
      <c r="J2277" s="80" t="s">
        <v>420</v>
      </c>
      <c r="K2277" s="80" t="s">
        <v>346</v>
      </c>
      <c r="L2277" s="80" t="s">
        <v>344</v>
      </c>
      <c r="M2277" s="81">
        <v>1.5</v>
      </c>
      <c r="N2277" s="82">
        <v>90</v>
      </c>
    </row>
    <row r="2278" spans="1:14" x14ac:dyDescent="0.25">
      <c r="A2278" s="10" t="str">
        <f>_xlfn.IFNA(
    IF(J2278=
        "PCB-0001",
        "CSS",
        IF(
            ISNUMBER(MATCH(_xlfn.TEXTBEFORE(J2278,"-"), {"CSS","CSN","PCB","PCF","BEC","CSD","PCM"}, 0)),
            _xlfn.TEXTBEFORE(J2278,"-"),
            "Other"
        )
    ),
"Add")</f>
        <v>PCM</v>
      </c>
      <c r="B2278" s="10" t="str">
        <f t="shared" si="36"/>
        <v>0116</v>
      </c>
      <c r="C2278" s="10" t="str">
        <f>_xlfn.LET(
    _xlpm.val, IF(Datadetails[[#This Row],[Activity]]="D02","C20",Datadetails[[#This Row],[Activity]]),
    IF(ISNUMBER(MATCH(_xlpm.val,{"D04","C30","c40","C20"},0)), _xlpm.val, "Other")
)</f>
        <v>C40</v>
      </c>
      <c r="D2278" s="10" t="str">
        <f>IFERROR(VLOOKUP(Datadetails[[#This Row],[Taskcode]],Dashboard!A:A,1,FALSE),"00 Err Missing")</f>
        <v>0116</v>
      </c>
      <c r="E2278" s="79">
        <v>45929</v>
      </c>
      <c r="F2278" s="80" t="s">
        <v>323</v>
      </c>
      <c r="G2278" s="60" t="s">
        <v>40</v>
      </c>
      <c r="H2278" s="80" t="s">
        <v>283</v>
      </c>
      <c r="I2278" s="80" t="s">
        <v>341</v>
      </c>
      <c r="J2278" s="80" t="s">
        <v>429</v>
      </c>
      <c r="K2278" s="80" t="s">
        <v>346</v>
      </c>
      <c r="L2278" s="80" t="s">
        <v>344</v>
      </c>
      <c r="M2278" s="81">
        <v>2.5</v>
      </c>
      <c r="N2278" s="82">
        <v>150</v>
      </c>
    </row>
    <row r="2279" spans="1:14" x14ac:dyDescent="0.25">
      <c r="A2279" s="10" t="str">
        <f>_xlfn.IFNA(
    IF(J2279=
        "PCB-0001",
        "CSS",
        IF(
            ISNUMBER(MATCH(_xlfn.TEXTBEFORE(J2279,"-"), {"CSS","CSN","PCB","PCF","BEC","CSD","PCM"}, 0)),
            _xlfn.TEXTBEFORE(J2279,"-"),
            "Other"
        )
    ),
"Add")</f>
        <v>PCM</v>
      </c>
      <c r="B2279" s="10" t="str">
        <f t="shared" si="36"/>
        <v>0115</v>
      </c>
      <c r="C2279" s="10" t="str">
        <f>_xlfn.LET(
    _xlpm.val, IF(Datadetails[[#This Row],[Activity]]="D02","C20",Datadetails[[#This Row],[Activity]]),
    IF(ISNUMBER(MATCH(_xlpm.val,{"D04","C30","c40","C20"},0)), _xlpm.val, "Other")
)</f>
        <v>C40</v>
      </c>
      <c r="D2279" s="10" t="str">
        <f>IFERROR(VLOOKUP(Datadetails[[#This Row],[Taskcode]],Dashboard!A:A,1,FALSE),"00 Err Missing")</f>
        <v>0115</v>
      </c>
      <c r="E2279" s="79">
        <v>45929</v>
      </c>
      <c r="F2279" s="80" t="s">
        <v>323</v>
      </c>
      <c r="G2279" s="60" t="s">
        <v>40</v>
      </c>
      <c r="H2279" s="80" t="s">
        <v>282</v>
      </c>
      <c r="I2279" s="80" t="s">
        <v>341</v>
      </c>
      <c r="J2279" s="80" t="s">
        <v>451</v>
      </c>
      <c r="K2279" s="80" t="s">
        <v>346</v>
      </c>
      <c r="L2279" s="80" t="s">
        <v>344</v>
      </c>
      <c r="M2279" s="81">
        <v>1</v>
      </c>
      <c r="N2279" s="82">
        <v>60</v>
      </c>
    </row>
    <row r="2280" spans="1:14" x14ac:dyDescent="0.25">
      <c r="A2280" s="10" t="str">
        <f>_xlfn.IFNA(
    IF(J2280=
        "PCB-0001",
        "CSS",
        IF(
            ISNUMBER(MATCH(_xlfn.TEXTBEFORE(J2280,"-"), {"CSS","CSN","PCB","PCF","BEC","CSD","PCM"}, 0)),
            _xlfn.TEXTBEFORE(J2280,"-"),
            "Other"
        )
    ),
"Add")</f>
        <v>PCB</v>
      </c>
      <c r="B2280" s="10" t="str">
        <f t="shared" si="36"/>
        <v>0019</v>
      </c>
      <c r="C2280" s="10" t="str">
        <f>_xlfn.LET(
    _xlpm.val, IF(Datadetails[[#This Row],[Activity]]="D02","C20",Datadetails[[#This Row],[Activity]]),
    IF(ISNUMBER(MATCH(_xlpm.val,{"D04","C30","c40","C20"},0)), _xlpm.val, "Other")
)</f>
        <v>C30</v>
      </c>
      <c r="D2280" s="10" t="str">
        <f>IFERROR(VLOOKUP(Datadetails[[#This Row],[Taskcode]],Dashboard!A:A,1,FALSE),"00 Err Missing")</f>
        <v>0019</v>
      </c>
      <c r="E2280" s="79">
        <v>45929</v>
      </c>
      <c r="F2280" s="80" t="s">
        <v>329</v>
      </c>
      <c r="G2280" s="60" t="s">
        <v>40</v>
      </c>
      <c r="H2280" s="80" t="s">
        <v>186</v>
      </c>
      <c r="I2280" s="80" t="s">
        <v>34</v>
      </c>
      <c r="J2280" s="80" t="s">
        <v>397</v>
      </c>
      <c r="K2280" s="80" t="s">
        <v>347</v>
      </c>
      <c r="L2280" s="80" t="s">
        <v>343</v>
      </c>
      <c r="M2280" s="81">
        <v>0.25</v>
      </c>
      <c r="N2280" s="82">
        <v>18.75</v>
      </c>
    </row>
    <row r="2281" spans="1:14" x14ac:dyDescent="0.25">
      <c r="A2281" s="10" t="str">
        <f>_xlfn.IFNA(
    IF(J2281=
        "PCB-0001",
        "CSS",
        IF(
            ISNUMBER(MATCH(_xlfn.TEXTBEFORE(J2281,"-"), {"CSS","CSN","PCB","PCF","BEC","CSD","PCM"}, 0)),
            _xlfn.TEXTBEFORE(J2281,"-"),
            "Other"
        )
    ),
"Add")</f>
        <v>PCB</v>
      </c>
      <c r="B2281" s="10" t="str">
        <f t="shared" si="36"/>
        <v>0030</v>
      </c>
      <c r="C2281" s="10" t="str">
        <f>_xlfn.LET(
    _xlpm.val, IF(Datadetails[[#This Row],[Activity]]="D02","C20",Datadetails[[#This Row],[Activity]]),
    IF(ISNUMBER(MATCH(_xlpm.val,{"D04","C30","c40","C20"},0)), _xlpm.val, "Other")
)</f>
        <v>C30</v>
      </c>
      <c r="D2281" s="10" t="str">
        <f>IFERROR(VLOOKUP(Datadetails[[#This Row],[Taskcode]],Dashboard!A:A,1,FALSE),"00 Err Missing")</f>
        <v>0030</v>
      </c>
      <c r="E2281" s="79">
        <v>45929</v>
      </c>
      <c r="F2281" s="80" t="s">
        <v>329</v>
      </c>
      <c r="G2281" s="60" t="s">
        <v>40</v>
      </c>
      <c r="H2281" s="80" t="s">
        <v>197</v>
      </c>
      <c r="I2281" s="80" t="s">
        <v>34</v>
      </c>
      <c r="J2281" s="80" t="s">
        <v>366</v>
      </c>
      <c r="K2281" s="80" t="s">
        <v>347</v>
      </c>
      <c r="L2281" s="80" t="s">
        <v>343</v>
      </c>
      <c r="M2281" s="81">
        <v>0.33</v>
      </c>
      <c r="N2281" s="82">
        <v>24.75</v>
      </c>
    </row>
    <row r="2282" spans="1:14" x14ac:dyDescent="0.25">
      <c r="A2282" s="10" t="str">
        <f>_xlfn.IFNA(
    IF(J2282=
        "PCB-0001",
        "CSS",
        IF(
            ISNUMBER(MATCH(_xlfn.TEXTBEFORE(J2282,"-"), {"CSS","CSN","PCB","PCF","BEC","CSD","PCM"}, 0)),
            _xlfn.TEXTBEFORE(J2282,"-"),
            "Other"
        )
    ),
"Add")</f>
        <v>PCB</v>
      </c>
      <c r="B2282" s="10" t="str">
        <f t="shared" si="36"/>
        <v>0012</v>
      </c>
      <c r="C2282" s="10" t="str">
        <f>_xlfn.LET(
    _xlpm.val, IF(Datadetails[[#This Row],[Activity]]="D02","C20",Datadetails[[#This Row],[Activity]]),
    IF(ISNUMBER(MATCH(_xlpm.val,{"D04","C30","c40","C20"},0)), _xlpm.val, "Other")
)</f>
        <v>C30</v>
      </c>
      <c r="D2282" s="10" t="str">
        <f>IFERROR(VLOOKUP(Datadetails[[#This Row],[Taskcode]],Dashboard!A:A,1,FALSE),"00 Err Missing")</f>
        <v>0012</v>
      </c>
      <c r="E2282" s="79">
        <v>45929</v>
      </c>
      <c r="F2282" s="80" t="s">
        <v>325</v>
      </c>
      <c r="G2282" s="60" t="s">
        <v>40</v>
      </c>
      <c r="H2282" s="80" t="s">
        <v>179</v>
      </c>
      <c r="I2282" s="80" t="s">
        <v>34</v>
      </c>
      <c r="J2282" s="80" t="s">
        <v>422</v>
      </c>
      <c r="K2282" s="80" t="s">
        <v>347</v>
      </c>
      <c r="L2282" s="80" t="s">
        <v>343</v>
      </c>
      <c r="M2282" s="81">
        <v>0.17</v>
      </c>
      <c r="N2282" s="82">
        <v>12.750000000000002</v>
      </c>
    </row>
    <row r="2283" spans="1:14" x14ac:dyDescent="0.25">
      <c r="A2283" s="10" t="str">
        <f>_xlfn.IFNA(
    IF(J2283=
        "PCB-0001",
        "CSS",
        IF(
            ISNUMBER(MATCH(_xlfn.TEXTBEFORE(J2283,"-"), {"CSS","CSN","PCB","PCF","BEC","CSD","PCM"}, 0)),
            _xlfn.TEXTBEFORE(J2283,"-"),
            "Other"
        )
    ),
"Add")</f>
        <v>PCB</v>
      </c>
      <c r="B2283" s="10" t="str">
        <f t="shared" si="36"/>
        <v>0042</v>
      </c>
      <c r="C2283" s="10" t="str">
        <f>_xlfn.LET(
    _xlpm.val, IF(Datadetails[[#This Row],[Activity]]="D02","C20",Datadetails[[#This Row],[Activity]]),
    IF(ISNUMBER(MATCH(_xlpm.val,{"D04","C30","c40","C20"},0)), _xlpm.val, "Other")
)</f>
        <v>C30</v>
      </c>
      <c r="D2283" s="10" t="str">
        <f>IFERROR(VLOOKUP(Datadetails[[#This Row],[Taskcode]],Dashboard!A:A,1,FALSE),"00 Err Missing")</f>
        <v>0042</v>
      </c>
      <c r="E2283" s="79">
        <v>45929</v>
      </c>
      <c r="F2283" s="80" t="s">
        <v>330</v>
      </c>
      <c r="G2283" s="60" t="s">
        <v>40</v>
      </c>
      <c r="H2283" s="80" t="s">
        <v>209</v>
      </c>
      <c r="I2283" s="80" t="s">
        <v>34</v>
      </c>
      <c r="J2283" s="80" t="s">
        <v>370</v>
      </c>
      <c r="K2283" s="80" t="s">
        <v>347</v>
      </c>
      <c r="L2283" s="80" t="s">
        <v>343</v>
      </c>
      <c r="M2283" s="81">
        <v>0.25</v>
      </c>
      <c r="N2283" s="82">
        <v>15</v>
      </c>
    </row>
    <row r="2284" spans="1:14" x14ac:dyDescent="0.25">
      <c r="A2284" s="10" t="str">
        <f>_xlfn.IFNA(
    IF(J2284=
        "PCB-0001",
        "CSS",
        IF(
            ISNUMBER(MATCH(_xlfn.TEXTBEFORE(J2284,"-"), {"CSS","CSN","PCB","PCF","BEC","CSD","PCM"}, 0)),
            _xlfn.TEXTBEFORE(J2284,"-"),
            "Other"
        )
    ),
"Add")</f>
        <v>PCB</v>
      </c>
      <c r="B2284" s="10" t="str">
        <f t="shared" si="36"/>
        <v>0134</v>
      </c>
      <c r="C2284" s="10" t="str">
        <f>_xlfn.LET(
    _xlpm.val, IF(Datadetails[[#This Row],[Activity]]="D02","C20",Datadetails[[#This Row],[Activity]]),
    IF(ISNUMBER(MATCH(_xlpm.val,{"D04","C30","c40","C20"},0)), _xlpm.val, "Other")
)</f>
        <v>C30</v>
      </c>
      <c r="D2284" s="10" t="str">
        <f>IFERROR(VLOOKUP(Datadetails[[#This Row],[Taskcode]],Dashboard!A:A,1,FALSE),"00 Err Missing")</f>
        <v>0134</v>
      </c>
      <c r="E2284" s="79">
        <v>45929</v>
      </c>
      <c r="F2284" s="80" t="s">
        <v>329</v>
      </c>
      <c r="G2284" s="60" t="s">
        <v>40</v>
      </c>
      <c r="H2284" s="80" t="s">
        <v>301</v>
      </c>
      <c r="I2284" s="80" t="s">
        <v>34</v>
      </c>
      <c r="J2284" s="80" t="s">
        <v>371</v>
      </c>
      <c r="K2284" s="80" t="s">
        <v>347</v>
      </c>
      <c r="L2284" s="80" t="s">
        <v>343</v>
      </c>
      <c r="M2284" s="81">
        <v>0.33</v>
      </c>
      <c r="N2284" s="82">
        <v>24.75</v>
      </c>
    </row>
    <row r="2285" spans="1:14" x14ac:dyDescent="0.25">
      <c r="A2285" s="10" t="str">
        <f>_xlfn.IFNA(
    IF(J2285=
        "PCB-0001",
        "CSS",
        IF(
            ISNUMBER(MATCH(_xlfn.TEXTBEFORE(J2285,"-"), {"CSS","CSN","PCB","PCF","BEC","CSD","PCM"}, 0)),
            _xlfn.TEXTBEFORE(J2285,"-"),
            "Other"
        )
    ),
"Add")</f>
        <v>PCB</v>
      </c>
      <c r="B2285" s="10" t="str">
        <f t="shared" si="36"/>
        <v>0062</v>
      </c>
      <c r="C2285" s="10" t="str">
        <f>_xlfn.LET(
    _xlpm.val, IF(Datadetails[[#This Row],[Activity]]="D02","C20",Datadetails[[#This Row],[Activity]]),
    IF(ISNUMBER(MATCH(_xlpm.val,{"D04","C30","c40","C20"},0)), _xlpm.val, "Other")
)</f>
        <v>C30</v>
      </c>
      <c r="D2285" s="10" t="str">
        <f>IFERROR(VLOOKUP(Datadetails[[#This Row],[Taskcode]],Dashboard!A:A,1,FALSE),"00 Err Missing")</f>
        <v>0062</v>
      </c>
      <c r="E2285" s="79">
        <v>45929</v>
      </c>
      <c r="F2285" s="80" t="s">
        <v>329</v>
      </c>
      <c r="G2285" s="60" t="s">
        <v>40</v>
      </c>
      <c r="H2285" s="80" t="s">
        <v>229</v>
      </c>
      <c r="I2285" s="80" t="s">
        <v>34</v>
      </c>
      <c r="J2285" s="80" t="s">
        <v>373</v>
      </c>
      <c r="K2285" s="80" t="s">
        <v>347</v>
      </c>
      <c r="L2285" s="80" t="s">
        <v>343</v>
      </c>
      <c r="M2285" s="81">
        <v>0.33</v>
      </c>
      <c r="N2285" s="82">
        <v>24.75</v>
      </c>
    </row>
    <row r="2286" spans="1:14" x14ac:dyDescent="0.25">
      <c r="A2286" s="10" t="str">
        <f>_xlfn.IFNA(
    IF(J2286=
        "PCB-0001",
        "CSS",
        IF(
            ISNUMBER(MATCH(_xlfn.TEXTBEFORE(J2286,"-"), {"CSS","CSN","PCB","PCF","BEC","CSD","PCM"}, 0)),
            _xlfn.TEXTBEFORE(J2286,"-"),
            "Other"
        )
    ),
"Add")</f>
        <v>PCB</v>
      </c>
      <c r="B2286" s="10" t="str">
        <f t="shared" si="36"/>
        <v>0054</v>
      </c>
      <c r="C2286" s="10" t="str">
        <f>_xlfn.LET(
    _xlpm.val, IF(Datadetails[[#This Row],[Activity]]="D02","C20",Datadetails[[#This Row],[Activity]]),
    IF(ISNUMBER(MATCH(_xlpm.val,{"D04","C30","c40","C20"},0)), _xlpm.val, "Other")
)</f>
        <v>C30</v>
      </c>
      <c r="D2286" s="10" t="str">
        <f>IFERROR(VLOOKUP(Datadetails[[#This Row],[Taskcode]],Dashboard!A:A,1,FALSE),"00 Err Missing")</f>
        <v>0054</v>
      </c>
      <c r="E2286" s="79">
        <v>45929</v>
      </c>
      <c r="F2286" s="80" t="s">
        <v>329</v>
      </c>
      <c r="G2286" s="60" t="s">
        <v>40</v>
      </c>
      <c r="H2286" s="80" t="s">
        <v>221</v>
      </c>
      <c r="I2286" s="80" t="s">
        <v>34</v>
      </c>
      <c r="J2286" s="80" t="s">
        <v>369</v>
      </c>
      <c r="K2286" s="80" t="s">
        <v>347</v>
      </c>
      <c r="L2286" s="80" t="s">
        <v>343</v>
      </c>
      <c r="M2286" s="81">
        <v>0.33</v>
      </c>
      <c r="N2286" s="82">
        <v>24.75</v>
      </c>
    </row>
    <row r="2287" spans="1:14" x14ac:dyDescent="0.25">
      <c r="A2287" s="10" t="str">
        <f>_xlfn.IFNA(
    IF(J2287=
        "PCB-0001",
        "CSS",
        IF(
            ISNUMBER(MATCH(_xlfn.TEXTBEFORE(J2287,"-"), {"CSS","CSN","PCB","PCF","BEC","CSD","PCM"}, 0)),
            _xlfn.TEXTBEFORE(J2287,"-"),
            "Other"
        )
    ),
"Add")</f>
        <v>PCB</v>
      </c>
      <c r="B2287" s="10" t="str">
        <f t="shared" si="36"/>
        <v>0071</v>
      </c>
      <c r="C2287" s="10" t="str">
        <f>_xlfn.LET(
    _xlpm.val, IF(Datadetails[[#This Row],[Activity]]="D02","C20",Datadetails[[#This Row],[Activity]]),
    IF(ISNUMBER(MATCH(_xlpm.val,{"D04","C30","c40","C20"},0)), _xlpm.val, "Other")
)</f>
        <v>C30</v>
      </c>
      <c r="D2287" s="10" t="str">
        <f>IFERROR(VLOOKUP(Datadetails[[#This Row],[Taskcode]],Dashboard!A:A,1,FALSE),"00 Err Missing")</f>
        <v>0071</v>
      </c>
      <c r="E2287" s="79">
        <v>45929</v>
      </c>
      <c r="F2287" s="80" t="s">
        <v>329</v>
      </c>
      <c r="G2287" s="60" t="s">
        <v>40</v>
      </c>
      <c r="H2287" s="80" t="s">
        <v>238</v>
      </c>
      <c r="I2287" s="80" t="s">
        <v>34</v>
      </c>
      <c r="J2287" s="80" t="s">
        <v>374</v>
      </c>
      <c r="K2287" s="80" t="s">
        <v>347</v>
      </c>
      <c r="L2287" s="80" t="s">
        <v>343</v>
      </c>
      <c r="M2287" s="81">
        <v>0.33</v>
      </c>
      <c r="N2287" s="82">
        <v>24.75</v>
      </c>
    </row>
    <row r="2288" spans="1:14" x14ac:dyDescent="0.25">
      <c r="A2288" s="10" t="str">
        <f>_xlfn.IFNA(
    IF(J2288=
        "PCB-0001",
        "CSS",
        IF(
            ISNUMBER(MATCH(_xlfn.TEXTBEFORE(J2288,"-"), {"CSS","CSN","PCB","PCF","BEC","CSD","PCM"}, 0)),
            _xlfn.TEXTBEFORE(J2288,"-"),
            "Other"
        )
    ),
"Add")</f>
        <v>PCB</v>
      </c>
      <c r="B2288" s="10" t="str">
        <f t="shared" si="36"/>
        <v>0011</v>
      </c>
      <c r="C2288" s="10" t="str">
        <f>_xlfn.LET(
    _xlpm.val, IF(Datadetails[[#This Row],[Activity]]="D02","C20",Datadetails[[#This Row],[Activity]]),
    IF(ISNUMBER(MATCH(_xlpm.val,{"D04","C30","c40","C20"},0)), _xlpm.val, "Other")
)</f>
        <v>C30</v>
      </c>
      <c r="D2288" s="10" t="str">
        <f>IFERROR(VLOOKUP(Datadetails[[#This Row],[Taskcode]],Dashboard!A:A,1,FALSE),"00 Err Missing")</f>
        <v>0011</v>
      </c>
      <c r="E2288" s="79">
        <v>45929</v>
      </c>
      <c r="F2288" s="80" t="s">
        <v>330</v>
      </c>
      <c r="G2288" s="60" t="s">
        <v>40</v>
      </c>
      <c r="H2288" s="80" t="s">
        <v>178</v>
      </c>
      <c r="I2288" s="80" t="s">
        <v>34</v>
      </c>
      <c r="J2288" s="80" t="s">
        <v>460</v>
      </c>
      <c r="K2288" s="80" t="s">
        <v>347</v>
      </c>
      <c r="L2288" s="80" t="s">
        <v>343</v>
      </c>
      <c r="M2288" s="81">
        <v>1.5</v>
      </c>
      <c r="N2288" s="82">
        <v>90</v>
      </c>
    </row>
    <row r="2289" spans="1:14" x14ac:dyDescent="0.25">
      <c r="A2289" s="10" t="str">
        <f>_xlfn.IFNA(
    IF(J2289=
        "PCB-0001",
        "CSS",
        IF(
            ISNUMBER(MATCH(_xlfn.TEXTBEFORE(J2289,"-"), {"CSS","CSN","PCB","PCF","BEC","CSD","PCM"}, 0)),
            _xlfn.TEXTBEFORE(J2289,"-"),
            "Other"
        )
    ),
"Add")</f>
        <v>PCB</v>
      </c>
      <c r="B2289" s="10" t="str">
        <f t="shared" si="36"/>
        <v>0077</v>
      </c>
      <c r="C2289" s="10" t="str">
        <f>_xlfn.LET(
    _xlpm.val, IF(Datadetails[[#This Row],[Activity]]="D02","C20",Datadetails[[#This Row],[Activity]]),
    IF(ISNUMBER(MATCH(_xlpm.val,{"D04","C30","c40","C20"},0)), _xlpm.val, "Other")
)</f>
        <v>C30</v>
      </c>
      <c r="D2289" s="10" t="str">
        <f>IFERROR(VLOOKUP(Datadetails[[#This Row],[Taskcode]],Dashboard!A:A,1,FALSE),"00 Err Missing")</f>
        <v>0077</v>
      </c>
      <c r="E2289" s="79">
        <v>45929</v>
      </c>
      <c r="F2289" s="80" t="s">
        <v>330</v>
      </c>
      <c r="G2289" s="60" t="s">
        <v>40</v>
      </c>
      <c r="H2289" s="80" t="s">
        <v>244</v>
      </c>
      <c r="I2289" s="80" t="s">
        <v>34</v>
      </c>
      <c r="J2289" s="80" t="s">
        <v>457</v>
      </c>
      <c r="K2289" s="80" t="s">
        <v>347</v>
      </c>
      <c r="L2289" s="80" t="s">
        <v>343</v>
      </c>
      <c r="M2289" s="81">
        <v>0.25</v>
      </c>
      <c r="N2289" s="82">
        <v>15</v>
      </c>
    </row>
    <row r="2290" spans="1:14" x14ac:dyDescent="0.25">
      <c r="A2290" s="10" t="str">
        <f>_xlfn.IFNA(
    IF(J2290=
        "PCB-0001",
        "CSS",
        IF(
            ISNUMBER(MATCH(_xlfn.TEXTBEFORE(J2290,"-"), {"CSS","CSN","PCB","PCF","BEC","CSD","PCM"}, 0)),
            _xlfn.TEXTBEFORE(J2290,"-"),
            "Other"
        )
    ),
"Add")</f>
        <v>PCB</v>
      </c>
      <c r="B2290" s="10" t="str">
        <f t="shared" si="36"/>
        <v>0126</v>
      </c>
      <c r="C2290" s="10" t="str">
        <f>_xlfn.LET(
    _xlpm.val, IF(Datadetails[[#This Row],[Activity]]="D02","C20",Datadetails[[#This Row],[Activity]]),
    IF(ISNUMBER(MATCH(_xlpm.val,{"D04","C30","c40","C20"},0)), _xlpm.val, "Other")
)</f>
        <v>C30</v>
      </c>
      <c r="D2290" s="10" t="str">
        <f>IFERROR(VLOOKUP(Datadetails[[#This Row],[Taskcode]],Dashboard!A:A,1,FALSE),"00 Err Missing")</f>
        <v>0126</v>
      </c>
      <c r="E2290" s="79">
        <v>45929</v>
      </c>
      <c r="F2290" s="80" t="s">
        <v>329</v>
      </c>
      <c r="G2290" s="60" t="s">
        <v>40</v>
      </c>
      <c r="H2290" s="80" t="s">
        <v>293</v>
      </c>
      <c r="I2290" s="80" t="s">
        <v>34</v>
      </c>
      <c r="J2290" s="80" t="s">
        <v>376</v>
      </c>
      <c r="K2290" s="80" t="s">
        <v>347</v>
      </c>
      <c r="L2290" s="80" t="s">
        <v>343</v>
      </c>
      <c r="M2290" s="81">
        <v>0.08</v>
      </c>
      <c r="N2290" s="82">
        <v>6</v>
      </c>
    </row>
    <row r="2291" spans="1:14" x14ac:dyDescent="0.25">
      <c r="A2291" s="10" t="str">
        <f>_xlfn.IFNA(
    IF(J2291=
        "PCB-0001",
        "CSS",
        IF(
            ISNUMBER(MATCH(_xlfn.TEXTBEFORE(J2291,"-"), {"CSS","CSN","PCB","PCF","BEC","CSD","PCM"}, 0)),
            _xlfn.TEXTBEFORE(J2291,"-"),
            "Other"
        )
    ),
"Add")</f>
        <v>PCB</v>
      </c>
      <c r="B2291" s="10" t="str">
        <f t="shared" si="36"/>
        <v>0128</v>
      </c>
      <c r="C2291" s="10" t="str">
        <f>_xlfn.LET(
    _xlpm.val, IF(Datadetails[[#This Row],[Activity]]="D02","C20",Datadetails[[#This Row],[Activity]]),
    IF(ISNUMBER(MATCH(_xlpm.val,{"D04","C30","c40","C20"},0)), _xlpm.val, "Other")
)</f>
        <v>C30</v>
      </c>
      <c r="D2291" s="10" t="str">
        <f>IFERROR(VLOOKUP(Datadetails[[#This Row],[Taskcode]],Dashboard!A:A,1,FALSE),"00 Err Missing")</f>
        <v>0128</v>
      </c>
      <c r="E2291" s="79">
        <v>45929</v>
      </c>
      <c r="F2291" s="80" t="s">
        <v>329</v>
      </c>
      <c r="G2291" s="60" t="s">
        <v>40</v>
      </c>
      <c r="H2291" s="80" t="s">
        <v>295</v>
      </c>
      <c r="I2291" s="80" t="s">
        <v>34</v>
      </c>
      <c r="J2291" s="80" t="s">
        <v>379</v>
      </c>
      <c r="K2291" s="80" t="s">
        <v>347</v>
      </c>
      <c r="L2291" s="80" t="s">
        <v>343</v>
      </c>
      <c r="M2291" s="81">
        <v>0.5</v>
      </c>
      <c r="N2291" s="82">
        <v>37.5</v>
      </c>
    </row>
    <row r="2292" spans="1:14" x14ac:dyDescent="0.25">
      <c r="A2292" s="10" t="str">
        <f>_xlfn.IFNA(
    IF(J2292=
        "PCB-0001",
        "CSS",
        IF(
            ISNUMBER(MATCH(_xlfn.TEXTBEFORE(J2292,"-"), {"CSS","CSN","PCB","PCF","BEC","CSD","PCM"}, 0)),
            _xlfn.TEXTBEFORE(J2292,"-"),
            "Other"
        )
    ),
"Add")</f>
        <v>PCB</v>
      </c>
      <c r="B2292" s="10" t="str">
        <f t="shared" si="36"/>
        <v>0129</v>
      </c>
      <c r="C2292" s="10" t="str">
        <f>_xlfn.LET(
    _xlpm.val, IF(Datadetails[[#This Row],[Activity]]="D02","C20",Datadetails[[#This Row],[Activity]]),
    IF(ISNUMBER(MATCH(_xlpm.val,{"D04","C30","c40","C20"},0)), _xlpm.val, "Other")
)</f>
        <v>C30</v>
      </c>
      <c r="D2292" s="10" t="str">
        <f>IFERROR(VLOOKUP(Datadetails[[#This Row],[Taskcode]],Dashboard!A:A,1,FALSE),"00 Err Missing")</f>
        <v>0129</v>
      </c>
      <c r="E2292" s="79">
        <v>45929</v>
      </c>
      <c r="F2292" s="80" t="s">
        <v>329</v>
      </c>
      <c r="G2292" s="60" t="s">
        <v>40</v>
      </c>
      <c r="H2292" s="80" t="s">
        <v>296</v>
      </c>
      <c r="I2292" s="80" t="s">
        <v>34</v>
      </c>
      <c r="J2292" s="80" t="s">
        <v>411</v>
      </c>
      <c r="K2292" s="80" t="s">
        <v>347</v>
      </c>
      <c r="L2292" s="80" t="s">
        <v>343</v>
      </c>
      <c r="M2292" s="81">
        <v>0.25</v>
      </c>
      <c r="N2292" s="82">
        <v>18.75</v>
      </c>
    </row>
    <row r="2293" spans="1:14" x14ac:dyDescent="0.25">
      <c r="A2293" s="10" t="str">
        <f>_xlfn.IFNA(
    IF(J2293=
        "PCB-0001",
        "CSS",
        IF(
            ISNUMBER(MATCH(_xlfn.TEXTBEFORE(J2293,"-"), {"CSS","CSN","PCB","PCF","BEC","CSD","PCM"}, 0)),
            _xlfn.TEXTBEFORE(J2293,"-"),
            "Other"
        )
    ),
"Add")</f>
        <v>PCB</v>
      </c>
      <c r="B2293" s="10" t="str">
        <f t="shared" si="36"/>
        <v>0082</v>
      </c>
      <c r="C2293" s="10" t="str">
        <f>_xlfn.LET(
    _xlpm.val, IF(Datadetails[[#This Row],[Activity]]="D02","C20",Datadetails[[#This Row],[Activity]]),
    IF(ISNUMBER(MATCH(_xlpm.val,{"D04","C30","c40","C20"},0)), _xlpm.val, "Other")
)</f>
        <v>C30</v>
      </c>
      <c r="D2293" s="10" t="str">
        <f>IFERROR(VLOOKUP(Datadetails[[#This Row],[Taskcode]],Dashboard!A:A,1,FALSE),"00 Err Missing")</f>
        <v>0082</v>
      </c>
      <c r="E2293" s="79">
        <v>45929</v>
      </c>
      <c r="F2293" s="80" t="s">
        <v>325</v>
      </c>
      <c r="G2293" s="60" t="s">
        <v>40</v>
      </c>
      <c r="H2293" s="80" t="s">
        <v>249</v>
      </c>
      <c r="I2293" s="80" t="s">
        <v>34</v>
      </c>
      <c r="J2293" s="80" t="s">
        <v>409</v>
      </c>
      <c r="K2293" s="80" t="s">
        <v>347</v>
      </c>
      <c r="L2293" s="80" t="s">
        <v>343</v>
      </c>
      <c r="M2293" s="81">
        <v>0.17</v>
      </c>
      <c r="N2293" s="82">
        <v>12.750000000000002</v>
      </c>
    </row>
    <row r="2294" spans="1:14" x14ac:dyDescent="0.25">
      <c r="A2294" s="10" t="str">
        <f>_xlfn.IFNA(
    IF(J2294=
        "PCB-0001",
        "CSS",
        IF(
            ISNUMBER(MATCH(_xlfn.TEXTBEFORE(J2294,"-"), {"CSS","CSN","PCB","PCF","BEC","CSD","PCM"}, 0)),
            _xlfn.TEXTBEFORE(J2294,"-"),
            "Other"
        )
    ),
"Add")</f>
        <v>PCB</v>
      </c>
      <c r="B2294" s="10" t="str">
        <f t="shared" si="36"/>
        <v>0080</v>
      </c>
      <c r="C2294" s="10" t="str">
        <f>_xlfn.LET(
    _xlpm.val, IF(Datadetails[[#This Row],[Activity]]="D02","C20",Datadetails[[#This Row],[Activity]]),
    IF(ISNUMBER(MATCH(_xlpm.val,{"D04","C30","c40","C20"},0)), _xlpm.val, "Other")
)</f>
        <v>C30</v>
      </c>
      <c r="D2294" s="10" t="str">
        <f>IFERROR(VLOOKUP(Datadetails[[#This Row],[Taskcode]],Dashboard!A:A,1,FALSE),"00 Err Missing")</f>
        <v>0080</v>
      </c>
      <c r="E2294" s="79">
        <v>45929</v>
      </c>
      <c r="F2294" s="80" t="s">
        <v>329</v>
      </c>
      <c r="G2294" s="60" t="s">
        <v>40</v>
      </c>
      <c r="H2294" s="80" t="s">
        <v>247</v>
      </c>
      <c r="I2294" s="80" t="s">
        <v>34</v>
      </c>
      <c r="J2294" s="80" t="s">
        <v>375</v>
      </c>
      <c r="K2294" s="80" t="s">
        <v>347</v>
      </c>
      <c r="L2294" s="80" t="s">
        <v>343</v>
      </c>
      <c r="M2294" s="81">
        <v>0.33</v>
      </c>
      <c r="N2294" s="82">
        <v>24.75</v>
      </c>
    </row>
    <row r="2295" spans="1:14" x14ac:dyDescent="0.25">
      <c r="A2295" s="10" t="str">
        <f>_xlfn.IFNA(
    IF(J2295=
        "PCB-0001",
        "CSS",
        IF(
            ISNUMBER(MATCH(_xlfn.TEXTBEFORE(J2295,"-"), {"CSS","CSN","PCB","PCF","BEC","CSD","PCM"}, 0)),
            _xlfn.TEXTBEFORE(J2295,"-"),
            "Other"
        )
    ),
"Add")</f>
        <v>PCB</v>
      </c>
      <c r="B2295" s="10" t="str">
        <f t="shared" si="36"/>
        <v>0111</v>
      </c>
      <c r="C2295" s="10" t="str">
        <f>_xlfn.LET(
    _xlpm.val, IF(Datadetails[[#This Row],[Activity]]="D02","C20",Datadetails[[#This Row],[Activity]]),
    IF(ISNUMBER(MATCH(_xlpm.val,{"D04","C30","c40","C20"},0)), _xlpm.val, "Other")
)</f>
        <v>C30</v>
      </c>
      <c r="D2295" s="10" t="str">
        <f>IFERROR(VLOOKUP(Datadetails[[#This Row],[Taskcode]],Dashboard!A:A,1,FALSE),"00 Err Missing")</f>
        <v>0111</v>
      </c>
      <c r="E2295" s="79">
        <v>45929</v>
      </c>
      <c r="F2295" s="80" t="s">
        <v>325</v>
      </c>
      <c r="G2295" s="60" t="s">
        <v>40</v>
      </c>
      <c r="H2295" s="80" t="s">
        <v>278</v>
      </c>
      <c r="I2295" s="80" t="s">
        <v>34</v>
      </c>
      <c r="J2295" s="80" t="s">
        <v>452</v>
      </c>
      <c r="K2295" s="80" t="s">
        <v>347</v>
      </c>
      <c r="L2295" s="80" t="s">
        <v>343</v>
      </c>
      <c r="M2295" s="81">
        <v>0.17</v>
      </c>
      <c r="N2295" s="82">
        <v>12.750000000000002</v>
      </c>
    </row>
    <row r="2296" spans="1:14" x14ac:dyDescent="0.25">
      <c r="A2296" s="10" t="str">
        <f>_xlfn.IFNA(
    IF(J2296=
        "PCB-0001",
        "CSS",
        IF(
            ISNUMBER(MATCH(_xlfn.TEXTBEFORE(J2296,"-"), {"CSS","CSN","PCB","PCF","BEC","CSD","PCM"}, 0)),
            _xlfn.TEXTBEFORE(J2296,"-"),
            "Other"
        )
    ),
"Add")</f>
        <v>PCB</v>
      </c>
      <c r="B2296" s="10" t="str">
        <f t="shared" si="36"/>
        <v>0063</v>
      </c>
      <c r="C2296" s="10" t="str">
        <f>_xlfn.LET(
    _xlpm.val, IF(Datadetails[[#This Row],[Activity]]="D02","C20",Datadetails[[#This Row],[Activity]]),
    IF(ISNUMBER(MATCH(_xlpm.val,{"D04","C30","c40","C20"},0)), _xlpm.val, "Other")
)</f>
        <v>C30</v>
      </c>
      <c r="D2296" s="10" t="str">
        <f>IFERROR(VLOOKUP(Datadetails[[#This Row],[Taskcode]],Dashboard!A:A,1,FALSE),"00 Err Missing")</f>
        <v>0063</v>
      </c>
      <c r="E2296" s="79">
        <v>45929</v>
      </c>
      <c r="F2296" s="80" t="s">
        <v>329</v>
      </c>
      <c r="G2296" s="60" t="s">
        <v>40</v>
      </c>
      <c r="H2296" s="80" t="s">
        <v>230</v>
      </c>
      <c r="I2296" s="80" t="s">
        <v>34</v>
      </c>
      <c r="J2296" s="80" t="s">
        <v>410</v>
      </c>
      <c r="K2296" s="80" t="s">
        <v>347</v>
      </c>
      <c r="L2296" s="80" t="s">
        <v>343</v>
      </c>
      <c r="M2296" s="81">
        <v>0.33</v>
      </c>
      <c r="N2296" s="82">
        <v>24.75</v>
      </c>
    </row>
    <row r="2297" spans="1:14" x14ac:dyDescent="0.25">
      <c r="A2297" s="10" t="str">
        <f>_xlfn.IFNA(
    IF(J2297=
        "PCB-0001",
        "CSS",
        IF(
            ISNUMBER(MATCH(_xlfn.TEXTBEFORE(J2297,"-"), {"CSS","CSN","PCB","PCF","BEC","CSD","PCM"}, 0)),
            _xlfn.TEXTBEFORE(J2297,"-"),
            "Other"
        )
    ),
"Add")</f>
        <v>PCB</v>
      </c>
      <c r="B2297" s="10" t="str">
        <f t="shared" si="36"/>
        <v>0105</v>
      </c>
      <c r="C2297" s="10" t="str">
        <f>_xlfn.LET(
    _xlpm.val, IF(Datadetails[[#This Row],[Activity]]="D02","C20",Datadetails[[#This Row],[Activity]]),
    IF(ISNUMBER(MATCH(_xlpm.val,{"D04","C30","c40","C20"},0)), _xlpm.val, "Other")
)</f>
        <v>C30</v>
      </c>
      <c r="D2297" s="10" t="str">
        <f>IFERROR(VLOOKUP(Datadetails[[#This Row],[Taskcode]],Dashboard!A:A,1,FALSE),"00 Err Missing")</f>
        <v>0105</v>
      </c>
      <c r="E2297" s="79">
        <v>45929</v>
      </c>
      <c r="F2297" s="80" t="s">
        <v>329</v>
      </c>
      <c r="G2297" s="60" t="s">
        <v>40</v>
      </c>
      <c r="H2297" s="80" t="s">
        <v>272</v>
      </c>
      <c r="I2297" s="80" t="s">
        <v>34</v>
      </c>
      <c r="J2297" s="80" t="s">
        <v>362</v>
      </c>
      <c r="K2297" s="80" t="s">
        <v>347</v>
      </c>
      <c r="L2297" s="80" t="s">
        <v>343</v>
      </c>
      <c r="M2297" s="81">
        <v>0.33</v>
      </c>
      <c r="N2297" s="82">
        <v>24.75</v>
      </c>
    </row>
    <row r="2298" spans="1:14" x14ac:dyDescent="0.25">
      <c r="A2298" s="10" t="str">
        <f>_xlfn.IFNA(
    IF(J2298=
        "PCB-0001",
        "CSS",
        IF(
            ISNUMBER(MATCH(_xlfn.TEXTBEFORE(J2298,"-"), {"CSS","CSN","PCB","PCF","BEC","CSD","PCM"}, 0)),
            _xlfn.TEXTBEFORE(J2298,"-"),
            "Other"
        )
    ),
"Add")</f>
        <v>PCB</v>
      </c>
      <c r="B2298" s="10" t="str">
        <f t="shared" si="36"/>
        <v>0111</v>
      </c>
      <c r="C2298" s="10" t="str">
        <f>_xlfn.LET(
    _xlpm.val, IF(Datadetails[[#This Row],[Activity]]="D02","C20",Datadetails[[#This Row],[Activity]]),
    IF(ISNUMBER(MATCH(_xlpm.val,{"D04","C30","c40","C20"},0)), _xlpm.val, "Other")
)</f>
        <v>C40</v>
      </c>
      <c r="D2298" s="10" t="str">
        <f>IFERROR(VLOOKUP(Datadetails[[#This Row],[Taskcode]],Dashboard!A:A,1,FALSE),"00 Err Missing")</f>
        <v>0111</v>
      </c>
      <c r="E2298" s="79">
        <v>45929</v>
      </c>
      <c r="F2298" s="80" t="s">
        <v>325</v>
      </c>
      <c r="G2298" s="60" t="s">
        <v>40</v>
      </c>
      <c r="H2298" s="80" t="s">
        <v>278</v>
      </c>
      <c r="I2298" s="80" t="s">
        <v>341</v>
      </c>
      <c r="J2298" s="80" t="s">
        <v>452</v>
      </c>
      <c r="K2298" s="80" t="s">
        <v>347</v>
      </c>
      <c r="L2298" s="80" t="s">
        <v>344</v>
      </c>
      <c r="M2298" s="81">
        <v>2.92</v>
      </c>
      <c r="N2298" s="82">
        <v>219</v>
      </c>
    </row>
    <row r="2299" spans="1:14" x14ac:dyDescent="0.25">
      <c r="A2299" s="10" t="str">
        <f>_xlfn.IFNA(
    IF(J2299=
        "PCB-0001",
        "CSS",
        IF(
            ISNUMBER(MATCH(_xlfn.TEXTBEFORE(J2299,"-"), {"CSS","CSN","PCB","PCF","BEC","CSD","PCM"}, 0)),
            _xlfn.TEXTBEFORE(J2299,"-"),
            "Other"
        )
    ),
"Add")</f>
        <v>PCB</v>
      </c>
      <c r="B2299" s="10" t="str">
        <f t="shared" si="36"/>
        <v>0081</v>
      </c>
      <c r="C2299" s="10" t="str">
        <f>_xlfn.LET(
    _xlpm.val, IF(Datadetails[[#This Row],[Activity]]="D02","C20",Datadetails[[#This Row],[Activity]]),
    IF(ISNUMBER(MATCH(_xlpm.val,{"D04","C30","c40","C20"},0)), _xlpm.val, "Other")
)</f>
        <v>C40</v>
      </c>
      <c r="D2299" s="10" t="str">
        <f>IFERROR(VLOOKUP(Datadetails[[#This Row],[Taskcode]],Dashboard!A:A,1,FALSE),"00 Err Missing")</f>
        <v>0081</v>
      </c>
      <c r="E2299" s="79">
        <v>45929</v>
      </c>
      <c r="F2299" s="80" t="s">
        <v>329</v>
      </c>
      <c r="G2299" s="60" t="s">
        <v>40</v>
      </c>
      <c r="H2299" s="80" t="s">
        <v>248</v>
      </c>
      <c r="I2299" s="80" t="s">
        <v>341</v>
      </c>
      <c r="J2299" s="80" t="s">
        <v>385</v>
      </c>
      <c r="K2299" s="80" t="s">
        <v>347</v>
      </c>
      <c r="L2299" s="80" t="s">
        <v>344</v>
      </c>
      <c r="M2299" s="81">
        <v>0.33</v>
      </c>
      <c r="N2299" s="82">
        <v>24.75</v>
      </c>
    </row>
    <row r="2300" spans="1:14" x14ac:dyDescent="0.25">
      <c r="A2300" s="10" t="str">
        <f>_xlfn.IFNA(
    IF(J2300=
        "PCB-0001",
        "CSS",
        IF(
            ISNUMBER(MATCH(_xlfn.TEXTBEFORE(J2300,"-"), {"CSS","CSN","PCB","PCF","BEC","CSD","PCM"}, 0)),
            _xlfn.TEXTBEFORE(J2300,"-"),
            "Other"
        )
    ),
"Add")</f>
        <v>PCB</v>
      </c>
      <c r="B2300" s="10" t="str">
        <f t="shared" si="36"/>
        <v>0132</v>
      </c>
      <c r="C2300" s="10" t="str">
        <f>_xlfn.LET(
    _xlpm.val, IF(Datadetails[[#This Row],[Activity]]="D02","C20",Datadetails[[#This Row],[Activity]]),
    IF(ISNUMBER(MATCH(_xlpm.val,{"D04","C30","c40","C20"},0)), _xlpm.val, "Other")
)</f>
        <v>C20</v>
      </c>
      <c r="D2300" s="10" t="str">
        <f>IFERROR(VLOOKUP(Datadetails[[#This Row],[Taskcode]],Dashboard!A:A,1,FALSE),"00 Err Missing")</f>
        <v>0132</v>
      </c>
      <c r="E2300" s="79">
        <v>45929</v>
      </c>
      <c r="F2300" s="80" t="s">
        <v>329</v>
      </c>
      <c r="G2300" s="60" t="s">
        <v>40</v>
      </c>
      <c r="H2300" s="80" t="s">
        <v>299</v>
      </c>
      <c r="I2300" s="80" t="s">
        <v>312</v>
      </c>
      <c r="J2300" s="80" t="s">
        <v>455</v>
      </c>
      <c r="K2300" s="80" t="s">
        <v>347</v>
      </c>
      <c r="L2300" s="80" t="s">
        <v>350</v>
      </c>
      <c r="M2300" s="81">
        <v>0.5</v>
      </c>
      <c r="N2300" s="82">
        <v>37.5</v>
      </c>
    </row>
    <row r="2301" spans="1:14" x14ac:dyDescent="0.25">
      <c r="A2301" s="10" t="str">
        <f>_xlfn.IFNA(
    IF(J2301=
        "PCB-0001",
        "CSS",
        IF(
            ISNUMBER(MATCH(_xlfn.TEXTBEFORE(J2301,"-"), {"CSS","CSN","PCB","PCF","BEC","CSD","PCM"}, 0)),
            _xlfn.TEXTBEFORE(J2301,"-"),
            "Other"
        )
    ),
"Add")</f>
        <v>PCF</v>
      </c>
      <c r="B2301" s="10" t="str">
        <f t="shared" si="36"/>
        <v>0098</v>
      </c>
      <c r="C2301" s="10" t="str">
        <f>_xlfn.LET(
    _xlpm.val, IF(Datadetails[[#This Row],[Activity]]="D02","C20",Datadetails[[#This Row],[Activity]]),
    IF(ISNUMBER(MATCH(_xlpm.val,{"D04","C30","c40","C20"},0)), _xlpm.val, "Other")
)</f>
        <v>C30</v>
      </c>
      <c r="D2301" s="10" t="str">
        <f>IFERROR(VLOOKUP(Datadetails[[#This Row],[Taskcode]],Dashboard!A:A,1,FALSE),"00 Err Missing")</f>
        <v>0098</v>
      </c>
      <c r="E2301" s="79">
        <v>45929</v>
      </c>
      <c r="F2301" s="80" t="s">
        <v>326</v>
      </c>
      <c r="G2301" s="60" t="s">
        <v>40</v>
      </c>
      <c r="H2301" s="80" t="s">
        <v>265</v>
      </c>
      <c r="I2301" s="80" t="s">
        <v>34</v>
      </c>
      <c r="J2301" s="80" t="s">
        <v>358</v>
      </c>
      <c r="K2301" s="80" t="s">
        <v>348</v>
      </c>
      <c r="L2301" s="80" t="s">
        <v>343</v>
      </c>
      <c r="M2301" s="81">
        <v>1.33</v>
      </c>
      <c r="N2301" s="82">
        <v>79.800000000000011</v>
      </c>
    </row>
    <row r="2302" spans="1:14" x14ac:dyDescent="0.25">
      <c r="A2302" s="10" t="str">
        <f>_xlfn.IFNA(
    IF(J2302=
        "PCB-0001",
        "CSS",
        IF(
            ISNUMBER(MATCH(_xlfn.TEXTBEFORE(J2302,"-"), {"CSS","CSN","PCB","PCF","BEC","CSD","PCM"}, 0)),
            _xlfn.TEXTBEFORE(J2302,"-"),
            "Other"
        )
    ),
"Add")</f>
        <v>BEC</v>
      </c>
      <c r="B2302" s="10" t="str">
        <f t="shared" si="36"/>
        <v>0001</v>
      </c>
      <c r="C2302" s="10" t="str">
        <f>_xlfn.LET(
    _xlpm.val, IF(Datadetails[[#This Row],[Activity]]="D02","C20",Datadetails[[#This Row],[Activity]]),
    IF(ISNUMBER(MATCH(_xlpm.val,{"D04","C30","c40","C20"},0)), _xlpm.val, "Other")
)</f>
        <v>D04</v>
      </c>
      <c r="D2302" s="10" t="str">
        <f>IFERROR(VLOOKUP(Datadetails[[#This Row],[Taskcode]],Dashboard!A:A,1,FALSE),"00 Err Missing")</f>
        <v>0001</v>
      </c>
      <c r="E2302" s="79">
        <v>45929</v>
      </c>
      <c r="F2302" s="80" t="s">
        <v>332</v>
      </c>
      <c r="G2302" s="60" t="s">
        <v>40</v>
      </c>
      <c r="H2302" s="80" t="s">
        <v>314</v>
      </c>
      <c r="I2302" s="80" t="s">
        <v>35</v>
      </c>
      <c r="J2302" s="80" t="s">
        <v>359</v>
      </c>
      <c r="K2302" s="80" t="s">
        <v>339</v>
      </c>
      <c r="L2302" s="80" t="s">
        <v>352</v>
      </c>
      <c r="M2302" s="81">
        <v>7.5</v>
      </c>
      <c r="N2302" s="82">
        <v>300</v>
      </c>
    </row>
    <row r="2303" spans="1:14" x14ac:dyDescent="0.25">
      <c r="A2303" s="10" t="str">
        <f>_xlfn.IFNA(
    IF(J2303=
        "PCB-0001",
        "CSS",
        IF(
            ISNUMBER(MATCH(_xlfn.TEXTBEFORE(J2303,"-"), {"CSS","CSN","PCB","PCF","BEC","CSD","PCM"}, 0)),
            _xlfn.TEXTBEFORE(J2303,"-"),
            "Other"
        )
    ),
"Add")</f>
        <v>BEC</v>
      </c>
      <c r="B2303" s="10" t="str">
        <f t="shared" si="36"/>
        <v>0001</v>
      </c>
      <c r="C2303" s="10" t="str">
        <f>_xlfn.LET(
    _xlpm.val, IF(Datadetails[[#This Row],[Activity]]="D02","C20",Datadetails[[#This Row],[Activity]]),
    IF(ISNUMBER(MATCH(_xlpm.val,{"D04","C30","c40","C20"},0)), _xlpm.val, "Other")
)</f>
        <v>D04</v>
      </c>
      <c r="D2303" s="10" t="str">
        <f>IFERROR(VLOOKUP(Datadetails[[#This Row],[Taskcode]],Dashboard!A:A,1,FALSE),"00 Err Missing")</f>
        <v>0001</v>
      </c>
      <c r="E2303" s="79">
        <v>45929</v>
      </c>
      <c r="F2303" s="80" t="s">
        <v>324</v>
      </c>
      <c r="G2303" s="60" t="s">
        <v>40</v>
      </c>
      <c r="H2303" s="80" t="s">
        <v>314</v>
      </c>
      <c r="I2303" s="80" t="s">
        <v>35</v>
      </c>
      <c r="J2303" s="80" t="s">
        <v>359</v>
      </c>
      <c r="K2303" s="80" t="s">
        <v>339</v>
      </c>
      <c r="L2303" s="80" t="s">
        <v>352</v>
      </c>
      <c r="M2303" s="81">
        <v>4.5</v>
      </c>
      <c r="N2303" s="82">
        <v>337.5</v>
      </c>
    </row>
    <row r="2304" spans="1:14" x14ac:dyDescent="0.25">
      <c r="A2304" s="10" t="str">
        <f>_xlfn.IFNA(
    IF(J2304=
        "PCB-0001",
        "CSS",
        IF(
            ISNUMBER(MATCH(_xlfn.TEXTBEFORE(J2304,"-"), {"CSS","CSN","PCB","PCF","BEC","CSD","PCM"}, 0)),
            _xlfn.TEXTBEFORE(J2304,"-"),
            "Other"
        )
    ),
"Add")</f>
        <v>CSN</v>
      </c>
      <c r="B2304" s="10" t="str">
        <f t="shared" si="36"/>
        <v>0001</v>
      </c>
      <c r="C2304" s="10" t="str">
        <f>_xlfn.LET(
    _xlpm.val, IF(Datadetails[[#This Row],[Activity]]="D02","C20",Datadetails[[#This Row],[Activity]]),
    IF(ISNUMBER(MATCH(_xlpm.val,{"D04","C30","c40","C20"},0)), _xlpm.val, "Other")
)</f>
        <v>D04</v>
      </c>
      <c r="D2304" s="10" t="str">
        <f>IFERROR(VLOOKUP(Datadetails[[#This Row],[Taskcode]],Dashboard!A:A,1,FALSE),"00 Err Missing")</f>
        <v>0001</v>
      </c>
      <c r="E2304" s="79">
        <v>45930</v>
      </c>
      <c r="F2304" s="80" t="s">
        <v>329</v>
      </c>
      <c r="G2304" s="60" t="s">
        <v>40</v>
      </c>
      <c r="H2304" s="80" t="s">
        <v>316</v>
      </c>
      <c r="I2304" s="80" t="s">
        <v>35</v>
      </c>
      <c r="J2304" s="80" t="s">
        <v>338</v>
      </c>
      <c r="K2304" s="80" t="s">
        <v>337</v>
      </c>
      <c r="L2304" s="80" t="s">
        <v>352</v>
      </c>
      <c r="M2304" s="81">
        <v>1.17</v>
      </c>
      <c r="N2304" s="82">
        <v>87.75</v>
      </c>
    </row>
    <row r="2305" spans="1:14" x14ac:dyDescent="0.25">
      <c r="A2305" s="10" t="str">
        <f>_xlfn.IFNA(
    IF(J2305=
        "PCB-0001",
        "CSS",
        IF(
            ISNUMBER(MATCH(_xlfn.TEXTBEFORE(J2305,"-"), {"CSS","CSN","PCB","PCF","BEC","CSD","PCM"}, 0)),
            _xlfn.TEXTBEFORE(J2305,"-"),
            "Other"
        )
    ),
"Add")</f>
        <v>PCM</v>
      </c>
      <c r="B2305" s="10" t="str">
        <f t="shared" si="36"/>
        <v>0002</v>
      </c>
      <c r="C2305" s="10" t="str">
        <f>_xlfn.LET(
    _xlpm.val, IF(Datadetails[[#This Row],[Activity]]="D02","C20",Datadetails[[#This Row],[Activity]]),
    IF(ISNUMBER(MATCH(_xlpm.val,{"D04","C30","c40","C20"},0)), _xlpm.val, "Other")
)</f>
        <v>C20</v>
      </c>
      <c r="D2305" s="10" t="str">
        <f>IFERROR(VLOOKUP(Datadetails[[#This Row],[Taskcode]],Dashboard!A:A,1,FALSE),"00 Err Missing")</f>
        <v>0002</v>
      </c>
      <c r="E2305" s="79">
        <v>45930</v>
      </c>
      <c r="F2305" s="80" t="s">
        <v>323</v>
      </c>
      <c r="G2305" s="60" t="s">
        <v>40</v>
      </c>
      <c r="H2305" s="80" t="s">
        <v>169</v>
      </c>
      <c r="I2305" s="80" t="s">
        <v>36</v>
      </c>
      <c r="J2305" s="80" t="s">
        <v>433</v>
      </c>
      <c r="K2305" s="80" t="s">
        <v>346</v>
      </c>
      <c r="L2305" s="80" t="s">
        <v>342</v>
      </c>
      <c r="M2305" s="81">
        <v>0.25</v>
      </c>
      <c r="N2305" s="82">
        <v>15</v>
      </c>
    </row>
    <row r="2306" spans="1:14" x14ac:dyDescent="0.25">
      <c r="A2306" s="10" t="str">
        <f>_xlfn.IFNA(
    IF(J2306=
        "PCB-0001",
        "CSS",
        IF(
            ISNUMBER(MATCH(_xlfn.TEXTBEFORE(J2306,"-"), {"CSS","CSN","PCB","PCF","BEC","CSD","PCM"}, 0)),
            _xlfn.TEXTBEFORE(J2306,"-"),
            "Other"
        )
    ),
"Add")</f>
        <v>PCM</v>
      </c>
      <c r="B2306" s="10" t="str">
        <f t="shared" si="36"/>
        <v>0005</v>
      </c>
      <c r="C2306" s="10" t="str">
        <f>_xlfn.LET(
    _xlpm.val, IF(Datadetails[[#This Row],[Activity]]="D02","C20",Datadetails[[#This Row],[Activity]]),
    IF(ISNUMBER(MATCH(_xlpm.val,{"D04","C30","c40","C20"},0)), _xlpm.val, "Other")
)</f>
        <v>C20</v>
      </c>
      <c r="D2306" s="10" t="str">
        <f>IFERROR(VLOOKUP(Datadetails[[#This Row],[Taskcode]],Dashboard!A:A,1,FALSE),"00 Err Missing")</f>
        <v>0005</v>
      </c>
      <c r="E2306" s="79">
        <v>45930</v>
      </c>
      <c r="F2306" s="80" t="s">
        <v>323</v>
      </c>
      <c r="G2306" s="60" t="s">
        <v>40</v>
      </c>
      <c r="H2306" s="80" t="s">
        <v>172</v>
      </c>
      <c r="I2306" s="80" t="s">
        <v>36</v>
      </c>
      <c r="J2306" s="80" t="s">
        <v>426</v>
      </c>
      <c r="K2306" s="80" t="s">
        <v>346</v>
      </c>
      <c r="L2306" s="80" t="s">
        <v>342</v>
      </c>
      <c r="M2306" s="81">
        <v>0.25</v>
      </c>
      <c r="N2306" s="82">
        <v>15</v>
      </c>
    </row>
    <row r="2307" spans="1:14" x14ac:dyDescent="0.25">
      <c r="A2307" s="10" t="str">
        <f>_xlfn.IFNA(
    IF(J2307=
        "PCB-0001",
        "CSS",
        IF(
            ISNUMBER(MATCH(_xlfn.TEXTBEFORE(J2307,"-"), {"CSS","CSN","PCB","PCF","BEC","CSD","PCM"}, 0)),
            _xlfn.TEXTBEFORE(J2307,"-"),
            "Other"
        )
    ),
"Add")</f>
        <v>CSD</v>
      </c>
      <c r="B2307" s="10" t="str">
        <f t="shared" si="36"/>
        <v>0001</v>
      </c>
      <c r="C2307" s="10" t="str">
        <f>_xlfn.LET(
    _xlpm.val, IF(Datadetails[[#This Row],[Activity]]="D02","C20",Datadetails[[#This Row],[Activity]]),
    IF(ISNUMBER(MATCH(_xlpm.val,{"D04","C30","c40","C20"},0)), _xlpm.val, "Other")
)</f>
        <v>D04</v>
      </c>
      <c r="D2307" s="10" t="str">
        <f>IFERROR(VLOOKUP(Datadetails[[#This Row],[Taskcode]],Dashboard!A:A,1,FALSE),"00 Err Missing")</f>
        <v>0001</v>
      </c>
      <c r="E2307" s="79">
        <v>45930</v>
      </c>
      <c r="F2307" s="80" t="s">
        <v>333</v>
      </c>
      <c r="G2307" s="60" t="s">
        <v>40</v>
      </c>
      <c r="H2307" s="80" t="s">
        <v>320</v>
      </c>
      <c r="I2307" s="80" t="s">
        <v>35</v>
      </c>
      <c r="J2307" s="80" t="s">
        <v>322</v>
      </c>
      <c r="K2307" s="80" t="s">
        <v>319</v>
      </c>
      <c r="L2307" s="80" t="s">
        <v>352</v>
      </c>
      <c r="M2307" s="81">
        <v>7.55</v>
      </c>
      <c r="N2307" s="82">
        <v>241.6</v>
      </c>
    </row>
    <row r="2308" spans="1:14" x14ac:dyDescent="0.25">
      <c r="A2308" s="10" t="str">
        <f>_xlfn.IFNA(
    IF(J2308=
        "PCB-0001",
        "CSS",
        IF(
            ISNUMBER(MATCH(_xlfn.TEXTBEFORE(J2308,"-"), {"CSS","CSN","PCB","PCF","BEC","CSD","PCM"}, 0)),
            _xlfn.TEXTBEFORE(J2308,"-"),
            "Other"
        )
    ),
"Add")</f>
        <v>CSD</v>
      </c>
      <c r="B2308" s="10" t="str">
        <f t="shared" ref="B2308:B2371" si="37">_xlfn.IFNA(_xlfn.TEXTAFTER(J2308,"-"),"Data to C2")</f>
        <v>0001</v>
      </c>
      <c r="C2308" s="10" t="str">
        <f>_xlfn.LET(
    _xlpm.val, IF(Datadetails[[#This Row],[Activity]]="D02","C20",Datadetails[[#This Row],[Activity]]),
    IF(ISNUMBER(MATCH(_xlpm.val,{"D04","C30","c40","C20"},0)), _xlpm.val, "Other")
)</f>
        <v>D04</v>
      </c>
      <c r="D2308" s="10" t="str">
        <f>IFERROR(VLOOKUP(Datadetails[[#This Row],[Taskcode]],Dashboard!A:A,1,FALSE),"00 Err Missing")</f>
        <v>0001</v>
      </c>
      <c r="E2308" s="79">
        <v>45930</v>
      </c>
      <c r="F2308" s="80" t="s">
        <v>327</v>
      </c>
      <c r="G2308" s="60" t="s">
        <v>40</v>
      </c>
      <c r="H2308" s="80" t="s">
        <v>320</v>
      </c>
      <c r="I2308" s="80" t="s">
        <v>35</v>
      </c>
      <c r="J2308" s="80" t="s">
        <v>322</v>
      </c>
      <c r="K2308" s="80" t="s">
        <v>319</v>
      </c>
      <c r="L2308" s="80" t="s">
        <v>352</v>
      </c>
      <c r="M2308" s="81">
        <v>7.33</v>
      </c>
      <c r="N2308" s="82">
        <v>234.56</v>
      </c>
    </row>
    <row r="2309" spans="1:14" x14ac:dyDescent="0.25">
      <c r="A2309" s="10" t="str">
        <f>_xlfn.IFNA(
    IF(J2309=
        "PCB-0001",
        "CSS",
        IF(
            ISNUMBER(MATCH(_xlfn.TEXTBEFORE(J2309,"-"), {"CSS","CSN","PCB","PCF","BEC","CSD","PCM"}, 0)),
            _xlfn.TEXTBEFORE(J2309,"-"),
            "Other"
        )
    ),
"Add")</f>
        <v>PCM</v>
      </c>
      <c r="B2309" s="10" t="str">
        <f t="shared" si="37"/>
        <v>0064</v>
      </c>
      <c r="C2309" s="10" t="str">
        <f>_xlfn.LET(
    _xlpm.val, IF(Datadetails[[#This Row],[Activity]]="D02","C20",Datadetails[[#This Row],[Activity]]),
    IF(ISNUMBER(MATCH(_xlpm.val,{"D04","C30","c40","C20"},0)), _xlpm.val, "Other")
)</f>
        <v>C30</v>
      </c>
      <c r="D2309" s="10" t="str">
        <f>IFERROR(VLOOKUP(Datadetails[[#This Row],[Taskcode]],Dashboard!A:A,1,FALSE),"00 Err Missing")</f>
        <v>0064</v>
      </c>
      <c r="E2309" s="79">
        <v>45930</v>
      </c>
      <c r="F2309" s="80" t="s">
        <v>323</v>
      </c>
      <c r="G2309" s="60" t="s">
        <v>40</v>
      </c>
      <c r="H2309" s="80" t="s">
        <v>231</v>
      </c>
      <c r="I2309" s="80" t="s">
        <v>34</v>
      </c>
      <c r="J2309" s="80" t="s">
        <v>420</v>
      </c>
      <c r="K2309" s="80" t="s">
        <v>346</v>
      </c>
      <c r="L2309" s="80" t="s">
        <v>343</v>
      </c>
      <c r="M2309" s="81">
        <v>0.25</v>
      </c>
      <c r="N2309" s="82">
        <v>15</v>
      </c>
    </row>
    <row r="2310" spans="1:14" x14ac:dyDescent="0.25">
      <c r="A2310" s="10" t="str">
        <f>_xlfn.IFNA(
    IF(J2310=
        "PCB-0001",
        "CSS",
        IF(
            ISNUMBER(MATCH(_xlfn.TEXTBEFORE(J2310,"-"), {"CSS","CSN","PCB","PCF","BEC","CSD","PCM"}, 0)),
            _xlfn.TEXTBEFORE(J2310,"-"),
            "Other"
        )
    ),
"Add")</f>
        <v>PCM</v>
      </c>
      <c r="B2310" s="10" t="str">
        <f t="shared" si="37"/>
        <v>0116</v>
      </c>
      <c r="C2310" s="10" t="str">
        <f>_xlfn.LET(
    _xlpm.val, IF(Datadetails[[#This Row],[Activity]]="D02","C20",Datadetails[[#This Row],[Activity]]),
    IF(ISNUMBER(MATCH(_xlpm.val,{"D04","C30","c40","C20"},0)), _xlpm.val, "Other")
)</f>
        <v>C30</v>
      </c>
      <c r="D2310" s="10" t="str">
        <f>IFERROR(VLOOKUP(Datadetails[[#This Row],[Taskcode]],Dashboard!A:A,1,FALSE),"00 Err Missing")</f>
        <v>0116</v>
      </c>
      <c r="E2310" s="79">
        <v>45930</v>
      </c>
      <c r="F2310" s="80" t="s">
        <v>323</v>
      </c>
      <c r="G2310" s="60" t="s">
        <v>40</v>
      </c>
      <c r="H2310" s="80" t="s">
        <v>283</v>
      </c>
      <c r="I2310" s="80" t="s">
        <v>34</v>
      </c>
      <c r="J2310" s="80" t="s">
        <v>429</v>
      </c>
      <c r="K2310" s="80" t="s">
        <v>346</v>
      </c>
      <c r="L2310" s="80" t="s">
        <v>343</v>
      </c>
      <c r="M2310" s="81">
        <v>0.5</v>
      </c>
      <c r="N2310" s="82">
        <v>30</v>
      </c>
    </row>
    <row r="2311" spans="1:14" x14ac:dyDescent="0.25">
      <c r="A2311" s="10" t="str">
        <f>_xlfn.IFNA(
    IF(J2311=
        "PCB-0001",
        "CSS",
        IF(
            ISNUMBER(MATCH(_xlfn.TEXTBEFORE(J2311,"-"), {"CSS","CSN","PCB","PCF","BEC","CSD","PCM"}, 0)),
            _xlfn.TEXTBEFORE(J2311,"-"),
            "Other"
        )
    ),
"Add")</f>
        <v>PCB</v>
      </c>
      <c r="B2311" s="10" t="str">
        <f t="shared" si="37"/>
        <v>0030</v>
      </c>
      <c r="C2311" s="10" t="str">
        <f>_xlfn.LET(
    _xlpm.val, IF(Datadetails[[#This Row],[Activity]]="D02","C20",Datadetails[[#This Row],[Activity]]),
    IF(ISNUMBER(MATCH(_xlpm.val,{"D04","C30","c40","C20"},0)), _xlpm.val, "Other")
)</f>
        <v>C30</v>
      </c>
      <c r="D2311" s="10" t="str">
        <f>IFERROR(VLOOKUP(Datadetails[[#This Row],[Taskcode]],Dashboard!A:A,1,FALSE),"00 Err Missing")</f>
        <v>0030</v>
      </c>
      <c r="E2311" s="79">
        <v>45930</v>
      </c>
      <c r="F2311" s="80" t="s">
        <v>329</v>
      </c>
      <c r="G2311" s="60" t="s">
        <v>40</v>
      </c>
      <c r="H2311" s="80" t="s">
        <v>197</v>
      </c>
      <c r="I2311" s="80" t="s">
        <v>34</v>
      </c>
      <c r="J2311" s="80" t="s">
        <v>366</v>
      </c>
      <c r="K2311" s="80" t="s">
        <v>347</v>
      </c>
      <c r="L2311" s="80" t="s">
        <v>343</v>
      </c>
      <c r="M2311" s="81">
        <v>0.17</v>
      </c>
      <c r="N2311" s="82">
        <v>12.750000000000002</v>
      </c>
    </row>
    <row r="2312" spans="1:14" x14ac:dyDescent="0.25">
      <c r="A2312" s="10" t="str">
        <f>_xlfn.IFNA(
    IF(J2312=
        "PCB-0001",
        "CSS",
        IF(
            ISNUMBER(MATCH(_xlfn.TEXTBEFORE(J2312,"-"), {"CSS","CSN","PCB","PCF","BEC","CSD","PCM"}, 0)),
            _xlfn.TEXTBEFORE(J2312,"-"),
            "Other"
        )
    ),
"Add")</f>
        <v>PCB</v>
      </c>
      <c r="B2312" s="10" t="str">
        <f t="shared" si="37"/>
        <v>0134</v>
      </c>
      <c r="C2312" s="10" t="str">
        <f>_xlfn.LET(
    _xlpm.val, IF(Datadetails[[#This Row],[Activity]]="D02","C20",Datadetails[[#This Row],[Activity]]),
    IF(ISNUMBER(MATCH(_xlpm.val,{"D04","C30","c40","C20"},0)), _xlpm.val, "Other")
)</f>
        <v>C30</v>
      </c>
      <c r="D2312" s="10" t="str">
        <f>IFERROR(VLOOKUP(Datadetails[[#This Row],[Taskcode]],Dashboard!A:A,1,FALSE),"00 Err Missing")</f>
        <v>0134</v>
      </c>
      <c r="E2312" s="79">
        <v>45930</v>
      </c>
      <c r="F2312" s="80" t="s">
        <v>329</v>
      </c>
      <c r="G2312" s="60" t="s">
        <v>40</v>
      </c>
      <c r="H2312" s="80" t="s">
        <v>301</v>
      </c>
      <c r="I2312" s="80" t="s">
        <v>34</v>
      </c>
      <c r="J2312" s="80" t="s">
        <v>371</v>
      </c>
      <c r="K2312" s="80" t="s">
        <v>347</v>
      </c>
      <c r="L2312" s="80" t="s">
        <v>343</v>
      </c>
      <c r="M2312" s="81">
        <v>0.57999999999999996</v>
      </c>
      <c r="N2312" s="82">
        <v>43.5</v>
      </c>
    </row>
    <row r="2313" spans="1:14" x14ac:dyDescent="0.25">
      <c r="A2313" s="10" t="str">
        <f>_xlfn.IFNA(
    IF(J2313=
        "PCB-0001",
        "CSS",
        IF(
            ISNUMBER(MATCH(_xlfn.TEXTBEFORE(J2313,"-"), {"CSS","CSN","PCB","PCF","BEC","CSD","PCM"}, 0)),
            _xlfn.TEXTBEFORE(J2313,"-"),
            "Other"
        )
    ),
"Add")</f>
        <v>PCB</v>
      </c>
      <c r="B2313" s="10" t="str">
        <f t="shared" si="37"/>
        <v>0057</v>
      </c>
      <c r="C2313" s="10" t="str">
        <f>_xlfn.LET(
    _xlpm.val, IF(Datadetails[[#This Row],[Activity]]="D02","C20",Datadetails[[#This Row],[Activity]]),
    IF(ISNUMBER(MATCH(_xlpm.val,{"D04","C30","c40","C20"},0)), _xlpm.val, "Other")
)</f>
        <v>C30</v>
      </c>
      <c r="D2313" s="10" t="str">
        <f>IFERROR(VLOOKUP(Datadetails[[#This Row],[Taskcode]],Dashboard!A:A,1,FALSE),"00 Err Missing")</f>
        <v>0057</v>
      </c>
      <c r="E2313" s="79">
        <v>45930</v>
      </c>
      <c r="F2313" s="80" t="s">
        <v>325</v>
      </c>
      <c r="G2313" s="60" t="s">
        <v>40</v>
      </c>
      <c r="H2313" s="80" t="s">
        <v>224</v>
      </c>
      <c r="I2313" s="80" t="s">
        <v>34</v>
      </c>
      <c r="J2313" s="80" t="s">
        <v>423</v>
      </c>
      <c r="K2313" s="80" t="s">
        <v>347</v>
      </c>
      <c r="L2313" s="80" t="s">
        <v>343</v>
      </c>
      <c r="M2313" s="81">
        <v>0.17</v>
      </c>
      <c r="N2313" s="82">
        <v>12.750000000000002</v>
      </c>
    </row>
    <row r="2314" spans="1:14" x14ac:dyDescent="0.25">
      <c r="A2314" s="10" t="str">
        <f>_xlfn.IFNA(
    IF(J2314=
        "PCB-0001",
        "CSS",
        IF(
            ISNUMBER(MATCH(_xlfn.TEXTBEFORE(J2314,"-"), {"CSS","CSN","PCB","PCF","BEC","CSD","PCM"}, 0)),
            _xlfn.TEXTBEFORE(J2314,"-"),
            "Other"
        )
    ),
"Add")</f>
        <v>PCB</v>
      </c>
      <c r="B2314" s="10" t="str">
        <f t="shared" si="37"/>
        <v>0073</v>
      </c>
      <c r="C2314" s="10" t="str">
        <f>_xlfn.LET(
    _xlpm.val, IF(Datadetails[[#This Row],[Activity]]="D02","C20",Datadetails[[#This Row],[Activity]]),
    IF(ISNUMBER(MATCH(_xlpm.val,{"D04","C30","c40","C20"},0)), _xlpm.val, "Other")
)</f>
        <v>C30</v>
      </c>
      <c r="D2314" s="10" t="str">
        <f>IFERROR(VLOOKUP(Datadetails[[#This Row],[Taskcode]],Dashboard!A:A,1,FALSE),"00 Err Missing")</f>
        <v>0073</v>
      </c>
      <c r="E2314" s="79">
        <v>45930</v>
      </c>
      <c r="F2314" s="80" t="s">
        <v>329</v>
      </c>
      <c r="G2314" s="60" t="s">
        <v>40</v>
      </c>
      <c r="H2314" s="80" t="s">
        <v>240</v>
      </c>
      <c r="I2314" s="80" t="s">
        <v>34</v>
      </c>
      <c r="J2314" s="80" t="s">
        <v>402</v>
      </c>
      <c r="K2314" s="80" t="s">
        <v>347</v>
      </c>
      <c r="L2314" s="80" t="s">
        <v>343</v>
      </c>
      <c r="M2314" s="81">
        <v>0.17</v>
      </c>
      <c r="N2314" s="82">
        <v>12.750000000000002</v>
      </c>
    </row>
    <row r="2315" spans="1:14" x14ac:dyDescent="0.25">
      <c r="A2315" s="10" t="str">
        <f>_xlfn.IFNA(
    IF(J2315=
        "PCB-0001",
        "CSS",
        IF(
            ISNUMBER(MATCH(_xlfn.TEXTBEFORE(J2315,"-"), {"CSS","CSN","PCB","PCF","BEC","CSD","PCM"}, 0)),
            _xlfn.TEXTBEFORE(J2315,"-"),
            "Other"
        )
    ),
"Add")</f>
        <v>PCB</v>
      </c>
      <c r="B2315" s="10" t="str">
        <f t="shared" si="37"/>
        <v>0074</v>
      </c>
      <c r="C2315" s="10" t="str">
        <f>_xlfn.LET(
    _xlpm.val, IF(Datadetails[[#This Row],[Activity]]="D02","C20",Datadetails[[#This Row],[Activity]]),
    IF(ISNUMBER(MATCH(_xlpm.val,{"D04","C30","c40","C20"},0)), _xlpm.val, "Other")
)</f>
        <v>C30</v>
      </c>
      <c r="D2315" s="10" t="str">
        <f>IFERROR(VLOOKUP(Datadetails[[#This Row],[Taskcode]],Dashboard!A:A,1,FALSE),"00 Err Missing")</f>
        <v>0074</v>
      </c>
      <c r="E2315" s="79">
        <v>45930</v>
      </c>
      <c r="F2315" s="80" t="s">
        <v>329</v>
      </c>
      <c r="G2315" s="60" t="s">
        <v>40</v>
      </c>
      <c r="H2315" s="80" t="s">
        <v>241</v>
      </c>
      <c r="I2315" s="80" t="s">
        <v>34</v>
      </c>
      <c r="J2315" s="80" t="s">
        <v>403</v>
      </c>
      <c r="K2315" s="80" t="s">
        <v>347</v>
      </c>
      <c r="L2315" s="80" t="s">
        <v>343</v>
      </c>
      <c r="M2315" s="81">
        <v>0.17</v>
      </c>
      <c r="N2315" s="82">
        <v>12.750000000000002</v>
      </c>
    </row>
    <row r="2316" spans="1:14" x14ac:dyDescent="0.25">
      <c r="A2316" s="10" t="str">
        <f>_xlfn.IFNA(
    IF(J2316=
        "PCB-0001",
        "CSS",
        IF(
            ISNUMBER(MATCH(_xlfn.TEXTBEFORE(J2316,"-"), {"CSS","CSN","PCB","PCF","BEC","CSD","PCM"}, 0)),
            _xlfn.TEXTBEFORE(J2316,"-"),
            "Other"
        )
    ),
"Add")</f>
        <v>PCB</v>
      </c>
      <c r="B2316" s="10" t="str">
        <f t="shared" si="37"/>
        <v>0075</v>
      </c>
      <c r="C2316" s="10" t="str">
        <f>_xlfn.LET(
    _xlpm.val, IF(Datadetails[[#This Row],[Activity]]="D02","C20",Datadetails[[#This Row],[Activity]]),
    IF(ISNUMBER(MATCH(_xlpm.val,{"D04","C30","c40","C20"},0)), _xlpm.val, "Other")
)</f>
        <v>C30</v>
      </c>
      <c r="D2316" s="10" t="str">
        <f>IFERROR(VLOOKUP(Datadetails[[#This Row],[Taskcode]],Dashboard!A:A,1,FALSE),"00 Err Missing")</f>
        <v>0075</v>
      </c>
      <c r="E2316" s="79">
        <v>45930</v>
      </c>
      <c r="F2316" s="80" t="s">
        <v>329</v>
      </c>
      <c r="G2316" s="60" t="s">
        <v>40</v>
      </c>
      <c r="H2316" s="80" t="s">
        <v>242</v>
      </c>
      <c r="I2316" s="80" t="s">
        <v>34</v>
      </c>
      <c r="J2316" s="80" t="s">
        <v>404</v>
      </c>
      <c r="K2316" s="80" t="s">
        <v>347</v>
      </c>
      <c r="L2316" s="80" t="s">
        <v>343</v>
      </c>
      <c r="M2316" s="81">
        <v>0.5</v>
      </c>
      <c r="N2316" s="82">
        <v>37.5</v>
      </c>
    </row>
    <row r="2317" spans="1:14" x14ac:dyDescent="0.25">
      <c r="A2317" s="10" t="str">
        <f>_xlfn.IFNA(
    IF(J2317=
        "PCB-0001",
        "CSS",
        IF(
            ISNUMBER(MATCH(_xlfn.TEXTBEFORE(J2317,"-"), {"CSS","CSN","PCB","PCF","BEC","CSD","PCM"}, 0)),
            _xlfn.TEXTBEFORE(J2317,"-"),
            "Other"
        )
    ),
"Add")</f>
        <v>PCB</v>
      </c>
      <c r="B2317" s="10" t="str">
        <f t="shared" si="37"/>
        <v>0011</v>
      </c>
      <c r="C2317" s="10" t="str">
        <f>_xlfn.LET(
    _xlpm.val, IF(Datadetails[[#This Row],[Activity]]="D02","C20",Datadetails[[#This Row],[Activity]]),
    IF(ISNUMBER(MATCH(_xlpm.val,{"D04","C30","c40","C20"},0)), _xlpm.val, "Other")
)</f>
        <v>C30</v>
      </c>
      <c r="D2317" s="10" t="str">
        <f>IFERROR(VLOOKUP(Datadetails[[#This Row],[Taskcode]],Dashboard!A:A,1,FALSE),"00 Err Missing")</f>
        <v>0011</v>
      </c>
      <c r="E2317" s="79">
        <v>45930</v>
      </c>
      <c r="F2317" s="80" t="s">
        <v>330</v>
      </c>
      <c r="G2317" s="60" t="s">
        <v>40</v>
      </c>
      <c r="H2317" s="80" t="s">
        <v>178</v>
      </c>
      <c r="I2317" s="80" t="s">
        <v>34</v>
      </c>
      <c r="J2317" s="80" t="s">
        <v>460</v>
      </c>
      <c r="K2317" s="80" t="s">
        <v>347</v>
      </c>
      <c r="L2317" s="80" t="s">
        <v>343</v>
      </c>
      <c r="M2317" s="81">
        <v>0.5</v>
      </c>
      <c r="N2317" s="82">
        <v>30</v>
      </c>
    </row>
    <row r="2318" spans="1:14" x14ac:dyDescent="0.25">
      <c r="A2318" s="10" t="str">
        <f>_xlfn.IFNA(
    IF(J2318=
        "PCB-0001",
        "CSS",
        IF(
            ISNUMBER(MATCH(_xlfn.TEXTBEFORE(J2318,"-"), {"CSS","CSN","PCB","PCF","BEC","CSD","PCM"}, 0)),
            _xlfn.TEXTBEFORE(J2318,"-"),
            "Other"
        )
    ),
"Add")</f>
        <v>PCB</v>
      </c>
      <c r="B2318" s="10" t="str">
        <f t="shared" si="37"/>
        <v>0121</v>
      </c>
      <c r="C2318" s="10" t="str">
        <f>_xlfn.LET(
    _xlpm.val, IF(Datadetails[[#This Row],[Activity]]="D02","C20",Datadetails[[#This Row],[Activity]]),
    IF(ISNUMBER(MATCH(_xlpm.val,{"D04","C30","c40","C20"},0)), _xlpm.val, "Other")
)</f>
        <v>C30</v>
      </c>
      <c r="D2318" s="10" t="str">
        <f>IFERROR(VLOOKUP(Datadetails[[#This Row],[Taskcode]],Dashboard!A:A,1,FALSE),"00 Err Missing")</f>
        <v>0121</v>
      </c>
      <c r="E2318" s="79">
        <v>45930</v>
      </c>
      <c r="F2318" s="80" t="s">
        <v>329</v>
      </c>
      <c r="G2318" s="60" t="s">
        <v>40</v>
      </c>
      <c r="H2318" s="80" t="s">
        <v>288</v>
      </c>
      <c r="I2318" s="80" t="s">
        <v>34</v>
      </c>
      <c r="J2318" s="80" t="s">
        <v>405</v>
      </c>
      <c r="K2318" s="80" t="s">
        <v>347</v>
      </c>
      <c r="L2318" s="80" t="s">
        <v>343</v>
      </c>
      <c r="M2318" s="81">
        <v>0.5</v>
      </c>
      <c r="N2318" s="82">
        <v>37.5</v>
      </c>
    </row>
    <row r="2319" spans="1:14" x14ac:dyDescent="0.25">
      <c r="A2319" s="10" t="str">
        <f>_xlfn.IFNA(
    IF(J2319=
        "PCB-0001",
        "CSS",
        IF(
            ISNUMBER(MATCH(_xlfn.TEXTBEFORE(J2319,"-"), {"CSS","CSN","PCB","PCF","BEC","CSD","PCM"}, 0)),
            _xlfn.TEXTBEFORE(J2319,"-"),
            "Other"
        )
    ),
"Add")</f>
        <v>PCB</v>
      </c>
      <c r="B2319" s="10" t="str">
        <f t="shared" si="37"/>
        <v>0120</v>
      </c>
      <c r="C2319" s="10" t="str">
        <f>_xlfn.LET(
    _xlpm.val, IF(Datadetails[[#This Row],[Activity]]="D02","C20",Datadetails[[#This Row],[Activity]]),
    IF(ISNUMBER(MATCH(_xlpm.val,{"D04","C30","c40","C20"},0)), _xlpm.val, "Other")
)</f>
        <v>C30</v>
      </c>
      <c r="D2319" s="10" t="str">
        <f>IFERROR(VLOOKUP(Datadetails[[#This Row],[Taskcode]],Dashboard!A:A,1,FALSE),"00 Err Missing")</f>
        <v>0120</v>
      </c>
      <c r="E2319" s="79">
        <v>45930</v>
      </c>
      <c r="F2319" s="80" t="s">
        <v>325</v>
      </c>
      <c r="G2319" s="60" t="s">
        <v>40</v>
      </c>
      <c r="H2319" s="80" t="s">
        <v>287</v>
      </c>
      <c r="I2319" s="80" t="s">
        <v>34</v>
      </c>
      <c r="J2319" s="80" t="s">
        <v>378</v>
      </c>
      <c r="K2319" s="80" t="s">
        <v>347</v>
      </c>
      <c r="L2319" s="80" t="s">
        <v>343</v>
      </c>
      <c r="M2319" s="81">
        <v>0.25</v>
      </c>
      <c r="N2319" s="82">
        <v>18.75</v>
      </c>
    </row>
    <row r="2320" spans="1:14" x14ac:dyDescent="0.25">
      <c r="A2320" s="10" t="str">
        <f>_xlfn.IFNA(
    IF(J2320=
        "PCB-0001",
        "CSS",
        IF(
            ISNUMBER(MATCH(_xlfn.TEXTBEFORE(J2320,"-"), {"CSS","CSN","PCB","PCF","BEC","CSD","PCM"}, 0)),
            _xlfn.TEXTBEFORE(J2320,"-"),
            "Other"
        )
    ),
"Add")</f>
        <v>PCB</v>
      </c>
      <c r="B2320" s="10" t="str">
        <f t="shared" si="37"/>
        <v>0128</v>
      </c>
      <c r="C2320" s="10" t="str">
        <f>_xlfn.LET(
    _xlpm.val, IF(Datadetails[[#This Row],[Activity]]="D02","C20",Datadetails[[#This Row],[Activity]]),
    IF(ISNUMBER(MATCH(_xlpm.val,{"D04","C30","c40","C20"},0)), _xlpm.val, "Other")
)</f>
        <v>C30</v>
      </c>
      <c r="D2320" s="10" t="str">
        <f>IFERROR(VLOOKUP(Datadetails[[#This Row],[Taskcode]],Dashboard!A:A,1,FALSE),"00 Err Missing")</f>
        <v>0128</v>
      </c>
      <c r="E2320" s="79">
        <v>45930</v>
      </c>
      <c r="F2320" s="80" t="s">
        <v>329</v>
      </c>
      <c r="G2320" s="60" t="s">
        <v>40</v>
      </c>
      <c r="H2320" s="80" t="s">
        <v>295</v>
      </c>
      <c r="I2320" s="80" t="s">
        <v>34</v>
      </c>
      <c r="J2320" s="80" t="s">
        <v>379</v>
      </c>
      <c r="K2320" s="80" t="s">
        <v>347</v>
      </c>
      <c r="L2320" s="80" t="s">
        <v>343</v>
      </c>
      <c r="M2320" s="81">
        <v>0.08</v>
      </c>
      <c r="N2320" s="82">
        <v>6</v>
      </c>
    </row>
    <row r="2321" spans="1:14" x14ac:dyDescent="0.25">
      <c r="A2321" s="10" t="str">
        <f>_xlfn.IFNA(
    IF(J2321=
        "PCB-0001",
        "CSS",
        IF(
            ISNUMBER(MATCH(_xlfn.TEXTBEFORE(J2321,"-"), {"CSS","CSN","PCB","PCF","BEC","CSD","PCM"}, 0)),
            _xlfn.TEXTBEFORE(J2321,"-"),
            "Other"
        )
    ),
"Add")</f>
        <v>PCB</v>
      </c>
      <c r="B2321" s="10" t="str">
        <f t="shared" si="37"/>
        <v>0086</v>
      </c>
      <c r="C2321" s="10" t="str">
        <f>_xlfn.LET(
    _xlpm.val, IF(Datadetails[[#This Row],[Activity]]="D02","C20",Datadetails[[#This Row],[Activity]]),
    IF(ISNUMBER(MATCH(_xlpm.val,{"D04","C30","c40","C20"},0)), _xlpm.val, "Other")
)</f>
        <v>C30</v>
      </c>
      <c r="D2321" s="10" t="str">
        <f>IFERROR(VLOOKUP(Datadetails[[#This Row],[Taskcode]],Dashboard!A:A,1,FALSE),"00 Err Missing")</f>
        <v>0086</v>
      </c>
      <c r="E2321" s="79">
        <v>45930</v>
      </c>
      <c r="F2321" s="80" t="s">
        <v>325</v>
      </c>
      <c r="G2321" s="60" t="s">
        <v>40</v>
      </c>
      <c r="H2321" s="80" t="s">
        <v>253</v>
      </c>
      <c r="I2321" s="80" t="s">
        <v>34</v>
      </c>
      <c r="J2321" s="80" t="s">
        <v>408</v>
      </c>
      <c r="K2321" s="80" t="s">
        <v>347</v>
      </c>
      <c r="L2321" s="80" t="s">
        <v>343</v>
      </c>
      <c r="M2321" s="81">
        <v>0.25</v>
      </c>
      <c r="N2321" s="82">
        <v>18.75</v>
      </c>
    </row>
    <row r="2322" spans="1:14" x14ac:dyDescent="0.25">
      <c r="A2322" s="10" t="str">
        <f>_xlfn.IFNA(
    IF(J2322=
        "PCB-0001",
        "CSS",
        IF(
            ISNUMBER(MATCH(_xlfn.TEXTBEFORE(J2322,"-"), {"CSS","CSN","PCB","PCF","BEC","CSD","PCM"}, 0)),
            _xlfn.TEXTBEFORE(J2322,"-"),
            "Other"
        )
    ),
"Add")</f>
        <v>PCB</v>
      </c>
      <c r="B2322" s="10" t="str">
        <f t="shared" si="37"/>
        <v>0092</v>
      </c>
      <c r="C2322" s="10" t="str">
        <f>_xlfn.LET(
    _xlpm.val, IF(Datadetails[[#This Row],[Activity]]="D02","C20",Datadetails[[#This Row],[Activity]]),
    IF(ISNUMBER(MATCH(_xlpm.val,{"D04","C30","c40","C20"},0)), _xlpm.val, "Other")
)</f>
        <v>C30</v>
      </c>
      <c r="D2322" s="10" t="str">
        <f>IFERROR(VLOOKUP(Datadetails[[#This Row],[Taskcode]],Dashboard!A:A,1,FALSE),"00 Err Missing")</f>
        <v>0092</v>
      </c>
      <c r="E2322" s="79">
        <v>45930</v>
      </c>
      <c r="F2322" s="80" t="s">
        <v>329</v>
      </c>
      <c r="G2322" s="60" t="s">
        <v>40</v>
      </c>
      <c r="H2322" s="80" t="s">
        <v>259</v>
      </c>
      <c r="I2322" s="80" t="s">
        <v>34</v>
      </c>
      <c r="J2322" s="80" t="s">
        <v>407</v>
      </c>
      <c r="K2322" s="80" t="s">
        <v>347</v>
      </c>
      <c r="L2322" s="80" t="s">
        <v>343</v>
      </c>
      <c r="M2322" s="81">
        <v>0.33</v>
      </c>
      <c r="N2322" s="82">
        <v>24.75</v>
      </c>
    </row>
    <row r="2323" spans="1:14" x14ac:dyDescent="0.25">
      <c r="A2323" s="10" t="str">
        <f>_xlfn.IFNA(
    IF(J2323=
        "PCB-0001",
        "CSS",
        IF(
            ISNUMBER(MATCH(_xlfn.TEXTBEFORE(J2323,"-"), {"CSS","CSN","PCB","PCF","BEC","CSD","PCM"}, 0)),
            _xlfn.TEXTBEFORE(J2323,"-"),
            "Other"
        )
    ),
"Add")</f>
        <v>PCB</v>
      </c>
      <c r="B2323" s="10" t="str">
        <f t="shared" si="37"/>
        <v>0138</v>
      </c>
      <c r="C2323" s="10" t="str">
        <f>_xlfn.LET(
    _xlpm.val, IF(Datadetails[[#This Row],[Activity]]="D02","C20",Datadetails[[#This Row],[Activity]]),
    IF(ISNUMBER(MATCH(_xlpm.val,{"D04","C30","c40","C20"},0)), _xlpm.val, "Other")
)</f>
        <v>C30</v>
      </c>
      <c r="D2323" s="10" t="str">
        <f>IFERROR(VLOOKUP(Datadetails[[#This Row],[Taskcode]],Dashboard!A:A,1,FALSE),"00 Err Missing")</f>
        <v>0138</v>
      </c>
      <c r="E2323" s="79">
        <v>45930</v>
      </c>
      <c r="F2323" s="80" t="s">
        <v>325</v>
      </c>
      <c r="G2323" s="60" t="s">
        <v>40</v>
      </c>
      <c r="H2323" s="80" t="s">
        <v>305</v>
      </c>
      <c r="I2323" s="80" t="s">
        <v>34</v>
      </c>
      <c r="J2323" s="80" t="s">
        <v>382</v>
      </c>
      <c r="K2323" s="80" t="s">
        <v>347</v>
      </c>
      <c r="L2323" s="80" t="s">
        <v>343</v>
      </c>
      <c r="M2323" s="81">
        <v>0.17</v>
      </c>
      <c r="N2323" s="82">
        <v>12.750000000000002</v>
      </c>
    </row>
    <row r="2324" spans="1:14" x14ac:dyDescent="0.25">
      <c r="A2324" s="10" t="str">
        <f>_xlfn.IFNA(
    IF(J2324=
        "PCB-0001",
        "CSS",
        IF(
            ISNUMBER(MATCH(_xlfn.TEXTBEFORE(J2324,"-"), {"CSS","CSN","PCB","PCF","BEC","CSD","PCM"}, 0)),
            _xlfn.TEXTBEFORE(J2324,"-"),
            "Other"
        )
    ),
"Add")</f>
        <v>PCB</v>
      </c>
      <c r="B2324" s="10" t="str">
        <f t="shared" si="37"/>
        <v>0082</v>
      </c>
      <c r="C2324" s="10" t="str">
        <f>_xlfn.LET(
    _xlpm.val, IF(Datadetails[[#This Row],[Activity]]="D02","C20",Datadetails[[#This Row],[Activity]]),
    IF(ISNUMBER(MATCH(_xlpm.val,{"D04","C30","c40","C20"},0)), _xlpm.val, "Other")
)</f>
        <v>C30</v>
      </c>
      <c r="D2324" s="10" t="str">
        <f>IFERROR(VLOOKUP(Datadetails[[#This Row],[Taskcode]],Dashboard!A:A,1,FALSE),"00 Err Missing")</f>
        <v>0082</v>
      </c>
      <c r="E2324" s="79">
        <v>45930</v>
      </c>
      <c r="F2324" s="80" t="s">
        <v>325</v>
      </c>
      <c r="G2324" s="60" t="s">
        <v>40</v>
      </c>
      <c r="H2324" s="80" t="s">
        <v>249</v>
      </c>
      <c r="I2324" s="80" t="s">
        <v>34</v>
      </c>
      <c r="J2324" s="80" t="s">
        <v>409</v>
      </c>
      <c r="K2324" s="80" t="s">
        <v>347</v>
      </c>
      <c r="L2324" s="80" t="s">
        <v>343</v>
      </c>
      <c r="M2324" s="81">
        <v>0.17</v>
      </c>
      <c r="N2324" s="82">
        <v>12.750000000000002</v>
      </c>
    </row>
    <row r="2325" spans="1:14" x14ac:dyDescent="0.25">
      <c r="A2325" s="10" t="str">
        <f>_xlfn.IFNA(
    IF(J2325=
        "PCB-0001",
        "CSS",
        IF(
            ISNUMBER(MATCH(_xlfn.TEXTBEFORE(J2325,"-"), {"CSS","CSN","PCB","PCF","BEC","CSD","PCM"}, 0)),
            _xlfn.TEXTBEFORE(J2325,"-"),
            "Other"
        )
    ),
"Add")</f>
        <v>PCB</v>
      </c>
      <c r="B2325" s="10" t="str">
        <f t="shared" si="37"/>
        <v>0080</v>
      </c>
      <c r="C2325" s="10" t="str">
        <f>_xlfn.LET(
    _xlpm.val, IF(Datadetails[[#This Row],[Activity]]="D02","C20",Datadetails[[#This Row],[Activity]]),
    IF(ISNUMBER(MATCH(_xlpm.val,{"D04","C30","c40","C20"},0)), _xlpm.val, "Other")
)</f>
        <v>C30</v>
      </c>
      <c r="D2325" s="10" t="str">
        <f>IFERROR(VLOOKUP(Datadetails[[#This Row],[Taskcode]],Dashboard!A:A,1,FALSE),"00 Err Missing")</f>
        <v>0080</v>
      </c>
      <c r="E2325" s="79">
        <v>45930</v>
      </c>
      <c r="F2325" s="80" t="s">
        <v>329</v>
      </c>
      <c r="G2325" s="60" t="s">
        <v>40</v>
      </c>
      <c r="H2325" s="80" t="s">
        <v>247</v>
      </c>
      <c r="I2325" s="80" t="s">
        <v>34</v>
      </c>
      <c r="J2325" s="80" t="s">
        <v>375</v>
      </c>
      <c r="K2325" s="80" t="s">
        <v>347</v>
      </c>
      <c r="L2325" s="80" t="s">
        <v>343</v>
      </c>
      <c r="M2325" s="81">
        <v>0.5</v>
      </c>
      <c r="N2325" s="82">
        <v>37.5</v>
      </c>
    </row>
    <row r="2326" spans="1:14" x14ac:dyDescent="0.25">
      <c r="A2326" s="10" t="str">
        <f>_xlfn.IFNA(
    IF(J2326=
        "PCB-0001",
        "CSS",
        IF(
            ISNUMBER(MATCH(_xlfn.TEXTBEFORE(J2326,"-"), {"CSS","CSN","PCB","PCF","BEC","CSD","PCM"}, 0)),
            _xlfn.TEXTBEFORE(J2326,"-"),
            "Other"
        )
    ),
"Add")</f>
        <v>PCB</v>
      </c>
      <c r="B2326" s="10" t="str">
        <f t="shared" si="37"/>
        <v>0105</v>
      </c>
      <c r="C2326" s="10" t="str">
        <f>_xlfn.LET(
    _xlpm.val, IF(Datadetails[[#This Row],[Activity]]="D02","C20",Datadetails[[#This Row],[Activity]]),
    IF(ISNUMBER(MATCH(_xlpm.val,{"D04","C30","c40","C20"},0)), _xlpm.val, "Other")
)</f>
        <v>C30</v>
      </c>
      <c r="D2326" s="10" t="str">
        <f>IFERROR(VLOOKUP(Datadetails[[#This Row],[Taskcode]],Dashboard!A:A,1,FALSE),"00 Err Missing")</f>
        <v>0105</v>
      </c>
      <c r="E2326" s="79">
        <v>45930</v>
      </c>
      <c r="F2326" s="80" t="s">
        <v>329</v>
      </c>
      <c r="G2326" s="60" t="s">
        <v>40</v>
      </c>
      <c r="H2326" s="80" t="s">
        <v>272</v>
      </c>
      <c r="I2326" s="80" t="s">
        <v>34</v>
      </c>
      <c r="J2326" s="80" t="s">
        <v>362</v>
      </c>
      <c r="K2326" s="80" t="s">
        <v>347</v>
      </c>
      <c r="L2326" s="80" t="s">
        <v>343</v>
      </c>
      <c r="M2326" s="81">
        <v>0.17</v>
      </c>
      <c r="N2326" s="82">
        <v>12.750000000000002</v>
      </c>
    </row>
    <row r="2327" spans="1:14" x14ac:dyDescent="0.25">
      <c r="A2327" s="10" t="str">
        <f>_xlfn.IFNA(
    IF(J2327=
        "PCB-0001",
        "CSS",
        IF(
            ISNUMBER(MATCH(_xlfn.TEXTBEFORE(J2327,"-"), {"CSS","CSN","PCB","PCF","BEC","CSD","PCM"}, 0)),
            _xlfn.TEXTBEFORE(J2327,"-"),
            "Other"
        )
    ),
"Add")</f>
        <v>PCB</v>
      </c>
      <c r="B2327" s="10" t="str">
        <f t="shared" si="37"/>
        <v>0081</v>
      </c>
      <c r="C2327" s="10" t="str">
        <f>_xlfn.LET(
    _xlpm.val, IF(Datadetails[[#This Row],[Activity]]="D02","C20",Datadetails[[#This Row],[Activity]]),
    IF(ISNUMBER(MATCH(_xlpm.val,{"D04","C30","c40","C20"},0)), _xlpm.val, "Other")
)</f>
        <v>C40</v>
      </c>
      <c r="D2327" s="10" t="str">
        <f>IFERROR(VLOOKUP(Datadetails[[#This Row],[Taskcode]],Dashboard!A:A,1,FALSE),"00 Err Missing")</f>
        <v>0081</v>
      </c>
      <c r="E2327" s="79">
        <v>45930</v>
      </c>
      <c r="F2327" s="80" t="s">
        <v>329</v>
      </c>
      <c r="G2327" s="60" t="s">
        <v>40</v>
      </c>
      <c r="H2327" s="80" t="s">
        <v>248</v>
      </c>
      <c r="I2327" s="80" t="s">
        <v>341</v>
      </c>
      <c r="J2327" s="80" t="s">
        <v>385</v>
      </c>
      <c r="K2327" s="80" t="s">
        <v>347</v>
      </c>
      <c r="L2327" s="80" t="s">
        <v>344</v>
      </c>
      <c r="M2327" s="81">
        <v>0.17</v>
      </c>
      <c r="N2327" s="82">
        <v>12.750000000000002</v>
      </c>
    </row>
    <row r="2328" spans="1:14" x14ac:dyDescent="0.25">
      <c r="A2328" s="10" t="str">
        <f>_xlfn.IFNA(
    IF(J2328=
        "PCB-0001",
        "CSS",
        IF(
            ISNUMBER(MATCH(_xlfn.TEXTBEFORE(J2328,"-"), {"CSS","CSN","PCB","PCF","BEC","CSD","PCM"}, 0)),
            _xlfn.TEXTBEFORE(J2328,"-"),
            "Other"
        )
    ),
"Add")</f>
        <v>PCF</v>
      </c>
      <c r="B2328" s="10" t="str">
        <f t="shared" si="37"/>
        <v>0098</v>
      </c>
      <c r="C2328" s="10" t="str">
        <f>_xlfn.LET(
    _xlpm.val, IF(Datadetails[[#This Row],[Activity]]="D02","C20",Datadetails[[#This Row],[Activity]]),
    IF(ISNUMBER(MATCH(_xlpm.val,{"D04","C30","c40","C20"},0)), _xlpm.val, "Other")
)</f>
        <v>C30</v>
      </c>
      <c r="D2328" s="10" t="str">
        <f>IFERROR(VLOOKUP(Datadetails[[#This Row],[Taskcode]],Dashboard!A:A,1,FALSE),"00 Err Missing")</f>
        <v>0098</v>
      </c>
      <c r="E2328" s="79">
        <v>45930</v>
      </c>
      <c r="F2328" s="80" t="s">
        <v>326</v>
      </c>
      <c r="G2328" s="60" t="s">
        <v>40</v>
      </c>
      <c r="H2328" s="80" t="s">
        <v>265</v>
      </c>
      <c r="I2328" s="80" t="s">
        <v>34</v>
      </c>
      <c r="J2328" s="80" t="s">
        <v>358</v>
      </c>
      <c r="K2328" s="80" t="s">
        <v>348</v>
      </c>
      <c r="L2328" s="80" t="s">
        <v>343</v>
      </c>
      <c r="M2328" s="81">
        <v>2.17</v>
      </c>
      <c r="N2328" s="82">
        <v>130.19999999999999</v>
      </c>
    </row>
    <row r="2329" spans="1:14" x14ac:dyDescent="0.25">
      <c r="A2329" s="10" t="str">
        <f>_xlfn.IFNA(
    IF(J2329=
        "PCB-0001",
        "CSS",
        IF(
            ISNUMBER(MATCH(_xlfn.TEXTBEFORE(J2329,"-"), {"CSS","CSN","PCB","PCF","BEC","CSD","PCM"}, 0)),
            _xlfn.TEXTBEFORE(J2329,"-"),
            "Other"
        )
    ),
"Add")</f>
        <v>BEC</v>
      </c>
      <c r="B2329" s="10" t="str">
        <f t="shared" si="37"/>
        <v>0001</v>
      </c>
      <c r="C2329" s="10" t="str">
        <f>_xlfn.LET(
    _xlpm.val, IF(Datadetails[[#This Row],[Activity]]="D02","C20",Datadetails[[#This Row],[Activity]]),
    IF(ISNUMBER(MATCH(_xlpm.val,{"D04","C30","c40","C20"},0)), _xlpm.val, "Other")
)</f>
        <v>D04</v>
      </c>
      <c r="D2329" s="10" t="str">
        <f>IFERROR(VLOOKUP(Datadetails[[#This Row],[Taskcode]],Dashboard!A:A,1,FALSE),"00 Err Missing")</f>
        <v>0001</v>
      </c>
      <c r="E2329" s="79">
        <v>45930</v>
      </c>
      <c r="F2329" s="80" t="s">
        <v>332</v>
      </c>
      <c r="G2329" s="60" t="s">
        <v>40</v>
      </c>
      <c r="H2329" s="80" t="s">
        <v>314</v>
      </c>
      <c r="I2329" s="80" t="s">
        <v>35</v>
      </c>
      <c r="J2329" s="80" t="s">
        <v>359</v>
      </c>
      <c r="K2329" s="80" t="s">
        <v>339</v>
      </c>
      <c r="L2329" s="80" t="s">
        <v>352</v>
      </c>
      <c r="M2329" s="81">
        <v>8.5</v>
      </c>
      <c r="N2329" s="82">
        <v>340</v>
      </c>
    </row>
    <row r="2330" spans="1:14" x14ac:dyDescent="0.25">
      <c r="A2330" s="10" t="str">
        <f>_xlfn.IFNA(
    IF(J2330=
        "PCB-0001",
        "CSS",
        IF(
            ISNUMBER(MATCH(_xlfn.TEXTBEFORE(J2330,"-"), {"CSS","CSN","PCB","PCF","BEC","CSD","PCM"}, 0)),
            _xlfn.TEXTBEFORE(J2330,"-"),
            "Other"
        )
    ),
"Add")</f>
        <v>BEC</v>
      </c>
      <c r="B2330" s="10" t="str">
        <f t="shared" si="37"/>
        <v>0001</v>
      </c>
      <c r="C2330" s="10" t="str">
        <f>_xlfn.LET(
    _xlpm.val, IF(Datadetails[[#This Row],[Activity]]="D02","C20",Datadetails[[#This Row],[Activity]]),
    IF(ISNUMBER(MATCH(_xlpm.val,{"D04","C30","c40","C20"},0)), _xlpm.val, "Other")
)</f>
        <v>D04</v>
      </c>
      <c r="D2330" s="10" t="str">
        <f>IFERROR(VLOOKUP(Datadetails[[#This Row],[Taskcode]],Dashboard!A:A,1,FALSE),"00 Err Missing")</f>
        <v>0001</v>
      </c>
      <c r="E2330" s="79">
        <v>45930</v>
      </c>
      <c r="F2330" s="80" t="s">
        <v>324</v>
      </c>
      <c r="G2330" s="60" t="s">
        <v>40</v>
      </c>
      <c r="H2330" s="80" t="s">
        <v>314</v>
      </c>
      <c r="I2330" s="80" t="s">
        <v>35</v>
      </c>
      <c r="J2330" s="80" t="s">
        <v>359</v>
      </c>
      <c r="K2330" s="80" t="s">
        <v>339</v>
      </c>
      <c r="L2330" s="80" t="s">
        <v>352</v>
      </c>
      <c r="M2330" s="81">
        <v>3.75</v>
      </c>
      <c r="N2330" s="82">
        <v>281.25</v>
      </c>
    </row>
    <row r="2331" spans="1:14" x14ac:dyDescent="0.25">
      <c r="A2331" s="10" t="str">
        <f>_xlfn.IFNA(
    IF(J2331=
        "PCB-0001",
        "CSS",
        IF(
            ISNUMBER(MATCH(_xlfn.TEXTBEFORE(J2331,"-"), {"CSS","CSN","PCB","PCF","BEC","CSD","PCM"}, 0)),
            _xlfn.TEXTBEFORE(J2331,"-"),
            "Other"
        )
    ),
"Add")</f>
        <v>CSN</v>
      </c>
      <c r="B2331" s="10" t="str">
        <f t="shared" si="37"/>
        <v>0001</v>
      </c>
      <c r="C2331" s="10" t="str">
        <f>_xlfn.LET(
    _xlpm.val, IF(Datadetails[[#This Row],[Activity]]="D02","C20",Datadetails[[#This Row],[Activity]]),
    IF(ISNUMBER(MATCH(_xlpm.val,{"D04","C30","c40","C20"},0)), _xlpm.val, "Other")
)</f>
        <v>D04</v>
      </c>
      <c r="D2331" s="10" t="str">
        <f>IFERROR(VLOOKUP(Datadetails[[#This Row],[Taskcode]],Dashboard!A:A,1,FALSE),"00 Err Missing")</f>
        <v>0001</v>
      </c>
      <c r="E2331" s="79">
        <v>45931</v>
      </c>
      <c r="F2331" s="80" t="s">
        <v>329</v>
      </c>
      <c r="G2331" s="60" t="s">
        <v>40</v>
      </c>
      <c r="H2331" s="80" t="s">
        <v>316</v>
      </c>
      <c r="I2331" s="80" t="s">
        <v>35</v>
      </c>
      <c r="J2331" s="80" t="s">
        <v>338</v>
      </c>
      <c r="K2331" s="80" t="s">
        <v>337</v>
      </c>
      <c r="L2331" s="80" t="s">
        <v>352</v>
      </c>
      <c r="M2331" s="81">
        <v>1</v>
      </c>
      <c r="N2331" s="82">
        <v>75</v>
      </c>
    </row>
    <row r="2332" spans="1:14" x14ac:dyDescent="0.25">
      <c r="A2332" s="10" t="str">
        <f>_xlfn.IFNA(
    IF(J2332=
        "PCB-0001",
        "CSS",
        IF(
            ISNUMBER(MATCH(_xlfn.TEXTBEFORE(J2332,"-"), {"CSS","CSN","PCB","PCF","BEC","CSD","PCM"}, 0)),
            _xlfn.TEXTBEFORE(J2332,"-"),
            "Other"
        )
    ),
"Add")</f>
        <v>Other</v>
      </c>
      <c r="B2332" s="10" t="str">
        <f t="shared" si="37"/>
        <v>0123</v>
      </c>
      <c r="C2332" s="10" t="str">
        <f>_xlfn.LET(
    _xlpm.val, IF(Datadetails[[#This Row],[Activity]]="D02","C20",Datadetails[[#This Row],[Activity]]),
    IF(ISNUMBER(MATCH(_xlpm.val,{"D04","C30","c40","C20"},0)), _xlpm.val, "Other")
)</f>
        <v>Other</v>
      </c>
      <c r="D2332" s="10" t="str">
        <f>IFERROR(VLOOKUP(Datadetails[[#This Row],[Taskcode]],Dashboard!A:A,1,FALSE),"00 Err Missing")</f>
        <v>0123</v>
      </c>
      <c r="E2332" s="79">
        <v>45931</v>
      </c>
      <c r="F2332" s="80" t="s">
        <v>328</v>
      </c>
      <c r="G2332" s="60" t="s">
        <v>40</v>
      </c>
      <c r="H2332" s="80" t="s">
        <v>290</v>
      </c>
      <c r="I2332" s="80" t="s">
        <v>313</v>
      </c>
      <c r="J2332" s="80" t="s">
        <v>471</v>
      </c>
      <c r="K2332" s="80" t="s">
        <v>345</v>
      </c>
      <c r="L2332" s="80" t="s">
        <v>351</v>
      </c>
      <c r="M2332" s="81">
        <v>4</v>
      </c>
      <c r="N2332" s="82">
        <v>360</v>
      </c>
    </row>
    <row r="2333" spans="1:14" x14ac:dyDescent="0.25">
      <c r="A2333" s="10" t="str">
        <f>_xlfn.IFNA(
    IF(J2333=
        "PCB-0001",
        "CSS",
        IF(
            ISNUMBER(MATCH(_xlfn.TEXTBEFORE(J2333,"-"), {"CSS","CSN","PCB","PCF","BEC","CSD","PCM"}, 0)),
            _xlfn.TEXTBEFORE(J2333,"-"),
            "Other"
        )
    ),
"Add")</f>
        <v>CSD</v>
      </c>
      <c r="B2333" s="10" t="str">
        <f t="shared" si="37"/>
        <v>0001</v>
      </c>
      <c r="C2333" s="10" t="str">
        <f>_xlfn.LET(
    _xlpm.val, IF(Datadetails[[#This Row],[Activity]]="D02","C20",Datadetails[[#This Row],[Activity]]),
    IF(ISNUMBER(MATCH(_xlpm.val,{"D04","C30","c40","C20"},0)), _xlpm.val, "Other")
)</f>
        <v>D04</v>
      </c>
      <c r="D2333" s="10" t="str">
        <f>IFERROR(VLOOKUP(Datadetails[[#This Row],[Taskcode]],Dashboard!A:A,1,FALSE),"00 Err Missing")</f>
        <v>0001</v>
      </c>
      <c r="E2333" s="79">
        <v>45931</v>
      </c>
      <c r="F2333" s="80" t="s">
        <v>333</v>
      </c>
      <c r="G2333" s="60" t="s">
        <v>40</v>
      </c>
      <c r="H2333" s="80" t="s">
        <v>320</v>
      </c>
      <c r="I2333" s="80" t="s">
        <v>35</v>
      </c>
      <c r="J2333" s="80" t="s">
        <v>322</v>
      </c>
      <c r="K2333" s="80" t="s">
        <v>319</v>
      </c>
      <c r="L2333" s="80" t="s">
        <v>352</v>
      </c>
      <c r="M2333" s="81">
        <v>7.68</v>
      </c>
      <c r="N2333" s="82">
        <v>245.76</v>
      </c>
    </row>
    <row r="2334" spans="1:14" x14ac:dyDescent="0.25">
      <c r="A2334" s="10" t="str">
        <f>_xlfn.IFNA(
    IF(J2334=
        "PCB-0001",
        "CSS",
        IF(
            ISNUMBER(MATCH(_xlfn.TEXTBEFORE(J2334,"-"), {"CSS","CSN","PCB","PCF","BEC","CSD","PCM"}, 0)),
            _xlfn.TEXTBEFORE(J2334,"-"),
            "Other"
        )
    ),
"Add")</f>
        <v>CSD</v>
      </c>
      <c r="B2334" s="10" t="str">
        <f t="shared" si="37"/>
        <v>0001</v>
      </c>
      <c r="C2334" s="10" t="str">
        <f>_xlfn.LET(
    _xlpm.val, IF(Datadetails[[#This Row],[Activity]]="D02","C20",Datadetails[[#This Row],[Activity]]),
    IF(ISNUMBER(MATCH(_xlpm.val,{"D04","C30","c40","C20"},0)), _xlpm.val, "Other")
)</f>
        <v>D04</v>
      </c>
      <c r="D2334" s="10" t="str">
        <f>IFERROR(VLOOKUP(Datadetails[[#This Row],[Taskcode]],Dashboard!A:A,1,FALSE),"00 Err Missing")</f>
        <v>0001</v>
      </c>
      <c r="E2334" s="79">
        <v>45931</v>
      </c>
      <c r="F2334" s="80" t="s">
        <v>327</v>
      </c>
      <c r="G2334" s="60" t="s">
        <v>40</v>
      </c>
      <c r="H2334" s="80" t="s">
        <v>320</v>
      </c>
      <c r="I2334" s="80" t="s">
        <v>35</v>
      </c>
      <c r="J2334" s="80" t="s">
        <v>322</v>
      </c>
      <c r="K2334" s="80" t="s">
        <v>319</v>
      </c>
      <c r="L2334" s="80" t="s">
        <v>352</v>
      </c>
      <c r="M2334" s="81">
        <v>7.5</v>
      </c>
      <c r="N2334" s="82">
        <v>240</v>
      </c>
    </row>
    <row r="2335" spans="1:14" x14ac:dyDescent="0.25">
      <c r="A2335" s="10" t="str">
        <f>_xlfn.IFNA(
    IF(J2335=
        "PCB-0001",
        "CSS",
        IF(
            ISNUMBER(MATCH(_xlfn.TEXTBEFORE(J2335,"-"), {"CSS","CSN","PCB","PCF","BEC","CSD","PCM"}, 0)),
            _xlfn.TEXTBEFORE(J2335,"-"),
            "Other"
        )
    ),
"Add")</f>
        <v>PCM</v>
      </c>
      <c r="B2335" s="10" t="str">
        <f t="shared" si="37"/>
        <v>0118</v>
      </c>
      <c r="C2335" s="10" t="str">
        <f>_xlfn.LET(
    _xlpm.val, IF(Datadetails[[#This Row],[Activity]]="D02","C20",Datadetails[[#This Row],[Activity]]),
    IF(ISNUMBER(MATCH(_xlpm.val,{"D04","C30","c40","C20"},0)), _xlpm.val, "Other")
)</f>
        <v>C20</v>
      </c>
      <c r="D2335" s="10" t="str">
        <f>IFERROR(VLOOKUP(Datadetails[[#This Row],[Taskcode]],Dashboard!A:A,1,FALSE),"00 Err Missing")</f>
        <v>0118</v>
      </c>
      <c r="E2335" s="79">
        <v>45931</v>
      </c>
      <c r="F2335" s="80" t="s">
        <v>323</v>
      </c>
      <c r="G2335" s="60" t="s">
        <v>40</v>
      </c>
      <c r="H2335" s="80" t="s">
        <v>285</v>
      </c>
      <c r="I2335" s="80" t="s">
        <v>36</v>
      </c>
      <c r="J2335" s="80" t="s">
        <v>448</v>
      </c>
      <c r="K2335" s="80" t="s">
        <v>346</v>
      </c>
      <c r="L2335" s="80" t="s">
        <v>342</v>
      </c>
      <c r="M2335" s="81">
        <v>0.25</v>
      </c>
      <c r="N2335" s="82">
        <v>15</v>
      </c>
    </row>
    <row r="2336" spans="1:14" x14ac:dyDescent="0.25">
      <c r="A2336" s="10" t="str">
        <f>_xlfn.IFNA(
    IF(J2336=
        "PCB-0001",
        "CSS",
        IF(
            ISNUMBER(MATCH(_xlfn.TEXTBEFORE(J2336,"-"), {"CSS","CSN","PCB","PCF","BEC","CSD","PCM"}, 0)),
            _xlfn.TEXTBEFORE(J2336,"-"),
            "Other"
        )
    ),
"Add")</f>
        <v>PCM</v>
      </c>
      <c r="B2336" s="10" t="str">
        <f t="shared" si="37"/>
        <v>0113</v>
      </c>
      <c r="C2336" s="10" t="str">
        <f>_xlfn.LET(
    _xlpm.val, IF(Datadetails[[#This Row],[Activity]]="D02","C20",Datadetails[[#This Row],[Activity]]),
    IF(ISNUMBER(MATCH(_xlpm.val,{"D04","C30","c40","C20"},0)), _xlpm.val, "Other")
)</f>
        <v>C20</v>
      </c>
      <c r="D2336" s="10" t="str">
        <f>IFERROR(VLOOKUP(Datadetails[[#This Row],[Taskcode]],Dashboard!A:A,1,FALSE),"00 Err Missing")</f>
        <v>0113</v>
      </c>
      <c r="E2336" s="79">
        <v>45931</v>
      </c>
      <c r="F2336" s="80" t="s">
        <v>323</v>
      </c>
      <c r="G2336" s="60" t="s">
        <v>40</v>
      </c>
      <c r="H2336" s="80" t="s">
        <v>280</v>
      </c>
      <c r="I2336" s="80" t="s">
        <v>36</v>
      </c>
      <c r="J2336" s="80" t="s">
        <v>445</v>
      </c>
      <c r="K2336" s="80" t="s">
        <v>346</v>
      </c>
      <c r="L2336" s="80" t="s">
        <v>342</v>
      </c>
      <c r="M2336" s="81">
        <v>0.25</v>
      </c>
      <c r="N2336" s="82">
        <v>15</v>
      </c>
    </row>
    <row r="2337" spans="1:14" x14ac:dyDescent="0.25">
      <c r="A2337" s="10" t="str">
        <f>_xlfn.IFNA(
    IF(J2337=
        "PCB-0001",
        "CSS",
        IF(
            ISNUMBER(MATCH(_xlfn.TEXTBEFORE(J2337,"-"), {"CSS","CSN","PCB","PCF","BEC","CSD","PCM"}, 0)),
            _xlfn.TEXTBEFORE(J2337,"-"),
            "Other"
        )
    ),
"Add")</f>
        <v>PCB</v>
      </c>
      <c r="B2337" s="10" t="str">
        <f t="shared" si="37"/>
        <v>0104</v>
      </c>
      <c r="C2337" s="10" t="str">
        <f>_xlfn.LET(
    _xlpm.val, IF(Datadetails[[#This Row],[Activity]]="D02","C20",Datadetails[[#This Row],[Activity]]),
    IF(ISNUMBER(MATCH(_xlpm.val,{"D04","C30","c40","C20"},0)), _xlpm.val, "Other")
)</f>
        <v>C20</v>
      </c>
      <c r="D2337" s="10" t="str">
        <f>IFERROR(VLOOKUP(Datadetails[[#This Row],[Taskcode]],Dashboard!A:A,1,FALSE),"00 Err Missing")</f>
        <v>0104</v>
      </c>
      <c r="E2337" s="79">
        <v>45931</v>
      </c>
      <c r="F2337" s="80" t="s">
        <v>325</v>
      </c>
      <c r="G2337" s="60" t="s">
        <v>40</v>
      </c>
      <c r="H2337" s="80" t="s">
        <v>271</v>
      </c>
      <c r="I2337" s="80" t="s">
        <v>36</v>
      </c>
      <c r="J2337" s="80" t="s">
        <v>363</v>
      </c>
      <c r="K2337" s="80" t="s">
        <v>347</v>
      </c>
      <c r="L2337" s="80" t="s">
        <v>342</v>
      </c>
      <c r="M2337" s="81">
        <v>0.25</v>
      </c>
      <c r="N2337" s="82">
        <v>18.75</v>
      </c>
    </row>
    <row r="2338" spans="1:14" x14ac:dyDescent="0.25">
      <c r="A2338" s="10" t="str">
        <f>_xlfn.IFNA(
    IF(J2338=
        "PCB-0001",
        "CSS",
        IF(
            ISNUMBER(MATCH(_xlfn.TEXTBEFORE(J2338,"-"), {"CSS","CSN","PCB","PCF","BEC","CSD","PCM"}, 0)),
            _xlfn.TEXTBEFORE(J2338,"-"),
            "Other"
        )
    ),
"Add")</f>
        <v>PCB</v>
      </c>
      <c r="B2338" s="10" t="str">
        <f t="shared" si="37"/>
        <v>0030</v>
      </c>
      <c r="C2338" s="10" t="str">
        <f>_xlfn.LET(
    _xlpm.val, IF(Datadetails[[#This Row],[Activity]]="D02","C20",Datadetails[[#This Row],[Activity]]),
    IF(ISNUMBER(MATCH(_xlpm.val,{"D04","C30","c40","C20"},0)), _xlpm.val, "Other")
)</f>
        <v>C30</v>
      </c>
      <c r="D2338" s="10" t="str">
        <f>IFERROR(VLOOKUP(Datadetails[[#This Row],[Taskcode]],Dashboard!A:A,1,FALSE),"00 Err Missing")</f>
        <v>0030</v>
      </c>
      <c r="E2338" s="79">
        <v>45931</v>
      </c>
      <c r="F2338" s="80" t="s">
        <v>329</v>
      </c>
      <c r="G2338" s="60" t="s">
        <v>40</v>
      </c>
      <c r="H2338" s="80" t="s">
        <v>197</v>
      </c>
      <c r="I2338" s="80" t="s">
        <v>34</v>
      </c>
      <c r="J2338" s="80" t="s">
        <v>366</v>
      </c>
      <c r="K2338" s="80" t="s">
        <v>347</v>
      </c>
      <c r="L2338" s="80" t="s">
        <v>343</v>
      </c>
      <c r="M2338" s="81">
        <v>0.33</v>
      </c>
      <c r="N2338" s="82">
        <v>24.75</v>
      </c>
    </row>
    <row r="2339" spans="1:14" x14ac:dyDescent="0.25">
      <c r="A2339" s="10" t="str">
        <f>_xlfn.IFNA(
    IF(J2339=
        "PCB-0001",
        "CSS",
        IF(
            ISNUMBER(MATCH(_xlfn.TEXTBEFORE(J2339,"-"), {"CSS","CSN","PCB","PCF","BEC","CSD","PCM"}, 0)),
            _xlfn.TEXTBEFORE(J2339,"-"),
            "Other"
        )
    ),
"Add")</f>
        <v>PCB</v>
      </c>
      <c r="B2339" s="10" t="str">
        <f t="shared" si="37"/>
        <v>0048</v>
      </c>
      <c r="C2339" s="10" t="str">
        <f>_xlfn.LET(
    _xlpm.val, IF(Datadetails[[#This Row],[Activity]]="D02","C20",Datadetails[[#This Row],[Activity]]),
    IF(ISNUMBER(MATCH(_xlpm.val,{"D04","C30","c40","C20"},0)), _xlpm.val, "Other")
)</f>
        <v>C30</v>
      </c>
      <c r="D2339" s="10" t="str">
        <f>IFERROR(VLOOKUP(Datadetails[[#This Row],[Taskcode]],Dashboard!A:A,1,FALSE),"00 Err Missing")</f>
        <v>0048</v>
      </c>
      <c r="E2339" s="79">
        <v>45931</v>
      </c>
      <c r="F2339" s="80" t="s">
        <v>330</v>
      </c>
      <c r="G2339" s="60" t="s">
        <v>40</v>
      </c>
      <c r="H2339" s="80" t="s">
        <v>215</v>
      </c>
      <c r="I2339" s="80" t="s">
        <v>34</v>
      </c>
      <c r="J2339" s="80" t="s">
        <v>450</v>
      </c>
      <c r="K2339" s="80" t="s">
        <v>347</v>
      </c>
      <c r="L2339" s="80" t="s">
        <v>343</v>
      </c>
      <c r="M2339" s="81">
        <v>1</v>
      </c>
      <c r="N2339" s="82">
        <v>60</v>
      </c>
    </row>
    <row r="2340" spans="1:14" x14ac:dyDescent="0.25">
      <c r="A2340" s="10" t="str">
        <f>_xlfn.IFNA(
    IF(J2340=
        "PCB-0001",
        "CSS",
        IF(
            ISNUMBER(MATCH(_xlfn.TEXTBEFORE(J2340,"-"), {"CSS","CSN","PCB","PCF","BEC","CSD","PCM"}, 0)),
            _xlfn.TEXTBEFORE(J2340,"-"),
            "Other"
        )
    ),
"Add")</f>
        <v>PCB</v>
      </c>
      <c r="B2340" s="10" t="str">
        <f t="shared" si="37"/>
        <v>0134</v>
      </c>
      <c r="C2340" s="10" t="str">
        <f>_xlfn.LET(
    _xlpm.val, IF(Datadetails[[#This Row],[Activity]]="D02","C20",Datadetails[[#This Row],[Activity]]),
    IF(ISNUMBER(MATCH(_xlpm.val,{"D04","C30","c40","C20"},0)), _xlpm.val, "Other")
)</f>
        <v>C30</v>
      </c>
      <c r="D2340" s="10" t="str">
        <f>IFERROR(VLOOKUP(Datadetails[[#This Row],[Taskcode]],Dashboard!A:A,1,FALSE),"00 Err Missing")</f>
        <v>0134</v>
      </c>
      <c r="E2340" s="79">
        <v>45931</v>
      </c>
      <c r="F2340" s="80" t="s">
        <v>329</v>
      </c>
      <c r="G2340" s="60" t="s">
        <v>40</v>
      </c>
      <c r="H2340" s="80" t="s">
        <v>301</v>
      </c>
      <c r="I2340" s="80" t="s">
        <v>34</v>
      </c>
      <c r="J2340" s="80" t="s">
        <v>371</v>
      </c>
      <c r="K2340" s="80" t="s">
        <v>347</v>
      </c>
      <c r="L2340" s="80" t="s">
        <v>343</v>
      </c>
      <c r="M2340" s="81">
        <v>0.08</v>
      </c>
      <c r="N2340" s="82">
        <v>6</v>
      </c>
    </row>
    <row r="2341" spans="1:14" x14ac:dyDescent="0.25">
      <c r="A2341" s="10" t="str">
        <f>_xlfn.IFNA(
    IF(J2341=
        "PCB-0001",
        "CSS",
        IF(
            ISNUMBER(MATCH(_xlfn.TEXTBEFORE(J2341,"-"), {"CSS","CSN","PCB","PCF","BEC","CSD","PCM"}, 0)),
            _xlfn.TEXTBEFORE(J2341,"-"),
            "Other"
        )
    ),
"Add")</f>
        <v>PCB</v>
      </c>
      <c r="B2341" s="10" t="str">
        <f t="shared" si="37"/>
        <v>0062</v>
      </c>
      <c r="C2341" s="10" t="str">
        <f>_xlfn.LET(
    _xlpm.val, IF(Datadetails[[#This Row],[Activity]]="D02","C20",Datadetails[[#This Row],[Activity]]),
    IF(ISNUMBER(MATCH(_xlpm.val,{"D04","C30","c40","C20"},0)), _xlpm.val, "Other")
)</f>
        <v>C30</v>
      </c>
      <c r="D2341" s="10" t="str">
        <f>IFERROR(VLOOKUP(Datadetails[[#This Row],[Taskcode]],Dashboard!A:A,1,FALSE),"00 Err Missing")</f>
        <v>0062</v>
      </c>
      <c r="E2341" s="79">
        <v>45931</v>
      </c>
      <c r="F2341" s="80" t="s">
        <v>329</v>
      </c>
      <c r="G2341" s="60" t="s">
        <v>40</v>
      </c>
      <c r="H2341" s="80" t="s">
        <v>229</v>
      </c>
      <c r="I2341" s="80" t="s">
        <v>34</v>
      </c>
      <c r="J2341" s="80" t="s">
        <v>373</v>
      </c>
      <c r="K2341" s="80" t="s">
        <v>347</v>
      </c>
      <c r="L2341" s="80" t="s">
        <v>343</v>
      </c>
      <c r="M2341" s="81">
        <v>0.17</v>
      </c>
      <c r="N2341" s="82">
        <v>12.750000000000002</v>
      </c>
    </row>
    <row r="2342" spans="1:14" x14ac:dyDescent="0.25">
      <c r="A2342" s="10" t="str">
        <f>_xlfn.IFNA(
    IF(J2342=
        "PCB-0001",
        "CSS",
        IF(
            ISNUMBER(MATCH(_xlfn.TEXTBEFORE(J2342,"-"), {"CSS","CSN","PCB","PCF","BEC","CSD","PCM"}, 0)),
            _xlfn.TEXTBEFORE(J2342,"-"),
            "Other"
        )
    ),
"Add")</f>
        <v>PCB</v>
      </c>
      <c r="B2342" s="10" t="str">
        <f t="shared" si="37"/>
        <v>0059</v>
      </c>
      <c r="C2342" s="10" t="str">
        <f>_xlfn.LET(
    _xlpm.val, IF(Datadetails[[#This Row],[Activity]]="D02","C20",Datadetails[[#This Row],[Activity]]),
    IF(ISNUMBER(MATCH(_xlpm.val,{"D04","C30","c40","C20"},0)), _xlpm.val, "Other")
)</f>
        <v>C30</v>
      </c>
      <c r="D2342" s="10" t="str">
        <f>IFERROR(VLOOKUP(Datadetails[[#This Row],[Taskcode]],Dashboard!A:A,1,FALSE),"00 Err Missing")</f>
        <v>0059</v>
      </c>
      <c r="E2342" s="79">
        <v>45931</v>
      </c>
      <c r="F2342" s="80" t="s">
        <v>325</v>
      </c>
      <c r="G2342" s="60" t="s">
        <v>40</v>
      </c>
      <c r="H2342" s="80" t="s">
        <v>226</v>
      </c>
      <c r="I2342" s="80" t="s">
        <v>34</v>
      </c>
      <c r="J2342" s="80" t="s">
        <v>401</v>
      </c>
      <c r="K2342" s="80" t="s">
        <v>347</v>
      </c>
      <c r="L2342" s="80" t="s">
        <v>343</v>
      </c>
      <c r="M2342" s="81">
        <v>0.17</v>
      </c>
      <c r="N2342" s="82">
        <v>12.750000000000002</v>
      </c>
    </row>
    <row r="2343" spans="1:14" x14ac:dyDescent="0.25">
      <c r="A2343" s="10" t="str">
        <f>_xlfn.IFNA(
    IF(J2343=
        "PCB-0001",
        "CSS",
        IF(
            ISNUMBER(MATCH(_xlfn.TEXTBEFORE(J2343,"-"), {"CSS","CSN","PCB","PCF","BEC","CSD","PCM"}, 0)),
            _xlfn.TEXTBEFORE(J2343,"-"),
            "Other"
        )
    ),
"Add")</f>
        <v>PCB</v>
      </c>
      <c r="B2343" s="10" t="str">
        <f t="shared" si="37"/>
        <v>0054</v>
      </c>
      <c r="C2343" s="10" t="str">
        <f>_xlfn.LET(
    _xlpm.val, IF(Datadetails[[#This Row],[Activity]]="D02","C20",Datadetails[[#This Row],[Activity]]),
    IF(ISNUMBER(MATCH(_xlpm.val,{"D04","C30","c40","C20"},0)), _xlpm.val, "Other")
)</f>
        <v>C30</v>
      </c>
      <c r="D2343" s="10" t="str">
        <f>IFERROR(VLOOKUP(Datadetails[[#This Row],[Taskcode]],Dashboard!A:A,1,FALSE),"00 Err Missing")</f>
        <v>0054</v>
      </c>
      <c r="E2343" s="79">
        <v>45931</v>
      </c>
      <c r="F2343" s="80" t="s">
        <v>329</v>
      </c>
      <c r="G2343" s="60" t="s">
        <v>40</v>
      </c>
      <c r="H2343" s="80" t="s">
        <v>221</v>
      </c>
      <c r="I2343" s="80" t="s">
        <v>34</v>
      </c>
      <c r="J2343" s="80" t="s">
        <v>369</v>
      </c>
      <c r="K2343" s="80" t="s">
        <v>347</v>
      </c>
      <c r="L2343" s="80" t="s">
        <v>343</v>
      </c>
      <c r="M2343" s="81">
        <v>0.08</v>
      </c>
      <c r="N2343" s="82">
        <v>6</v>
      </c>
    </row>
    <row r="2344" spans="1:14" x14ac:dyDescent="0.25">
      <c r="A2344" s="10" t="str">
        <f>_xlfn.IFNA(
    IF(J2344=
        "PCB-0001",
        "CSS",
        IF(
            ISNUMBER(MATCH(_xlfn.TEXTBEFORE(J2344,"-"), {"CSS","CSN","PCB","PCF","BEC","CSD","PCM"}, 0)),
            _xlfn.TEXTBEFORE(J2344,"-"),
            "Other"
        )
    ),
"Add")</f>
        <v>PCB</v>
      </c>
      <c r="B2344" s="10" t="str">
        <f t="shared" si="37"/>
        <v>0075</v>
      </c>
      <c r="C2344" s="10" t="str">
        <f>_xlfn.LET(
    _xlpm.val, IF(Datadetails[[#This Row],[Activity]]="D02","C20",Datadetails[[#This Row],[Activity]]),
    IF(ISNUMBER(MATCH(_xlpm.val,{"D04","C30","c40","C20"},0)), _xlpm.val, "Other")
)</f>
        <v>C30</v>
      </c>
      <c r="D2344" s="10" t="str">
        <f>IFERROR(VLOOKUP(Datadetails[[#This Row],[Taskcode]],Dashboard!A:A,1,FALSE),"00 Err Missing")</f>
        <v>0075</v>
      </c>
      <c r="E2344" s="79">
        <v>45931</v>
      </c>
      <c r="F2344" s="80" t="s">
        <v>329</v>
      </c>
      <c r="G2344" s="60" t="s">
        <v>40</v>
      </c>
      <c r="H2344" s="80" t="s">
        <v>242</v>
      </c>
      <c r="I2344" s="80" t="s">
        <v>34</v>
      </c>
      <c r="J2344" s="80" t="s">
        <v>404</v>
      </c>
      <c r="K2344" s="80" t="s">
        <v>347</v>
      </c>
      <c r="L2344" s="80" t="s">
        <v>343</v>
      </c>
      <c r="M2344" s="81">
        <v>0.08</v>
      </c>
      <c r="N2344" s="82">
        <v>6</v>
      </c>
    </row>
    <row r="2345" spans="1:14" x14ac:dyDescent="0.25">
      <c r="A2345" s="10" t="str">
        <f>_xlfn.IFNA(
    IF(J2345=
        "PCB-0001",
        "CSS",
        IF(
            ISNUMBER(MATCH(_xlfn.TEXTBEFORE(J2345,"-"), {"CSS","CSN","PCB","PCF","BEC","CSD","PCM"}, 0)),
            _xlfn.TEXTBEFORE(J2345,"-"),
            "Other"
        )
    ),
"Add")</f>
        <v>PCB</v>
      </c>
      <c r="B2345" s="10" t="str">
        <f t="shared" si="37"/>
        <v>0123</v>
      </c>
      <c r="C2345" s="10" t="str">
        <f>_xlfn.LET(
    _xlpm.val, IF(Datadetails[[#This Row],[Activity]]="D02","C20",Datadetails[[#This Row],[Activity]]),
    IF(ISNUMBER(MATCH(_xlpm.val,{"D04","C30","c40","C20"},0)), _xlpm.val, "Other")
)</f>
        <v>C30</v>
      </c>
      <c r="D2345" s="10" t="str">
        <f>IFERROR(VLOOKUP(Datadetails[[#This Row],[Taskcode]],Dashboard!A:A,1,FALSE),"00 Err Missing")</f>
        <v>0123</v>
      </c>
      <c r="E2345" s="79">
        <v>45931</v>
      </c>
      <c r="F2345" s="80" t="s">
        <v>325</v>
      </c>
      <c r="G2345" s="60" t="s">
        <v>40</v>
      </c>
      <c r="H2345" s="80" t="s">
        <v>290</v>
      </c>
      <c r="I2345" s="80" t="s">
        <v>34</v>
      </c>
      <c r="J2345" s="80" t="s">
        <v>428</v>
      </c>
      <c r="K2345" s="80" t="s">
        <v>347</v>
      </c>
      <c r="L2345" s="80" t="s">
        <v>343</v>
      </c>
      <c r="M2345" s="81">
        <v>0.33</v>
      </c>
      <c r="N2345" s="82">
        <v>24.75</v>
      </c>
    </row>
    <row r="2346" spans="1:14" x14ac:dyDescent="0.25">
      <c r="A2346" s="10" t="str">
        <f>_xlfn.IFNA(
    IF(J2346=
        "PCB-0001",
        "CSS",
        IF(
            ISNUMBER(MATCH(_xlfn.TEXTBEFORE(J2346,"-"), {"CSS","CSN","PCB","PCF","BEC","CSD","PCM"}, 0)),
            _xlfn.TEXTBEFORE(J2346,"-"),
            "Other"
        )
    ),
"Add")</f>
        <v>PCB</v>
      </c>
      <c r="B2346" s="10" t="str">
        <f t="shared" si="37"/>
        <v>0121</v>
      </c>
      <c r="C2346" s="10" t="str">
        <f>_xlfn.LET(
    _xlpm.val, IF(Datadetails[[#This Row],[Activity]]="D02","C20",Datadetails[[#This Row],[Activity]]),
    IF(ISNUMBER(MATCH(_xlpm.val,{"D04","C30","c40","C20"},0)), _xlpm.val, "Other")
)</f>
        <v>C30</v>
      </c>
      <c r="D2346" s="10" t="str">
        <f>IFERROR(VLOOKUP(Datadetails[[#This Row],[Taskcode]],Dashboard!A:A,1,FALSE),"00 Err Missing")</f>
        <v>0121</v>
      </c>
      <c r="E2346" s="79">
        <v>45931</v>
      </c>
      <c r="F2346" s="80" t="s">
        <v>329</v>
      </c>
      <c r="G2346" s="60" t="s">
        <v>40</v>
      </c>
      <c r="H2346" s="80" t="s">
        <v>288</v>
      </c>
      <c r="I2346" s="80" t="s">
        <v>34</v>
      </c>
      <c r="J2346" s="80" t="s">
        <v>405</v>
      </c>
      <c r="K2346" s="80" t="s">
        <v>347</v>
      </c>
      <c r="L2346" s="80" t="s">
        <v>343</v>
      </c>
      <c r="M2346" s="81">
        <v>0.08</v>
      </c>
      <c r="N2346" s="82">
        <v>6</v>
      </c>
    </row>
    <row r="2347" spans="1:14" x14ac:dyDescent="0.25">
      <c r="A2347" s="10" t="str">
        <f>_xlfn.IFNA(
    IF(J2347=
        "PCB-0001",
        "CSS",
        IF(
            ISNUMBER(MATCH(_xlfn.TEXTBEFORE(J2347,"-"), {"CSS","CSN","PCB","PCF","BEC","CSD","PCM"}, 0)),
            _xlfn.TEXTBEFORE(J2347,"-"),
            "Other"
        )
    ),
"Add")</f>
        <v>PCB</v>
      </c>
      <c r="B2347" s="10" t="str">
        <f t="shared" si="37"/>
        <v>0128</v>
      </c>
      <c r="C2347" s="10" t="str">
        <f>_xlfn.LET(
    _xlpm.val, IF(Datadetails[[#This Row],[Activity]]="D02","C20",Datadetails[[#This Row],[Activity]]),
    IF(ISNUMBER(MATCH(_xlpm.val,{"D04","C30","c40","C20"},0)), _xlpm.val, "Other")
)</f>
        <v>C30</v>
      </c>
      <c r="D2347" s="10" t="str">
        <f>IFERROR(VLOOKUP(Datadetails[[#This Row],[Taskcode]],Dashboard!A:A,1,FALSE),"00 Err Missing")</f>
        <v>0128</v>
      </c>
      <c r="E2347" s="79">
        <v>45931</v>
      </c>
      <c r="F2347" s="80" t="s">
        <v>329</v>
      </c>
      <c r="G2347" s="60" t="s">
        <v>40</v>
      </c>
      <c r="H2347" s="80" t="s">
        <v>295</v>
      </c>
      <c r="I2347" s="80" t="s">
        <v>34</v>
      </c>
      <c r="J2347" s="80" t="s">
        <v>379</v>
      </c>
      <c r="K2347" s="80" t="s">
        <v>347</v>
      </c>
      <c r="L2347" s="80" t="s">
        <v>343</v>
      </c>
      <c r="M2347" s="81">
        <v>0.33</v>
      </c>
      <c r="N2347" s="82">
        <v>24.75</v>
      </c>
    </row>
    <row r="2348" spans="1:14" x14ac:dyDescent="0.25">
      <c r="A2348" s="10" t="str">
        <f>_xlfn.IFNA(
    IF(J2348=
        "PCB-0001",
        "CSS",
        IF(
            ISNUMBER(MATCH(_xlfn.TEXTBEFORE(J2348,"-"), {"CSS","CSN","PCB","PCF","BEC","CSD","PCM"}, 0)),
            _xlfn.TEXTBEFORE(J2348,"-"),
            "Other"
        )
    ),
"Add")</f>
        <v>PCB</v>
      </c>
      <c r="B2348" s="10" t="str">
        <f t="shared" si="37"/>
        <v>0095</v>
      </c>
      <c r="C2348" s="10" t="str">
        <f>_xlfn.LET(
    _xlpm.val, IF(Datadetails[[#This Row],[Activity]]="D02","C20",Datadetails[[#This Row],[Activity]]),
    IF(ISNUMBER(MATCH(_xlpm.val,{"D04","C30","c40","C20"},0)), _xlpm.val, "Other")
)</f>
        <v>C30</v>
      </c>
      <c r="D2348" s="10" t="str">
        <f>IFERROR(VLOOKUP(Datadetails[[#This Row],[Taskcode]],Dashboard!A:A,1,FALSE),"00 Err Missing")</f>
        <v>0095</v>
      </c>
      <c r="E2348" s="79">
        <v>45931</v>
      </c>
      <c r="F2348" s="80" t="s">
        <v>325</v>
      </c>
      <c r="G2348" s="60" t="s">
        <v>40</v>
      </c>
      <c r="H2348" s="80" t="s">
        <v>262</v>
      </c>
      <c r="I2348" s="80" t="s">
        <v>34</v>
      </c>
      <c r="J2348" s="80" t="s">
        <v>442</v>
      </c>
      <c r="K2348" s="80" t="s">
        <v>347</v>
      </c>
      <c r="L2348" s="80" t="s">
        <v>343</v>
      </c>
      <c r="M2348" s="81">
        <v>0.25</v>
      </c>
      <c r="N2348" s="82">
        <v>18.75</v>
      </c>
    </row>
    <row r="2349" spans="1:14" x14ac:dyDescent="0.25">
      <c r="A2349" s="10" t="str">
        <f>_xlfn.IFNA(
    IF(J2349=
        "PCB-0001",
        "CSS",
        IF(
            ISNUMBER(MATCH(_xlfn.TEXTBEFORE(J2349,"-"), {"CSS","CSN","PCB","PCF","BEC","CSD","PCM"}, 0)),
            _xlfn.TEXTBEFORE(J2349,"-"),
            "Other"
        )
    ),
"Add")</f>
        <v>PCB</v>
      </c>
      <c r="B2349" s="10" t="str">
        <f t="shared" si="37"/>
        <v>0097</v>
      </c>
      <c r="C2349" s="10" t="str">
        <f>_xlfn.LET(
    _xlpm.val, IF(Datadetails[[#This Row],[Activity]]="D02","C20",Datadetails[[#This Row],[Activity]]),
    IF(ISNUMBER(MATCH(_xlpm.val,{"D04","C30","c40","C20"},0)), _xlpm.val, "Other")
)</f>
        <v>C30</v>
      </c>
      <c r="D2349" s="10" t="str">
        <f>IFERROR(VLOOKUP(Datadetails[[#This Row],[Taskcode]],Dashboard!A:A,1,FALSE),"00 Err Missing")</f>
        <v>0097</v>
      </c>
      <c r="E2349" s="79">
        <v>45931</v>
      </c>
      <c r="F2349" s="80" t="s">
        <v>325</v>
      </c>
      <c r="G2349" s="60" t="s">
        <v>40</v>
      </c>
      <c r="H2349" s="80" t="s">
        <v>264</v>
      </c>
      <c r="I2349" s="80" t="s">
        <v>34</v>
      </c>
      <c r="J2349" s="80" t="s">
        <v>384</v>
      </c>
      <c r="K2349" s="80" t="s">
        <v>347</v>
      </c>
      <c r="L2349" s="80" t="s">
        <v>343</v>
      </c>
      <c r="M2349" s="81">
        <v>0.25</v>
      </c>
      <c r="N2349" s="82">
        <v>18.75</v>
      </c>
    </row>
    <row r="2350" spans="1:14" x14ac:dyDescent="0.25">
      <c r="A2350" s="10" t="str">
        <f>_xlfn.IFNA(
    IF(J2350=
        "PCB-0001",
        "CSS",
        IF(
            ISNUMBER(MATCH(_xlfn.TEXTBEFORE(J2350,"-"), {"CSS","CSN","PCB","PCF","BEC","CSD","PCM"}, 0)),
            _xlfn.TEXTBEFORE(J2350,"-"),
            "Other"
        )
    ),
"Add")</f>
        <v>PCB</v>
      </c>
      <c r="B2350" s="10" t="str">
        <f t="shared" si="37"/>
        <v>0080</v>
      </c>
      <c r="C2350" s="10" t="str">
        <f>_xlfn.LET(
    _xlpm.val, IF(Datadetails[[#This Row],[Activity]]="D02","C20",Datadetails[[#This Row],[Activity]]),
    IF(ISNUMBER(MATCH(_xlpm.val,{"D04","C30","c40","C20"},0)), _xlpm.val, "Other")
)</f>
        <v>C30</v>
      </c>
      <c r="D2350" s="10" t="str">
        <f>IFERROR(VLOOKUP(Datadetails[[#This Row],[Taskcode]],Dashboard!A:A,1,FALSE),"00 Err Missing")</f>
        <v>0080</v>
      </c>
      <c r="E2350" s="79">
        <v>45931</v>
      </c>
      <c r="F2350" s="80" t="s">
        <v>329</v>
      </c>
      <c r="G2350" s="60" t="s">
        <v>40</v>
      </c>
      <c r="H2350" s="80" t="s">
        <v>247</v>
      </c>
      <c r="I2350" s="80" t="s">
        <v>34</v>
      </c>
      <c r="J2350" s="80" t="s">
        <v>375</v>
      </c>
      <c r="K2350" s="80" t="s">
        <v>347</v>
      </c>
      <c r="L2350" s="80" t="s">
        <v>343</v>
      </c>
      <c r="M2350" s="81">
        <v>0.17</v>
      </c>
      <c r="N2350" s="82">
        <v>12.750000000000002</v>
      </c>
    </row>
    <row r="2351" spans="1:14" x14ac:dyDescent="0.25">
      <c r="A2351" s="10" t="str">
        <f>_xlfn.IFNA(
    IF(J2351=
        "PCB-0001",
        "CSS",
        IF(
            ISNUMBER(MATCH(_xlfn.TEXTBEFORE(J2351,"-"), {"CSS","CSN","PCB","PCF","BEC","CSD","PCM"}, 0)),
            _xlfn.TEXTBEFORE(J2351,"-"),
            "Other"
        )
    ),
"Add")</f>
        <v>PCF</v>
      </c>
      <c r="B2351" s="10" t="str">
        <f t="shared" si="37"/>
        <v>0066</v>
      </c>
      <c r="C2351" s="10" t="str">
        <f>_xlfn.LET(
    _xlpm.val, IF(Datadetails[[#This Row],[Activity]]="D02","C20",Datadetails[[#This Row],[Activity]]),
    IF(ISNUMBER(MATCH(_xlpm.val,{"D04","C30","c40","C20"},0)), _xlpm.val, "Other")
)</f>
        <v>C20</v>
      </c>
      <c r="D2351" s="10" t="str">
        <f>IFERROR(VLOOKUP(Datadetails[[#This Row],[Taskcode]],Dashboard!A:A,1,FALSE),"00 Err Missing")</f>
        <v>0066</v>
      </c>
      <c r="E2351" s="79">
        <v>45931</v>
      </c>
      <c r="F2351" s="80" t="s">
        <v>326</v>
      </c>
      <c r="G2351" s="60" t="s">
        <v>40</v>
      </c>
      <c r="H2351" s="80" t="s">
        <v>233</v>
      </c>
      <c r="I2351" s="80" t="s">
        <v>36</v>
      </c>
      <c r="J2351" s="80" t="s">
        <v>387</v>
      </c>
      <c r="K2351" s="80" t="s">
        <v>348</v>
      </c>
      <c r="L2351" s="80" t="s">
        <v>342</v>
      </c>
      <c r="M2351" s="81">
        <v>0.25</v>
      </c>
      <c r="N2351" s="82">
        <v>15</v>
      </c>
    </row>
    <row r="2352" spans="1:14" x14ac:dyDescent="0.25">
      <c r="A2352" s="10" t="str">
        <f>_xlfn.IFNA(
    IF(J2352=
        "PCB-0001",
        "CSS",
        IF(
            ISNUMBER(MATCH(_xlfn.TEXTBEFORE(J2352,"-"), {"CSS","CSN","PCB","PCF","BEC","CSD","PCM"}, 0)),
            _xlfn.TEXTBEFORE(J2352,"-"),
            "Other"
        )
    ),
"Add")</f>
        <v>PCF</v>
      </c>
      <c r="B2352" s="10" t="str">
        <f t="shared" si="37"/>
        <v>0068</v>
      </c>
      <c r="C2352" s="10" t="str">
        <f>_xlfn.LET(
    _xlpm.val, IF(Datadetails[[#This Row],[Activity]]="D02","C20",Datadetails[[#This Row],[Activity]]),
    IF(ISNUMBER(MATCH(_xlpm.val,{"D04","C30","c40","C20"},0)), _xlpm.val, "Other")
)</f>
        <v>C20</v>
      </c>
      <c r="D2352" s="10" t="str">
        <f>IFERROR(VLOOKUP(Datadetails[[#This Row],[Taskcode]],Dashboard!A:A,1,FALSE),"00 Err Missing")</f>
        <v>0068</v>
      </c>
      <c r="E2352" s="79">
        <v>45931</v>
      </c>
      <c r="F2352" s="80" t="s">
        <v>326</v>
      </c>
      <c r="G2352" s="60" t="s">
        <v>40</v>
      </c>
      <c r="H2352" s="80" t="s">
        <v>235</v>
      </c>
      <c r="I2352" s="80" t="s">
        <v>36</v>
      </c>
      <c r="J2352" s="80" t="s">
        <v>355</v>
      </c>
      <c r="K2352" s="80" t="s">
        <v>348</v>
      </c>
      <c r="L2352" s="80" t="s">
        <v>342</v>
      </c>
      <c r="M2352" s="81">
        <v>0.25</v>
      </c>
      <c r="N2352" s="82">
        <v>15</v>
      </c>
    </row>
    <row r="2353" spans="1:14" x14ac:dyDescent="0.25">
      <c r="A2353" s="10" t="str">
        <f>_xlfn.IFNA(
    IF(J2353=
        "PCB-0001",
        "CSS",
        IF(
            ISNUMBER(MATCH(_xlfn.TEXTBEFORE(J2353,"-"), {"CSS","CSN","PCB","PCF","BEC","CSD","PCM"}, 0)),
            _xlfn.TEXTBEFORE(J2353,"-"),
            "Other"
        )
    ),
"Add")</f>
        <v>PCF</v>
      </c>
      <c r="B2353" s="10" t="str">
        <f t="shared" si="37"/>
        <v>0069</v>
      </c>
      <c r="C2353" s="10" t="str">
        <f>_xlfn.LET(
    _xlpm.val, IF(Datadetails[[#This Row],[Activity]]="D02","C20",Datadetails[[#This Row],[Activity]]),
    IF(ISNUMBER(MATCH(_xlpm.val,{"D04","C30","c40","C20"},0)), _xlpm.val, "Other")
)</f>
        <v>C20</v>
      </c>
      <c r="D2353" s="10" t="str">
        <f>IFERROR(VLOOKUP(Datadetails[[#This Row],[Taskcode]],Dashboard!A:A,1,FALSE),"00 Err Missing")</f>
        <v>0069</v>
      </c>
      <c r="E2353" s="79">
        <v>45931</v>
      </c>
      <c r="F2353" s="80" t="s">
        <v>326</v>
      </c>
      <c r="G2353" s="60" t="s">
        <v>40</v>
      </c>
      <c r="H2353" s="80" t="s">
        <v>236</v>
      </c>
      <c r="I2353" s="80" t="s">
        <v>36</v>
      </c>
      <c r="J2353" s="80" t="s">
        <v>357</v>
      </c>
      <c r="K2353" s="80" t="s">
        <v>348</v>
      </c>
      <c r="L2353" s="80" t="s">
        <v>342</v>
      </c>
      <c r="M2353" s="81">
        <v>0.25</v>
      </c>
      <c r="N2353" s="82">
        <v>15</v>
      </c>
    </row>
    <row r="2354" spans="1:14" x14ac:dyDescent="0.25">
      <c r="A2354" s="10" t="str">
        <f>_xlfn.IFNA(
    IF(J2354=
        "PCB-0001",
        "CSS",
        IF(
            ISNUMBER(MATCH(_xlfn.TEXTBEFORE(J2354,"-"), {"CSS","CSN","PCB","PCF","BEC","CSD","PCM"}, 0)),
            _xlfn.TEXTBEFORE(J2354,"-"),
            "Other"
        )
    ),
"Add")</f>
        <v>PCF</v>
      </c>
      <c r="B2354" s="10" t="str">
        <f t="shared" si="37"/>
        <v>0060</v>
      </c>
      <c r="C2354" s="10" t="str">
        <f>_xlfn.LET(
    _xlpm.val, IF(Datadetails[[#This Row],[Activity]]="D02","C20",Datadetails[[#This Row],[Activity]]),
    IF(ISNUMBER(MATCH(_xlpm.val,{"D04","C30","c40","C20"},0)), _xlpm.val, "Other")
)</f>
        <v>C30</v>
      </c>
      <c r="D2354" s="10" t="str">
        <f>IFERROR(VLOOKUP(Datadetails[[#This Row],[Taskcode]],Dashboard!A:A,1,FALSE),"00 Err Missing")</f>
        <v>0060</v>
      </c>
      <c r="E2354" s="79">
        <v>45931</v>
      </c>
      <c r="F2354" s="80" t="s">
        <v>326</v>
      </c>
      <c r="G2354" s="60" t="s">
        <v>40</v>
      </c>
      <c r="H2354" s="80" t="s">
        <v>227</v>
      </c>
      <c r="I2354" s="80" t="s">
        <v>34</v>
      </c>
      <c r="J2354" s="80" t="s">
        <v>453</v>
      </c>
      <c r="K2354" s="80" t="s">
        <v>348</v>
      </c>
      <c r="L2354" s="80" t="s">
        <v>343</v>
      </c>
      <c r="M2354" s="81">
        <v>1</v>
      </c>
      <c r="N2354" s="82">
        <v>60</v>
      </c>
    </row>
    <row r="2355" spans="1:14" x14ac:dyDescent="0.25">
      <c r="A2355" s="10" t="str">
        <f>_xlfn.IFNA(
    IF(J2355=
        "PCB-0001",
        "CSS",
        IF(
            ISNUMBER(MATCH(_xlfn.TEXTBEFORE(J2355,"-"), {"CSS","CSN","PCB","PCF","BEC","CSD","PCM"}, 0)),
            _xlfn.TEXTBEFORE(J2355,"-"),
            "Other"
        )
    ),
"Add")</f>
        <v>PCF</v>
      </c>
      <c r="B2355" s="10" t="str">
        <f t="shared" si="37"/>
        <v>0098</v>
      </c>
      <c r="C2355" s="10" t="str">
        <f>_xlfn.LET(
    _xlpm.val, IF(Datadetails[[#This Row],[Activity]]="D02","C20",Datadetails[[#This Row],[Activity]]),
    IF(ISNUMBER(MATCH(_xlpm.val,{"D04","C30","c40","C20"},0)), _xlpm.val, "Other")
)</f>
        <v>C30</v>
      </c>
      <c r="D2355" s="10" t="str">
        <f>IFERROR(VLOOKUP(Datadetails[[#This Row],[Taskcode]],Dashboard!A:A,1,FALSE),"00 Err Missing")</f>
        <v>0098</v>
      </c>
      <c r="E2355" s="79">
        <v>45931</v>
      </c>
      <c r="F2355" s="80" t="s">
        <v>326</v>
      </c>
      <c r="G2355" s="60" t="s">
        <v>40</v>
      </c>
      <c r="H2355" s="80" t="s">
        <v>265</v>
      </c>
      <c r="I2355" s="80" t="s">
        <v>34</v>
      </c>
      <c r="J2355" s="80" t="s">
        <v>358</v>
      </c>
      <c r="K2355" s="80" t="s">
        <v>348</v>
      </c>
      <c r="L2355" s="80" t="s">
        <v>343</v>
      </c>
      <c r="M2355" s="81">
        <v>1.5</v>
      </c>
      <c r="N2355" s="82">
        <v>90</v>
      </c>
    </row>
    <row r="2356" spans="1:14" x14ac:dyDescent="0.25">
      <c r="A2356" s="10" t="str">
        <f>_xlfn.IFNA(
    IF(J2356=
        "PCB-0001",
        "CSS",
        IF(
            ISNUMBER(MATCH(_xlfn.TEXTBEFORE(J2356,"-"), {"CSS","CSN","PCB","PCF","BEC","CSD","PCM"}, 0)),
            _xlfn.TEXTBEFORE(J2356,"-"),
            "Other"
        )
    ),
"Add")</f>
        <v>BEC</v>
      </c>
      <c r="B2356" s="10" t="str">
        <f t="shared" si="37"/>
        <v>0001</v>
      </c>
      <c r="C2356" s="10" t="str">
        <f>_xlfn.LET(
    _xlpm.val, IF(Datadetails[[#This Row],[Activity]]="D02","C20",Datadetails[[#This Row],[Activity]]),
    IF(ISNUMBER(MATCH(_xlpm.val,{"D04","C30","c40","C20"},0)), _xlpm.val, "Other")
)</f>
        <v>D04</v>
      </c>
      <c r="D2356" s="10" t="str">
        <f>IFERROR(VLOOKUP(Datadetails[[#This Row],[Taskcode]],Dashboard!A:A,1,FALSE),"00 Err Missing")</f>
        <v>0001</v>
      </c>
      <c r="E2356" s="79">
        <v>45931</v>
      </c>
      <c r="F2356" s="80" t="s">
        <v>332</v>
      </c>
      <c r="G2356" s="60" t="s">
        <v>40</v>
      </c>
      <c r="H2356" s="80" t="s">
        <v>314</v>
      </c>
      <c r="I2356" s="80" t="s">
        <v>35</v>
      </c>
      <c r="J2356" s="80" t="s">
        <v>359</v>
      </c>
      <c r="K2356" s="80" t="s">
        <v>339</v>
      </c>
      <c r="L2356" s="80" t="s">
        <v>352</v>
      </c>
      <c r="M2356" s="81">
        <v>8.83</v>
      </c>
      <c r="N2356" s="82">
        <v>353.2</v>
      </c>
    </row>
    <row r="2357" spans="1:14" x14ac:dyDescent="0.25">
      <c r="A2357" s="10" t="str">
        <f>_xlfn.IFNA(
    IF(J2357=
        "PCB-0001",
        "CSS",
        IF(
            ISNUMBER(MATCH(_xlfn.TEXTBEFORE(J2357,"-"), {"CSS","CSN","PCB","PCF","BEC","CSD","PCM"}, 0)),
            _xlfn.TEXTBEFORE(J2357,"-"),
            "Other"
        )
    ),
"Add")</f>
        <v>BEC</v>
      </c>
      <c r="B2357" s="10" t="str">
        <f t="shared" si="37"/>
        <v>0001</v>
      </c>
      <c r="C2357" s="10" t="str">
        <f>_xlfn.LET(
    _xlpm.val, IF(Datadetails[[#This Row],[Activity]]="D02","C20",Datadetails[[#This Row],[Activity]]),
    IF(ISNUMBER(MATCH(_xlpm.val,{"D04","C30","c40","C20"},0)), _xlpm.val, "Other")
)</f>
        <v>D04</v>
      </c>
      <c r="D2357" s="10" t="str">
        <f>IFERROR(VLOOKUP(Datadetails[[#This Row],[Taskcode]],Dashboard!A:A,1,FALSE),"00 Err Missing")</f>
        <v>0001</v>
      </c>
      <c r="E2357" s="79">
        <v>45931</v>
      </c>
      <c r="F2357" s="80" t="s">
        <v>324</v>
      </c>
      <c r="G2357" s="60" t="s">
        <v>40</v>
      </c>
      <c r="H2357" s="80" t="s">
        <v>314</v>
      </c>
      <c r="I2357" s="80" t="s">
        <v>35</v>
      </c>
      <c r="J2357" s="80" t="s">
        <v>359</v>
      </c>
      <c r="K2357" s="80" t="s">
        <v>339</v>
      </c>
      <c r="L2357" s="80" t="s">
        <v>352</v>
      </c>
      <c r="M2357" s="81">
        <v>5.25</v>
      </c>
      <c r="N2357" s="82">
        <v>393.75</v>
      </c>
    </row>
    <row r="2358" spans="1:14" x14ac:dyDescent="0.25">
      <c r="A2358" s="10" t="str">
        <f>_xlfn.IFNA(
    IF(J2358=
        "PCB-0001",
        "CSS",
        IF(
            ISNUMBER(MATCH(_xlfn.TEXTBEFORE(J2358,"-"), {"CSS","CSN","PCB","PCF","BEC","CSD","PCM"}, 0)),
            _xlfn.TEXTBEFORE(J2358,"-"),
            "Other"
        )
    ),
"Add")</f>
        <v>CSN</v>
      </c>
      <c r="B2358" s="10" t="str">
        <f t="shared" si="37"/>
        <v>0001</v>
      </c>
      <c r="C2358" s="10" t="str">
        <f>_xlfn.LET(
    _xlpm.val, IF(Datadetails[[#This Row],[Activity]]="D02","C20",Datadetails[[#This Row],[Activity]]),
    IF(ISNUMBER(MATCH(_xlpm.val,{"D04","C30","c40","C20"},0)), _xlpm.val, "Other")
)</f>
        <v>D04</v>
      </c>
      <c r="D2358" s="10" t="str">
        <f>IFERROR(VLOOKUP(Datadetails[[#This Row],[Taskcode]],Dashboard!A:A,1,FALSE),"00 Err Missing")</f>
        <v>0001</v>
      </c>
      <c r="E2358" s="79">
        <v>45932</v>
      </c>
      <c r="F2358" s="80" t="s">
        <v>329</v>
      </c>
      <c r="G2358" s="60" t="s">
        <v>40</v>
      </c>
      <c r="H2358" s="80" t="s">
        <v>316</v>
      </c>
      <c r="I2358" s="80" t="s">
        <v>35</v>
      </c>
      <c r="J2358" s="80" t="s">
        <v>338</v>
      </c>
      <c r="K2358" s="80" t="s">
        <v>337</v>
      </c>
      <c r="L2358" s="80" t="s">
        <v>352</v>
      </c>
      <c r="M2358" s="81">
        <v>2</v>
      </c>
      <c r="N2358" s="82">
        <v>150</v>
      </c>
    </row>
    <row r="2359" spans="1:14" x14ac:dyDescent="0.25">
      <c r="A2359" s="10" t="str">
        <f>_xlfn.IFNA(
    IF(J2359=
        "PCB-0001",
        "CSS",
        IF(
            ISNUMBER(MATCH(_xlfn.TEXTBEFORE(J2359,"-"), {"CSS","CSN","PCB","PCF","BEC","CSD","PCM"}, 0)),
            _xlfn.TEXTBEFORE(J2359,"-"),
            "Other"
        )
    ),
"Add")</f>
        <v>PCB</v>
      </c>
      <c r="B2359" s="10" t="str">
        <f t="shared" si="37"/>
        <v>0102</v>
      </c>
      <c r="C2359" s="10" t="str">
        <f>_xlfn.LET(
    _xlpm.val, IF(Datadetails[[#This Row],[Activity]]="D02","C20",Datadetails[[#This Row],[Activity]]),
    IF(ISNUMBER(MATCH(_xlpm.val,{"D04","C30","c40","C20"},0)), _xlpm.val, "Other")
)</f>
        <v>C30</v>
      </c>
      <c r="D2359" s="10" t="str">
        <f>IFERROR(VLOOKUP(Datadetails[[#This Row],[Taskcode]],Dashboard!A:A,1,FALSE),"00 Err Missing")</f>
        <v>0102</v>
      </c>
      <c r="E2359" s="79">
        <v>45932</v>
      </c>
      <c r="F2359" s="80" t="s">
        <v>329</v>
      </c>
      <c r="G2359" s="60" t="s">
        <v>40</v>
      </c>
      <c r="H2359" s="80" t="s">
        <v>269</v>
      </c>
      <c r="I2359" s="80" t="s">
        <v>34</v>
      </c>
      <c r="J2359" s="80" t="s">
        <v>361</v>
      </c>
      <c r="K2359" s="80" t="s">
        <v>347</v>
      </c>
      <c r="L2359" s="80" t="s">
        <v>343</v>
      </c>
      <c r="M2359" s="81">
        <v>0.17</v>
      </c>
      <c r="N2359" s="82">
        <v>12.750000000000002</v>
      </c>
    </row>
    <row r="2360" spans="1:14" x14ac:dyDescent="0.25">
      <c r="A2360" s="10" t="str">
        <f>_xlfn.IFNA(
    IF(J2360=
        "PCB-0001",
        "CSS",
        IF(
            ISNUMBER(MATCH(_xlfn.TEXTBEFORE(J2360,"-"), {"CSS","CSN","PCB","PCF","BEC","CSD","PCM"}, 0)),
            _xlfn.TEXTBEFORE(J2360,"-"),
            "Other"
        )
    ),
"Add")</f>
        <v>PCB</v>
      </c>
      <c r="B2360" s="10" t="str">
        <f t="shared" si="37"/>
        <v>0101</v>
      </c>
      <c r="C2360" s="10" t="str">
        <f>_xlfn.LET(
    _xlpm.val, IF(Datadetails[[#This Row],[Activity]]="D02","C20",Datadetails[[#This Row],[Activity]]),
    IF(ISNUMBER(MATCH(_xlpm.val,{"D04","C30","c40","C20"},0)), _xlpm.val, "Other")
)</f>
        <v>C30</v>
      </c>
      <c r="D2360" s="10" t="str">
        <f>IFERROR(VLOOKUP(Datadetails[[#This Row],[Taskcode]],Dashboard!A:A,1,FALSE),"00 Err Missing")</f>
        <v>0101</v>
      </c>
      <c r="E2360" s="79">
        <v>45932</v>
      </c>
      <c r="F2360" s="80" t="s">
        <v>329</v>
      </c>
      <c r="G2360" s="60" t="s">
        <v>40</v>
      </c>
      <c r="H2360" s="80" t="s">
        <v>268</v>
      </c>
      <c r="I2360" s="80" t="s">
        <v>34</v>
      </c>
      <c r="J2360" s="80" t="s">
        <v>386</v>
      </c>
      <c r="K2360" s="80" t="s">
        <v>347</v>
      </c>
      <c r="L2360" s="80" t="s">
        <v>343</v>
      </c>
      <c r="M2360" s="81">
        <v>0.17</v>
      </c>
      <c r="N2360" s="82">
        <v>12.750000000000002</v>
      </c>
    </row>
    <row r="2361" spans="1:14" x14ac:dyDescent="0.25">
      <c r="A2361" s="10" t="str">
        <f>_xlfn.IFNA(
    IF(J2361=
        "PCB-0001",
        "CSS",
        IF(
            ISNUMBER(MATCH(_xlfn.TEXTBEFORE(J2361,"-"), {"CSS","CSN","PCB","PCF","BEC","CSD","PCM"}, 0)),
            _xlfn.TEXTBEFORE(J2361,"-"),
            "Other"
        )
    ),
"Add")</f>
        <v>PCB</v>
      </c>
      <c r="B2361" s="10" t="str">
        <f t="shared" si="37"/>
        <v>0103</v>
      </c>
      <c r="C2361" s="10" t="str">
        <f>_xlfn.LET(
    _xlpm.val, IF(Datadetails[[#This Row],[Activity]]="D02","C20",Datadetails[[#This Row],[Activity]]),
    IF(ISNUMBER(MATCH(_xlpm.val,{"D04","C30","c40","C20"},0)), _xlpm.val, "Other")
)</f>
        <v>C30</v>
      </c>
      <c r="D2361" s="10" t="str">
        <f>IFERROR(VLOOKUP(Datadetails[[#This Row],[Taskcode]],Dashboard!A:A,1,FALSE),"00 Err Missing")</f>
        <v>0103</v>
      </c>
      <c r="E2361" s="79">
        <v>45932</v>
      </c>
      <c r="F2361" s="80" t="s">
        <v>329</v>
      </c>
      <c r="G2361" s="60" t="s">
        <v>40</v>
      </c>
      <c r="H2361" s="80" t="s">
        <v>270</v>
      </c>
      <c r="I2361" s="80" t="s">
        <v>34</v>
      </c>
      <c r="J2361" s="80" t="s">
        <v>360</v>
      </c>
      <c r="K2361" s="80" t="s">
        <v>347</v>
      </c>
      <c r="L2361" s="80" t="s">
        <v>343</v>
      </c>
      <c r="M2361" s="81">
        <v>0.33</v>
      </c>
      <c r="N2361" s="82">
        <v>24.75</v>
      </c>
    </row>
    <row r="2362" spans="1:14" x14ac:dyDescent="0.25">
      <c r="A2362" s="10" t="str">
        <f>_xlfn.IFNA(
    IF(J2362=
        "PCB-0001",
        "CSS",
        IF(
            ISNUMBER(MATCH(_xlfn.TEXTBEFORE(J2362,"-"), {"CSS","CSN","PCB","PCF","BEC","CSD","PCM"}, 0)),
            _xlfn.TEXTBEFORE(J2362,"-"),
            "Other"
        )
    ),
"Add")</f>
        <v>BEC</v>
      </c>
      <c r="B2362" s="10" t="str">
        <f t="shared" si="37"/>
        <v>0001</v>
      </c>
      <c r="C2362" s="10" t="str">
        <f>_xlfn.LET(
    _xlpm.val, IF(Datadetails[[#This Row],[Activity]]="D02","C20",Datadetails[[#This Row],[Activity]]),
    IF(ISNUMBER(MATCH(_xlpm.val,{"D04","C30","c40","C20"},0)), _xlpm.val, "Other")
)</f>
        <v>D04</v>
      </c>
      <c r="D2362" s="10" t="str">
        <f>IFERROR(VLOOKUP(Datadetails[[#This Row],[Taskcode]],Dashboard!A:A,1,FALSE),"00 Err Missing")</f>
        <v>0001</v>
      </c>
      <c r="E2362" s="79">
        <v>45932</v>
      </c>
      <c r="F2362" s="80" t="s">
        <v>324</v>
      </c>
      <c r="G2362" s="60" t="s">
        <v>40</v>
      </c>
      <c r="H2362" s="80" t="s">
        <v>314</v>
      </c>
      <c r="I2362" s="80" t="s">
        <v>35</v>
      </c>
      <c r="J2362" s="80" t="s">
        <v>359</v>
      </c>
      <c r="K2362" s="80" t="s">
        <v>339</v>
      </c>
      <c r="L2362" s="80" t="s">
        <v>352</v>
      </c>
      <c r="M2362" s="81">
        <v>4.25</v>
      </c>
      <c r="N2362" s="82">
        <v>318.75</v>
      </c>
    </row>
    <row r="2363" spans="1:14" x14ac:dyDescent="0.25">
      <c r="A2363" s="10" t="str">
        <f>_xlfn.IFNA(
    IF(J2363=
        "PCB-0001",
        "CSS",
        IF(
            ISNUMBER(MATCH(_xlfn.TEXTBEFORE(J2363,"-"), {"CSS","CSN","PCB","PCF","BEC","CSD","PCM"}, 0)),
            _xlfn.TEXTBEFORE(J2363,"-"),
            "Other"
        )
    ),
"Add")</f>
        <v>CSD</v>
      </c>
      <c r="B2363" s="10" t="str">
        <f t="shared" si="37"/>
        <v>0001</v>
      </c>
      <c r="C2363" s="10" t="str">
        <f>_xlfn.LET(
    _xlpm.val, IF(Datadetails[[#This Row],[Activity]]="D02","C20",Datadetails[[#This Row],[Activity]]),
    IF(ISNUMBER(MATCH(_xlpm.val,{"D04","C30","c40","C20"},0)), _xlpm.val, "Other")
)</f>
        <v>D04</v>
      </c>
      <c r="D2363" s="10" t="str">
        <f>IFERROR(VLOOKUP(Datadetails[[#This Row],[Taskcode]],Dashboard!A:A,1,FALSE),"00 Err Missing")</f>
        <v>0001</v>
      </c>
      <c r="E2363" s="79">
        <v>45932</v>
      </c>
      <c r="F2363" s="80" t="s">
        <v>333</v>
      </c>
      <c r="G2363" s="60" t="s">
        <v>40</v>
      </c>
      <c r="H2363" s="80" t="s">
        <v>320</v>
      </c>
      <c r="I2363" s="80" t="s">
        <v>35</v>
      </c>
      <c r="J2363" s="80" t="s">
        <v>322</v>
      </c>
      <c r="K2363" s="80" t="s">
        <v>319</v>
      </c>
      <c r="L2363" s="80" t="s">
        <v>352</v>
      </c>
      <c r="M2363" s="81">
        <v>7.75</v>
      </c>
      <c r="N2363" s="82">
        <v>248</v>
      </c>
    </row>
    <row r="2364" spans="1:14" x14ac:dyDescent="0.25">
      <c r="A2364" s="10" t="str">
        <f>_xlfn.IFNA(
    IF(J2364=
        "PCB-0001",
        "CSS",
        IF(
            ISNUMBER(MATCH(_xlfn.TEXTBEFORE(J2364,"-"), {"CSS","CSN","PCB","PCF","BEC","CSD","PCM"}, 0)),
            _xlfn.TEXTBEFORE(J2364,"-"),
            "Other"
        )
    ),
"Add")</f>
        <v>CSD</v>
      </c>
      <c r="B2364" s="10" t="str">
        <f t="shared" si="37"/>
        <v>0001</v>
      </c>
      <c r="C2364" s="10" t="str">
        <f>_xlfn.LET(
    _xlpm.val, IF(Datadetails[[#This Row],[Activity]]="D02","C20",Datadetails[[#This Row],[Activity]]),
    IF(ISNUMBER(MATCH(_xlpm.val,{"D04","C30","c40","C20"},0)), _xlpm.val, "Other")
)</f>
        <v>D04</v>
      </c>
      <c r="D2364" s="10" t="str">
        <f>IFERROR(VLOOKUP(Datadetails[[#This Row],[Taskcode]],Dashboard!A:A,1,FALSE),"00 Err Missing")</f>
        <v>0001</v>
      </c>
      <c r="E2364" s="79">
        <v>45932</v>
      </c>
      <c r="F2364" s="80" t="s">
        <v>327</v>
      </c>
      <c r="G2364" s="60" t="s">
        <v>40</v>
      </c>
      <c r="H2364" s="80" t="s">
        <v>320</v>
      </c>
      <c r="I2364" s="80" t="s">
        <v>35</v>
      </c>
      <c r="J2364" s="80" t="s">
        <v>322</v>
      </c>
      <c r="K2364" s="80" t="s">
        <v>319</v>
      </c>
      <c r="L2364" s="80" t="s">
        <v>352</v>
      </c>
      <c r="M2364" s="81">
        <v>7.25</v>
      </c>
      <c r="N2364" s="82">
        <v>232</v>
      </c>
    </row>
    <row r="2365" spans="1:14" x14ac:dyDescent="0.25">
      <c r="A2365" s="10" t="str">
        <f>_xlfn.IFNA(
    IF(J2365=
        "PCB-0001",
        "CSS",
        IF(
            ISNUMBER(MATCH(_xlfn.TEXTBEFORE(J2365,"-"), {"CSS","CSN","PCB","PCF","BEC","CSD","PCM"}, 0)),
            _xlfn.TEXTBEFORE(J2365,"-"),
            "Other"
        )
    ),
"Add")</f>
        <v>PCM</v>
      </c>
      <c r="B2365" s="10" t="str">
        <f t="shared" si="37"/>
        <v>0116</v>
      </c>
      <c r="C2365" s="10" t="str">
        <f>_xlfn.LET(
    _xlpm.val, IF(Datadetails[[#This Row],[Activity]]="D02","C20",Datadetails[[#This Row],[Activity]]),
    IF(ISNUMBER(MATCH(_xlpm.val,{"D04","C30","c40","C20"},0)), _xlpm.val, "Other")
)</f>
        <v>C40</v>
      </c>
      <c r="D2365" s="10" t="str">
        <f>IFERROR(VLOOKUP(Datadetails[[#This Row],[Taskcode]],Dashboard!A:A,1,FALSE),"00 Err Missing")</f>
        <v>0116</v>
      </c>
      <c r="E2365" s="79">
        <v>45932</v>
      </c>
      <c r="F2365" s="80" t="s">
        <v>323</v>
      </c>
      <c r="G2365" s="60" t="s">
        <v>40</v>
      </c>
      <c r="H2365" s="80" t="s">
        <v>283</v>
      </c>
      <c r="I2365" s="80" t="s">
        <v>341</v>
      </c>
      <c r="J2365" s="80" t="s">
        <v>429</v>
      </c>
      <c r="K2365" s="80" t="s">
        <v>346</v>
      </c>
      <c r="L2365" s="80" t="s">
        <v>344</v>
      </c>
      <c r="M2365" s="81">
        <v>1</v>
      </c>
      <c r="N2365" s="82">
        <v>60</v>
      </c>
    </row>
    <row r="2366" spans="1:14" x14ac:dyDescent="0.25">
      <c r="A2366" s="10" t="str">
        <f>_xlfn.IFNA(
    IF(J2366=
        "PCB-0001",
        "CSS",
        IF(
            ISNUMBER(MATCH(_xlfn.TEXTBEFORE(J2366,"-"), {"CSS","CSN","PCB","PCF","BEC","CSD","PCM"}, 0)),
            _xlfn.TEXTBEFORE(J2366,"-"),
            "Other"
        )
    ),
"Add")</f>
        <v>PCM</v>
      </c>
      <c r="B2366" s="10" t="str">
        <f t="shared" si="37"/>
        <v>0114</v>
      </c>
      <c r="C2366" s="10" t="str">
        <f>_xlfn.LET(
    _xlpm.val, IF(Datadetails[[#This Row],[Activity]]="D02","C20",Datadetails[[#This Row],[Activity]]),
    IF(ISNUMBER(MATCH(_xlpm.val,{"D04","C30","c40","C20"},0)), _xlpm.val, "Other")
)</f>
        <v>C40</v>
      </c>
      <c r="D2366" s="10" t="str">
        <f>IFERROR(VLOOKUP(Datadetails[[#This Row],[Taskcode]],Dashboard!A:A,1,FALSE),"00 Err Missing")</f>
        <v>0114</v>
      </c>
      <c r="E2366" s="79">
        <v>45932</v>
      </c>
      <c r="F2366" s="80" t="s">
        <v>323</v>
      </c>
      <c r="G2366" s="60" t="s">
        <v>40</v>
      </c>
      <c r="H2366" s="80" t="s">
        <v>281</v>
      </c>
      <c r="I2366" s="80" t="s">
        <v>341</v>
      </c>
      <c r="J2366" s="80" t="s">
        <v>430</v>
      </c>
      <c r="K2366" s="80" t="s">
        <v>346</v>
      </c>
      <c r="L2366" s="80" t="s">
        <v>344</v>
      </c>
      <c r="M2366" s="81">
        <v>3.5</v>
      </c>
      <c r="N2366" s="82">
        <v>210</v>
      </c>
    </row>
    <row r="2367" spans="1:14" x14ac:dyDescent="0.25">
      <c r="A2367" s="10" t="str">
        <f>_xlfn.IFNA(
    IF(J2367=
        "PCB-0001",
        "CSS",
        IF(
            ISNUMBER(MATCH(_xlfn.TEXTBEFORE(J2367,"-"), {"CSS","CSN","PCB","PCF","BEC","CSD","PCM"}, 0)),
            _xlfn.TEXTBEFORE(J2367,"-"),
            "Other"
        )
    ),
"Add")</f>
        <v>PCB</v>
      </c>
      <c r="B2367" s="10" t="str">
        <f t="shared" si="37"/>
        <v>0029</v>
      </c>
      <c r="C2367" s="10" t="str">
        <f>_xlfn.LET(
    _xlpm.val, IF(Datadetails[[#This Row],[Activity]]="D02","C20",Datadetails[[#This Row],[Activity]]),
    IF(ISNUMBER(MATCH(_xlpm.val,{"D04","C30","c40","C20"},0)), _xlpm.val, "Other")
)</f>
        <v>C30</v>
      </c>
      <c r="D2367" s="10" t="str">
        <f>IFERROR(VLOOKUP(Datadetails[[#This Row],[Taskcode]],Dashboard!A:A,1,FALSE),"00 Err Missing")</f>
        <v>0029</v>
      </c>
      <c r="E2367" s="79">
        <v>45932</v>
      </c>
      <c r="F2367" s="80" t="s">
        <v>330</v>
      </c>
      <c r="G2367" s="60" t="s">
        <v>40</v>
      </c>
      <c r="H2367" s="80" t="s">
        <v>196</v>
      </c>
      <c r="I2367" s="80" t="s">
        <v>34</v>
      </c>
      <c r="J2367" s="80" t="s">
        <v>446</v>
      </c>
      <c r="K2367" s="80" t="s">
        <v>347</v>
      </c>
      <c r="L2367" s="80" t="s">
        <v>343</v>
      </c>
      <c r="M2367" s="81">
        <v>0.5</v>
      </c>
      <c r="N2367" s="82">
        <v>30</v>
      </c>
    </row>
    <row r="2368" spans="1:14" x14ac:dyDescent="0.25">
      <c r="A2368" s="10" t="str">
        <f>_xlfn.IFNA(
    IF(J2368=
        "PCB-0001",
        "CSS",
        IF(
            ISNUMBER(MATCH(_xlfn.TEXTBEFORE(J2368,"-"), {"CSS","CSN","PCB","PCF","BEC","CSD","PCM"}, 0)),
            _xlfn.TEXTBEFORE(J2368,"-"),
            "Other"
        )
    ),
"Add")</f>
        <v>PCB</v>
      </c>
      <c r="B2368" s="10" t="str">
        <f t="shared" si="37"/>
        <v>0030</v>
      </c>
      <c r="C2368" s="10" t="str">
        <f>_xlfn.LET(
    _xlpm.val, IF(Datadetails[[#This Row],[Activity]]="D02","C20",Datadetails[[#This Row],[Activity]]),
    IF(ISNUMBER(MATCH(_xlpm.val,{"D04","C30","c40","C20"},0)), _xlpm.val, "Other")
)</f>
        <v>C30</v>
      </c>
      <c r="D2368" s="10" t="str">
        <f>IFERROR(VLOOKUP(Datadetails[[#This Row],[Taskcode]],Dashboard!A:A,1,FALSE),"00 Err Missing")</f>
        <v>0030</v>
      </c>
      <c r="E2368" s="79">
        <v>45932</v>
      </c>
      <c r="F2368" s="80" t="s">
        <v>329</v>
      </c>
      <c r="G2368" s="60" t="s">
        <v>40</v>
      </c>
      <c r="H2368" s="80" t="s">
        <v>197</v>
      </c>
      <c r="I2368" s="80" t="s">
        <v>34</v>
      </c>
      <c r="J2368" s="80" t="s">
        <v>366</v>
      </c>
      <c r="K2368" s="80" t="s">
        <v>347</v>
      </c>
      <c r="L2368" s="80" t="s">
        <v>343</v>
      </c>
      <c r="M2368" s="81">
        <v>0.17</v>
      </c>
      <c r="N2368" s="82">
        <v>12.750000000000002</v>
      </c>
    </row>
    <row r="2369" spans="1:14" x14ac:dyDescent="0.25">
      <c r="A2369" s="10" t="str">
        <f>_xlfn.IFNA(
    IF(J2369=
        "PCB-0001",
        "CSS",
        IF(
            ISNUMBER(MATCH(_xlfn.TEXTBEFORE(J2369,"-"), {"CSS","CSN","PCB","PCF","BEC","CSD","PCM"}, 0)),
            _xlfn.TEXTBEFORE(J2369,"-"),
            "Other"
        )
    ),
"Add")</f>
        <v>PCB</v>
      </c>
      <c r="B2369" s="10" t="str">
        <f t="shared" si="37"/>
        <v>0048</v>
      </c>
      <c r="C2369" s="10" t="str">
        <f>_xlfn.LET(
    _xlpm.val, IF(Datadetails[[#This Row],[Activity]]="D02","C20",Datadetails[[#This Row],[Activity]]),
    IF(ISNUMBER(MATCH(_xlpm.val,{"D04","C30","c40","C20"},0)), _xlpm.val, "Other")
)</f>
        <v>C30</v>
      </c>
      <c r="D2369" s="10" t="str">
        <f>IFERROR(VLOOKUP(Datadetails[[#This Row],[Taskcode]],Dashboard!A:A,1,FALSE),"00 Err Missing")</f>
        <v>0048</v>
      </c>
      <c r="E2369" s="79">
        <v>45932</v>
      </c>
      <c r="F2369" s="80" t="s">
        <v>330</v>
      </c>
      <c r="G2369" s="60" t="s">
        <v>40</v>
      </c>
      <c r="H2369" s="80" t="s">
        <v>215</v>
      </c>
      <c r="I2369" s="80" t="s">
        <v>34</v>
      </c>
      <c r="J2369" s="80" t="s">
        <v>450</v>
      </c>
      <c r="K2369" s="80" t="s">
        <v>347</v>
      </c>
      <c r="L2369" s="80" t="s">
        <v>343</v>
      </c>
      <c r="M2369" s="81">
        <v>0.5</v>
      </c>
      <c r="N2369" s="82">
        <v>30</v>
      </c>
    </row>
    <row r="2370" spans="1:14" x14ac:dyDescent="0.25">
      <c r="A2370" s="10" t="str">
        <f>_xlfn.IFNA(
    IF(J2370=
        "PCB-0001",
        "CSS",
        IF(
            ISNUMBER(MATCH(_xlfn.TEXTBEFORE(J2370,"-"), {"CSS","CSN","PCB","PCF","BEC","CSD","PCM"}, 0)),
            _xlfn.TEXTBEFORE(J2370,"-"),
            "Other"
        )
    ),
"Add")</f>
        <v>PCB</v>
      </c>
      <c r="B2370" s="10" t="str">
        <f t="shared" si="37"/>
        <v>0134</v>
      </c>
      <c r="C2370" s="10" t="str">
        <f>_xlfn.LET(
    _xlpm.val, IF(Datadetails[[#This Row],[Activity]]="D02","C20",Datadetails[[#This Row],[Activity]]),
    IF(ISNUMBER(MATCH(_xlpm.val,{"D04","C30","c40","C20"},0)), _xlpm.val, "Other")
)</f>
        <v>C30</v>
      </c>
      <c r="D2370" s="10" t="str">
        <f>IFERROR(VLOOKUP(Datadetails[[#This Row],[Taskcode]],Dashboard!A:A,1,FALSE),"00 Err Missing")</f>
        <v>0134</v>
      </c>
      <c r="E2370" s="79">
        <v>45932</v>
      </c>
      <c r="F2370" s="80" t="s">
        <v>329</v>
      </c>
      <c r="G2370" s="60" t="s">
        <v>40</v>
      </c>
      <c r="H2370" s="80" t="s">
        <v>301</v>
      </c>
      <c r="I2370" s="80" t="s">
        <v>34</v>
      </c>
      <c r="J2370" s="80" t="s">
        <v>371</v>
      </c>
      <c r="K2370" s="80" t="s">
        <v>347</v>
      </c>
      <c r="L2370" s="80" t="s">
        <v>343</v>
      </c>
      <c r="M2370" s="81">
        <v>0.17</v>
      </c>
      <c r="N2370" s="82">
        <v>12.750000000000002</v>
      </c>
    </row>
    <row r="2371" spans="1:14" x14ac:dyDescent="0.25">
      <c r="A2371" s="10" t="str">
        <f>_xlfn.IFNA(
    IF(J2371=
        "PCB-0001",
        "CSS",
        IF(
            ISNUMBER(MATCH(_xlfn.TEXTBEFORE(J2371,"-"), {"CSS","CSN","PCB","PCF","BEC","CSD","PCM"}, 0)),
            _xlfn.TEXTBEFORE(J2371,"-"),
            "Other"
        )
    ),
"Add")</f>
        <v>PCB</v>
      </c>
      <c r="B2371" s="10" t="str">
        <f t="shared" si="37"/>
        <v>0071</v>
      </c>
      <c r="C2371" s="10" t="str">
        <f>_xlfn.LET(
    _xlpm.val, IF(Datadetails[[#This Row],[Activity]]="D02","C20",Datadetails[[#This Row],[Activity]]),
    IF(ISNUMBER(MATCH(_xlpm.val,{"D04","C30","c40","C20"},0)), _xlpm.val, "Other")
)</f>
        <v>C30</v>
      </c>
      <c r="D2371" s="10" t="str">
        <f>IFERROR(VLOOKUP(Datadetails[[#This Row],[Taskcode]],Dashboard!A:A,1,FALSE),"00 Err Missing")</f>
        <v>0071</v>
      </c>
      <c r="E2371" s="79">
        <v>45932</v>
      </c>
      <c r="F2371" s="80" t="s">
        <v>329</v>
      </c>
      <c r="G2371" s="60" t="s">
        <v>40</v>
      </c>
      <c r="H2371" s="80" t="s">
        <v>238</v>
      </c>
      <c r="I2371" s="80" t="s">
        <v>34</v>
      </c>
      <c r="J2371" s="80" t="s">
        <v>374</v>
      </c>
      <c r="K2371" s="80" t="s">
        <v>347</v>
      </c>
      <c r="L2371" s="80" t="s">
        <v>343</v>
      </c>
      <c r="M2371" s="81">
        <v>0.17</v>
      </c>
      <c r="N2371" s="82">
        <v>12.750000000000002</v>
      </c>
    </row>
    <row r="2372" spans="1:14" x14ac:dyDescent="0.25">
      <c r="A2372" s="10" t="str">
        <f>_xlfn.IFNA(
    IF(J2372=
        "PCB-0001",
        "CSS",
        IF(
            ISNUMBER(MATCH(_xlfn.TEXTBEFORE(J2372,"-"), {"CSS","CSN","PCB","PCF","BEC","CSD","PCM"}, 0)),
            _xlfn.TEXTBEFORE(J2372,"-"),
            "Other"
        )
    ),
"Add")</f>
        <v>PCB</v>
      </c>
      <c r="B2372" s="10" t="str">
        <f t="shared" ref="B2372:B2435" si="38">_xlfn.IFNA(_xlfn.TEXTAFTER(J2372,"-"),"Data to C2")</f>
        <v>0073</v>
      </c>
      <c r="C2372" s="10" t="str">
        <f>_xlfn.LET(
    _xlpm.val, IF(Datadetails[[#This Row],[Activity]]="D02","C20",Datadetails[[#This Row],[Activity]]),
    IF(ISNUMBER(MATCH(_xlpm.val,{"D04","C30","c40","C20"},0)), _xlpm.val, "Other")
)</f>
        <v>C30</v>
      </c>
      <c r="D2372" s="10" t="str">
        <f>IFERROR(VLOOKUP(Datadetails[[#This Row],[Taskcode]],Dashboard!A:A,1,FALSE),"00 Err Missing")</f>
        <v>0073</v>
      </c>
      <c r="E2372" s="79">
        <v>45932</v>
      </c>
      <c r="F2372" s="80" t="s">
        <v>329</v>
      </c>
      <c r="G2372" s="60" t="s">
        <v>40</v>
      </c>
      <c r="H2372" s="80" t="s">
        <v>240</v>
      </c>
      <c r="I2372" s="80" t="s">
        <v>34</v>
      </c>
      <c r="J2372" s="80" t="s">
        <v>402</v>
      </c>
      <c r="K2372" s="80" t="s">
        <v>347</v>
      </c>
      <c r="L2372" s="80" t="s">
        <v>343</v>
      </c>
      <c r="M2372" s="81">
        <v>0.08</v>
      </c>
      <c r="N2372" s="82">
        <v>6</v>
      </c>
    </row>
    <row r="2373" spans="1:14" x14ac:dyDescent="0.25">
      <c r="A2373" s="10" t="str">
        <f>_xlfn.IFNA(
    IF(J2373=
        "PCB-0001",
        "CSS",
        IF(
            ISNUMBER(MATCH(_xlfn.TEXTBEFORE(J2373,"-"), {"CSS","CSN","PCB","PCF","BEC","CSD","PCM"}, 0)),
            _xlfn.TEXTBEFORE(J2373,"-"),
            "Other"
        )
    ),
"Add")</f>
        <v>PCB</v>
      </c>
      <c r="B2373" s="10" t="str">
        <f t="shared" si="38"/>
        <v>0074</v>
      </c>
      <c r="C2373" s="10" t="str">
        <f>_xlfn.LET(
    _xlpm.val, IF(Datadetails[[#This Row],[Activity]]="D02","C20",Datadetails[[#This Row],[Activity]]),
    IF(ISNUMBER(MATCH(_xlpm.val,{"D04","C30","c40","C20"},0)), _xlpm.val, "Other")
)</f>
        <v>C30</v>
      </c>
      <c r="D2373" s="10" t="str">
        <f>IFERROR(VLOOKUP(Datadetails[[#This Row],[Taskcode]],Dashboard!A:A,1,FALSE),"00 Err Missing")</f>
        <v>0074</v>
      </c>
      <c r="E2373" s="79">
        <v>45932</v>
      </c>
      <c r="F2373" s="80" t="s">
        <v>329</v>
      </c>
      <c r="G2373" s="60" t="s">
        <v>40</v>
      </c>
      <c r="H2373" s="80" t="s">
        <v>241</v>
      </c>
      <c r="I2373" s="80" t="s">
        <v>34</v>
      </c>
      <c r="J2373" s="80" t="s">
        <v>403</v>
      </c>
      <c r="K2373" s="80" t="s">
        <v>347</v>
      </c>
      <c r="L2373" s="80" t="s">
        <v>343</v>
      </c>
      <c r="M2373" s="81">
        <v>0.08</v>
      </c>
      <c r="N2373" s="82">
        <v>6</v>
      </c>
    </row>
    <row r="2374" spans="1:14" x14ac:dyDescent="0.25">
      <c r="A2374" s="10" t="str">
        <f>_xlfn.IFNA(
    IF(J2374=
        "PCB-0001",
        "CSS",
        IF(
            ISNUMBER(MATCH(_xlfn.TEXTBEFORE(J2374,"-"), {"CSS","CSN","PCB","PCF","BEC","CSD","PCM"}, 0)),
            _xlfn.TEXTBEFORE(J2374,"-"),
            "Other"
        )
    ),
"Add")</f>
        <v>PCB</v>
      </c>
      <c r="B2374" s="10" t="str">
        <f t="shared" si="38"/>
        <v>0075</v>
      </c>
      <c r="C2374" s="10" t="str">
        <f>_xlfn.LET(
    _xlpm.val, IF(Datadetails[[#This Row],[Activity]]="D02","C20",Datadetails[[#This Row],[Activity]]),
    IF(ISNUMBER(MATCH(_xlpm.val,{"D04","C30","c40","C20"},0)), _xlpm.val, "Other")
)</f>
        <v>C30</v>
      </c>
      <c r="D2374" s="10" t="str">
        <f>IFERROR(VLOOKUP(Datadetails[[#This Row],[Taskcode]],Dashboard!A:A,1,FALSE),"00 Err Missing")</f>
        <v>0075</v>
      </c>
      <c r="E2374" s="79">
        <v>45932</v>
      </c>
      <c r="F2374" s="80" t="s">
        <v>329</v>
      </c>
      <c r="G2374" s="60" t="s">
        <v>40</v>
      </c>
      <c r="H2374" s="80" t="s">
        <v>242</v>
      </c>
      <c r="I2374" s="80" t="s">
        <v>34</v>
      </c>
      <c r="J2374" s="80" t="s">
        <v>404</v>
      </c>
      <c r="K2374" s="80" t="s">
        <v>347</v>
      </c>
      <c r="L2374" s="80" t="s">
        <v>343</v>
      </c>
      <c r="M2374" s="81">
        <v>0.17</v>
      </c>
      <c r="N2374" s="82">
        <v>12.750000000000002</v>
      </c>
    </row>
    <row r="2375" spans="1:14" x14ac:dyDescent="0.25">
      <c r="A2375" s="10" t="str">
        <f>_xlfn.IFNA(
    IF(J2375=
        "PCB-0001",
        "CSS",
        IF(
            ISNUMBER(MATCH(_xlfn.TEXTBEFORE(J2375,"-"), {"CSS","CSN","PCB","PCF","BEC","CSD","PCM"}, 0)),
            _xlfn.TEXTBEFORE(J2375,"-"),
            "Other"
        )
    ),
"Add")</f>
        <v>PCB</v>
      </c>
      <c r="B2375" s="10" t="str">
        <f t="shared" si="38"/>
        <v>0011</v>
      </c>
      <c r="C2375" s="10" t="str">
        <f>_xlfn.LET(
    _xlpm.val, IF(Datadetails[[#This Row],[Activity]]="D02","C20",Datadetails[[#This Row],[Activity]]),
    IF(ISNUMBER(MATCH(_xlpm.val,{"D04","C30","c40","C20"},0)), _xlpm.val, "Other")
)</f>
        <v>C30</v>
      </c>
      <c r="D2375" s="10" t="str">
        <f>IFERROR(VLOOKUP(Datadetails[[#This Row],[Taskcode]],Dashboard!A:A,1,FALSE),"00 Err Missing")</f>
        <v>0011</v>
      </c>
      <c r="E2375" s="79">
        <v>45932</v>
      </c>
      <c r="F2375" s="80" t="s">
        <v>330</v>
      </c>
      <c r="G2375" s="60" t="s">
        <v>40</v>
      </c>
      <c r="H2375" s="80" t="s">
        <v>178</v>
      </c>
      <c r="I2375" s="80" t="s">
        <v>34</v>
      </c>
      <c r="J2375" s="80" t="s">
        <v>460</v>
      </c>
      <c r="K2375" s="80" t="s">
        <v>347</v>
      </c>
      <c r="L2375" s="80" t="s">
        <v>343</v>
      </c>
      <c r="M2375" s="81">
        <v>0.5</v>
      </c>
      <c r="N2375" s="82">
        <v>30</v>
      </c>
    </row>
    <row r="2376" spans="1:14" x14ac:dyDescent="0.25">
      <c r="A2376" s="10" t="str">
        <f>_xlfn.IFNA(
    IF(J2376=
        "PCB-0001",
        "CSS",
        IF(
            ISNUMBER(MATCH(_xlfn.TEXTBEFORE(J2376,"-"), {"CSS","CSN","PCB","PCF","BEC","CSD","PCM"}, 0)),
            _xlfn.TEXTBEFORE(J2376,"-"),
            "Other"
        )
    ),
"Add")</f>
        <v>PCB</v>
      </c>
      <c r="B2376" s="10" t="str">
        <f t="shared" si="38"/>
        <v>0123</v>
      </c>
      <c r="C2376" s="10" t="str">
        <f>_xlfn.LET(
    _xlpm.val, IF(Datadetails[[#This Row],[Activity]]="D02","C20",Datadetails[[#This Row],[Activity]]),
    IF(ISNUMBER(MATCH(_xlpm.val,{"D04","C30","c40","C20"},0)), _xlpm.val, "Other")
)</f>
        <v>C30</v>
      </c>
      <c r="D2376" s="10" t="str">
        <f>IFERROR(VLOOKUP(Datadetails[[#This Row],[Taskcode]],Dashboard!A:A,1,FALSE),"00 Err Missing")</f>
        <v>0123</v>
      </c>
      <c r="E2376" s="79">
        <v>45932</v>
      </c>
      <c r="F2376" s="80" t="s">
        <v>325</v>
      </c>
      <c r="G2376" s="60" t="s">
        <v>40</v>
      </c>
      <c r="H2376" s="80" t="s">
        <v>290</v>
      </c>
      <c r="I2376" s="80" t="s">
        <v>34</v>
      </c>
      <c r="J2376" s="80" t="s">
        <v>428</v>
      </c>
      <c r="K2376" s="80" t="s">
        <v>347</v>
      </c>
      <c r="L2376" s="80" t="s">
        <v>343</v>
      </c>
      <c r="M2376" s="81">
        <v>0.25</v>
      </c>
      <c r="N2376" s="82">
        <v>18.75</v>
      </c>
    </row>
    <row r="2377" spans="1:14" x14ac:dyDescent="0.25">
      <c r="A2377" s="10" t="str">
        <f>_xlfn.IFNA(
    IF(J2377=
        "PCB-0001",
        "CSS",
        IF(
            ISNUMBER(MATCH(_xlfn.TEXTBEFORE(J2377,"-"), {"CSS","CSN","PCB","PCF","BEC","CSD","PCM"}, 0)),
            _xlfn.TEXTBEFORE(J2377,"-"),
            "Other"
        )
    ),
"Add")</f>
        <v>PCB</v>
      </c>
      <c r="B2377" s="10" t="str">
        <f t="shared" si="38"/>
        <v>0127</v>
      </c>
      <c r="C2377" s="10" t="str">
        <f>_xlfn.LET(
    _xlpm.val, IF(Datadetails[[#This Row],[Activity]]="D02","C20",Datadetails[[#This Row],[Activity]]),
    IF(ISNUMBER(MATCH(_xlpm.val,{"D04","C30","c40","C20"},0)), _xlpm.val, "Other")
)</f>
        <v>C30</v>
      </c>
      <c r="D2377" s="10" t="str">
        <f>IFERROR(VLOOKUP(Datadetails[[#This Row],[Taskcode]],Dashboard!A:A,1,FALSE),"00 Err Missing")</f>
        <v>0127</v>
      </c>
      <c r="E2377" s="79">
        <v>45932</v>
      </c>
      <c r="F2377" s="80" t="s">
        <v>329</v>
      </c>
      <c r="G2377" s="60" t="s">
        <v>40</v>
      </c>
      <c r="H2377" s="80" t="s">
        <v>294</v>
      </c>
      <c r="I2377" s="80" t="s">
        <v>34</v>
      </c>
      <c r="J2377" s="80" t="s">
        <v>377</v>
      </c>
      <c r="K2377" s="80" t="s">
        <v>347</v>
      </c>
      <c r="L2377" s="80" t="s">
        <v>343</v>
      </c>
      <c r="M2377" s="81">
        <v>0.17</v>
      </c>
      <c r="N2377" s="82">
        <v>12.750000000000002</v>
      </c>
    </row>
    <row r="2378" spans="1:14" x14ac:dyDescent="0.25">
      <c r="A2378" s="10" t="str">
        <f>_xlfn.IFNA(
    IF(J2378=
        "PCB-0001",
        "CSS",
        IF(
            ISNUMBER(MATCH(_xlfn.TEXTBEFORE(J2378,"-"), {"CSS","CSN","PCB","PCF","BEC","CSD","PCM"}, 0)),
            _xlfn.TEXTBEFORE(J2378,"-"),
            "Other"
        )
    ),
"Add")</f>
        <v>PCB</v>
      </c>
      <c r="B2378" s="10" t="str">
        <f t="shared" si="38"/>
        <v>0128</v>
      </c>
      <c r="C2378" s="10" t="str">
        <f>_xlfn.LET(
    _xlpm.val, IF(Datadetails[[#This Row],[Activity]]="D02","C20",Datadetails[[#This Row],[Activity]]),
    IF(ISNUMBER(MATCH(_xlpm.val,{"D04","C30","c40","C20"},0)), _xlpm.val, "Other")
)</f>
        <v>C30</v>
      </c>
      <c r="D2378" s="10" t="str">
        <f>IFERROR(VLOOKUP(Datadetails[[#This Row],[Taskcode]],Dashboard!A:A,1,FALSE),"00 Err Missing")</f>
        <v>0128</v>
      </c>
      <c r="E2378" s="79">
        <v>45932</v>
      </c>
      <c r="F2378" s="80" t="s">
        <v>329</v>
      </c>
      <c r="G2378" s="60" t="s">
        <v>40</v>
      </c>
      <c r="H2378" s="80" t="s">
        <v>295</v>
      </c>
      <c r="I2378" s="80" t="s">
        <v>34</v>
      </c>
      <c r="J2378" s="80" t="s">
        <v>379</v>
      </c>
      <c r="K2378" s="80" t="s">
        <v>347</v>
      </c>
      <c r="L2378" s="80" t="s">
        <v>343</v>
      </c>
      <c r="M2378" s="81">
        <v>0.42</v>
      </c>
      <c r="N2378" s="82">
        <v>31.5</v>
      </c>
    </row>
    <row r="2379" spans="1:14" x14ac:dyDescent="0.25">
      <c r="A2379" s="10" t="str">
        <f>_xlfn.IFNA(
    IF(J2379=
        "PCB-0001",
        "CSS",
        IF(
            ISNUMBER(MATCH(_xlfn.TEXTBEFORE(J2379,"-"), {"CSS","CSN","PCB","PCF","BEC","CSD","PCM"}, 0)),
            _xlfn.TEXTBEFORE(J2379,"-"),
            "Other"
        )
    ),
"Add")</f>
        <v>PCB</v>
      </c>
      <c r="B2379" s="10" t="str">
        <f t="shared" si="38"/>
        <v>0129</v>
      </c>
      <c r="C2379" s="10" t="str">
        <f>_xlfn.LET(
    _xlpm.val, IF(Datadetails[[#This Row],[Activity]]="D02","C20",Datadetails[[#This Row],[Activity]]),
    IF(ISNUMBER(MATCH(_xlpm.val,{"D04","C30","c40","C20"},0)), _xlpm.val, "Other")
)</f>
        <v>C30</v>
      </c>
      <c r="D2379" s="10" t="str">
        <f>IFERROR(VLOOKUP(Datadetails[[#This Row],[Taskcode]],Dashboard!A:A,1,FALSE),"00 Err Missing")</f>
        <v>0129</v>
      </c>
      <c r="E2379" s="79">
        <v>45932</v>
      </c>
      <c r="F2379" s="80" t="s">
        <v>329</v>
      </c>
      <c r="G2379" s="60" t="s">
        <v>40</v>
      </c>
      <c r="H2379" s="80" t="s">
        <v>296</v>
      </c>
      <c r="I2379" s="80" t="s">
        <v>34</v>
      </c>
      <c r="J2379" s="80" t="s">
        <v>411</v>
      </c>
      <c r="K2379" s="80" t="s">
        <v>347</v>
      </c>
      <c r="L2379" s="80" t="s">
        <v>343</v>
      </c>
      <c r="M2379" s="81">
        <v>0.33</v>
      </c>
      <c r="N2379" s="82">
        <v>24.75</v>
      </c>
    </row>
    <row r="2380" spans="1:14" x14ac:dyDescent="0.25">
      <c r="A2380" s="10" t="str">
        <f>_xlfn.IFNA(
    IF(J2380=
        "PCB-0001",
        "CSS",
        IF(
            ISNUMBER(MATCH(_xlfn.TEXTBEFORE(J2380,"-"), {"CSS","CSN","PCB","PCF","BEC","CSD","PCM"}, 0)),
            _xlfn.TEXTBEFORE(J2380,"-"),
            "Other"
        )
    ),
"Add")</f>
        <v>PCB</v>
      </c>
      <c r="B2380" s="10" t="str">
        <f t="shared" si="38"/>
        <v>0086</v>
      </c>
      <c r="C2380" s="10" t="str">
        <f>_xlfn.LET(
    _xlpm.val, IF(Datadetails[[#This Row],[Activity]]="D02","C20",Datadetails[[#This Row],[Activity]]),
    IF(ISNUMBER(MATCH(_xlpm.val,{"D04","C30","c40","C20"},0)), _xlpm.val, "Other")
)</f>
        <v>C30</v>
      </c>
      <c r="D2380" s="10" t="str">
        <f>IFERROR(VLOOKUP(Datadetails[[#This Row],[Taskcode]],Dashboard!A:A,1,FALSE),"00 Err Missing")</f>
        <v>0086</v>
      </c>
      <c r="E2380" s="79">
        <v>45932</v>
      </c>
      <c r="F2380" s="80" t="s">
        <v>325</v>
      </c>
      <c r="G2380" s="60" t="s">
        <v>40</v>
      </c>
      <c r="H2380" s="80" t="s">
        <v>253</v>
      </c>
      <c r="I2380" s="80" t="s">
        <v>34</v>
      </c>
      <c r="J2380" s="80" t="s">
        <v>408</v>
      </c>
      <c r="K2380" s="80" t="s">
        <v>347</v>
      </c>
      <c r="L2380" s="80" t="s">
        <v>343</v>
      </c>
      <c r="M2380" s="81">
        <v>0.17</v>
      </c>
      <c r="N2380" s="82">
        <v>12.750000000000002</v>
      </c>
    </row>
    <row r="2381" spans="1:14" x14ac:dyDescent="0.25">
      <c r="A2381" s="10" t="str">
        <f>_xlfn.IFNA(
    IF(J2381=
        "PCB-0001",
        "CSS",
        IF(
            ISNUMBER(MATCH(_xlfn.TEXTBEFORE(J2381,"-"), {"CSS","CSN","PCB","PCF","BEC","CSD","PCM"}, 0)),
            _xlfn.TEXTBEFORE(J2381,"-"),
            "Other"
        )
    ),
"Add")</f>
        <v>PCB</v>
      </c>
      <c r="B2381" s="10" t="str">
        <f t="shared" si="38"/>
        <v>0095</v>
      </c>
      <c r="C2381" s="10" t="str">
        <f>_xlfn.LET(
    _xlpm.val, IF(Datadetails[[#This Row],[Activity]]="D02","C20",Datadetails[[#This Row],[Activity]]),
    IF(ISNUMBER(MATCH(_xlpm.val,{"D04","C30","c40","C20"},0)), _xlpm.val, "Other")
)</f>
        <v>C30</v>
      </c>
      <c r="D2381" s="10" t="str">
        <f>IFERROR(VLOOKUP(Datadetails[[#This Row],[Taskcode]],Dashboard!A:A,1,FALSE),"00 Err Missing")</f>
        <v>0095</v>
      </c>
      <c r="E2381" s="79">
        <v>45932</v>
      </c>
      <c r="F2381" s="80" t="s">
        <v>325</v>
      </c>
      <c r="G2381" s="60" t="s">
        <v>40</v>
      </c>
      <c r="H2381" s="80" t="s">
        <v>262</v>
      </c>
      <c r="I2381" s="80" t="s">
        <v>34</v>
      </c>
      <c r="J2381" s="80" t="s">
        <v>442</v>
      </c>
      <c r="K2381" s="80" t="s">
        <v>347</v>
      </c>
      <c r="L2381" s="80" t="s">
        <v>343</v>
      </c>
      <c r="M2381" s="81">
        <v>0.25</v>
      </c>
      <c r="N2381" s="82">
        <v>18.75</v>
      </c>
    </row>
    <row r="2382" spans="1:14" x14ac:dyDescent="0.25">
      <c r="A2382" s="10" t="str">
        <f>_xlfn.IFNA(
    IF(J2382=
        "PCB-0001",
        "CSS",
        IF(
            ISNUMBER(MATCH(_xlfn.TEXTBEFORE(J2382,"-"), {"CSS","CSN","PCB","PCF","BEC","CSD","PCM"}, 0)),
            _xlfn.TEXTBEFORE(J2382,"-"),
            "Other"
        )
    ),
"Add")</f>
        <v>PCB</v>
      </c>
      <c r="B2382" s="10" t="str">
        <f t="shared" si="38"/>
        <v>0081</v>
      </c>
      <c r="C2382" s="10" t="str">
        <f>_xlfn.LET(
    _xlpm.val, IF(Datadetails[[#This Row],[Activity]]="D02","C20",Datadetails[[#This Row],[Activity]]),
    IF(ISNUMBER(MATCH(_xlpm.val,{"D04","C30","c40","C20"},0)), _xlpm.val, "Other")
)</f>
        <v>C30</v>
      </c>
      <c r="D2382" s="10" t="str">
        <f>IFERROR(VLOOKUP(Datadetails[[#This Row],[Taskcode]],Dashboard!A:A,1,FALSE),"00 Err Missing")</f>
        <v>0081</v>
      </c>
      <c r="E2382" s="79">
        <v>45932</v>
      </c>
      <c r="F2382" s="80" t="s">
        <v>329</v>
      </c>
      <c r="G2382" s="60" t="s">
        <v>40</v>
      </c>
      <c r="H2382" s="80" t="s">
        <v>248</v>
      </c>
      <c r="I2382" s="80" t="s">
        <v>34</v>
      </c>
      <c r="J2382" s="80" t="s">
        <v>385</v>
      </c>
      <c r="K2382" s="80" t="s">
        <v>347</v>
      </c>
      <c r="L2382" s="80" t="s">
        <v>343</v>
      </c>
      <c r="M2382" s="81">
        <v>0.25</v>
      </c>
      <c r="N2382" s="82">
        <v>18.75</v>
      </c>
    </row>
    <row r="2383" spans="1:14" x14ac:dyDescent="0.25">
      <c r="A2383" s="10" t="str">
        <f>_xlfn.IFNA(
    IF(J2383=
        "PCB-0001",
        "CSS",
        IF(
            ISNUMBER(MATCH(_xlfn.TEXTBEFORE(J2383,"-"), {"CSS","CSN","PCB","PCF","BEC","CSD","PCM"}, 0)),
            _xlfn.TEXTBEFORE(J2383,"-"),
            "Other"
        )
    ),
"Add")</f>
        <v>PCB</v>
      </c>
      <c r="B2383" s="10" t="str">
        <f t="shared" si="38"/>
        <v>0080</v>
      </c>
      <c r="C2383" s="10" t="str">
        <f>_xlfn.LET(
    _xlpm.val, IF(Datadetails[[#This Row],[Activity]]="D02","C20",Datadetails[[#This Row],[Activity]]),
    IF(ISNUMBER(MATCH(_xlpm.val,{"D04","C30","c40","C20"},0)), _xlpm.val, "Other")
)</f>
        <v>C30</v>
      </c>
      <c r="D2383" s="10" t="str">
        <f>IFERROR(VLOOKUP(Datadetails[[#This Row],[Taskcode]],Dashboard!A:A,1,FALSE),"00 Err Missing")</f>
        <v>0080</v>
      </c>
      <c r="E2383" s="79">
        <v>45932</v>
      </c>
      <c r="F2383" s="80" t="s">
        <v>329</v>
      </c>
      <c r="G2383" s="60" t="s">
        <v>40</v>
      </c>
      <c r="H2383" s="80" t="s">
        <v>247</v>
      </c>
      <c r="I2383" s="80" t="s">
        <v>34</v>
      </c>
      <c r="J2383" s="80" t="s">
        <v>375</v>
      </c>
      <c r="K2383" s="80" t="s">
        <v>347</v>
      </c>
      <c r="L2383" s="80" t="s">
        <v>343</v>
      </c>
      <c r="M2383" s="81">
        <v>0.33</v>
      </c>
      <c r="N2383" s="82">
        <v>24.75</v>
      </c>
    </row>
    <row r="2384" spans="1:14" x14ac:dyDescent="0.25">
      <c r="A2384" s="10" t="str">
        <f>_xlfn.IFNA(
    IF(J2384=
        "PCB-0001",
        "CSS",
        IF(
            ISNUMBER(MATCH(_xlfn.TEXTBEFORE(J2384,"-"), {"CSS","CSN","PCB","PCF","BEC","CSD","PCM"}, 0)),
            _xlfn.TEXTBEFORE(J2384,"-"),
            "Other"
        )
    ),
"Add")</f>
        <v>PCB</v>
      </c>
      <c r="B2384" s="10" t="str">
        <f t="shared" si="38"/>
        <v>0111</v>
      </c>
      <c r="C2384" s="10" t="str">
        <f>_xlfn.LET(
    _xlpm.val, IF(Datadetails[[#This Row],[Activity]]="D02","C20",Datadetails[[#This Row],[Activity]]),
    IF(ISNUMBER(MATCH(_xlpm.val,{"D04","C30","c40","C20"},0)), _xlpm.val, "Other")
)</f>
        <v>C30</v>
      </c>
      <c r="D2384" s="10" t="str">
        <f>IFERROR(VLOOKUP(Datadetails[[#This Row],[Taskcode]],Dashboard!A:A,1,FALSE),"00 Err Missing")</f>
        <v>0111</v>
      </c>
      <c r="E2384" s="79">
        <v>45932</v>
      </c>
      <c r="F2384" s="80" t="s">
        <v>325</v>
      </c>
      <c r="G2384" s="60" t="s">
        <v>40</v>
      </c>
      <c r="H2384" s="80" t="s">
        <v>278</v>
      </c>
      <c r="I2384" s="80" t="s">
        <v>34</v>
      </c>
      <c r="J2384" s="80" t="s">
        <v>452</v>
      </c>
      <c r="K2384" s="80" t="s">
        <v>347</v>
      </c>
      <c r="L2384" s="80" t="s">
        <v>343</v>
      </c>
      <c r="M2384" s="81">
        <v>0.17</v>
      </c>
      <c r="N2384" s="82">
        <v>12.750000000000002</v>
      </c>
    </row>
    <row r="2385" spans="1:14" x14ac:dyDescent="0.25">
      <c r="A2385" s="10" t="str">
        <f>_xlfn.IFNA(
    IF(J2385=
        "PCB-0001",
        "CSS",
        IF(
            ISNUMBER(MATCH(_xlfn.TEXTBEFORE(J2385,"-"), {"CSS","CSN","PCB","PCF","BEC","CSD","PCM"}, 0)),
            _xlfn.TEXTBEFORE(J2385,"-"),
            "Other"
        )
    ),
"Add")</f>
        <v>PCB</v>
      </c>
      <c r="B2385" s="10" t="str">
        <f t="shared" si="38"/>
        <v>0063</v>
      </c>
      <c r="C2385" s="10" t="str">
        <f>_xlfn.LET(
    _xlpm.val, IF(Datadetails[[#This Row],[Activity]]="D02","C20",Datadetails[[#This Row],[Activity]]),
    IF(ISNUMBER(MATCH(_xlpm.val,{"D04","C30","c40","C20"},0)), _xlpm.val, "Other")
)</f>
        <v>C30</v>
      </c>
      <c r="D2385" s="10" t="str">
        <f>IFERROR(VLOOKUP(Datadetails[[#This Row],[Taskcode]],Dashboard!A:A,1,FALSE),"00 Err Missing")</f>
        <v>0063</v>
      </c>
      <c r="E2385" s="79">
        <v>45932</v>
      </c>
      <c r="F2385" s="80" t="s">
        <v>329</v>
      </c>
      <c r="G2385" s="60" t="s">
        <v>40</v>
      </c>
      <c r="H2385" s="80" t="s">
        <v>230</v>
      </c>
      <c r="I2385" s="80" t="s">
        <v>34</v>
      </c>
      <c r="J2385" s="80" t="s">
        <v>410</v>
      </c>
      <c r="K2385" s="80" t="s">
        <v>347</v>
      </c>
      <c r="L2385" s="80" t="s">
        <v>343</v>
      </c>
      <c r="M2385" s="81">
        <v>0.17</v>
      </c>
      <c r="N2385" s="82">
        <v>12.750000000000002</v>
      </c>
    </row>
    <row r="2386" spans="1:14" x14ac:dyDescent="0.25">
      <c r="A2386" s="10" t="str">
        <f>_xlfn.IFNA(
    IF(J2386=
        "PCB-0001",
        "CSS",
        IF(
            ISNUMBER(MATCH(_xlfn.TEXTBEFORE(J2386,"-"), {"CSS","CSN","PCB","PCF","BEC","CSD","PCM"}, 0)),
            _xlfn.TEXTBEFORE(J2386,"-"),
            "Other"
        )
    ),
"Add")</f>
        <v>PCB</v>
      </c>
      <c r="B2386" s="10" t="str">
        <f t="shared" si="38"/>
        <v>0105</v>
      </c>
      <c r="C2386" s="10" t="str">
        <f>_xlfn.LET(
    _xlpm.val, IF(Datadetails[[#This Row],[Activity]]="D02","C20",Datadetails[[#This Row],[Activity]]),
    IF(ISNUMBER(MATCH(_xlpm.val,{"D04","C30","c40","C20"},0)), _xlpm.val, "Other")
)</f>
        <v>C30</v>
      </c>
      <c r="D2386" s="10" t="str">
        <f>IFERROR(VLOOKUP(Datadetails[[#This Row],[Taskcode]],Dashboard!A:A,1,FALSE),"00 Err Missing")</f>
        <v>0105</v>
      </c>
      <c r="E2386" s="79">
        <v>45932</v>
      </c>
      <c r="F2386" s="80" t="s">
        <v>329</v>
      </c>
      <c r="G2386" s="60" t="s">
        <v>40</v>
      </c>
      <c r="H2386" s="80" t="s">
        <v>272</v>
      </c>
      <c r="I2386" s="80" t="s">
        <v>34</v>
      </c>
      <c r="J2386" s="80" t="s">
        <v>362</v>
      </c>
      <c r="K2386" s="80" t="s">
        <v>347</v>
      </c>
      <c r="L2386" s="80" t="s">
        <v>343</v>
      </c>
      <c r="M2386" s="81">
        <v>2.5</v>
      </c>
      <c r="N2386" s="82">
        <v>187.5</v>
      </c>
    </row>
    <row r="2387" spans="1:14" x14ac:dyDescent="0.25">
      <c r="A2387" s="10" t="str">
        <f>_xlfn.IFNA(
    IF(J2387=
        "PCB-0001",
        "CSS",
        IF(
            ISNUMBER(MATCH(_xlfn.TEXTBEFORE(J2387,"-"), {"CSS","CSN","PCB","PCF","BEC","CSD","PCM"}, 0)),
            _xlfn.TEXTBEFORE(J2387,"-"),
            "Other"
        )
    ),
"Add")</f>
        <v>PCB</v>
      </c>
      <c r="B2387" s="10" t="str">
        <f t="shared" si="38"/>
        <v>0138</v>
      </c>
      <c r="C2387" s="10" t="str">
        <f>_xlfn.LET(
    _xlpm.val, IF(Datadetails[[#This Row],[Activity]]="D02","C20",Datadetails[[#This Row],[Activity]]),
    IF(ISNUMBER(MATCH(_xlpm.val,{"D04","C30","c40","C20"},0)), _xlpm.val, "Other")
)</f>
        <v>C40</v>
      </c>
      <c r="D2387" s="10" t="str">
        <f>IFERROR(VLOOKUP(Datadetails[[#This Row],[Taskcode]],Dashboard!A:A,1,FALSE),"00 Err Missing")</f>
        <v>0138</v>
      </c>
      <c r="E2387" s="79">
        <v>45932</v>
      </c>
      <c r="F2387" s="80" t="s">
        <v>325</v>
      </c>
      <c r="G2387" s="60" t="s">
        <v>40</v>
      </c>
      <c r="H2387" s="80" t="s">
        <v>305</v>
      </c>
      <c r="I2387" s="80" t="s">
        <v>341</v>
      </c>
      <c r="J2387" s="80" t="s">
        <v>382</v>
      </c>
      <c r="K2387" s="80" t="s">
        <v>347</v>
      </c>
      <c r="L2387" s="80" t="s">
        <v>344</v>
      </c>
      <c r="M2387" s="81">
        <v>1.42</v>
      </c>
      <c r="N2387" s="82">
        <v>106.5</v>
      </c>
    </row>
    <row r="2388" spans="1:14" x14ac:dyDescent="0.25">
      <c r="A2388" s="10" t="str">
        <f>_xlfn.IFNA(
    IF(J2388=
        "PCB-0001",
        "CSS",
        IF(
            ISNUMBER(MATCH(_xlfn.TEXTBEFORE(J2388,"-"), {"CSS","CSN","PCB","PCF","BEC","CSD","PCM"}, 0)),
            _xlfn.TEXTBEFORE(J2388,"-"),
            "Other"
        )
    ),
"Add")</f>
        <v>PCF</v>
      </c>
      <c r="B2388" s="10" t="str">
        <f t="shared" si="38"/>
        <v>0060</v>
      </c>
      <c r="C2388" s="10" t="str">
        <f>_xlfn.LET(
    _xlpm.val, IF(Datadetails[[#This Row],[Activity]]="D02","C20",Datadetails[[#This Row],[Activity]]),
    IF(ISNUMBER(MATCH(_xlpm.val,{"D04","C30","c40","C20"},0)), _xlpm.val, "Other")
)</f>
        <v>C30</v>
      </c>
      <c r="D2388" s="10" t="str">
        <f>IFERROR(VLOOKUP(Datadetails[[#This Row],[Taskcode]],Dashboard!A:A,1,FALSE),"00 Err Missing")</f>
        <v>0060</v>
      </c>
      <c r="E2388" s="79">
        <v>45932</v>
      </c>
      <c r="F2388" s="80" t="s">
        <v>326</v>
      </c>
      <c r="G2388" s="60" t="s">
        <v>40</v>
      </c>
      <c r="H2388" s="80" t="s">
        <v>227</v>
      </c>
      <c r="I2388" s="80" t="s">
        <v>34</v>
      </c>
      <c r="J2388" s="80" t="s">
        <v>453</v>
      </c>
      <c r="K2388" s="80" t="s">
        <v>348</v>
      </c>
      <c r="L2388" s="80" t="s">
        <v>343</v>
      </c>
      <c r="M2388" s="81">
        <v>1.17</v>
      </c>
      <c r="N2388" s="82">
        <v>70.199999999999989</v>
      </c>
    </row>
    <row r="2389" spans="1:14" x14ac:dyDescent="0.25">
      <c r="A2389" s="10" t="str">
        <f>_xlfn.IFNA(
    IF(J2389=
        "PCB-0001",
        "CSS",
        IF(
            ISNUMBER(MATCH(_xlfn.TEXTBEFORE(J2389,"-"), {"CSS","CSN","PCB","PCF","BEC","CSD","PCM"}, 0)),
            _xlfn.TEXTBEFORE(J2389,"-"),
            "Other"
        )
    ),
"Add")</f>
        <v>PCF</v>
      </c>
      <c r="B2389" s="10" t="str">
        <f t="shared" si="38"/>
        <v>0008</v>
      </c>
      <c r="C2389" s="10" t="str">
        <f>_xlfn.LET(
    _xlpm.val, IF(Datadetails[[#This Row],[Activity]]="D02","C20",Datadetails[[#This Row],[Activity]]),
    IF(ISNUMBER(MATCH(_xlpm.val,{"D04","C30","c40","C20"},0)), _xlpm.val, "Other")
)</f>
        <v>C30</v>
      </c>
      <c r="D2389" s="10" t="str">
        <f>IFERROR(VLOOKUP(Datadetails[[#This Row],[Taskcode]],Dashboard!A:A,1,FALSE),"00 Err Missing")</f>
        <v>0008</v>
      </c>
      <c r="E2389" s="79">
        <v>45932</v>
      </c>
      <c r="F2389" s="80" t="s">
        <v>326</v>
      </c>
      <c r="G2389" s="60" t="s">
        <v>40</v>
      </c>
      <c r="H2389" s="80" t="s">
        <v>175</v>
      </c>
      <c r="I2389" s="80" t="s">
        <v>34</v>
      </c>
      <c r="J2389" s="80" t="s">
        <v>388</v>
      </c>
      <c r="K2389" s="80" t="s">
        <v>348</v>
      </c>
      <c r="L2389" s="80" t="s">
        <v>343</v>
      </c>
      <c r="M2389" s="81">
        <v>0.25</v>
      </c>
      <c r="N2389" s="82">
        <v>15</v>
      </c>
    </row>
    <row r="2390" spans="1:14" x14ac:dyDescent="0.25">
      <c r="A2390" s="10" t="str">
        <f>_xlfn.IFNA(
    IF(J2390=
        "PCB-0001",
        "CSS",
        IF(
            ISNUMBER(MATCH(_xlfn.TEXTBEFORE(J2390,"-"), {"CSS","CSN","PCB","PCF","BEC","CSD","PCM"}, 0)),
            _xlfn.TEXTBEFORE(J2390,"-"),
            "Other"
        )
    ),
"Add")</f>
        <v>PCF</v>
      </c>
      <c r="B2390" s="10" t="str">
        <f t="shared" si="38"/>
        <v>0098</v>
      </c>
      <c r="C2390" s="10" t="str">
        <f>_xlfn.LET(
    _xlpm.val, IF(Datadetails[[#This Row],[Activity]]="D02","C20",Datadetails[[#This Row],[Activity]]),
    IF(ISNUMBER(MATCH(_xlpm.val,{"D04","C30","c40","C20"},0)), _xlpm.val, "Other")
)</f>
        <v>C30</v>
      </c>
      <c r="D2390" s="10" t="str">
        <f>IFERROR(VLOOKUP(Datadetails[[#This Row],[Taskcode]],Dashboard!A:A,1,FALSE),"00 Err Missing")</f>
        <v>0098</v>
      </c>
      <c r="E2390" s="79">
        <v>45932</v>
      </c>
      <c r="F2390" s="80" t="s">
        <v>326</v>
      </c>
      <c r="G2390" s="60" t="s">
        <v>40</v>
      </c>
      <c r="H2390" s="80" t="s">
        <v>265</v>
      </c>
      <c r="I2390" s="80" t="s">
        <v>34</v>
      </c>
      <c r="J2390" s="80" t="s">
        <v>358</v>
      </c>
      <c r="K2390" s="80" t="s">
        <v>348</v>
      </c>
      <c r="L2390" s="80" t="s">
        <v>343</v>
      </c>
      <c r="M2390" s="81">
        <v>0.83</v>
      </c>
      <c r="N2390" s="82">
        <v>49.8</v>
      </c>
    </row>
    <row r="2391" spans="1:14" x14ac:dyDescent="0.25">
      <c r="A2391" s="10" t="str">
        <f>_xlfn.IFNA(
    IF(J2391=
        "PCB-0001",
        "CSS",
        IF(
            ISNUMBER(MATCH(_xlfn.TEXTBEFORE(J2391,"-"), {"CSS","CSN","PCB","PCF","BEC","CSD","PCM"}, 0)),
            _xlfn.TEXTBEFORE(J2391,"-"),
            "Other"
        )
    ),
"Add")</f>
        <v>PCF</v>
      </c>
      <c r="B2391" s="10" t="str">
        <f t="shared" si="38"/>
        <v>0133</v>
      </c>
      <c r="C2391" s="10" t="str">
        <f>_xlfn.LET(
    _xlpm.val, IF(Datadetails[[#This Row],[Activity]]="D02","C20",Datadetails[[#This Row],[Activity]]),
    IF(ISNUMBER(MATCH(_xlpm.val,{"D04","C30","c40","C20"},0)), _xlpm.val, "Other")
)</f>
        <v>C30</v>
      </c>
      <c r="D2391" s="10" t="str">
        <f>IFERROR(VLOOKUP(Datadetails[[#This Row],[Taskcode]],Dashboard!A:A,1,FALSE),"00 Err Missing")</f>
        <v>0133</v>
      </c>
      <c r="E2391" s="79">
        <v>45932</v>
      </c>
      <c r="F2391" s="80" t="s">
        <v>326</v>
      </c>
      <c r="G2391" s="60" t="s">
        <v>40</v>
      </c>
      <c r="H2391" s="80" t="s">
        <v>300</v>
      </c>
      <c r="I2391" s="80" t="s">
        <v>34</v>
      </c>
      <c r="J2391" s="80" t="s">
        <v>464</v>
      </c>
      <c r="K2391" s="80" t="s">
        <v>348</v>
      </c>
      <c r="L2391" s="80" t="s">
        <v>343</v>
      </c>
      <c r="M2391" s="81">
        <v>0.5</v>
      </c>
      <c r="N2391" s="82">
        <v>30</v>
      </c>
    </row>
    <row r="2392" spans="1:14" x14ac:dyDescent="0.25">
      <c r="A2392" s="10" t="str">
        <f>_xlfn.IFNA(
    IF(J2392=
        "PCB-0001",
        "CSS",
        IF(
            ISNUMBER(MATCH(_xlfn.TEXTBEFORE(J2392,"-"), {"CSS","CSN","PCB","PCF","BEC","CSD","PCM"}, 0)),
            _xlfn.TEXTBEFORE(J2392,"-"),
            "Other"
        )
    ),
"Add")</f>
        <v>PCF</v>
      </c>
      <c r="B2392" s="10" t="str">
        <f t="shared" si="38"/>
        <v>0040</v>
      </c>
      <c r="C2392" s="10" t="str">
        <f>_xlfn.LET(
    _xlpm.val, IF(Datadetails[[#This Row],[Activity]]="D02","C20",Datadetails[[#This Row],[Activity]]),
    IF(ISNUMBER(MATCH(_xlpm.val,{"D04","C30","c40","C20"},0)), _xlpm.val, "Other")
)</f>
        <v>C40</v>
      </c>
      <c r="D2392" s="10" t="str">
        <f>IFERROR(VLOOKUP(Datadetails[[#This Row],[Taskcode]],Dashboard!A:A,1,FALSE),"00 Err Missing")</f>
        <v>0040</v>
      </c>
      <c r="E2392" s="79">
        <v>45932</v>
      </c>
      <c r="F2392" s="80" t="s">
        <v>326</v>
      </c>
      <c r="G2392" s="60" t="s">
        <v>40</v>
      </c>
      <c r="H2392" s="80" t="s">
        <v>207</v>
      </c>
      <c r="I2392" s="80" t="s">
        <v>341</v>
      </c>
      <c r="J2392" s="80" t="s">
        <v>417</v>
      </c>
      <c r="K2392" s="80" t="s">
        <v>348</v>
      </c>
      <c r="L2392" s="80" t="s">
        <v>344</v>
      </c>
      <c r="M2392" s="81">
        <v>1.92</v>
      </c>
      <c r="N2392" s="82">
        <v>115.19999999999999</v>
      </c>
    </row>
    <row r="2393" spans="1:14" x14ac:dyDescent="0.25">
      <c r="A2393" s="10" t="str">
        <f>_xlfn.IFNA(
    IF(J2393=
        "PCB-0001",
        "CSS",
        IF(
            ISNUMBER(MATCH(_xlfn.TEXTBEFORE(J2393,"-"), {"CSS","CSN","PCB","PCF","BEC","CSD","PCM"}, 0)),
            _xlfn.TEXTBEFORE(J2393,"-"),
            "Other"
        )
    ),
"Add")</f>
        <v>BEC</v>
      </c>
      <c r="B2393" s="10" t="str">
        <f t="shared" si="38"/>
        <v>0001</v>
      </c>
      <c r="C2393" s="10" t="str">
        <f>_xlfn.LET(
    _xlpm.val, IF(Datadetails[[#This Row],[Activity]]="D02","C20",Datadetails[[#This Row],[Activity]]),
    IF(ISNUMBER(MATCH(_xlpm.val,{"D04","C30","c40","C20"},0)), _xlpm.val, "Other")
)</f>
        <v>D04</v>
      </c>
      <c r="D2393" s="10" t="str">
        <f>IFERROR(VLOOKUP(Datadetails[[#This Row],[Taskcode]],Dashboard!A:A,1,FALSE),"00 Err Missing")</f>
        <v>0001</v>
      </c>
      <c r="E2393" s="79">
        <v>45932</v>
      </c>
      <c r="F2393" s="80" t="s">
        <v>332</v>
      </c>
      <c r="G2393" s="60" t="s">
        <v>40</v>
      </c>
      <c r="H2393" s="80" t="s">
        <v>314</v>
      </c>
      <c r="I2393" s="80" t="s">
        <v>35</v>
      </c>
      <c r="J2393" s="80" t="s">
        <v>359</v>
      </c>
      <c r="K2393" s="80" t="s">
        <v>339</v>
      </c>
      <c r="L2393" s="80" t="s">
        <v>352</v>
      </c>
      <c r="M2393" s="81">
        <v>8.67</v>
      </c>
      <c r="N2393" s="82">
        <v>346.8</v>
      </c>
    </row>
    <row r="2394" spans="1:14" x14ac:dyDescent="0.25">
      <c r="A2394" s="10" t="str">
        <f>_xlfn.IFNA(
    IF(J2394=
        "PCB-0001",
        "CSS",
        IF(
            ISNUMBER(MATCH(_xlfn.TEXTBEFORE(J2394,"-"), {"CSS","CSN","PCB","PCF","BEC","CSD","PCM"}, 0)),
            _xlfn.TEXTBEFORE(J2394,"-"),
            "Other"
        )
    ),
"Add")</f>
        <v>CSN</v>
      </c>
      <c r="B2394" s="10" t="str">
        <f t="shared" si="38"/>
        <v>0001</v>
      </c>
      <c r="C2394" s="10" t="str">
        <f>_xlfn.LET(
    _xlpm.val, IF(Datadetails[[#This Row],[Activity]]="D02","C20",Datadetails[[#This Row],[Activity]]),
    IF(ISNUMBER(MATCH(_xlpm.val,{"D04","C30","c40","C20"},0)), _xlpm.val, "Other")
)</f>
        <v>D04</v>
      </c>
      <c r="D2394" s="10" t="str">
        <f>IFERROR(VLOOKUP(Datadetails[[#This Row],[Taskcode]],Dashboard!A:A,1,FALSE),"00 Err Missing")</f>
        <v>0001</v>
      </c>
      <c r="E2394" s="79">
        <v>45933</v>
      </c>
      <c r="F2394" s="80" t="s">
        <v>331</v>
      </c>
      <c r="G2394" s="60" t="s">
        <v>40</v>
      </c>
      <c r="H2394" s="80" t="s">
        <v>316</v>
      </c>
      <c r="I2394" s="80" t="s">
        <v>35</v>
      </c>
      <c r="J2394" s="80" t="s">
        <v>338</v>
      </c>
      <c r="K2394" s="80" t="s">
        <v>337</v>
      </c>
      <c r="L2394" s="80" t="s">
        <v>352</v>
      </c>
      <c r="M2394" s="81">
        <v>0.5</v>
      </c>
      <c r="N2394" s="82">
        <v>16</v>
      </c>
    </row>
    <row r="2395" spans="1:14" x14ac:dyDescent="0.25">
      <c r="A2395" s="10" t="str">
        <f>_xlfn.IFNA(
    IF(J2395=
        "PCB-0001",
        "CSS",
        IF(
            ISNUMBER(MATCH(_xlfn.TEXTBEFORE(J2395,"-"), {"CSS","CSN","PCB","PCF","BEC","CSD","PCM"}, 0)),
            _xlfn.TEXTBEFORE(J2395,"-"),
            "Other"
        )
    ),
"Add")</f>
        <v>CSN</v>
      </c>
      <c r="B2395" s="10" t="str">
        <f t="shared" si="38"/>
        <v>0001</v>
      </c>
      <c r="C2395" s="10" t="str">
        <f>_xlfn.LET(
    _xlpm.val, IF(Datadetails[[#This Row],[Activity]]="D02","C20",Datadetails[[#This Row],[Activity]]),
    IF(ISNUMBER(MATCH(_xlpm.val,{"D04","C30","c40","C20"},0)), _xlpm.val, "Other")
)</f>
        <v>D04</v>
      </c>
      <c r="D2395" s="10" t="str">
        <f>IFERROR(VLOOKUP(Datadetails[[#This Row],[Taskcode]],Dashboard!A:A,1,FALSE),"00 Err Missing")</f>
        <v>0001</v>
      </c>
      <c r="E2395" s="79">
        <v>45933</v>
      </c>
      <c r="F2395" s="80" t="s">
        <v>329</v>
      </c>
      <c r="G2395" s="60" t="s">
        <v>40</v>
      </c>
      <c r="H2395" s="80" t="s">
        <v>316</v>
      </c>
      <c r="I2395" s="80" t="s">
        <v>35</v>
      </c>
      <c r="J2395" s="80" t="s">
        <v>338</v>
      </c>
      <c r="K2395" s="80" t="s">
        <v>337</v>
      </c>
      <c r="L2395" s="80" t="s">
        <v>352</v>
      </c>
      <c r="M2395" s="81">
        <v>1.5</v>
      </c>
      <c r="N2395" s="82">
        <v>112.5</v>
      </c>
    </row>
    <row r="2396" spans="1:14" x14ac:dyDescent="0.25">
      <c r="A2396" s="10" t="str">
        <f>_xlfn.IFNA(
    IF(J2396=
        "PCB-0001",
        "CSS",
        IF(
            ISNUMBER(MATCH(_xlfn.TEXTBEFORE(J2396,"-"), {"CSS","CSN","PCB","PCF","BEC","CSD","PCM"}, 0)),
            _xlfn.TEXTBEFORE(J2396,"-"),
            "Other"
        )
    ),
"Add")</f>
        <v>PCB</v>
      </c>
      <c r="B2396" s="10" t="str">
        <f t="shared" si="38"/>
        <v>0055</v>
      </c>
      <c r="C2396" s="10" t="str">
        <f>_xlfn.LET(
    _xlpm.val, IF(Datadetails[[#This Row],[Activity]]="D02","C20",Datadetails[[#This Row],[Activity]]),
    IF(ISNUMBER(MATCH(_xlpm.val,{"D04","C30","c40","C20"},0)), _xlpm.val, "Other")
)</f>
        <v>C40</v>
      </c>
      <c r="D2396" s="10" t="str">
        <f>IFERROR(VLOOKUP(Datadetails[[#This Row],[Taskcode]],Dashboard!A:A,1,FALSE),"00 Err Missing")</f>
        <v>0055</v>
      </c>
      <c r="E2396" s="79">
        <v>45933</v>
      </c>
      <c r="F2396" s="80" t="s">
        <v>330</v>
      </c>
      <c r="G2396" s="60" t="s">
        <v>40</v>
      </c>
      <c r="H2396" s="80" t="s">
        <v>222</v>
      </c>
      <c r="I2396" s="80" t="s">
        <v>341</v>
      </c>
      <c r="J2396" s="80" t="s">
        <v>447</v>
      </c>
      <c r="K2396" s="80" t="s">
        <v>347</v>
      </c>
      <c r="L2396" s="80" t="s">
        <v>344</v>
      </c>
      <c r="M2396" s="81">
        <v>0.25</v>
      </c>
      <c r="N2396" s="82">
        <v>15</v>
      </c>
    </row>
    <row r="2397" spans="1:14" x14ac:dyDescent="0.25">
      <c r="A2397" s="10" t="str">
        <f>_xlfn.IFNA(
    IF(J2397=
        "PCB-0001",
        "CSS",
        IF(
            ISNUMBER(MATCH(_xlfn.TEXTBEFORE(J2397,"-"), {"CSS","CSN","PCB","PCF","BEC","CSD","PCM"}, 0)),
            _xlfn.TEXTBEFORE(J2397,"-"),
            "Other"
        )
    ),
"Add")</f>
        <v>BEC</v>
      </c>
      <c r="B2397" s="10" t="str">
        <f t="shared" si="38"/>
        <v>0001</v>
      </c>
      <c r="C2397" s="10" t="str">
        <f>_xlfn.LET(
    _xlpm.val, IF(Datadetails[[#This Row],[Activity]]="D02","C20",Datadetails[[#This Row],[Activity]]),
    IF(ISNUMBER(MATCH(_xlpm.val,{"D04","C30","c40","C20"},0)), _xlpm.val, "Other")
)</f>
        <v>D04</v>
      </c>
      <c r="D2397" s="10" t="str">
        <f>IFERROR(VLOOKUP(Datadetails[[#This Row],[Taskcode]],Dashboard!A:A,1,FALSE),"00 Err Missing")</f>
        <v>0001</v>
      </c>
      <c r="E2397" s="79">
        <v>45933</v>
      </c>
      <c r="F2397" s="80" t="s">
        <v>332</v>
      </c>
      <c r="G2397" s="60" t="s">
        <v>40</v>
      </c>
      <c r="H2397" s="80" t="s">
        <v>314</v>
      </c>
      <c r="I2397" s="80" t="s">
        <v>35</v>
      </c>
      <c r="J2397" s="80" t="s">
        <v>359</v>
      </c>
      <c r="K2397" s="80" t="s">
        <v>339</v>
      </c>
      <c r="L2397" s="80" t="s">
        <v>352</v>
      </c>
      <c r="M2397" s="81">
        <v>7.5</v>
      </c>
      <c r="N2397" s="82">
        <v>300</v>
      </c>
    </row>
    <row r="2398" spans="1:14" x14ac:dyDescent="0.25">
      <c r="A2398" s="10" t="str">
        <f>_xlfn.IFNA(
    IF(J2398=
        "PCB-0001",
        "CSS",
        IF(
            ISNUMBER(MATCH(_xlfn.TEXTBEFORE(J2398,"-"), {"CSS","CSN","PCB","PCF","BEC","CSD","PCM"}, 0)),
            _xlfn.TEXTBEFORE(J2398,"-"),
            "Other"
        )
    ),
"Add")</f>
        <v>BEC</v>
      </c>
      <c r="B2398" s="10" t="str">
        <f t="shared" si="38"/>
        <v>0001</v>
      </c>
      <c r="C2398" s="10" t="str">
        <f>_xlfn.LET(
    _xlpm.val, IF(Datadetails[[#This Row],[Activity]]="D02","C20",Datadetails[[#This Row],[Activity]]),
    IF(ISNUMBER(MATCH(_xlpm.val,{"D04","C30","c40","C20"},0)), _xlpm.val, "Other")
)</f>
        <v>D04</v>
      </c>
      <c r="D2398" s="10" t="str">
        <f>IFERROR(VLOOKUP(Datadetails[[#This Row],[Taskcode]],Dashboard!A:A,1,FALSE),"00 Err Missing")</f>
        <v>0001</v>
      </c>
      <c r="E2398" s="79">
        <v>45933</v>
      </c>
      <c r="F2398" s="80" t="s">
        <v>324</v>
      </c>
      <c r="G2398" s="60" t="s">
        <v>40</v>
      </c>
      <c r="H2398" s="80" t="s">
        <v>314</v>
      </c>
      <c r="I2398" s="80" t="s">
        <v>35</v>
      </c>
      <c r="J2398" s="80" t="s">
        <v>359</v>
      </c>
      <c r="K2398" s="80" t="s">
        <v>339</v>
      </c>
      <c r="L2398" s="80" t="s">
        <v>352</v>
      </c>
      <c r="M2398" s="81">
        <v>5.5</v>
      </c>
      <c r="N2398" s="82">
        <v>412.5</v>
      </c>
    </row>
    <row r="2399" spans="1:14" x14ac:dyDescent="0.25">
      <c r="A2399" s="10" t="str">
        <f>_xlfn.IFNA(
    IF(J2399=
        "PCB-0001",
        "CSS",
        IF(
            ISNUMBER(MATCH(_xlfn.TEXTBEFORE(J2399,"-"), {"CSS","CSN","PCB","PCF","BEC","CSD","PCM"}, 0)),
            _xlfn.TEXTBEFORE(J2399,"-"),
            "Other"
        )
    ),
"Add")</f>
        <v>CSD</v>
      </c>
      <c r="B2399" s="10" t="str">
        <f t="shared" si="38"/>
        <v>0001</v>
      </c>
      <c r="C2399" s="10" t="str">
        <f>_xlfn.LET(
    _xlpm.val, IF(Datadetails[[#This Row],[Activity]]="D02","C20",Datadetails[[#This Row],[Activity]]),
    IF(ISNUMBER(MATCH(_xlpm.val,{"D04","C30","c40","C20"},0)), _xlpm.val, "Other")
)</f>
        <v>D04</v>
      </c>
      <c r="D2399" s="10" t="str">
        <f>IFERROR(VLOOKUP(Datadetails[[#This Row],[Taskcode]],Dashboard!A:A,1,FALSE),"00 Err Missing")</f>
        <v>0001</v>
      </c>
      <c r="E2399" s="79">
        <v>45933</v>
      </c>
      <c r="F2399" s="80" t="s">
        <v>333</v>
      </c>
      <c r="G2399" s="60" t="s">
        <v>40</v>
      </c>
      <c r="H2399" s="80" t="s">
        <v>320</v>
      </c>
      <c r="I2399" s="80" t="s">
        <v>35</v>
      </c>
      <c r="J2399" s="80" t="s">
        <v>322</v>
      </c>
      <c r="K2399" s="80" t="s">
        <v>319</v>
      </c>
      <c r="L2399" s="80" t="s">
        <v>352</v>
      </c>
      <c r="M2399" s="81">
        <v>6.88</v>
      </c>
      <c r="N2399" s="82">
        <v>220.16</v>
      </c>
    </row>
    <row r="2400" spans="1:14" x14ac:dyDescent="0.25">
      <c r="A2400" s="10" t="str">
        <f>_xlfn.IFNA(
    IF(J2400=
        "PCB-0001",
        "CSS",
        IF(
            ISNUMBER(MATCH(_xlfn.TEXTBEFORE(J2400,"-"), {"CSS","CSN","PCB","PCF","BEC","CSD","PCM"}, 0)),
            _xlfn.TEXTBEFORE(J2400,"-"),
            "Other"
        )
    ),
"Add")</f>
        <v>CSD</v>
      </c>
      <c r="B2400" s="10" t="str">
        <f t="shared" si="38"/>
        <v>0001</v>
      </c>
      <c r="C2400" s="10" t="str">
        <f>_xlfn.LET(
    _xlpm.val, IF(Datadetails[[#This Row],[Activity]]="D02","C20",Datadetails[[#This Row],[Activity]]),
    IF(ISNUMBER(MATCH(_xlpm.val,{"D04","C30","c40","C20"},0)), _xlpm.val, "Other")
)</f>
        <v>D04</v>
      </c>
      <c r="D2400" s="10" t="str">
        <f>IFERROR(VLOOKUP(Datadetails[[#This Row],[Taskcode]],Dashboard!A:A,1,FALSE),"00 Err Missing")</f>
        <v>0001</v>
      </c>
      <c r="E2400" s="79">
        <v>45933</v>
      </c>
      <c r="F2400" s="80" t="s">
        <v>327</v>
      </c>
      <c r="G2400" s="60" t="s">
        <v>40</v>
      </c>
      <c r="H2400" s="80" t="s">
        <v>320</v>
      </c>
      <c r="I2400" s="80" t="s">
        <v>35</v>
      </c>
      <c r="J2400" s="80" t="s">
        <v>322</v>
      </c>
      <c r="K2400" s="80" t="s">
        <v>319</v>
      </c>
      <c r="L2400" s="80" t="s">
        <v>352</v>
      </c>
      <c r="M2400" s="81">
        <v>7.42</v>
      </c>
      <c r="N2400" s="82">
        <v>237.44</v>
      </c>
    </row>
    <row r="2401" spans="1:14" x14ac:dyDescent="0.25">
      <c r="A2401" s="10" t="str">
        <f>_xlfn.IFNA(
    IF(J2401=
        "PCB-0001",
        "CSS",
        IF(
            ISNUMBER(MATCH(_xlfn.TEXTBEFORE(J2401,"-"), {"CSS","CSN","PCB","PCF","BEC","CSD","PCM"}, 0)),
            _xlfn.TEXTBEFORE(J2401,"-"),
            "Other"
        )
    ),
"Add")</f>
        <v>PCB</v>
      </c>
      <c r="B2401" s="10" t="str">
        <f t="shared" si="38"/>
        <v>0104</v>
      </c>
      <c r="C2401" s="10" t="str">
        <f>_xlfn.LET(
    _xlpm.val, IF(Datadetails[[#This Row],[Activity]]="D02","C20",Datadetails[[#This Row],[Activity]]),
    IF(ISNUMBER(MATCH(_xlpm.val,{"D04","C30","c40","C20"},0)), _xlpm.val, "Other")
)</f>
        <v>C20</v>
      </c>
      <c r="D2401" s="10" t="str">
        <f>IFERROR(VLOOKUP(Datadetails[[#This Row],[Taskcode]],Dashboard!A:A,1,FALSE),"00 Err Missing")</f>
        <v>0104</v>
      </c>
      <c r="E2401" s="79">
        <v>45933</v>
      </c>
      <c r="F2401" s="80" t="s">
        <v>325</v>
      </c>
      <c r="G2401" s="60" t="s">
        <v>40</v>
      </c>
      <c r="H2401" s="80" t="s">
        <v>271</v>
      </c>
      <c r="I2401" s="80" t="s">
        <v>36</v>
      </c>
      <c r="J2401" s="80" t="s">
        <v>363</v>
      </c>
      <c r="K2401" s="80" t="s">
        <v>347</v>
      </c>
      <c r="L2401" s="80" t="s">
        <v>342</v>
      </c>
      <c r="M2401" s="81">
        <v>0.33</v>
      </c>
      <c r="N2401" s="82">
        <v>24.75</v>
      </c>
    </row>
    <row r="2402" spans="1:14" x14ac:dyDescent="0.25">
      <c r="A2402" s="10" t="str">
        <f>_xlfn.IFNA(
    IF(J2402=
        "PCB-0001",
        "CSS",
        IF(
            ISNUMBER(MATCH(_xlfn.TEXTBEFORE(J2402,"-"), {"CSS","CSN","PCB","PCF","BEC","CSD","PCM"}, 0)),
            _xlfn.TEXTBEFORE(J2402,"-"),
            "Other"
        )
    ),
"Add")</f>
        <v>PCB</v>
      </c>
      <c r="B2402" s="10" t="str">
        <f t="shared" si="38"/>
        <v>0031</v>
      </c>
      <c r="C2402" s="10" t="str">
        <f>_xlfn.LET(
    _xlpm.val, IF(Datadetails[[#This Row],[Activity]]="D02","C20",Datadetails[[#This Row],[Activity]]),
    IF(ISNUMBER(MATCH(_xlpm.val,{"D04","C30","c40","C20"},0)), _xlpm.val, "Other")
)</f>
        <v>C30</v>
      </c>
      <c r="D2402" s="10" t="str">
        <f>IFERROR(VLOOKUP(Datadetails[[#This Row],[Taskcode]],Dashboard!A:A,1,FALSE),"00 Err Missing")</f>
        <v>0031</v>
      </c>
      <c r="E2402" s="79">
        <v>45933</v>
      </c>
      <c r="F2402" s="80" t="s">
        <v>325</v>
      </c>
      <c r="G2402" s="60" t="s">
        <v>40</v>
      </c>
      <c r="H2402" s="80" t="s">
        <v>198</v>
      </c>
      <c r="I2402" s="80" t="s">
        <v>34</v>
      </c>
      <c r="J2402" s="80" t="s">
        <v>413</v>
      </c>
      <c r="K2402" s="80" t="s">
        <v>347</v>
      </c>
      <c r="L2402" s="80" t="s">
        <v>343</v>
      </c>
      <c r="M2402" s="81">
        <v>0.25</v>
      </c>
      <c r="N2402" s="82">
        <v>18.75</v>
      </c>
    </row>
    <row r="2403" spans="1:14" x14ac:dyDescent="0.25">
      <c r="A2403" s="10" t="str">
        <f>_xlfn.IFNA(
    IF(J2403=
        "PCB-0001",
        "CSS",
        IF(
            ISNUMBER(MATCH(_xlfn.TEXTBEFORE(J2403,"-"), {"CSS","CSN","PCB","PCF","BEC","CSD","PCM"}, 0)),
            _xlfn.TEXTBEFORE(J2403,"-"),
            "Other"
        )
    ),
"Add")</f>
        <v>PCB</v>
      </c>
      <c r="B2403" s="10" t="str">
        <f t="shared" si="38"/>
        <v>0085</v>
      </c>
      <c r="C2403" s="10" t="str">
        <f>_xlfn.LET(
    _xlpm.val, IF(Datadetails[[#This Row],[Activity]]="D02","C20",Datadetails[[#This Row],[Activity]]),
    IF(ISNUMBER(MATCH(_xlpm.val,{"D04","C30","c40","C20"},0)), _xlpm.val, "Other")
)</f>
        <v>C20</v>
      </c>
      <c r="D2403" s="10" t="str">
        <f>IFERROR(VLOOKUP(Datadetails[[#This Row],[Taskcode]],Dashboard!A:A,1,FALSE),"00 Err Missing")</f>
        <v>0085</v>
      </c>
      <c r="E2403" s="79">
        <v>45933</v>
      </c>
      <c r="F2403" s="80" t="s">
        <v>330</v>
      </c>
      <c r="G2403" s="60" t="s">
        <v>40</v>
      </c>
      <c r="H2403" s="80" t="s">
        <v>252</v>
      </c>
      <c r="I2403" s="80" t="s">
        <v>36</v>
      </c>
      <c r="J2403" s="80" t="s">
        <v>416</v>
      </c>
      <c r="K2403" s="80" t="s">
        <v>347</v>
      </c>
      <c r="L2403" s="80" t="s">
        <v>342</v>
      </c>
      <c r="M2403" s="81">
        <v>1</v>
      </c>
      <c r="N2403" s="82">
        <v>60</v>
      </c>
    </row>
    <row r="2404" spans="1:14" x14ac:dyDescent="0.25">
      <c r="A2404" s="10" t="str">
        <f>_xlfn.IFNA(
    IF(J2404=
        "PCB-0001",
        "CSS",
        IF(
            ISNUMBER(MATCH(_xlfn.TEXTBEFORE(J2404,"-"), {"CSS","CSN","PCB","PCF","BEC","CSD","PCM"}, 0)),
            _xlfn.TEXTBEFORE(J2404,"-"),
            "Other"
        )
    ),
"Add")</f>
        <v>PCB</v>
      </c>
      <c r="B2404" s="10" t="str">
        <f t="shared" si="38"/>
        <v>0017</v>
      </c>
      <c r="C2404" s="10" t="str">
        <f>_xlfn.LET(
    _xlpm.val, IF(Datadetails[[#This Row],[Activity]]="D02","C20",Datadetails[[#This Row],[Activity]]),
    IF(ISNUMBER(MATCH(_xlpm.val,{"D04","C30","c40","C20"},0)), _xlpm.val, "Other")
)</f>
        <v>C30</v>
      </c>
      <c r="D2404" s="10" t="str">
        <f>IFERROR(VLOOKUP(Datadetails[[#This Row],[Taskcode]],Dashboard!A:A,1,FALSE),"00 Err Missing")</f>
        <v>0017</v>
      </c>
      <c r="E2404" s="79">
        <v>45933</v>
      </c>
      <c r="F2404" s="80" t="s">
        <v>330</v>
      </c>
      <c r="G2404" s="60" t="s">
        <v>40</v>
      </c>
      <c r="H2404" s="80" t="s">
        <v>184</v>
      </c>
      <c r="I2404" s="80" t="s">
        <v>34</v>
      </c>
      <c r="J2404" s="80" t="s">
        <v>459</v>
      </c>
      <c r="K2404" s="80" t="s">
        <v>347</v>
      </c>
      <c r="L2404" s="80" t="s">
        <v>343</v>
      </c>
      <c r="M2404" s="81">
        <v>0.25</v>
      </c>
      <c r="N2404" s="82">
        <v>15</v>
      </c>
    </row>
    <row r="2405" spans="1:14" x14ac:dyDescent="0.25">
      <c r="A2405" s="10" t="str">
        <f>_xlfn.IFNA(
    IF(J2405=
        "PCB-0001",
        "CSS",
        IF(
            ISNUMBER(MATCH(_xlfn.TEXTBEFORE(J2405,"-"), {"CSS","CSN","PCB","PCF","BEC","CSD","PCM"}, 0)),
            _xlfn.TEXTBEFORE(J2405,"-"),
            "Other"
        )
    ),
"Add")</f>
        <v>PCB</v>
      </c>
      <c r="B2405" s="10" t="str">
        <f t="shared" si="38"/>
        <v>0039</v>
      </c>
      <c r="C2405" s="10" t="str">
        <f>_xlfn.LET(
    _xlpm.val, IF(Datadetails[[#This Row],[Activity]]="D02","C20",Datadetails[[#This Row],[Activity]]),
    IF(ISNUMBER(MATCH(_xlpm.val,{"D04","C30","c40","C20"},0)), _xlpm.val, "Other")
)</f>
        <v>C30</v>
      </c>
      <c r="D2405" s="10" t="str">
        <f>IFERROR(VLOOKUP(Datadetails[[#This Row],[Taskcode]],Dashboard!A:A,1,FALSE),"00 Err Missing")</f>
        <v>0039</v>
      </c>
      <c r="E2405" s="79">
        <v>45933</v>
      </c>
      <c r="F2405" s="80" t="s">
        <v>329</v>
      </c>
      <c r="G2405" s="60" t="s">
        <v>40</v>
      </c>
      <c r="H2405" s="80" t="s">
        <v>206</v>
      </c>
      <c r="I2405" s="80" t="s">
        <v>34</v>
      </c>
      <c r="J2405" s="80" t="s">
        <v>367</v>
      </c>
      <c r="K2405" s="80" t="s">
        <v>347</v>
      </c>
      <c r="L2405" s="80" t="s">
        <v>343</v>
      </c>
      <c r="M2405" s="81">
        <v>0.5</v>
      </c>
      <c r="N2405" s="82">
        <v>37.5</v>
      </c>
    </row>
    <row r="2406" spans="1:14" x14ac:dyDescent="0.25">
      <c r="A2406" s="10" t="str">
        <f>_xlfn.IFNA(
    IF(J2406=
        "PCB-0001",
        "CSS",
        IF(
            ISNUMBER(MATCH(_xlfn.TEXTBEFORE(J2406,"-"), {"CSS","CSN","PCB","PCF","BEC","CSD","PCM"}, 0)),
            _xlfn.TEXTBEFORE(J2406,"-"),
            "Other"
        )
    ),
"Add")</f>
        <v>PCB</v>
      </c>
      <c r="B2406" s="10" t="str">
        <f t="shared" si="38"/>
        <v>0134</v>
      </c>
      <c r="C2406" s="10" t="str">
        <f>_xlfn.LET(
    _xlpm.val, IF(Datadetails[[#This Row],[Activity]]="D02","C20",Datadetails[[#This Row],[Activity]]),
    IF(ISNUMBER(MATCH(_xlpm.val,{"D04","C30","c40","C20"},0)), _xlpm.val, "Other")
)</f>
        <v>C30</v>
      </c>
      <c r="D2406" s="10" t="str">
        <f>IFERROR(VLOOKUP(Datadetails[[#This Row],[Taskcode]],Dashboard!A:A,1,FALSE),"00 Err Missing")</f>
        <v>0134</v>
      </c>
      <c r="E2406" s="79">
        <v>45933</v>
      </c>
      <c r="F2406" s="80" t="s">
        <v>329</v>
      </c>
      <c r="G2406" s="60" t="s">
        <v>40</v>
      </c>
      <c r="H2406" s="80" t="s">
        <v>301</v>
      </c>
      <c r="I2406" s="80" t="s">
        <v>34</v>
      </c>
      <c r="J2406" s="80" t="s">
        <v>371</v>
      </c>
      <c r="K2406" s="80" t="s">
        <v>347</v>
      </c>
      <c r="L2406" s="80" t="s">
        <v>343</v>
      </c>
      <c r="M2406" s="81">
        <v>0.17</v>
      </c>
      <c r="N2406" s="82">
        <v>12.750000000000002</v>
      </c>
    </row>
    <row r="2407" spans="1:14" x14ac:dyDescent="0.25">
      <c r="A2407" s="10" t="str">
        <f>_xlfn.IFNA(
    IF(J2407=
        "PCB-0001",
        "CSS",
        IF(
            ISNUMBER(MATCH(_xlfn.TEXTBEFORE(J2407,"-"), {"CSS","CSN","PCB","PCF","BEC","CSD","PCM"}, 0)),
            _xlfn.TEXTBEFORE(J2407,"-"),
            "Other"
        )
    ),
"Add")</f>
        <v>PCB</v>
      </c>
      <c r="B2407" s="10" t="str">
        <f t="shared" si="38"/>
        <v>0062</v>
      </c>
      <c r="C2407" s="10" t="str">
        <f>_xlfn.LET(
    _xlpm.val, IF(Datadetails[[#This Row],[Activity]]="D02","C20",Datadetails[[#This Row],[Activity]]),
    IF(ISNUMBER(MATCH(_xlpm.val,{"D04","C30","c40","C20"},0)), _xlpm.val, "Other")
)</f>
        <v>C30</v>
      </c>
      <c r="D2407" s="10" t="str">
        <f>IFERROR(VLOOKUP(Datadetails[[#This Row],[Taskcode]],Dashboard!A:A,1,FALSE),"00 Err Missing")</f>
        <v>0062</v>
      </c>
      <c r="E2407" s="79">
        <v>45933</v>
      </c>
      <c r="F2407" s="80" t="s">
        <v>329</v>
      </c>
      <c r="G2407" s="60" t="s">
        <v>40</v>
      </c>
      <c r="H2407" s="80" t="s">
        <v>229</v>
      </c>
      <c r="I2407" s="80" t="s">
        <v>34</v>
      </c>
      <c r="J2407" s="80" t="s">
        <v>373</v>
      </c>
      <c r="K2407" s="80" t="s">
        <v>347</v>
      </c>
      <c r="L2407" s="80" t="s">
        <v>343</v>
      </c>
      <c r="M2407" s="81">
        <v>0.5</v>
      </c>
      <c r="N2407" s="82">
        <v>37.5</v>
      </c>
    </row>
    <row r="2408" spans="1:14" x14ac:dyDescent="0.25">
      <c r="A2408" s="10" t="str">
        <f>_xlfn.IFNA(
    IF(J2408=
        "PCB-0001",
        "CSS",
        IF(
            ISNUMBER(MATCH(_xlfn.TEXTBEFORE(J2408,"-"), {"CSS","CSN","PCB","PCF","BEC","CSD","PCM"}, 0)),
            _xlfn.TEXTBEFORE(J2408,"-"),
            "Other"
        )
    ),
"Add")</f>
        <v>PCB</v>
      </c>
      <c r="B2408" s="10" t="str">
        <f t="shared" si="38"/>
        <v>0121</v>
      </c>
      <c r="C2408" s="10" t="str">
        <f>_xlfn.LET(
    _xlpm.val, IF(Datadetails[[#This Row],[Activity]]="D02","C20",Datadetails[[#This Row],[Activity]]),
    IF(ISNUMBER(MATCH(_xlpm.val,{"D04","C30","c40","C20"},0)), _xlpm.val, "Other")
)</f>
        <v>C30</v>
      </c>
      <c r="D2408" s="10" t="str">
        <f>IFERROR(VLOOKUP(Datadetails[[#This Row],[Taskcode]],Dashboard!A:A,1,FALSE),"00 Err Missing")</f>
        <v>0121</v>
      </c>
      <c r="E2408" s="79">
        <v>45933</v>
      </c>
      <c r="F2408" s="80" t="s">
        <v>329</v>
      </c>
      <c r="G2408" s="60" t="s">
        <v>40</v>
      </c>
      <c r="H2408" s="80" t="s">
        <v>288</v>
      </c>
      <c r="I2408" s="80" t="s">
        <v>34</v>
      </c>
      <c r="J2408" s="80" t="s">
        <v>405</v>
      </c>
      <c r="K2408" s="80" t="s">
        <v>347</v>
      </c>
      <c r="L2408" s="80" t="s">
        <v>343</v>
      </c>
      <c r="M2408" s="81">
        <v>0.33</v>
      </c>
      <c r="N2408" s="82">
        <v>24.75</v>
      </c>
    </row>
    <row r="2409" spans="1:14" x14ac:dyDescent="0.25">
      <c r="A2409" s="10" t="str">
        <f>_xlfn.IFNA(
    IF(J2409=
        "PCB-0001",
        "CSS",
        IF(
            ISNUMBER(MATCH(_xlfn.TEXTBEFORE(J2409,"-"), {"CSS","CSN","PCB","PCF","BEC","CSD","PCM"}, 0)),
            _xlfn.TEXTBEFORE(J2409,"-"),
            "Other"
        )
    ),
"Add")</f>
        <v>PCB</v>
      </c>
      <c r="B2409" s="10" t="str">
        <f t="shared" si="38"/>
        <v>0120</v>
      </c>
      <c r="C2409" s="10" t="str">
        <f>_xlfn.LET(
    _xlpm.val, IF(Datadetails[[#This Row],[Activity]]="D02","C20",Datadetails[[#This Row],[Activity]]),
    IF(ISNUMBER(MATCH(_xlpm.val,{"D04","C30","c40","C20"},0)), _xlpm.val, "Other")
)</f>
        <v>C30</v>
      </c>
      <c r="D2409" s="10" t="str">
        <f>IFERROR(VLOOKUP(Datadetails[[#This Row],[Taskcode]],Dashboard!A:A,1,FALSE),"00 Err Missing")</f>
        <v>0120</v>
      </c>
      <c r="E2409" s="79">
        <v>45933</v>
      </c>
      <c r="F2409" s="80" t="s">
        <v>325</v>
      </c>
      <c r="G2409" s="60" t="s">
        <v>40</v>
      </c>
      <c r="H2409" s="80" t="s">
        <v>287</v>
      </c>
      <c r="I2409" s="80" t="s">
        <v>34</v>
      </c>
      <c r="J2409" s="80" t="s">
        <v>378</v>
      </c>
      <c r="K2409" s="80" t="s">
        <v>347</v>
      </c>
      <c r="L2409" s="80" t="s">
        <v>343</v>
      </c>
      <c r="M2409" s="81">
        <v>0.25</v>
      </c>
      <c r="N2409" s="82">
        <v>18.75</v>
      </c>
    </row>
    <row r="2410" spans="1:14" x14ac:dyDescent="0.25">
      <c r="A2410" s="10" t="str">
        <f>_xlfn.IFNA(
    IF(J2410=
        "PCB-0001",
        "CSS",
        IF(
            ISNUMBER(MATCH(_xlfn.TEXTBEFORE(J2410,"-"), {"CSS","CSN","PCB","PCF","BEC","CSD","PCM"}, 0)),
            _xlfn.TEXTBEFORE(J2410,"-"),
            "Other"
        )
    ),
"Add")</f>
        <v>PCB</v>
      </c>
      <c r="B2410" s="10" t="str">
        <f t="shared" si="38"/>
        <v>0129</v>
      </c>
      <c r="C2410" s="10" t="str">
        <f>_xlfn.LET(
    _xlpm.val, IF(Datadetails[[#This Row],[Activity]]="D02","C20",Datadetails[[#This Row],[Activity]]),
    IF(ISNUMBER(MATCH(_xlpm.val,{"D04","C30","c40","C20"},0)), _xlpm.val, "Other")
)</f>
        <v>C30</v>
      </c>
      <c r="D2410" s="10" t="str">
        <f>IFERROR(VLOOKUP(Datadetails[[#This Row],[Taskcode]],Dashboard!A:A,1,FALSE),"00 Err Missing")</f>
        <v>0129</v>
      </c>
      <c r="E2410" s="79">
        <v>45933</v>
      </c>
      <c r="F2410" s="80" t="s">
        <v>329</v>
      </c>
      <c r="G2410" s="60" t="s">
        <v>40</v>
      </c>
      <c r="H2410" s="80" t="s">
        <v>296</v>
      </c>
      <c r="I2410" s="80" t="s">
        <v>34</v>
      </c>
      <c r="J2410" s="80" t="s">
        <v>411</v>
      </c>
      <c r="K2410" s="80" t="s">
        <v>347</v>
      </c>
      <c r="L2410" s="80" t="s">
        <v>343</v>
      </c>
      <c r="M2410" s="81">
        <v>0.08</v>
      </c>
      <c r="N2410" s="82">
        <v>6</v>
      </c>
    </row>
    <row r="2411" spans="1:14" x14ac:dyDescent="0.25">
      <c r="A2411" s="10" t="str">
        <f>_xlfn.IFNA(
    IF(J2411=
        "PCB-0001",
        "CSS",
        IF(
            ISNUMBER(MATCH(_xlfn.TEXTBEFORE(J2411,"-"), {"CSS","CSN","PCB","PCF","BEC","CSD","PCM"}, 0)),
            _xlfn.TEXTBEFORE(J2411,"-"),
            "Other"
        )
    ),
"Add")</f>
        <v>PCB</v>
      </c>
      <c r="B2411" s="10" t="str">
        <f t="shared" si="38"/>
        <v>0087</v>
      </c>
      <c r="C2411" s="10" t="str">
        <f>_xlfn.LET(
    _xlpm.val, IF(Datadetails[[#This Row],[Activity]]="D02","C20",Datadetails[[#This Row],[Activity]]),
    IF(ISNUMBER(MATCH(_xlpm.val,{"D04","C30","c40","C20"},0)), _xlpm.val, "Other")
)</f>
        <v>C30</v>
      </c>
      <c r="D2411" s="10" t="str">
        <f>IFERROR(VLOOKUP(Datadetails[[#This Row],[Taskcode]],Dashboard!A:A,1,FALSE),"00 Err Missing")</f>
        <v>0087</v>
      </c>
      <c r="E2411" s="79">
        <v>45933</v>
      </c>
      <c r="F2411" s="80" t="s">
        <v>325</v>
      </c>
      <c r="G2411" s="60" t="s">
        <v>40</v>
      </c>
      <c r="H2411" s="80" t="s">
        <v>254</v>
      </c>
      <c r="I2411" s="80" t="s">
        <v>34</v>
      </c>
      <c r="J2411" s="80" t="s">
        <v>441</v>
      </c>
      <c r="K2411" s="80" t="s">
        <v>347</v>
      </c>
      <c r="L2411" s="80" t="s">
        <v>343</v>
      </c>
      <c r="M2411" s="81">
        <v>0.42</v>
      </c>
      <c r="N2411" s="82">
        <v>31.5</v>
      </c>
    </row>
    <row r="2412" spans="1:14" x14ac:dyDescent="0.25">
      <c r="A2412" s="10" t="str">
        <f>_xlfn.IFNA(
    IF(J2412=
        "PCB-0001",
        "CSS",
        IF(
            ISNUMBER(MATCH(_xlfn.TEXTBEFORE(J2412,"-"), {"CSS","CSN","PCB","PCF","BEC","CSD","PCM"}, 0)),
            _xlfn.TEXTBEFORE(J2412,"-"),
            "Other"
        )
    ),
"Add")</f>
        <v>PCB</v>
      </c>
      <c r="B2412" s="10" t="str">
        <f t="shared" si="38"/>
        <v>0092</v>
      </c>
      <c r="C2412" s="10" t="str">
        <f>_xlfn.LET(
    _xlpm.val, IF(Datadetails[[#This Row],[Activity]]="D02","C20",Datadetails[[#This Row],[Activity]]),
    IF(ISNUMBER(MATCH(_xlpm.val,{"D04","C30","c40","C20"},0)), _xlpm.val, "Other")
)</f>
        <v>C30</v>
      </c>
      <c r="D2412" s="10" t="str">
        <f>IFERROR(VLOOKUP(Datadetails[[#This Row],[Taskcode]],Dashboard!A:A,1,FALSE),"00 Err Missing")</f>
        <v>0092</v>
      </c>
      <c r="E2412" s="79">
        <v>45933</v>
      </c>
      <c r="F2412" s="80" t="s">
        <v>329</v>
      </c>
      <c r="G2412" s="60" t="s">
        <v>40</v>
      </c>
      <c r="H2412" s="80" t="s">
        <v>259</v>
      </c>
      <c r="I2412" s="80" t="s">
        <v>34</v>
      </c>
      <c r="J2412" s="80" t="s">
        <v>407</v>
      </c>
      <c r="K2412" s="80" t="s">
        <v>347</v>
      </c>
      <c r="L2412" s="80" t="s">
        <v>343</v>
      </c>
      <c r="M2412" s="81">
        <v>0.5</v>
      </c>
      <c r="N2412" s="82">
        <v>37.5</v>
      </c>
    </row>
    <row r="2413" spans="1:14" x14ac:dyDescent="0.25">
      <c r="A2413" s="10" t="str">
        <f>_xlfn.IFNA(
    IF(J2413=
        "PCB-0001",
        "CSS",
        IF(
            ISNUMBER(MATCH(_xlfn.TEXTBEFORE(J2413,"-"), {"CSS","CSN","PCB","PCF","BEC","CSD","PCM"}, 0)),
            _xlfn.TEXTBEFORE(J2413,"-"),
            "Other"
        )
    ),
"Add")</f>
        <v>PCB</v>
      </c>
      <c r="B2413" s="10" t="str">
        <f t="shared" si="38"/>
        <v>0138</v>
      </c>
      <c r="C2413" s="10" t="str">
        <f>_xlfn.LET(
    _xlpm.val, IF(Datadetails[[#This Row],[Activity]]="D02","C20",Datadetails[[#This Row],[Activity]]),
    IF(ISNUMBER(MATCH(_xlpm.val,{"D04","C30","c40","C20"},0)), _xlpm.val, "Other")
)</f>
        <v>C30</v>
      </c>
      <c r="D2413" s="10" t="str">
        <f>IFERROR(VLOOKUP(Datadetails[[#This Row],[Taskcode]],Dashboard!A:A,1,FALSE),"00 Err Missing")</f>
        <v>0138</v>
      </c>
      <c r="E2413" s="79">
        <v>45933</v>
      </c>
      <c r="F2413" s="80" t="s">
        <v>325</v>
      </c>
      <c r="G2413" s="60" t="s">
        <v>40</v>
      </c>
      <c r="H2413" s="80" t="s">
        <v>305</v>
      </c>
      <c r="I2413" s="80" t="s">
        <v>34</v>
      </c>
      <c r="J2413" s="80" t="s">
        <v>382</v>
      </c>
      <c r="K2413" s="80" t="s">
        <v>347</v>
      </c>
      <c r="L2413" s="80" t="s">
        <v>343</v>
      </c>
      <c r="M2413" s="81">
        <v>0.33</v>
      </c>
      <c r="N2413" s="82">
        <v>24.75</v>
      </c>
    </row>
    <row r="2414" spans="1:14" x14ac:dyDescent="0.25">
      <c r="A2414" s="10" t="str">
        <f>_xlfn.IFNA(
    IF(J2414=
        "PCB-0001",
        "CSS",
        IF(
            ISNUMBER(MATCH(_xlfn.TEXTBEFORE(J2414,"-"), {"CSS","CSN","PCB","PCF","BEC","CSD","PCM"}, 0)),
            _xlfn.TEXTBEFORE(J2414,"-"),
            "Other"
        )
    ),
"Add")</f>
        <v>PCB</v>
      </c>
      <c r="B2414" s="10" t="str">
        <f t="shared" si="38"/>
        <v>0097</v>
      </c>
      <c r="C2414" s="10" t="str">
        <f>_xlfn.LET(
    _xlpm.val, IF(Datadetails[[#This Row],[Activity]]="D02","C20",Datadetails[[#This Row],[Activity]]),
    IF(ISNUMBER(MATCH(_xlpm.val,{"D04","C30","c40","C20"},0)), _xlpm.val, "Other")
)</f>
        <v>C30</v>
      </c>
      <c r="D2414" s="10" t="str">
        <f>IFERROR(VLOOKUP(Datadetails[[#This Row],[Taskcode]],Dashboard!A:A,1,FALSE),"00 Err Missing")</f>
        <v>0097</v>
      </c>
      <c r="E2414" s="79">
        <v>45933</v>
      </c>
      <c r="F2414" s="80" t="s">
        <v>325</v>
      </c>
      <c r="G2414" s="60" t="s">
        <v>40</v>
      </c>
      <c r="H2414" s="80" t="s">
        <v>264</v>
      </c>
      <c r="I2414" s="80" t="s">
        <v>34</v>
      </c>
      <c r="J2414" s="80" t="s">
        <v>384</v>
      </c>
      <c r="K2414" s="80" t="s">
        <v>347</v>
      </c>
      <c r="L2414" s="80" t="s">
        <v>343</v>
      </c>
      <c r="M2414" s="81">
        <v>0.17</v>
      </c>
      <c r="N2414" s="82">
        <v>12.750000000000002</v>
      </c>
    </row>
    <row r="2415" spans="1:14" x14ac:dyDescent="0.25">
      <c r="A2415" s="10" t="str">
        <f>_xlfn.IFNA(
    IF(J2415=
        "PCB-0001",
        "CSS",
        IF(
            ISNUMBER(MATCH(_xlfn.TEXTBEFORE(J2415,"-"), {"CSS","CSN","PCB","PCF","BEC","CSD","PCM"}, 0)),
            _xlfn.TEXTBEFORE(J2415,"-"),
            "Other"
        )
    ),
"Add")</f>
        <v>PCB</v>
      </c>
      <c r="B2415" s="10" t="str">
        <f t="shared" si="38"/>
        <v>0110</v>
      </c>
      <c r="C2415" s="10" t="str">
        <f>_xlfn.LET(
    _xlpm.val, IF(Datadetails[[#This Row],[Activity]]="D02","C20",Datadetails[[#This Row],[Activity]]),
    IF(ISNUMBER(MATCH(_xlpm.val,{"D04","C30","c40","C20"},0)), _xlpm.val, "Other")
)</f>
        <v>C30</v>
      </c>
      <c r="D2415" s="10" t="str">
        <f>IFERROR(VLOOKUP(Datadetails[[#This Row],[Taskcode]],Dashboard!A:A,1,FALSE),"00 Err Missing")</f>
        <v>0110</v>
      </c>
      <c r="E2415" s="79">
        <v>45933</v>
      </c>
      <c r="F2415" s="80" t="s">
        <v>325</v>
      </c>
      <c r="G2415" s="60" t="s">
        <v>40</v>
      </c>
      <c r="H2415" s="80" t="s">
        <v>277</v>
      </c>
      <c r="I2415" s="80" t="s">
        <v>34</v>
      </c>
      <c r="J2415" s="80" t="s">
        <v>353</v>
      </c>
      <c r="K2415" s="80" t="s">
        <v>347</v>
      </c>
      <c r="L2415" s="80" t="s">
        <v>343</v>
      </c>
      <c r="M2415" s="81">
        <v>0.25</v>
      </c>
      <c r="N2415" s="82">
        <v>18.75</v>
      </c>
    </row>
    <row r="2416" spans="1:14" x14ac:dyDescent="0.25">
      <c r="A2416" s="10" t="str">
        <f>_xlfn.IFNA(
    IF(J2416=
        "PCB-0001",
        "CSS",
        IF(
            ISNUMBER(MATCH(_xlfn.TEXTBEFORE(J2416,"-"), {"CSS","CSN","PCB","PCF","BEC","CSD","PCM"}, 0)),
            _xlfn.TEXTBEFORE(J2416,"-"),
            "Other"
        )
    ),
"Add")</f>
        <v>PCF</v>
      </c>
      <c r="B2416" s="10" t="str">
        <f t="shared" si="38"/>
        <v>0040</v>
      </c>
      <c r="C2416" s="10" t="str">
        <f>_xlfn.LET(
    _xlpm.val, IF(Datadetails[[#This Row],[Activity]]="D02","C20",Datadetails[[#This Row],[Activity]]),
    IF(ISNUMBER(MATCH(_xlpm.val,{"D04","C30","c40","C20"},0)), _xlpm.val, "Other")
)</f>
        <v>C20</v>
      </c>
      <c r="D2416" s="10" t="str">
        <f>IFERROR(VLOOKUP(Datadetails[[#This Row],[Taskcode]],Dashboard!A:A,1,FALSE),"00 Err Missing")</f>
        <v>0040</v>
      </c>
      <c r="E2416" s="79">
        <v>45933</v>
      </c>
      <c r="F2416" s="80" t="s">
        <v>326</v>
      </c>
      <c r="G2416" s="60" t="s">
        <v>40</v>
      </c>
      <c r="H2416" s="80" t="s">
        <v>207</v>
      </c>
      <c r="I2416" s="80" t="s">
        <v>36</v>
      </c>
      <c r="J2416" s="80" t="s">
        <v>417</v>
      </c>
      <c r="K2416" s="80" t="s">
        <v>348</v>
      </c>
      <c r="L2416" s="80" t="s">
        <v>342</v>
      </c>
      <c r="M2416" s="81">
        <v>1</v>
      </c>
      <c r="N2416" s="82">
        <v>60</v>
      </c>
    </row>
    <row r="2417" spans="1:14" x14ac:dyDescent="0.25">
      <c r="A2417" s="10" t="str">
        <f>_xlfn.IFNA(
    IF(J2417=
        "PCB-0001",
        "CSS",
        IF(
            ISNUMBER(MATCH(_xlfn.TEXTBEFORE(J2417,"-"), {"CSS","CSN","PCB","PCF","BEC","CSD","PCM"}, 0)),
            _xlfn.TEXTBEFORE(J2417,"-"),
            "Other"
        )
    ),
"Add")</f>
        <v>BEC</v>
      </c>
      <c r="B2417" s="10" t="str">
        <f t="shared" si="38"/>
        <v>0001</v>
      </c>
      <c r="C2417" s="10" t="str">
        <f>_xlfn.LET(
    _xlpm.val, IF(Datadetails[[#This Row],[Activity]]="D02","C20",Datadetails[[#This Row],[Activity]]),
    IF(ISNUMBER(MATCH(_xlpm.val,{"D04","C30","c40","C20"},0)), _xlpm.val, "Other")
)</f>
        <v>D04</v>
      </c>
      <c r="D2417" s="10" t="str">
        <f>IFERROR(VLOOKUP(Datadetails[[#This Row],[Taskcode]],Dashboard!A:A,1,FALSE),"00 Err Missing")</f>
        <v>0001</v>
      </c>
      <c r="E2417" s="79">
        <v>45934</v>
      </c>
      <c r="F2417" s="80" t="s">
        <v>332</v>
      </c>
      <c r="G2417" s="60" t="s">
        <v>40</v>
      </c>
      <c r="H2417" s="80" t="s">
        <v>314</v>
      </c>
      <c r="I2417" s="80" t="s">
        <v>35</v>
      </c>
      <c r="J2417" s="80" t="s">
        <v>359</v>
      </c>
      <c r="K2417" s="80" t="s">
        <v>339</v>
      </c>
      <c r="L2417" s="80" t="s">
        <v>352</v>
      </c>
      <c r="M2417" s="81">
        <v>4</v>
      </c>
      <c r="N2417" s="82">
        <v>160</v>
      </c>
    </row>
    <row r="2418" spans="1:14" x14ac:dyDescent="0.25">
      <c r="A2418" s="10" t="str">
        <f>_xlfn.IFNA(
    IF(J2418=
        "PCB-0001",
        "CSS",
        IF(
            ISNUMBER(MATCH(_xlfn.TEXTBEFORE(J2418,"-"), {"CSS","CSN","PCB","PCF","BEC","CSD","PCM"}, 0)),
            _xlfn.TEXTBEFORE(J2418,"-"),
            "Other"
        )
    ),
"Add")</f>
        <v>CSN</v>
      </c>
      <c r="B2418" s="10" t="str">
        <f t="shared" si="38"/>
        <v>0001</v>
      </c>
      <c r="C2418" s="10" t="str">
        <f>_xlfn.LET(
    _xlpm.val, IF(Datadetails[[#This Row],[Activity]]="D02","C20",Datadetails[[#This Row],[Activity]]),
    IF(ISNUMBER(MATCH(_xlpm.val,{"D04","C30","c40","C20"},0)), _xlpm.val, "Other")
)</f>
        <v>D04</v>
      </c>
      <c r="D2418" s="10" t="str">
        <f>IFERROR(VLOOKUP(Datadetails[[#This Row],[Taskcode]],Dashboard!A:A,1,FALSE),"00 Err Missing")</f>
        <v>0001</v>
      </c>
      <c r="E2418" s="79">
        <v>45936</v>
      </c>
      <c r="F2418" s="80" t="s">
        <v>329</v>
      </c>
      <c r="G2418" s="60" t="s">
        <v>40</v>
      </c>
      <c r="H2418" s="80" t="s">
        <v>316</v>
      </c>
      <c r="I2418" s="80" t="s">
        <v>35</v>
      </c>
      <c r="J2418" s="80" t="s">
        <v>338</v>
      </c>
      <c r="K2418" s="80" t="s">
        <v>337</v>
      </c>
      <c r="L2418" s="80" t="s">
        <v>352</v>
      </c>
      <c r="M2418" s="81">
        <v>1.17</v>
      </c>
      <c r="N2418" s="82">
        <v>87.75</v>
      </c>
    </row>
    <row r="2419" spans="1:14" x14ac:dyDescent="0.25">
      <c r="A2419" s="10" t="str">
        <f>_xlfn.IFNA(
    IF(J2419=
        "PCB-0001",
        "CSS",
        IF(
            ISNUMBER(MATCH(_xlfn.TEXTBEFORE(J2419,"-"), {"CSS","CSN","PCB","PCF","BEC","CSD","PCM"}, 0)),
            _xlfn.TEXTBEFORE(J2419,"-"),
            "Other"
        )
    ),
"Add")</f>
        <v>CSN</v>
      </c>
      <c r="B2419" s="10" t="str">
        <f t="shared" si="38"/>
        <v>0001</v>
      </c>
      <c r="C2419" s="10" t="str">
        <f>_xlfn.LET(
    _xlpm.val, IF(Datadetails[[#This Row],[Activity]]="D02","C20",Datadetails[[#This Row],[Activity]]),
    IF(ISNUMBER(MATCH(_xlpm.val,{"D04","C30","c40","C20"},0)), _xlpm.val, "Other")
)</f>
        <v>D04</v>
      </c>
      <c r="D2419" s="10" t="str">
        <f>IFERROR(VLOOKUP(Datadetails[[#This Row],[Taskcode]],Dashboard!A:A,1,FALSE),"00 Err Missing")</f>
        <v>0001</v>
      </c>
      <c r="E2419" s="79">
        <v>45936</v>
      </c>
      <c r="F2419" s="80" t="s">
        <v>331</v>
      </c>
      <c r="G2419" s="60" t="s">
        <v>40</v>
      </c>
      <c r="H2419" s="80" t="s">
        <v>316</v>
      </c>
      <c r="I2419" s="80" t="s">
        <v>35</v>
      </c>
      <c r="J2419" s="80" t="s">
        <v>338</v>
      </c>
      <c r="K2419" s="80" t="s">
        <v>337</v>
      </c>
      <c r="L2419" s="80" t="s">
        <v>352</v>
      </c>
      <c r="M2419" s="81">
        <v>1.17</v>
      </c>
      <c r="N2419" s="82">
        <v>37.44</v>
      </c>
    </row>
    <row r="2420" spans="1:14" x14ac:dyDescent="0.25">
      <c r="A2420" s="10" t="str">
        <f>_xlfn.IFNA(
    IF(J2420=
        "PCB-0001",
        "CSS",
        IF(
            ISNUMBER(MATCH(_xlfn.TEXTBEFORE(J2420,"-"), {"CSS","CSN","PCB","PCF","BEC","CSD","PCM"}, 0)),
            _xlfn.TEXTBEFORE(J2420,"-"),
            "Other"
        )
    ),
"Add")</f>
        <v>PCB</v>
      </c>
      <c r="B2420" s="10" t="str">
        <f t="shared" si="38"/>
        <v>0011</v>
      </c>
      <c r="C2420" s="10" t="str">
        <f>_xlfn.LET(
    _xlpm.val, IF(Datadetails[[#This Row],[Activity]]="D02","C20",Datadetails[[#This Row],[Activity]]),
    IF(ISNUMBER(MATCH(_xlpm.val,{"D04","C30","c40","C20"},0)), _xlpm.val, "Other")
)</f>
        <v>C40</v>
      </c>
      <c r="D2420" s="10" t="str">
        <f>IFERROR(VLOOKUP(Datadetails[[#This Row],[Taskcode]],Dashboard!A:A,1,FALSE),"00 Err Missing")</f>
        <v>0011</v>
      </c>
      <c r="E2420" s="79">
        <v>45936</v>
      </c>
      <c r="F2420" s="80" t="s">
        <v>330</v>
      </c>
      <c r="G2420" s="60" t="s">
        <v>40</v>
      </c>
      <c r="H2420" s="80" t="s">
        <v>178</v>
      </c>
      <c r="I2420" s="80" t="s">
        <v>341</v>
      </c>
      <c r="J2420" s="80" t="s">
        <v>460</v>
      </c>
      <c r="K2420" s="80" t="s">
        <v>347</v>
      </c>
      <c r="L2420" s="80" t="s">
        <v>344</v>
      </c>
      <c r="M2420" s="81">
        <v>1.5</v>
      </c>
      <c r="N2420" s="82">
        <v>90</v>
      </c>
    </row>
    <row r="2421" spans="1:14" x14ac:dyDescent="0.25">
      <c r="A2421" s="10" t="str">
        <f>_xlfn.IFNA(
    IF(J2421=
        "PCB-0001",
        "CSS",
        IF(
            ISNUMBER(MATCH(_xlfn.TEXTBEFORE(J2421,"-"), {"CSS","CSN","PCB","PCF","BEC","CSD","PCM"}, 0)),
            _xlfn.TEXTBEFORE(J2421,"-"),
            "Other"
        )
    ),
"Add")</f>
        <v>PCB</v>
      </c>
      <c r="B2421" s="10" t="str">
        <f t="shared" si="38"/>
        <v>0136</v>
      </c>
      <c r="C2421" s="10" t="str">
        <f>_xlfn.LET(
    _xlpm.val, IF(Datadetails[[#This Row],[Activity]]="D02","C20",Datadetails[[#This Row],[Activity]]),
    IF(ISNUMBER(MATCH(_xlpm.val,{"D04","C30","c40","C20"},0)), _xlpm.val, "Other")
)</f>
        <v>C40</v>
      </c>
      <c r="D2421" s="10" t="str">
        <f>IFERROR(VLOOKUP(Datadetails[[#This Row],[Taskcode]],Dashboard!A:A,1,FALSE),"00 Err Missing")</f>
        <v>0136</v>
      </c>
      <c r="E2421" s="79">
        <v>45936</v>
      </c>
      <c r="F2421" s="80" t="s">
        <v>329</v>
      </c>
      <c r="G2421" s="60" t="s">
        <v>40</v>
      </c>
      <c r="H2421" s="80" t="s">
        <v>303</v>
      </c>
      <c r="I2421" s="80" t="s">
        <v>341</v>
      </c>
      <c r="J2421" s="80" t="s">
        <v>400</v>
      </c>
      <c r="K2421" s="80" t="s">
        <v>347</v>
      </c>
      <c r="L2421" s="80" t="s">
        <v>344</v>
      </c>
      <c r="M2421" s="81">
        <v>1.75</v>
      </c>
      <c r="N2421" s="82">
        <v>131.25</v>
      </c>
    </row>
    <row r="2422" spans="1:14" x14ac:dyDescent="0.25">
      <c r="A2422" s="10" t="str">
        <f>_xlfn.IFNA(
    IF(J2422=
        "PCB-0001",
        "CSS",
        IF(
            ISNUMBER(MATCH(_xlfn.TEXTBEFORE(J2422,"-"), {"CSS","CSN","PCB","PCF","BEC","CSD","PCM"}, 0)),
            _xlfn.TEXTBEFORE(J2422,"-"),
            "Other"
        )
    ),
"Add")</f>
        <v>PCM</v>
      </c>
      <c r="B2422" s="10" t="str">
        <f t="shared" si="38"/>
        <v>0002</v>
      </c>
      <c r="C2422" s="10" t="str">
        <f>_xlfn.LET(
    _xlpm.val, IF(Datadetails[[#This Row],[Activity]]="D02","C20",Datadetails[[#This Row],[Activity]]),
    IF(ISNUMBER(MATCH(_xlpm.val,{"D04","C30","c40","C20"},0)), _xlpm.val, "Other")
)</f>
        <v>C20</v>
      </c>
      <c r="D2422" s="10" t="str">
        <f>IFERROR(VLOOKUP(Datadetails[[#This Row],[Taskcode]],Dashboard!A:A,1,FALSE),"00 Err Missing")</f>
        <v>0002</v>
      </c>
      <c r="E2422" s="79">
        <v>45936</v>
      </c>
      <c r="F2422" s="80" t="s">
        <v>323</v>
      </c>
      <c r="G2422" s="60" t="s">
        <v>40</v>
      </c>
      <c r="H2422" s="80" t="s">
        <v>169</v>
      </c>
      <c r="I2422" s="80" t="s">
        <v>36</v>
      </c>
      <c r="J2422" s="80" t="s">
        <v>433</v>
      </c>
      <c r="K2422" s="80" t="s">
        <v>346</v>
      </c>
      <c r="L2422" s="80" t="s">
        <v>342</v>
      </c>
      <c r="M2422" s="81">
        <v>0.25</v>
      </c>
      <c r="N2422" s="82">
        <v>15</v>
      </c>
    </row>
    <row r="2423" spans="1:14" x14ac:dyDescent="0.25">
      <c r="A2423" s="10" t="str">
        <f>_xlfn.IFNA(
    IF(J2423=
        "PCB-0001",
        "CSS",
        IF(
            ISNUMBER(MATCH(_xlfn.TEXTBEFORE(J2423,"-"), {"CSS","CSN","PCB","PCF","BEC","CSD","PCM"}, 0)),
            _xlfn.TEXTBEFORE(J2423,"-"),
            "Other"
        )
    ),
"Add")</f>
        <v>BEC</v>
      </c>
      <c r="B2423" s="10" t="str">
        <f t="shared" si="38"/>
        <v>0001</v>
      </c>
      <c r="C2423" s="10" t="str">
        <f>_xlfn.LET(
    _xlpm.val, IF(Datadetails[[#This Row],[Activity]]="D02","C20",Datadetails[[#This Row],[Activity]]),
    IF(ISNUMBER(MATCH(_xlpm.val,{"D04","C30","c40","C20"},0)), _xlpm.val, "Other")
)</f>
        <v>D04</v>
      </c>
      <c r="D2423" s="10" t="str">
        <f>IFERROR(VLOOKUP(Datadetails[[#This Row],[Taskcode]],Dashboard!A:A,1,FALSE),"00 Err Missing")</f>
        <v>0001</v>
      </c>
      <c r="E2423" s="79">
        <v>45936</v>
      </c>
      <c r="F2423" s="80" t="s">
        <v>332</v>
      </c>
      <c r="G2423" s="60" t="s">
        <v>40</v>
      </c>
      <c r="H2423" s="80" t="s">
        <v>314</v>
      </c>
      <c r="I2423" s="80" t="s">
        <v>35</v>
      </c>
      <c r="J2423" s="80" t="s">
        <v>359</v>
      </c>
      <c r="K2423" s="80" t="s">
        <v>339</v>
      </c>
      <c r="L2423" s="80" t="s">
        <v>352</v>
      </c>
      <c r="M2423" s="81">
        <v>9.33</v>
      </c>
      <c r="N2423" s="82">
        <v>373.2</v>
      </c>
    </row>
    <row r="2424" spans="1:14" x14ac:dyDescent="0.25">
      <c r="A2424" s="10" t="str">
        <f>_xlfn.IFNA(
    IF(J2424=
        "PCB-0001",
        "CSS",
        IF(
            ISNUMBER(MATCH(_xlfn.TEXTBEFORE(J2424,"-"), {"CSS","CSN","PCB","PCF","BEC","CSD","PCM"}, 0)),
            _xlfn.TEXTBEFORE(J2424,"-"),
            "Other"
        )
    ),
"Add")</f>
        <v>BEC</v>
      </c>
      <c r="B2424" s="10" t="str">
        <f t="shared" si="38"/>
        <v>0001</v>
      </c>
      <c r="C2424" s="10" t="str">
        <f>_xlfn.LET(
    _xlpm.val, IF(Datadetails[[#This Row],[Activity]]="D02","C20",Datadetails[[#This Row],[Activity]]),
    IF(ISNUMBER(MATCH(_xlpm.val,{"D04","C30","c40","C20"},0)), _xlpm.val, "Other")
)</f>
        <v>D04</v>
      </c>
      <c r="D2424" s="10" t="str">
        <f>IFERROR(VLOOKUP(Datadetails[[#This Row],[Taskcode]],Dashboard!A:A,1,FALSE),"00 Err Missing")</f>
        <v>0001</v>
      </c>
      <c r="E2424" s="79">
        <v>45936</v>
      </c>
      <c r="F2424" s="80" t="s">
        <v>324</v>
      </c>
      <c r="G2424" s="60" t="s">
        <v>40</v>
      </c>
      <c r="H2424" s="80" t="s">
        <v>314</v>
      </c>
      <c r="I2424" s="80" t="s">
        <v>35</v>
      </c>
      <c r="J2424" s="80" t="s">
        <v>359</v>
      </c>
      <c r="K2424" s="80" t="s">
        <v>339</v>
      </c>
      <c r="L2424" s="80" t="s">
        <v>352</v>
      </c>
      <c r="M2424" s="81">
        <v>5.5</v>
      </c>
      <c r="N2424" s="82">
        <v>412.5</v>
      </c>
    </row>
    <row r="2425" spans="1:14" x14ac:dyDescent="0.25">
      <c r="A2425" s="10" t="str">
        <f>_xlfn.IFNA(
    IF(J2425=
        "PCB-0001",
        "CSS",
        IF(
            ISNUMBER(MATCH(_xlfn.TEXTBEFORE(J2425,"-"), {"CSS","CSN","PCB","PCF","BEC","CSD","PCM"}, 0)),
            _xlfn.TEXTBEFORE(J2425,"-"),
            "Other"
        )
    ),
"Add")</f>
        <v>CSD</v>
      </c>
      <c r="B2425" s="10" t="str">
        <f t="shared" si="38"/>
        <v>0001</v>
      </c>
      <c r="C2425" s="10" t="str">
        <f>_xlfn.LET(
    _xlpm.val, IF(Datadetails[[#This Row],[Activity]]="D02","C20",Datadetails[[#This Row],[Activity]]),
    IF(ISNUMBER(MATCH(_xlpm.val,{"D04","C30","c40","C20"},0)), _xlpm.val, "Other")
)</f>
        <v>D04</v>
      </c>
      <c r="D2425" s="10" t="str">
        <f>IFERROR(VLOOKUP(Datadetails[[#This Row],[Taskcode]],Dashboard!A:A,1,FALSE),"00 Err Missing")</f>
        <v>0001</v>
      </c>
      <c r="E2425" s="79">
        <v>45936</v>
      </c>
      <c r="F2425" s="80" t="s">
        <v>333</v>
      </c>
      <c r="G2425" s="60" t="s">
        <v>40</v>
      </c>
      <c r="H2425" s="80" t="s">
        <v>320</v>
      </c>
      <c r="I2425" s="80" t="s">
        <v>35</v>
      </c>
      <c r="J2425" s="80" t="s">
        <v>322</v>
      </c>
      <c r="K2425" s="80" t="s">
        <v>319</v>
      </c>
      <c r="L2425" s="80" t="s">
        <v>352</v>
      </c>
      <c r="M2425" s="81">
        <v>7.75</v>
      </c>
      <c r="N2425" s="82">
        <v>248</v>
      </c>
    </row>
    <row r="2426" spans="1:14" x14ac:dyDescent="0.25">
      <c r="A2426" s="10" t="str">
        <f>_xlfn.IFNA(
    IF(J2426=
        "PCB-0001",
        "CSS",
        IF(
            ISNUMBER(MATCH(_xlfn.TEXTBEFORE(J2426,"-"), {"CSS","CSN","PCB","PCF","BEC","CSD","PCM"}, 0)),
            _xlfn.TEXTBEFORE(J2426,"-"),
            "Other"
        )
    ),
"Add")</f>
        <v>CSD</v>
      </c>
      <c r="B2426" s="10" t="str">
        <f t="shared" si="38"/>
        <v>0001</v>
      </c>
      <c r="C2426" s="10" t="str">
        <f>_xlfn.LET(
    _xlpm.val, IF(Datadetails[[#This Row],[Activity]]="D02","C20",Datadetails[[#This Row],[Activity]]),
    IF(ISNUMBER(MATCH(_xlpm.val,{"D04","C30","c40","C20"},0)), _xlpm.val, "Other")
)</f>
        <v>D04</v>
      </c>
      <c r="D2426" s="10" t="str">
        <f>IFERROR(VLOOKUP(Datadetails[[#This Row],[Taskcode]],Dashboard!A:A,1,FALSE),"00 Err Missing")</f>
        <v>0001</v>
      </c>
      <c r="E2426" s="79">
        <v>45936</v>
      </c>
      <c r="F2426" s="80" t="s">
        <v>327</v>
      </c>
      <c r="G2426" s="60" t="s">
        <v>40</v>
      </c>
      <c r="H2426" s="80" t="s">
        <v>320</v>
      </c>
      <c r="I2426" s="80" t="s">
        <v>35</v>
      </c>
      <c r="J2426" s="80" t="s">
        <v>322</v>
      </c>
      <c r="K2426" s="80" t="s">
        <v>319</v>
      </c>
      <c r="L2426" s="80" t="s">
        <v>352</v>
      </c>
      <c r="M2426" s="81">
        <v>7.5</v>
      </c>
      <c r="N2426" s="82">
        <v>240</v>
      </c>
    </row>
    <row r="2427" spans="1:14" x14ac:dyDescent="0.25">
      <c r="A2427" s="10" t="str">
        <f>_xlfn.IFNA(
    IF(J2427=
        "PCB-0001",
        "CSS",
        IF(
            ISNUMBER(MATCH(_xlfn.TEXTBEFORE(J2427,"-"), {"CSS","CSN","PCB","PCF","BEC","CSD","PCM"}, 0)),
            _xlfn.TEXTBEFORE(J2427,"-"),
            "Other"
        )
    ),
"Add")</f>
        <v>PCM</v>
      </c>
      <c r="B2427" s="10" t="str">
        <f t="shared" si="38"/>
        <v>0064</v>
      </c>
      <c r="C2427" s="10" t="str">
        <f>_xlfn.LET(
    _xlpm.val, IF(Datadetails[[#This Row],[Activity]]="D02","C20",Datadetails[[#This Row],[Activity]]),
    IF(ISNUMBER(MATCH(_xlpm.val,{"D04","C30","c40","C20"},0)), _xlpm.val, "Other")
)</f>
        <v>C20</v>
      </c>
      <c r="D2427" s="10" t="str">
        <f>IFERROR(VLOOKUP(Datadetails[[#This Row],[Taskcode]],Dashboard!A:A,1,FALSE),"00 Err Missing")</f>
        <v>0064</v>
      </c>
      <c r="E2427" s="79">
        <v>45936</v>
      </c>
      <c r="F2427" s="80" t="s">
        <v>323</v>
      </c>
      <c r="G2427" s="60" t="s">
        <v>40</v>
      </c>
      <c r="H2427" s="80" t="s">
        <v>231</v>
      </c>
      <c r="I2427" s="80" t="s">
        <v>36</v>
      </c>
      <c r="J2427" s="80" t="s">
        <v>420</v>
      </c>
      <c r="K2427" s="80" t="s">
        <v>346</v>
      </c>
      <c r="L2427" s="80" t="s">
        <v>342</v>
      </c>
      <c r="M2427" s="81">
        <v>0.25</v>
      </c>
      <c r="N2427" s="82">
        <v>15</v>
      </c>
    </row>
    <row r="2428" spans="1:14" x14ac:dyDescent="0.25">
      <c r="A2428" s="10" t="str">
        <f>_xlfn.IFNA(
    IF(J2428=
        "PCB-0001",
        "CSS",
        IF(
            ISNUMBER(MATCH(_xlfn.TEXTBEFORE(J2428,"-"), {"CSS","CSN","PCB","PCF","BEC","CSD","PCM"}, 0)),
            _xlfn.TEXTBEFORE(J2428,"-"),
            "Other"
        )
    ),
"Add")</f>
        <v>PCM</v>
      </c>
      <c r="B2428" s="10" t="str">
        <f t="shared" si="38"/>
        <v>0118</v>
      </c>
      <c r="C2428" s="10" t="str">
        <f>_xlfn.LET(
    _xlpm.val, IF(Datadetails[[#This Row],[Activity]]="D02","C20",Datadetails[[#This Row],[Activity]]),
    IF(ISNUMBER(MATCH(_xlpm.val,{"D04","C30","c40","C20"},0)), _xlpm.val, "Other")
)</f>
        <v>C20</v>
      </c>
      <c r="D2428" s="10" t="str">
        <f>IFERROR(VLOOKUP(Datadetails[[#This Row],[Taskcode]],Dashboard!A:A,1,FALSE),"00 Err Missing")</f>
        <v>0118</v>
      </c>
      <c r="E2428" s="79">
        <v>45936</v>
      </c>
      <c r="F2428" s="80" t="s">
        <v>323</v>
      </c>
      <c r="G2428" s="60" t="s">
        <v>40</v>
      </c>
      <c r="H2428" s="80" t="s">
        <v>285</v>
      </c>
      <c r="I2428" s="80" t="s">
        <v>36</v>
      </c>
      <c r="J2428" s="80" t="s">
        <v>448</v>
      </c>
      <c r="K2428" s="80" t="s">
        <v>346</v>
      </c>
      <c r="L2428" s="80" t="s">
        <v>342</v>
      </c>
      <c r="M2428" s="81">
        <v>0.25</v>
      </c>
      <c r="N2428" s="82">
        <v>15</v>
      </c>
    </row>
    <row r="2429" spans="1:14" x14ac:dyDescent="0.25">
      <c r="A2429" s="10" t="str">
        <f>_xlfn.IFNA(
    IF(J2429=
        "PCB-0001",
        "CSS",
        IF(
            ISNUMBER(MATCH(_xlfn.TEXTBEFORE(J2429,"-"), {"CSS","CSN","PCB","PCF","BEC","CSD","PCM"}, 0)),
            _xlfn.TEXTBEFORE(J2429,"-"),
            "Other"
        )
    ),
"Add")</f>
        <v>PCM</v>
      </c>
      <c r="B2429" s="10" t="str">
        <f t="shared" si="38"/>
        <v>0100</v>
      </c>
      <c r="C2429" s="10" t="str">
        <f>_xlfn.LET(
    _xlpm.val, IF(Datadetails[[#This Row],[Activity]]="D02","C20",Datadetails[[#This Row],[Activity]]),
    IF(ISNUMBER(MATCH(_xlpm.val,{"D04","C30","c40","C20"},0)), _xlpm.val, "Other")
)</f>
        <v>C30</v>
      </c>
      <c r="D2429" s="10" t="str">
        <f>IFERROR(VLOOKUP(Datadetails[[#This Row],[Taskcode]],Dashboard!A:A,1,FALSE),"00 Err Missing")</f>
        <v>0100</v>
      </c>
      <c r="E2429" s="79">
        <v>45936</v>
      </c>
      <c r="F2429" s="80" t="s">
        <v>323</v>
      </c>
      <c r="G2429" s="60" t="s">
        <v>40</v>
      </c>
      <c r="H2429" s="80" t="s">
        <v>267</v>
      </c>
      <c r="I2429" s="80" t="s">
        <v>34</v>
      </c>
      <c r="J2429" s="80" t="s">
        <v>436</v>
      </c>
      <c r="K2429" s="80" t="s">
        <v>346</v>
      </c>
      <c r="L2429" s="80" t="s">
        <v>343</v>
      </c>
      <c r="M2429" s="81">
        <v>0.25</v>
      </c>
      <c r="N2429" s="82">
        <v>15</v>
      </c>
    </row>
    <row r="2430" spans="1:14" x14ac:dyDescent="0.25">
      <c r="A2430" s="10" t="str">
        <f>_xlfn.IFNA(
    IF(J2430=
        "PCB-0001",
        "CSS",
        IF(
            ISNUMBER(MATCH(_xlfn.TEXTBEFORE(J2430,"-"), {"CSS","CSN","PCB","PCF","BEC","CSD","PCM"}, 0)),
            _xlfn.TEXTBEFORE(J2430,"-"),
            "Other"
        )
    ),
"Add")</f>
        <v>PCM</v>
      </c>
      <c r="B2430" s="10" t="str">
        <f t="shared" si="38"/>
        <v>0002</v>
      </c>
      <c r="C2430" s="10" t="str">
        <f>_xlfn.LET(
    _xlpm.val, IF(Datadetails[[#This Row],[Activity]]="D02","C20",Datadetails[[#This Row],[Activity]]),
    IF(ISNUMBER(MATCH(_xlpm.val,{"D04","C30","c40","C20"},0)), _xlpm.val, "Other")
)</f>
        <v>C40</v>
      </c>
      <c r="D2430" s="10" t="str">
        <f>IFERROR(VLOOKUP(Datadetails[[#This Row],[Taskcode]],Dashboard!A:A,1,FALSE),"00 Err Missing")</f>
        <v>0002</v>
      </c>
      <c r="E2430" s="79">
        <v>45936</v>
      </c>
      <c r="F2430" s="80" t="s">
        <v>323</v>
      </c>
      <c r="G2430" s="60" t="s">
        <v>40</v>
      </c>
      <c r="H2430" s="80" t="s">
        <v>169</v>
      </c>
      <c r="I2430" s="80" t="s">
        <v>341</v>
      </c>
      <c r="J2430" s="80" t="s">
        <v>433</v>
      </c>
      <c r="K2430" s="80" t="s">
        <v>346</v>
      </c>
      <c r="L2430" s="80" t="s">
        <v>344</v>
      </c>
      <c r="M2430" s="81">
        <v>1</v>
      </c>
      <c r="N2430" s="82">
        <v>60</v>
      </c>
    </row>
    <row r="2431" spans="1:14" x14ac:dyDescent="0.25">
      <c r="A2431" s="10" t="str">
        <f>_xlfn.IFNA(
    IF(J2431=
        "PCB-0001",
        "CSS",
        IF(
            ISNUMBER(MATCH(_xlfn.TEXTBEFORE(J2431,"-"), {"CSS","CSN","PCB","PCF","BEC","CSD","PCM"}, 0)),
            _xlfn.TEXTBEFORE(J2431,"-"),
            "Other"
        )
    ),
"Add")</f>
        <v>PCM</v>
      </c>
      <c r="B2431" s="10" t="str">
        <f t="shared" si="38"/>
        <v>0052</v>
      </c>
      <c r="C2431" s="10" t="str">
        <f>_xlfn.LET(
    _xlpm.val, IF(Datadetails[[#This Row],[Activity]]="D02","C20",Datadetails[[#This Row],[Activity]]),
    IF(ISNUMBER(MATCH(_xlpm.val,{"D04","C30","c40","C20"},0)), _xlpm.val, "Other")
)</f>
        <v>C40</v>
      </c>
      <c r="D2431" s="10" t="str">
        <f>IFERROR(VLOOKUP(Datadetails[[#This Row],[Taskcode]],Dashboard!A:A,1,FALSE),"00 Err Missing")</f>
        <v>0052</v>
      </c>
      <c r="E2431" s="79">
        <v>45936</v>
      </c>
      <c r="F2431" s="80" t="s">
        <v>323</v>
      </c>
      <c r="G2431" s="60" t="s">
        <v>40</v>
      </c>
      <c r="H2431" s="80" t="s">
        <v>219</v>
      </c>
      <c r="I2431" s="80" t="s">
        <v>341</v>
      </c>
      <c r="J2431" s="80" t="s">
        <v>432</v>
      </c>
      <c r="K2431" s="80" t="s">
        <v>346</v>
      </c>
      <c r="L2431" s="80" t="s">
        <v>344</v>
      </c>
      <c r="M2431" s="81">
        <v>0.5</v>
      </c>
      <c r="N2431" s="82">
        <v>30</v>
      </c>
    </row>
    <row r="2432" spans="1:14" x14ac:dyDescent="0.25">
      <c r="A2432" s="10" t="str">
        <f>_xlfn.IFNA(
    IF(J2432=
        "PCB-0001",
        "CSS",
        IF(
            ISNUMBER(MATCH(_xlfn.TEXTBEFORE(J2432,"-"), {"CSS","CSN","PCB","PCF","BEC","CSD","PCM"}, 0)),
            _xlfn.TEXTBEFORE(J2432,"-"),
            "Other"
        )
    ),
"Add")</f>
        <v>PCB</v>
      </c>
      <c r="B2432" s="10" t="str">
        <f t="shared" si="38"/>
        <v>0030</v>
      </c>
      <c r="C2432" s="10" t="str">
        <f>_xlfn.LET(
    _xlpm.val, IF(Datadetails[[#This Row],[Activity]]="D02","C20",Datadetails[[#This Row],[Activity]]),
    IF(ISNUMBER(MATCH(_xlpm.val,{"D04","C30","c40","C20"},0)), _xlpm.val, "Other")
)</f>
        <v>C30</v>
      </c>
      <c r="D2432" s="10" t="str">
        <f>IFERROR(VLOOKUP(Datadetails[[#This Row],[Taskcode]],Dashboard!A:A,1,FALSE),"00 Err Missing")</f>
        <v>0030</v>
      </c>
      <c r="E2432" s="79">
        <v>45936</v>
      </c>
      <c r="F2432" s="80" t="s">
        <v>329</v>
      </c>
      <c r="G2432" s="60" t="s">
        <v>40</v>
      </c>
      <c r="H2432" s="80" t="s">
        <v>197</v>
      </c>
      <c r="I2432" s="80" t="s">
        <v>34</v>
      </c>
      <c r="J2432" s="80" t="s">
        <v>366</v>
      </c>
      <c r="K2432" s="80" t="s">
        <v>347</v>
      </c>
      <c r="L2432" s="80" t="s">
        <v>343</v>
      </c>
      <c r="M2432" s="81">
        <v>0.33</v>
      </c>
      <c r="N2432" s="82">
        <v>24.75</v>
      </c>
    </row>
    <row r="2433" spans="1:14" x14ac:dyDescent="0.25">
      <c r="A2433" s="10" t="str">
        <f>_xlfn.IFNA(
    IF(J2433=
        "PCB-0001",
        "CSS",
        IF(
            ISNUMBER(MATCH(_xlfn.TEXTBEFORE(J2433,"-"), {"CSS","CSN","PCB","PCF","BEC","CSD","PCM"}, 0)),
            _xlfn.TEXTBEFORE(J2433,"-"),
            "Other"
        )
    ),
"Add")</f>
        <v>PCB</v>
      </c>
      <c r="B2433" s="10" t="str">
        <f t="shared" si="38"/>
        <v>0048</v>
      </c>
      <c r="C2433" s="10" t="str">
        <f>_xlfn.LET(
    _xlpm.val, IF(Datadetails[[#This Row],[Activity]]="D02","C20",Datadetails[[#This Row],[Activity]]),
    IF(ISNUMBER(MATCH(_xlpm.val,{"D04","C30","c40","C20"},0)), _xlpm.val, "Other")
)</f>
        <v>C30</v>
      </c>
      <c r="D2433" s="10" t="str">
        <f>IFERROR(VLOOKUP(Datadetails[[#This Row],[Taskcode]],Dashboard!A:A,1,FALSE),"00 Err Missing")</f>
        <v>0048</v>
      </c>
      <c r="E2433" s="79">
        <v>45936</v>
      </c>
      <c r="F2433" s="80" t="s">
        <v>330</v>
      </c>
      <c r="G2433" s="60" t="s">
        <v>40</v>
      </c>
      <c r="H2433" s="80" t="s">
        <v>215</v>
      </c>
      <c r="I2433" s="80" t="s">
        <v>34</v>
      </c>
      <c r="J2433" s="80" t="s">
        <v>450</v>
      </c>
      <c r="K2433" s="80" t="s">
        <v>347</v>
      </c>
      <c r="L2433" s="80" t="s">
        <v>343</v>
      </c>
      <c r="M2433" s="81">
        <v>0.5</v>
      </c>
      <c r="N2433" s="82">
        <v>30</v>
      </c>
    </row>
    <row r="2434" spans="1:14" x14ac:dyDescent="0.25">
      <c r="A2434" s="10" t="str">
        <f>_xlfn.IFNA(
    IF(J2434=
        "PCB-0001",
        "CSS",
        IF(
            ISNUMBER(MATCH(_xlfn.TEXTBEFORE(J2434,"-"), {"CSS","CSN","PCB","PCF","BEC","CSD","PCM"}, 0)),
            _xlfn.TEXTBEFORE(J2434,"-"),
            "Other"
        )
    ),
"Add")</f>
        <v>PCB</v>
      </c>
      <c r="B2434" s="10" t="str">
        <f t="shared" si="38"/>
        <v>0136</v>
      </c>
      <c r="C2434" s="10" t="str">
        <f>_xlfn.LET(
    _xlpm.val, IF(Datadetails[[#This Row],[Activity]]="D02","C20",Datadetails[[#This Row],[Activity]]),
    IF(ISNUMBER(MATCH(_xlpm.val,{"D04","C30","c40","C20"},0)), _xlpm.val, "Other")
)</f>
        <v>C30</v>
      </c>
      <c r="D2434" s="10" t="str">
        <f>IFERROR(VLOOKUP(Datadetails[[#This Row],[Taskcode]],Dashboard!A:A,1,FALSE),"00 Err Missing")</f>
        <v>0136</v>
      </c>
      <c r="E2434" s="79">
        <v>45936</v>
      </c>
      <c r="F2434" s="80" t="s">
        <v>329</v>
      </c>
      <c r="G2434" s="60" t="s">
        <v>40</v>
      </c>
      <c r="H2434" s="80" t="s">
        <v>303</v>
      </c>
      <c r="I2434" s="80" t="s">
        <v>34</v>
      </c>
      <c r="J2434" s="80" t="s">
        <v>400</v>
      </c>
      <c r="K2434" s="80" t="s">
        <v>347</v>
      </c>
      <c r="L2434" s="80" t="s">
        <v>343</v>
      </c>
      <c r="M2434" s="81">
        <v>0.33</v>
      </c>
      <c r="N2434" s="82">
        <v>24.75</v>
      </c>
    </row>
    <row r="2435" spans="1:14" x14ac:dyDescent="0.25">
      <c r="A2435" s="10" t="str">
        <f>_xlfn.IFNA(
    IF(J2435=
        "PCB-0001",
        "CSS",
        IF(
            ISNUMBER(MATCH(_xlfn.TEXTBEFORE(J2435,"-"), {"CSS","CSN","PCB","PCF","BEC","CSD","PCM"}, 0)),
            _xlfn.TEXTBEFORE(J2435,"-"),
            "Other"
        )
    ),
"Add")</f>
        <v>PCB</v>
      </c>
      <c r="B2435" s="10" t="str">
        <f t="shared" si="38"/>
        <v>0062</v>
      </c>
      <c r="C2435" s="10" t="str">
        <f>_xlfn.LET(
    _xlpm.val, IF(Datadetails[[#This Row],[Activity]]="D02","C20",Datadetails[[#This Row],[Activity]]),
    IF(ISNUMBER(MATCH(_xlpm.val,{"D04","C30","c40","C20"},0)), _xlpm.val, "Other")
)</f>
        <v>C30</v>
      </c>
      <c r="D2435" s="10" t="str">
        <f>IFERROR(VLOOKUP(Datadetails[[#This Row],[Taskcode]],Dashboard!A:A,1,FALSE),"00 Err Missing")</f>
        <v>0062</v>
      </c>
      <c r="E2435" s="79">
        <v>45936</v>
      </c>
      <c r="F2435" s="80" t="s">
        <v>329</v>
      </c>
      <c r="G2435" s="60" t="s">
        <v>40</v>
      </c>
      <c r="H2435" s="80" t="s">
        <v>229</v>
      </c>
      <c r="I2435" s="80" t="s">
        <v>34</v>
      </c>
      <c r="J2435" s="80" t="s">
        <v>373</v>
      </c>
      <c r="K2435" s="80" t="s">
        <v>347</v>
      </c>
      <c r="L2435" s="80" t="s">
        <v>343</v>
      </c>
      <c r="M2435" s="81">
        <v>0.33</v>
      </c>
      <c r="N2435" s="82">
        <v>24.75</v>
      </c>
    </row>
    <row r="2436" spans="1:14" x14ac:dyDescent="0.25">
      <c r="A2436" s="10" t="str">
        <f>_xlfn.IFNA(
    IF(J2436=
        "PCB-0001",
        "CSS",
        IF(
            ISNUMBER(MATCH(_xlfn.TEXTBEFORE(J2436,"-"), {"CSS","CSN","PCB","PCF","BEC","CSD","PCM"}, 0)),
            _xlfn.TEXTBEFORE(J2436,"-"),
            "Other"
        )
    ),
"Add")</f>
        <v>PCB</v>
      </c>
      <c r="B2436" s="10" t="str">
        <f t="shared" ref="B2436:B2499" si="39">_xlfn.IFNA(_xlfn.TEXTAFTER(J2436,"-"),"Data to C2")</f>
        <v>0080</v>
      </c>
      <c r="C2436" s="10" t="str">
        <f>_xlfn.LET(
    _xlpm.val, IF(Datadetails[[#This Row],[Activity]]="D02","C20",Datadetails[[#This Row],[Activity]]),
    IF(ISNUMBER(MATCH(_xlpm.val,{"D04","C30","c40","C20"},0)), _xlpm.val, "Other")
)</f>
        <v>C30</v>
      </c>
      <c r="D2436" s="10" t="str">
        <f>IFERROR(VLOOKUP(Datadetails[[#This Row],[Taskcode]],Dashboard!A:A,1,FALSE),"00 Err Missing")</f>
        <v>0080</v>
      </c>
      <c r="E2436" s="79">
        <v>45936</v>
      </c>
      <c r="F2436" s="80" t="s">
        <v>329</v>
      </c>
      <c r="G2436" s="60" t="s">
        <v>40</v>
      </c>
      <c r="H2436" s="80" t="s">
        <v>247</v>
      </c>
      <c r="I2436" s="80" t="s">
        <v>34</v>
      </c>
      <c r="J2436" s="80" t="s">
        <v>375</v>
      </c>
      <c r="K2436" s="80" t="s">
        <v>347</v>
      </c>
      <c r="L2436" s="80" t="s">
        <v>343</v>
      </c>
      <c r="M2436" s="81">
        <v>0.17</v>
      </c>
      <c r="N2436" s="82">
        <v>12.750000000000002</v>
      </c>
    </row>
    <row r="2437" spans="1:14" x14ac:dyDescent="0.25">
      <c r="A2437" s="10" t="str">
        <f>_xlfn.IFNA(
    IF(J2437=
        "PCB-0001",
        "CSS",
        IF(
            ISNUMBER(MATCH(_xlfn.TEXTBEFORE(J2437,"-"), {"CSS","CSN","PCB","PCF","BEC","CSD","PCM"}, 0)),
            _xlfn.TEXTBEFORE(J2437,"-"),
            "Other"
        )
    ),
"Add")</f>
        <v>PCB</v>
      </c>
      <c r="B2437" s="10" t="str">
        <f t="shared" si="39"/>
        <v>0080</v>
      </c>
      <c r="C2437" s="10" t="str">
        <f>_xlfn.LET(
    _xlpm.val, IF(Datadetails[[#This Row],[Activity]]="D02","C20",Datadetails[[#This Row],[Activity]]),
    IF(ISNUMBER(MATCH(_xlpm.val,{"D04","C30","c40","C20"},0)), _xlpm.val, "Other")
)</f>
        <v>C40</v>
      </c>
      <c r="D2437" s="10" t="str">
        <f>IFERROR(VLOOKUP(Datadetails[[#This Row],[Taskcode]],Dashboard!A:A,1,FALSE),"00 Err Missing")</f>
        <v>0080</v>
      </c>
      <c r="E2437" s="79">
        <v>45936</v>
      </c>
      <c r="F2437" s="80" t="s">
        <v>329</v>
      </c>
      <c r="G2437" s="60" t="s">
        <v>40</v>
      </c>
      <c r="H2437" s="80" t="s">
        <v>247</v>
      </c>
      <c r="I2437" s="80" t="s">
        <v>341</v>
      </c>
      <c r="J2437" s="80" t="s">
        <v>375</v>
      </c>
      <c r="K2437" s="80" t="s">
        <v>347</v>
      </c>
      <c r="L2437" s="80" t="s">
        <v>344</v>
      </c>
      <c r="M2437" s="81">
        <v>0.42</v>
      </c>
      <c r="N2437" s="82">
        <v>31.5</v>
      </c>
    </row>
    <row r="2438" spans="1:14" x14ac:dyDescent="0.25">
      <c r="A2438" s="10" t="str">
        <f>_xlfn.IFNA(
    IF(J2438=
        "PCB-0001",
        "CSS",
        IF(
            ISNUMBER(MATCH(_xlfn.TEXTBEFORE(J2438,"-"), {"CSS","CSN","PCB","PCF","BEC","CSD","PCM"}, 0)),
            _xlfn.TEXTBEFORE(J2438,"-"),
            "Other"
        )
    ),
"Add")</f>
        <v>PCB</v>
      </c>
      <c r="B2438" s="10" t="str">
        <f t="shared" si="39"/>
        <v>0081</v>
      </c>
      <c r="C2438" s="10" t="str">
        <f>_xlfn.LET(
    _xlpm.val, IF(Datadetails[[#This Row],[Activity]]="D02","C20",Datadetails[[#This Row],[Activity]]),
    IF(ISNUMBER(MATCH(_xlpm.val,{"D04","C30","c40","C20"},0)), _xlpm.val, "Other")
)</f>
        <v>C40</v>
      </c>
      <c r="D2438" s="10" t="str">
        <f>IFERROR(VLOOKUP(Datadetails[[#This Row],[Taskcode]],Dashboard!A:A,1,FALSE),"00 Err Missing")</f>
        <v>0081</v>
      </c>
      <c r="E2438" s="79">
        <v>45936</v>
      </c>
      <c r="F2438" s="80" t="s">
        <v>329</v>
      </c>
      <c r="G2438" s="60" t="s">
        <v>40</v>
      </c>
      <c r="H2438" s="80" t="s">
        <v>248</v>
      </c>
      <c r="I2438" s="80" t="s">
        <v>341</v>
      </c>
      <c r="J2438" s="80" t="s">
        <v>385</v>
      </c>
      <c r="K2438" s="80" t="s">
        <v>347</v>
      </c>
      <c r="L2438" s="80" t="s">
        <v>344</v>
      </c>
      <c r="M2438" s="81">
        <v>0.42</v>
      </c>
      <c r="N2438" s="82">
        <v>31.5</v>
      </c>
    </row>
    <row r="2439" spans="1:14" x14ac:dyDescent="0.25">
      <c r="A2439" s="10" t="str">
        <f>_xlfn.IFNA(
    IF(J2439=
        "PCB-0001",
        "CSS",
        IF(
            ISNUMBER(MATCH(_xlfn.TEXTBEFORE(J2439,"-"), {"CSS","CSN","PCB","PCF","BEC","CSD","PCM"}, 0)),
            _xlfn.TEXTBEFORE(J2439,"-"),
            "Other"
        )
    ),
"Add")</f>
        <v>PCB</v>
      </c>
      <c r="B2439" s="10" t="str">
        <f t="shared" si="39"/>
        <v>0128</v>
      </c>
      <c r="C2439" s="10" t="str">
        <f>_xlfn.LET(
    _xlpm.val, IF(Datadetails[[#This Row],[Activity]]="D02","C20",Datadetails[[#This Row],[Activity]]),
    IF(ISNUMBER(MATCH(_xlpm.val,{"D04","C30","c40","C20"},0)), _xlpm.val, "Other")
)</f>
        <v>C40</v>
      </c>
      <c r="D2439" s="10" t="str">
        <f>IFERROR(VLOOKUP(Datadetails[[#This Row],[Taskcode]],Dashboard!A:A,1,FALSE),"00 Err Missing")</f>
        <v>0128</v>
      </c>
      <c r="E2439" s="79">
        <v>45936</v>
      </c>
      <c r="F2439" s="80" t="s">
        <v>329</v>
      </c>
      <c r="G2439" s="60" t="s">
        <v>40</v>
      </c>
      <c r="H2439" s="80" t="s">
        <v>295</v>
      </c>
      <c r="I2439" s="80" t="s">
        <v>341</v>
      </c>
      <c r="J2439" s="80" t="s">
        <v>379</v>
      </c>
      <c r="K2439" s="80" t="s">
        <v>347</v>
      </c>
      <c r="L2439" s="80" t="s">
        <v>344</v>
      </c>
      <c r="M2439" s="81">
        <v>0.42</v>
      </c>
      <c r="N2439" s="82">
        <v>31.5</v>
      </c>
    </row>
    <row r="2440" spans="1:14" x14ac:dyDescent="0.25">
      <c r="A2440" s="10" t="str">
        <f>_xlfn.IFNA(
    IF(J2440=
        "PCB-0001",
        "CSS",
        IF(
            ISNUMBER(MATCH(_xlfn.TEXTBEFORE(J2440,"-"), {"CSS","CSN","PCB","PCF","BEC","CSD","PCM"}, 0)),
            _xlfn.TEXTBEFORE(J2440,"-"),
            "Other"
        )
    ),
"Add")</f>
        <v>CSN</v>
      </c>
      <c r="B2440" s="10" t="str">
        <f t="shared" si="39"/>
        <v>0001</v>
      </c>
      <c r="C2440" s="10" t="str">
        <f>_xlfn.LET(
    _xlpm.val, IF(Datadetails[[#This Row],[Activity]]="D02","C20",Datadetails[[#This Row],[Activity]]),
    IF(ISNUMBER(MATCH(_xlpm.val,{"D04","C30","c40","C20"},0)), _xlpm.val, "Other")
)</f>
        <v>D04</v>
      </c>
      <c r="D2440" s="10" t="str">
        <f>IFERROR(VLOOKUP(Datadetails[[#This Row],[Taskcode]],Dashboard!A:A,1,FALSE),"00 Err Missing")</f>
        <v>0001</v>
      </c>
      <c r="E2440" s="79">
        <v>45937</v>
      </c>
      <c r="F2440" s="80" t="s">
        <v>329</v>
      </c>
      <c r="G2440" s="60" t="s">
        <v>40</v>
      </c>
      <c r="H2440" s="80" t="s">
        <v>316</v>
      </c>
      <c r="I2440" s="80" t="s">
        <v>35</v>
      </c>
      <c r="J2440" s="80" t="s">
        <v>338</v>
      </c>
      <c r="K2440" s="80" t="s">
        <v>337</v>
      </c>
      <c r="L2440" s="80" t="s">
        <v>352</v>
      </c>
      <c r="M2440" s="81">
        <v>1.75</v>
      </c>
      <c r="N2440" s="82">
        <v>131.25</v>
      </c>
    </row>
    <row r="2441" spans="1:14" x14ac:dyDescent="0.25">
      <c r="A2441" s="10" t="str">
        <f>_xlfn.IFNA(
    IF(J2441=
        "PCB-0001",
        "CSS",
        IF(
            ISNUMBER(MATCH(_xlfn.TEXTBEFORE(J2441,"-"), {"CSS","CSN","PCB","PCF","BEC","CSD","PCM"}, 0)),
            _xlfn.TEXTBEFORE(J2441,"-"),
            "Other"
        )
    ),
"Add")</f>
        <v>CSN</v>
      </c>
      <c r="B2441" s="10" t="str">
        <f t="shared" si="39"/>
        <v>0001</v>
      </c>
      <c r="C2441" s="10" t="str">
        <f>_xlfn.LET(
    _xlpm.val, IF(Datadetails[[#This Row],[Activity]]="D02","C20",Datadetails[[#This Row],[Activity]]),
    IF(ISNUMBER(MATCH(_xlpm.val,{"D04","C30","c40","C20"},0)), _xlpm.val, "Other")
)</f>
        <v>D04</v>
      </c>
      <c r="D2441" s="10" t="str">
        <f>IFERROR(VLOOKUP(Datadetails[[#This Row],[Taskcode]],Dashboard!A:A,1,FALSE),"00 Err Missing")</f>
        <v>0001</v>
      </c>
      <c r="E2441" s="79">
        <v>45937</v>
      </c>
      <c r="F2441" s="80" t="s">
        <v>331</v>
      </c>
      <c r="G2441" s="60" t="s">
        <v>40</v>
      </c>
      <c r="H2441" s="80" t="s">
        <v>316</v>
      </c>
      <c r="I2441" s="80" t="s">
        <v>35</v>
      </c>
      <c r="J2441" s="80" t="s">
        <v>338</v>
      </c>
      <c r="K2441" s="80" t="s">
        <v>337</v>
      </c>
      <c r="L2441" s="80" t="s">
        <v>352</v>
      </c>
      <c r="M2441" s="81">
        <v>1.5</v>
      </c>
      <c r="N2441" s="82">
        <v>48</v>
      </c>
    </row>
    <row r="2442" spans="1:14" x14ac:dyDescent="0.25">
      <c r="A2442" s="10" t="str">
        <f>_xlfn.IFNA(
    IF(J2442=
        "PCB-0001",
        "CSS",
        IF(
            ISNUMBER(MATCH(_xlfn.TEXTBEFORE(J2442,"-"), {"CSS","CSN","PCB","PCF","BEC","CSD","PCM"}, 0)),
            _xlfn.TEXTBEFORE(J2442,"-"),
            "Other"
        )
    ),
"Add")</f>
        <v>PCB</v>
      </c>
      <c r="B2442" s="10" t="str">
        <f t="shared" si="39"/>
        <v>0103</v>
      </c>
      <c r="C2442" s="10" t="str">
        <f>_xlfn.LET(
    _xlpm.val, IF(Datadetails[[#This Row],[Activity]]="D02","C20",Datadetails[[#This Row],[Activity]]),
    IF(ISNUMBER(MATCH(_xlpm.val,{"D04","C30","c40","C20"},0)), _xlpm.val, "Other")
)</f>
        <v>C30</v>
      </c>
      <c r="D2442" s="10" t="str">
        <f>IFERROR(VLOOKUP(Datadetails[[#This Row],[Taskcode]],Dashboard!A:A,1,FALSE),"00 Err Missing")</f>
        <v>0103</v>
      </c>
      <c r="E2442" s="79">
        <v>45937</v>
      </c>
      <c r="F2442" s="80" t="s">
        <v>329</v>
      </c>
      <c r="G2442" s="60" t="s">
        <v>40</v>
      </c>
      <c r="H2442" s="80" t="s">
        <v>270</v>
      </c>
      <c r="I2442" s="80" t="s">
        <v>34</v>
      </c>
      <c r="J2442" s="80" t="s">
        <v>360</v>
      </c>
      <c r="K2442" s="80" t="s">
        <v>347</v>
      </c>
      <c r="L2442" s="80" t="s">
        <v>343</v>
      </c>
      <c r="M2442" s="81">
        <v>0.17</v>
      </c>
      <c r="N2442" s="82">
        <v>12.750000000000002</v>
      </c>
    </row>
    <row r="2443" spans="1:14" x14ac:dyDescent="0.25">
      <c r="A2443" s="10" t="str">
        <f>_xlfn.IFNA(
    IF(J2443=
        "PCB-0001",
        "CSS",
        IF(
            ISNUMBER(MATCH(_xlfn.TEXTBEFORE(J2443,"-"), {"CSS","CSN","PCB","PCF","BEC","CSD","PCM"}, 0)),
            _xlfn.TEXTBEFORE(J2443,"-"),
            "Other"
        )
    ),
"Add")</f>
        <v>PCB</v>
      </c>
      <c r="B2443" s="10" t="str">
        <f t="shared" si="39"/>
        <v>0048</v>
      </c>
      <c r="C2443" s="10" t="str">
        <f>_xlfn.LET(
    _xlpm.val, IF(Datadetails[[#This Row],[Activity]]="D02","C20",Datadetails[[#This Row],[Activity]]),
    IF(ISNUMBER(MATCH(_xlpm.val,{"D04","C30","c40","C20"},0)), _xlpm.val, "Other")
)</f>
        <v>C40</v>
      </c>
      <c r="D2443" s="10" t="str">
        <f>IFERROR(VLOOKUP(Datadetails[[#This Row],[Taskcode]],Dashboard!A:A,1,FALSE),"00 Err Missing")</f>
        <v>0048</v>
      </c>
      <c r="E2443" s="79">
        <v>45937</v>
      </c>
      <c r="F2443" s="80" t="s">
        <v>330</v>
      </c>
      <c r="G2443" s="60" t="s">
        <v>40</v>
      </c>
      <c r="H2443" s="80" t="s">
        <v>215</v>
      </c>
      <c r="I2443" s="80" t="s">
        <v>341</v>
      </c>
      <c r="J2443" s="80" t="s">
        <v>450</v>
      </c>
      <c r="K2443" s="80" t="s">
        <v>347</v>
      </c>
      <c r="L2443" s="80" t="s">
        <v>344</v>
      </c>
      <c r="M2443" s="81">
        <v>4</v>
      </c>
      <c r="N2443" s="82">
        <v>240</v>
      </c>
    </row>
    <row r="2444" spans="1:14" x14ac:dyDescent="0.25">
      <c r="A2444" s="10" t="str">
        <f>_xlfn.IFNA(
    IF(J2444=
        "PCB-0001",
        "CSS",
        IF(
            ISNUMBER(MATCH(_xlfn.TEXTBEFORE(J2444,"-"), {"CSS","CSN","PCB","PCF","BEC","CSD","PCM"}, 0)),
            _xlfn.TEXTBEFORE(J2444,"-"),
            "Other"
        )
    ),
"Add")</f>
        <v>PCB</v>
      </c>
      <c r="B2444" s="10" t="str">
        <f t="shared" si="39"/>
        <v>0004</v>
      </c>
      <c r="C2444" s="10" t="str">
        <f>_xlfn.LET(
    _xlpm.val, IF(Datadetails[[#This Row],[Activity]]="D02","C20",Datadetails[[#This Row],[Activity]]),
    IF(ISNUMBER(MATCH(_xlpm.val,{"D04","C30","c40","C20"},0)), _xlpm.val, "Other")
)</f>
        <v>C40</v>
      </c>
      <c r="D2444" s="10" t="str">
        <f>IFERROR(VLOOKUP(Datadetails[[#This Row],[Taskcode]],Dashboard!A:A,1,FALSE),"00 Err Missing")</f>
        <v>0004</v>
      </c>
      <c r="E2444" s="79">
        <v>45937</v>
      </c>
      <c r="F2444" s="80" t="s">
        <v>330</v>
      </c>
      <c r="G2444" s="60" t="s">
        <v>40</v>
      </c>
      <c r="H2444" s="80" t="s">
        <v>171</v>
      </c>
      <c r="I2444" s="80" t="s">
        <v>341</v>
      </c>
      <c r="J2444" s="80" t="s">
        <v>390</v>
      </c>
      <c r="K2444" s="80" t="s">
        <v>347</v>
      </c>
      <c r="L2444" s="80" t="s">
        <v>344</v>
      </c>
      <c r="M2444" s="81">
        <v>3</v>
      </c>
      <c r="N2444" s="82">
        <v>180</v>
      </c>
    </row>
    <row r="2445" spans="1:14" x14ac:dyDescent="0.25">
      <c r="A2445" s="10" t="str">
        <f>_xlfn.IFNA(
    IF(J2445=
        "PCB-0001",
        "CSS",
        IF(
            ISNUMBER(MATCH(_xlfn.TEXTBEFORE(J2445,"-"), {"CSS","CSN","PCB","PCF","BEC","CSD","PCM"}, 0)),
            _xlfn.TEXTBEFORE(J2445,"-"),
            "Other"
        )
    ),
"Add")</f>
        <v>BEC</v>
      </c>
      <c r="B2445" s="10" t="str">
        <f t="shared" si="39"/>
        <v>0001</v>
      </c>
      <c r="C2445" s="10" t="str">
        <f>_xlfn.LET(
    _xlpm.val, IF(Datadetails[[#This Row],[Activity]]="D02","C20",Datadetails[[#This Row],[Activity]]),
    IF(ISNUMBER(MATCH(_xlpm.val,{"D04","C30","c40","C20"},0)), _xlpm.val, "Other")
)</f>
        <v>D04</v>
      </c>
      <c r="D2445" s="10" t="str">
        <f>IFERROR(VLOOKUP(Datadetails[[#This Row],[Taskcode]],Dashboard!A:A,1,FALSE),"00 Err Missing")</f>
        <v>0001</v>
      </c>
      <c r="E2445" s="79">
        <v>45937</v>
      </c>
      <c r="F2445" s="80" t="s">
        <v>332</v>
      </c>
      <c r="G2445" s="60" t="s">
        <v>40</v>
      </c>
      <c r="H2445" s="80" t="s">
        <v>314</v>
      </c>
      <c r="I2445" s="80" t="s">
        <v>35</v>
      </c>
      <c r="J2445" s="80" t="s">
        <v>359</v>
      </c>
      <c r="K2445" s="80" t="s">
        <v>339</v>
      </c>
      <c r="L2445" s="80" t="s">
        <v>352</v>
      </c>
      <c r="M2445" s="81">
        <v>8.83</v>
      </c>
      <c r="N2445" s="82">
        <v>353.2</v>
      </c>
    </row>
    <row r="2446" spans="1:14" x14ac:dyDescent="0.25">
      <c r="A2446" s="10" t="str">
        <f>_xlfn.IFNA(
    IF(J2446=
        "PCB-0001",
        "CSS",
        IF(
            ISNUMBER(MATCH(_xlfn.TEXTBEFORE(J2446,"-"), {"CSS","CSN","PCB","PCF","BEC","CSD","PCM"}, 0)),
            _xlfn.TEXTBEFORE(J2446,"-"),
            "Other"
        )
    ),
"Add")</f>
        <v>BEC</v>
      </c>
      <c r="B2446" s="10" t="str">
        <f t="shared" si="39"/>
        <v>0001</v>
      </c>
      <c r="C2446" s="10" t="str">
        <f>_xlfn.LET(
    _xlpm.val, IF(Datadetails[[#This Row],[Activity]]="D02","C20",Datadetails[[#This Row],[Activity]]),
    IF(ISNUMBER(MATCH(_xlpm.val,{"D04","C30","c40","C20"},0)), _xlpm.val, "Other")
)</f>
        <v>D04</v>
      </c>
      <c r="D2446" s="10" t="str">
        <f>IFERROR(VLOOKUP(Datadetails[[#This Row],[Taskcode]],Dashboard!A:A,1,FALSE),"00 Err Missing")</f>
        <v>0001</v>
      </c>
      <c r="E2446" s="79">
        <v>45937</v>
      </c>
      <c r="F2446" s="80" t="s">
        <v>324</v>
      </c>
      <c r="G2446" s="60" t="s">
        <v>40</v>
      </c>
      <c r="H2446" s="80" t="s">
        <v>314</v>
      </c>
      <c r="I2446" s="80" t="s">
        <v>35</v>
      </c>
      <c r="J2446" s="80" t="s">
        <v>359</v>
      </c>
      <c r="K2446" s="80" t="s">
        <v>339</v>
      </c>
      <c r="L2446" s="80" t="s">
        <v>352</v>
      </c>
      <c r="M2446" s="81">
        <v>5</v>
      </c>
      <c r="N2446" s="82">
        <v>375</v>
      </c>
    </row>
    <row r="2447" spans="1:14" x14ac:dyDescent="0.25">
      <c r="A2447" s="10" t="str">
        <f>_xlfn.IFNA(
    IF(J2447=
        "PCB-0001",
        "CSS",
        IF(
            ISNUMBER(MATCH(_xlfn.TEXTBEFORE(J2447,"-"), {"CSS","CSN","PCB","PCF","BEC","CSD","PCM"}, 0)),
            _xlfn.TEXTBEFORE(J2447,"-"),
            "Other"
        )
    ),
"Add")</f>
        <v>CSD</v>
      </c>
      <c r="B2447" s="10" t="str">
        <f t="shared" si="39"/>
        <v>0001</v>
      </c>
      <c r="C2447" s="10" t="str">
        <f>_xlfn.LET(
    _xlpm.val, IF(Datadetails[[#This Row],[Activity]]="D02","C20",Datadetails[[#This Row],[Activity]]),
    IF(ISNUMBER(MATCH(_xlpm.val,{"D04","C30","c40","C20"},0)), _xlpm.val, "Other")
)</f>
        <v>D04</v>
      </c>
      <c r="D2447" s="10" t="str">
        <f>IFERROR(VLOOKUP(Datadetails[[#This Row],[Taskcode]],Dashboard!A:A,1,FALSE),"00 Err Missing")</f>
        <v>0001</v>
      </c>
      <c r="E2447" s="79">
        <v>45937</v>
      </c>
      <c r="F2447" s="80" t="s">
        <v>327</v>
      </c>
      <c r="G2447" s="60" t="s">
        <v>40</v>
      </c>
      <c r="H2447" s="80" t="s">
        <v>320</v>
      </c>
      <c r="I2447" s="80" t="s">
        <v>35</v>
      </c>
      <c r="J2447" s="80" t="s">
        <v>322</v>
      </c>
      <c r="K2447" s="80" t="s">
        <v>319</v>
      </c>
      <c r="L2447" s="80" t="s">
        <v>352</v>
      </c>
      <c r="M2447" s="81">
        <v>7.25</v>
      </c>
      <c r="N2447" s="82">
        <v>232</v>
      </c>
    </row>
    <row r="2448" spans="1:14" x14ac:dyDescent="0.25">
      <c r="A2448" s="10" t="str">
        <f>_xlfn.IFNA(
    IF(J2448=
        "PCB-0001",
        "CSS",
        IF(
            ISNUMBER(MATCH(_xlfn.TEXTBEFORE(J2448,"-"), {"CSS","CSN","PCB","PCF","BEC","CSD","PCM"}, 0)),
            _xlfn.TEXTBEFORE(J2448,"-"),
            "Other"
        )
    ),
"Add")</f>
        <v>PCM</v>
      </c>
      <c r="B2448" s="10" t="str">
        <f t="shared" si="39"/>
        <v>0065</v>
      </c>
      <c r="C2448" s="10" t="str">
        <f>_xlfn.LET(
    _xlpm.val, IF(Datadetails[[#This Row],[Activity]]="D02","C20",Datadetails[[#This Row],[Activity]]),
    IF(ISNUMBER(MATCH(_xlpm.val,{"D04","C30","c40","C20"},0)), _xlpm.val, "Other")
)</f>
        <v>C20</v>
      </c>
      <c r="D2448" s="10" t="str">
        <f>IFERROR(VLOOKUP(Datadetails[[#This Row],[Taskcode]],Dashboard!A:A,1,FALSE),"00 Err Missing")</f>
        <v>0065</v>
      </c>
      <c r="E2448" s="79">
        <v>45937</v>
      </c>
      <c r="F2448" s="80" t="s">
        <v>323</v>
      </c>
      <c r="G2448" s="60" t="s">
        <v>40</v>
      </c>
      <c r="H2448" s="80" t="s">
        <v>232</v>
      </c>
      <c r="I2448" s="80" t="s">
        <v>36</v>
      </c>
      <c r="J2448" s="80" t="s">
        <v>393</v>
      </c>
      <c r="K2448" s="80" t="s">
        <v>346</v>
      </c>
      <c r="L2448" s="80" t="s">
        <v>342</v>
      </c>
      <c r="M2448" s="81">
        <v>0.33</v>
      </c>
      <c r="N2448" s="82">
        <v>19.8</v>
      </c>
    </row>
    <row r="2449" spans="1:14" x14ac:dyDescent="0.25">
      <c r="A2449" s="10" t="str">
        <f>_xlfn.IFNA(
    IF(J2449=
        "PCB-0001",
        "CSS",
        IF(
            ISNUMBER(MATCH(_xlfn.TEXTBEFORE(J2449,"-"), {"CSS","CSN","PCB","PCF","BEC","CSD","PCM"}, 0)),
            _xlfn.TEXTBEFORE(J2449,"-"),
            "Other"
        )
    ),
"Add")</f>
        <v>PCB</v>
      </c>
      <c r="B2449" s="10" t="str">
        <f t="shared" si="39"/>
        <v>0012</v>
      </c>
      <c r="C2449" s="10" t="str">
        <f>_xlfn.LET(
    _xlpm.val, IF(Datadetails[[#This Row],[Activity]]="D02","C20",Datadetails[[#This Row],[Activity]]),
    IF(ISNUMBER(MATCH(_xlpm.val,{"D04","C30","c40","C20"},0)), _xlpm.val, "Other")
)</f>
        <v>C30</v>
      </c>
      <c r="D2449" s="10" t="str">
        <f>IFERROR(VLOOKUP(Datadetails[[#This Row],[Taskcode]],Dashboard!A:A,1,FALSE),"00 Err Missing")</f>
        <v>0012</v>
      </c>
      <c r="E2449" s="79">
        <v>45937</v>
      </c>
      <c r="F2449" s="80" t="s">
        <v>325</v>
      </c>
      <c r="G2449" s="60" t="s">
        <v>40</v>
      </c>
      <c r="H2449" s="80" t="s">
        <v>179</v>
      </c>
      <c r="I2449" s="80" t="s">
        <v>34</v>
      </c>
      <c r="J2449" s="80" t="s">
        <v>422</v>
      </c>
      <c r="K2449" s="80" t="s">
        <v>347</v>
      </c>
      <c r="L2449" s="80" t="s">
        <v>343</v>
      </c>
      <c r="M2449" s="81">
        <v>0.42</v>
      </c>
      <c r="N2449" s="82">
        <v>31.5</v>
      </c>
    </row>
    <row r="2450" spans="1:14" x14ac:dyDescent="0.25">
      <c r="A2450" s="10" t="str">
        <f>_xlfn.IFNA(
    IF(J2450=
        "PCB-0001",
        "CSS",
        IF(
            ISNUMBER(MATCH(_xlfn.TEXTBEFORE(J2450,"-"), {"CSS","CSN","PCB","PCF","BEC","CSD","PCM"}, 0)),
            _xlfn.TEXTBEFORE(J2450,"-"),
            "Other"
        )
    ),
"Add")</f>
        <v>PCB</v>
      </c>
      <c r="B2450" s="10" t="str">
        <f t="shared" si="39"/>
        <v>0134</v>
      </c>
      <c r="C2450" s="10" t="str">
        <f>_xlfn.LET(
    _xlpm.val, IF(Datadetails[[#This Row],[Activity]]="D02","C20",Datadetails[[#This Row],[Activity]]),
    IF(ISNUMBER(MATCH(_xlpm.val,{"D04","C30","c40","C20"},0)), _xlpm.val, "Other")
)</f>
        <v>C30</v>
      </c>
      <c r="D2450" s="10" t="str">
        <f>IFERROR(VLOOKUP(Datadetails[[#This Row],[Taskcode]],Dashboard!A:A,1,FALSE),"00 Err Missing")</f>
        <v>0134</v>
      </c>
      <c r="E2450" s="79">
        <v>45937</v>
      </c>
      <c r="F2450" s="80" t="s">
        <v>329</v>
      </c>
      <c r="G2450" s="60" t="s">
        <v>40</v>
      </c>
      <c r="H2450" s="80" t="s">
        <v>301</v>
      </c>
      <c r="I2450" s="80" t="s">
        <v>34</v>
      </c>
      <c r="J2450" s="80" t="s">
        <v>371</v>
      </c>
      <c r="K2450" s="80" t="s">
        <v>347</v>
      </c>
      <c r="L2450" s="80" t="s">
        <v>343</v>
      </c>
      <c r="M2450" s="81">
        <v>0.33</v>
      </c>
      <c r="N2450" s="82">
        <v>24.75</v>
      </c>
    </row>
    <row r="2451" spans="1:14" x14ac:dyDescent="0.25">
      <c r="A2451" s="10" t="str">
        <f>_xlfn.IFNA(
    IF(J2451=
        "PCB-0001",
        "CSS",
        IF(
            ISNUMBER(MATCH(_xlfn.TEXTBEFORE(J2451,"-"), {"CSS","CSN","PCB","PCF","BEC","CSD","PCM"}, 0)),
            _xlfn.TEXTBEFORE(J2451,"-"),
            "Other"
        )
    ),
"Add")</f>
        <v>PCB</v>
      </c>
      <c r="B2451" s="10" t="str">
        <f t="shared" si="39"/>
        <v>0136</v>
      </c>
      <c r="C2451" s="10" t="str">
        <f>_xlfn.LET(
    _xlpm.val, IF(Datadetails[[#This Row],[Activity]]="D02","C20",Datadetails[[#This Row],[Activity]]),
    IF(ISNUMBER(MATCH(_xlpm.val,{"D04","C30","c40","C20"},0)), _xlpm.val, "Other")
)</f>
        <v>C30</v>
      </c>
      <c r="D2451" s="10" t="str">
        <f>IFERROR(VLOOKUP(Datadetails[[#This Row],[Taskcode]],Dashboard!A:A,1,FALSE),"00 Err Missing")</f>
        <v>0136</v>
      </c>
      <c r="E2451" s="79">
        <v>45937</v>
      </c>
      <c r="F2451" s="80" t="s">
        <v>329</v>
      </c>
      <c r="G2451" s="60" t="s">
        <v>40</v>
      </c>
      <c r="H2451" s="80" t="s">
        <v>303</v>
      </c>
      <c r="I2451" s="80" t="s">
        <v>34</v>
      </c>
      <c r="J2451" s="80" t="s">
        <v>400</v>
      </c>
      <c r="K2451" s="80" t="s">
        <v>347</v>
      </c>
      <c r="L2451" s="80" t="s">
        <v>343</v>
      </c>
      <c r="M2451" s="81">
        <v>0.57999999999999996</v>
      </c>
      <c r="N2451" s="82">
        <v>43.5</v>
      </c>
    </row>
    <row r="2452" spans="1:14" x14ac:dyDescent="0.25">
      <c r="A2452" s="10" t="str">
        <f>_xlfn.IFNA(
    IF(J2452=
        "PCB-0001",
        "CSS",
        IF(
            ISNUMBER(MATCH(_xlfn.TEXTBEFORE(J2452,"-"), {"CSS","CSN","PCB","PCF","BEC","CSD","PCM"}, 0)),
            _xlfn.TEXTBEFORE(J2452,"-"),
            "Other"
        )
    ),
"Add")</f>
        <v>PCB</v>
      </c>
      <c r="B2452" s="10" t="str">
        <f t="shared" si="39"/>
        <v>0062</v>
      </c>
      <c r="C2452" s="10" t="str">
        <f>_xlfn.LET(
    _xlpm.val, IF(Datadetails[[#This Row],[Activity]]="D02","C20",Datadetails[[#This Row],[Activity]]),
    IF(ISNUMBER(MATCH(_xlpm.val,{"D04","C30","c40","C20"},0)), _xlpm.val, "Other")
)</f>
        <v>C30</v>
      </c>
      <c r="D2452" s="10" t="str">
        <f>IFERROR(VLOOKUP(Datadetails[[#This Row],[Taskcode]],Dashboard!A:A,1,FALSE),"00 Err Missing")</f>
        <v>0062</v>
      </c>
      <c r="E2452" s="79">
        <v>45937</v>
      </c>
      <c r="F2452" s="80" t="s">
        <v>329</v>
      </c>
      <c r="G2452" s="60" t="s">
        <v>40</v>
      </c>
      <c r="H2452" s="80" t="s">
        <v>229</v>
      </c>
      <c r="I2452" s="80" t="s">
        <v>34</v>
      </c>
      <c r="J2452" s="80" t="s">
        <v>373</v>
      </c>
      <c r="K2452" s="80" t="s">
        <v>347</v>
      </c>
      <c r="L2452" s="80" t="s">
        <v>343</v>
      </c>
      <c r="M2452" s="81">
        <v>0.08</v>
      </c>
      <c r="N2452" s="82">
        <v>6</v>
      </c>
    </row>
    <row r="2453" spans="1:14" x14ac:dyDescent="0.25">
      <c r="A2453" s="10" t="str">
        <f>_xlfn.IFNA(
    IF(J2453=
        "PCB-0001",
        "CSS",
        IF(
            ISNUMBER(MATCH(_xlfn.TEXTBEFORE(J2453,"-"), {"CSS","CSN","PCB","PCF","BEC","CSD","PCM"}, 0)),
            _xlfn.TEXTBEFORE(J2453,"-"),
            "Other"
        )
    ),
"Add")</f>
        <v>PCB</v>
      </c>
      <c r="B2453" s="10" t="str">
        <f t="shared" si="39"/>
        <v>0059</v>
      </c>
      <c r="C2453" s="10" t="str">
        <f>_xlfn.LET(
    _xlpm.val, IF(Datadetails[[#This Row],[Activity]]="D02","C20",Datadetails[[#This Row],[Activity]]),
    IF(ISNUMBER(MATCH(_xlpm.val,{"D04","C30","c40","C20"},0)), _xlpm.val, "Other")
)</f>
        <v>C30</v>
      </c>
      <c r="D2453" s="10" t="str">
        <f>IFERROR(VLOOKUP(Datadetails[[#This Row],[Taskcode]],Dashboard!A:A,1,FALSE),"00 Err Missing")</f>
        <v>0059</v>
      </c>
      <c r="E2453" s="79">
        <v>45937</v>
      </c>
      <c r="F2453" s="80" t="s">
        <v>325</v>
      </c>
      <c r="G2453" s="60" t="s">
        <v>40</v>
      </c>
      <c r="H2453" s="80" t="s">
        <v>226</v>
      </c>
      <c r="I2453" s="80" t="s">
        <v>34</v>
      </c>
      <c r="J2453" s="80" t="s">
        <v>401</v>
      </c>
      <c r="K2453" s="80" t="s">
        <v>347</v>
      </c>
      <c r="L2453" s="80" t="s">
        <v>343</v>
      </c>
      <c r="M2453" s="81">
        <v>0.17</v>
      </c>
      <c r="N2453" s="82">
        <v>12.750000000000002</v>
      </c>
    </row>
    <row r="2454" spans="1:14" x14ac:dyDescent="0.25">
      <c r="A2454" s="10" t="str">
        <f>_xlfn.IFNA(
    IF(J2454=
        "PCB-0001",
        "CSS",
        IF(
            ISNUMBER(MATCH(_xlfn.TEXTBEFORE(J2454,"-"), {"CSS","CSN","PCB","PCF","BEC","CSD","PCM"}, 0)),
            _xlfn.TEXTBEFORE(J2454,"-"),
            "Other"
        )
    ),
"Add")</f>
        <v>PCB</v>
      </c>
      <c r="B2454" s="10" t="str">
        <f t="shared" si="39"/>
        <v>0059</v>
      </c>
      <c r="C2454" s="10" t="str">
        <f>_xlfn.LET(
    _xlpm.val, IF(Datadetails[[#This Row],[Activity]]="D02","C20",Datadetails[[#This Row],[Activity]]),
    IF(ISNUMBER(MATCH(_xlpm.val,{"D04","C30","c40","C20"},0)), _xlpm.val, "Other")
)</f>
        <v>C30</v>
      </c>
      <c r="D2454" s="10" t="str">
        <f>IFERROR(VLOOKUP(Datadetails[[#This Row],[Taskcode]],Dashboard!A:A,1,FALSE),"00 Err Missing")</f>
        <v>0059</v>
      </c>
      <c r="E2454" s="79">
        <v>45937</v>
      </c>
      <c r="F2454" s="80" t="s">
        <v>325</v>
      </c>
      <c r="G2454" s="60" t="s">
        <v>40</v>
      </c>
      <c r="H2454" s="80" t="s">
        <v>226</v>
      </c>
      <c r="I2454" s="80" t="s">
        <v>34</v>
      </c>
      <c r="J2454" s="80" t="s">
        <v>401</v>
      </c>
      <c r="K2454" s="80" t="s">
        <v>347</v>
      </c>
      <c r="L2454" s="80" t="s">
        <v>343</v>
      </c>
      <c r="M2454" s="81">
        <v>0.17</v>
      </c>
      <c r="N2454" s="82">
        <v>12.750000000000002</v>
      </c>
    </row>
    <row r="2455" spans="1:14" x14ac:dyDescent="0.25">
      <c r="A2455" s="10" t="str">
        <f>_xlfn.IFNA(
    IF(J2455=
        "PCB-0001",
        "CSS",
        IF(
            ISNUMBER(MATCH(_xlfn.TEXTBEFORE(J2455,"-"), {"CSS","CSN","PCB","PCF","BEC","CSD","PCM"}, 0)),
            _xlfn.TEXTBEFORE(J2455,"-"),
            "Other"
        )
    ),
"Add")</f>
        <v>PCB</v>
      </c>
      <c r="B2455" s="10" t="str">
        <f t="shared" si="39"/>
        <v>0054</v>
      </c>
      <c r="C2455" s="10" t="str">
        <f>_xlfn.LET(
    _xlpm.val, IF(Datadetails[[#This Row],[Activity]]="D02","C20",Datadetails[[#This Row],[Activity]]),
    IF(ISNUMBER(MATCH(_xlpm.val,{"D04","C30","c40","C20"},0)), _xlpm.val, "Other")
)</f>
        <v>C30</v>
      </c>
      <c r="D2455" s="10" t="str">
        <f>IFERROR(VLOOKUP(Datadetails[[#This Row],[Taskcode]],Dashboard!A:A,1,FALSE),"00 Err Missing")</f>
        <v>0054</v>
      </c>
      <c r="E2455" s="79">
        <v>45937</v>
      </c>
      <c r="F2455" s="80" t="s">
        <v>329</v>
      </c>
      <c r="G2455" s="60" t="s">
        <v>40</v>
      </c>
      <c r="H2455" s="80" t="s">
        <v>221</v>
      </c>
      <c r="I2455" s="80" t="s">
        <v>34</v>
      </c>
      <c r="J2455" s="80" t="s">
        <v>369</v>
      </c>
      <c r="K2455" s="80" t="s">
        <v>347</v>
      </c>
      <c r="L2455" s="80" t="s">
        <v>343</v>
      </c>
      <c r="M2455" s="81">
        <v>0.17</v>
      </c>
      <c r="N2455" s="82">
        <v>12.750000000000002</v>
      </c>
    </row>
    <row r="2456" spans="1:14" x14ac:dyDescent="0.25">
      <c r="A2456" s="10" t="str">
        <f>_xlfn.IFNA(
    IF(J2456=
        "PCB-0001",
        "CSS",
        IF(
            ISNUMBER(MATCH(_xlfn.TEXTBEFORE(J2456,"-"), {"CSS","CSN","PCB","PCF","BEC","CSD","PCM"}, 0)),
            _xlfn.TEXTBEFORE(J2456,"-"),
            "Other"
        )
    ),
"Add")</f>
        <v>PCB</v>
      </c>
      <c r="B2456" s="10" t="str">
        <f t="shared" si="39"/>
        <v>0071</v>
      </c>
      <c r="C2456" s="10" t="str">
        <f>_xlfn.LET(
    _xlpm.val, IF(Datadetails[[#This Row],[Activity]]="D02","C20",Datadetails[[#This Row],[Activity]]),
    IF(ISNUMBER(MATCH(_xlpm.val,{"D04","C30","c40","C20"},0)), _xlpm.val, "Other")
)</f>
        <v>C30</v>
      </c>
      <c r="D2456" s="10" t="str">
        <f>IFERROR(VLOOKUP(Datadetails[[#This Row],[Taskcode]],Dashboard!A:A,1,FALSE),"00 Err Missing")</f>
        <v>0071</v>
      </c>
      <c r="E2456" s="79">
        <v>45937</v>
      </c>
      <c r="F2456" s="80" t="s">
        <v>329</v>
      </c>
      <c r="G2456" s="60" t="s">
        <v>40</v>
      </c>
      <c r="H2456" s="80" t="s">
        <v>238</v>
      </c>
      <c r="I2456" s="80" t="s">
        <v>34</v>
      </c>
      <c r="J2456" s="80" t="s">
        <v>374</v>
      </c>
      <c r="K2456" s="80" t="s">
        <v>347</v>
      </c>
      <c r="L2456" s="80" t="s">
        <v>343</v>
      </c>
      <c r="M2456" s="81">
        <v>0.25</v>
      </c>
      <c r="N2456" s="82">
        <v>18.75</v>
      </c>
    </row>
    <row r="2457" spans="1:14" x14ac:dyDescent="0.25">
      <c r="A2457" s="10" t="str">
        <f>_xlfn.IFNA(
    IF(J2457=
        "PCB-0001",
        "CSS",
        IF(
            ISNUMBER(MATCH(_xlfn.TEXTBEFORE(J2457,"-"), {"CSS","CSN","PCB","PCF","BEC","CSD","PCM"}, 0)),
            _xlfn.TEXTBEFORE(J2457,"-"),
            "Other"
        )
    ),
"Add")</f>
        <v>PCB</v>
      </c>
      <c r="B2457" s="10" t="str">
        <f t="shared" si="39"/>
        <v>0073</v>
      </c>
      <c r="C2457" s="10" t="str">
        <f>_xlfn.LET(
    _xlpm.val, IF(Datadetails[[#This Row],[Activity]]="D02","C20",Datadetails[[#This Row],[Activity]]),
    IF(ISNUMBER(MATCH(_xlpm.val,{"D04","C30","c40","C20"},0)), _xlpm.val, "Other")
)</f>
        <v>C30</v>
      </c>
      <c r="D2457" s="10" t="str">
        <f>IFERROR(VLOOKUP(Datadetails[[#This Row],[Taskcode]],Dashboard!A:A,1,FALSE),"00 Err Missing")</f>
        <v>0073</v>
      </c>
      <c r="E2457" s="79">
        <v>45937</v>
      </c>
      <c r="F2457" s="80" t="s">
        <v>329</v>
      </c>
      <c r="G2457" s="60" t="s">
        <v>40</v>
      </c>
      <c r="H2457" s="80" t="s">
        <v>240</v>
      </c>
      <c r="I2457" s="80" t="s">
        <v>34</v>
      </c>
      <c r="J2457" s="80" t="s">
        <v>402</v>
      </c>
      <c r="K2457" s="80" t="s">
        <v>347</v>
      </c>
      <c r="L2457" s="80" t="s">
        <v>343</v>
      </c>
      <c r="M2457" s="81">
        <v>0.67</v>
      </c>
      <c r="N2457" s="82">
        <v>50.25</v>
      </c>
    </row>
    <row r="2458" spans="1:14" x14ac:dyDescent="0.25">
      <c r="A2458" s="10" t="str">
        <f>_xlfn.IFNA(
    IF(J2458=
        "PCB-0001",
        "CSS",
        IF(
            ISNUMBER(MATCH(_xlfn.TEXTBEFORE(J2458,"-"), {"CSS","CSN","PCB","PCF","BEC","CSD","PCM"}, 0)),
            _xlfn.TEXTBEFORE(J2458,"-"),
            "Other"
        )
    ),
"Add")</f>
        <v>PCB</v>
      </c>
      <c r="B2458" s="10" t="str">
        <f t="shared" si="39"/>
        <v>0074</v>
      </c>
      <c r="C2458" s="10" t="str">
        <f>_xlfn.LET(
    _xlpm.val, IF(Datadetails[[#This Row],[Activity]]="D02","C20",Datadetails[[#This Row],[Activity]]),
    IF(ISNUMBER(MATCH(_xlpm.val,{"D04","C30","c40","C20"},0)), _xlpm.val, "Other")
)</f>
        <v>C30</v>
      </c>
      <c r="D2458" s="10" t="str">
        <f>IFERROR(VLOOKUP(Datadetails[[#This Row],[Taskcode]],Dashboard!A:A,1,FALSE),"00 Err Missing")</f>
        <v>0074</v>
      </c>
      <c r="E2458" s="79">
        <v>45937</v>
      </c>
      <c r="F2458" s="80" t="s">
        <v>329</v>
      </c>
      <c r="G2458" s="60" t="s">
        <v>40</v>
      </c>
      <c r="H2458" s="80" t="s">
        <v>241</v>
      </c>
      <c r="I2458" s="80" t="s">
        <v>34</v>
      </c>
      <c r="J2458" s="80" t="s">
        <v>403</v>
      </c>
      <c r="K2458" s="80" t="s">
        <v>347</v>
      </c>
      <c r="L2458" s="80" t="s">
        <v>343</v>
      </c>
      <c r="M2458" s="81">
        <v>0.17</v>
      </c>
      <c r="N2458" s="82">
        <v>12.750000000000002</v>
      </c>
    </row>
    <row r="2459" spans="1:14" x14ac:dyDescent="0.25">
      <c r="A2459" s="10" t="str">
        <f>_xlfn.IFNA(
    IF(J2459=
        "PCB-0001",
        "CSS",
        IF(
            ISNUMBER(MATCH(_xlfn.TEXTBEFORE(J2459,"-"), {"CSS","CSN","PCB","PCF","BEC","CSD","PCM"}, 0)),
            _xlfn.TEXTBEFORE(J2459,"-"),
            "Other"
        )
    ),
"Add")</f>
        <v>PCB</v>
      </c>
      <c r="B2459" s="10" t="str">
        <f t="shared" si="39"/>
        <v>0126</v>
      </c>
      <c r="C2459" s="10" t="str">
        <f>_xlfn.LET(
    _xlpm.val, IF(Datadetails[[#This Row],[Activity]]="D02","C20",Datadetails[[#This Row],[Activity]]),
    IF(ISNUMBER(MATCH(_xlpm.val,{"D04","C30","c40","C20"},0)), _xlpm.val, "Other")
)</f>
        <v>C30</v>
      </c>
      <c r="D2459" s="10" t="str">
        <f>IFERROR(VLOOKUP(Datadetails[[#This Row],[Taskcode]],Dashboard!A:A,1,FALSE),"00 Err Missing")</f>
        <v>0126</v>
      </c>
      <c r="E2459" s="79">
        <v>45937</v>
      </c>
      <c r="F2459" s="80" t="s">
        <v>329</v>
      </c>
      <c r="G2459" s="60" t="s">
        <v>40</v>
      </c>
      <c r="H2459" s="80" t="s">
        <v>293</v>
      </c>
      <c r="I2459" s="80" t="s">
        <v>34</v>
      </c>
      <c r="J2459" s="80" t="s">
        <v>376</v>
      </c>
      <c r="K2459" s="80" t="s">
        <v>347</v>
      </c>
      <c r="L2459" s="80" t="s">
        <v>343</v>
      </c>
      <c r="M2459" s="81">
        <v>0.17</v>
      </c>
      <c r="N2459" s="82">
        <v>12.750000000000002</v>
      </c>
    </row>
    <row r="2460" spans="1:14" x14ac:dyDescent="0.25">
      <c r="A2460" s="10" t="str">
        <f>_xlfn.IFNA(
    IF(J2460=
        "PCB-0001",
        "CSS",
        IF(
            ISNUMBER(MATCH(_xlfn.TEXTBEFORE(J2460,"-"), {"CSS","CSN","PCB","PCF","BEC","CSD","PCM"}, 0)),
            _xlfn.TEXTBEFORE(J2460,"-"),
            "Other"
        )
    ),
"Add")</f>
        <v>PCB</v>
      </c>
      <c r="B2460" s="10" t="str">
        <f t="shared" si="39"/>
        <v>0087</v>
      </c>
      <c r="C2460" s="10" t="str">
        <f>_xlfn.LET(
    _xlpm.val, IF(Datadetails[[#This Row],[Activity]]="D02","C20",Datadetails[[#This Row],[Activity]]),
    IF(ISNUMBER(MATCH(_xlpm.val,{"D04","C30","c40","C20"},0)), _xlpm.val, "Other")
)</f>
        <v>C30</v>
      </c>
      <c r="D2460" s="10" t="str">
        <f>IFERROR(VLOOKUP(Datadetails[[#This Row],[Taskcode]],Dashboard!A:A,1,FALSE),"00 Err Missing")</f>
        <v>0087</v>
      </c>
      <c r="E2460" s="79">
        <v>45937</v>
      </c>
      <c r="F2460" s="80" t="s">
        <v>325</v>
      </c>
      <c r="G2460" s="60" t="s">
        <v>40</v>
      </c>
      <c r="H2460" s="80" t="s">
        <v>254</v>
      </c>
      <c r="I2460" s="80" t="s">
        <v>34</v>
      </c>
      <c r="J2460" s="80" t="s">
        <v>441</v>
      </c>
      <c r="K2460" s="80" t="s">
        <v>347</v>
      </c>
      <c r="L2460" s="80" t="s">
        <v>343</v>
      </c>
      <c r="M2460" s="81">
        <v>0.17</v>
      </c>
      <c r="N2460" s="82">
        <v>12.750000000000002</v>
      </c>
    </row>
    <row r="2461" spans="1:14" x14ac:dyDescent="0.25">
      <c r="A2461" s="10" t="str">
        <f>_xlfn.IFNA(
    IF(J2461=
        "PCB-0001",
        "CSS",
        IF(
            ISNUMBER(MATCH(_xlfn.TEXTBEFORE(J2461,"-"), {"CSS","CSN","PCB","PCF","BEC","CSD","PCM"}, 0)),
            _xlfn.TEXTBEFORE(J2461,"-"),
            "Other"
        )
    ),
"Add")</f>
        <v>PCB</v>
      </c>
      <c r="B2461" s="10" t="str">
        <f t="shared" si="39"/>
        <v>0095</v>
      </c>
      <c r="C2461" s="10" t="str">
        <f>_xlfn.LET(
    _xlpm.val, IF(Datadetails[[#This Row],[Activity]]="D02","C20",Datadetails[[#This Row],[Activity]]),
    IF(ISNUMBER(MATCH(_xlpm.val,{"D04","C30","c40","C20"},0)), _xlpm.val, "Other")
)</f>
        <v>C30</v>
      </c>
      <c r="D2461" s="10" t="str">
        <f>IFERROR(VLOOKUP(Datadetails[[#This Row],[Taskcode]],Dashboard!A:A,1,FALSE),"00 Err Missing")</f>
        <v>0095</v>
      </c>
      <c r="E2461" s="79">
        <v>45937</v>
      </c>
      <c r="F2461" s="80" t="s">
        <v>325</v>
      </c>
      <c r="G2461" s="60" t="s">
        <v>40</v>
      </c>
      <c r="H2461" s="80" t="s">
        <v>262</v>
      </c>
      <c r="I2461" s="80" t="s">
        <v>34</v>
      </c>
      <c r="J2461" s="80" t="s">
        <v>442</v>
      </c>
      <c r="K2461" s="80" t="s">
        <v>347</v>
      </c>
      <c r="L2461" s="80" t="s">
        <v>343</v>
      </c>
      <c r="M2461" s="81">
        <v>0.17</v>
      </c>
      <c r="N2461" s="82">
        <v>12.750000000000002</v>
      </c>
    </row>
    <row r="2462" spans="1:14" x14ac:dyDescent="0.25">
      <c r="A2462" s="10" t="str">
        <f>_xlfn.IFNA(
    IF(J2462=
        "PCB-0001",
        "CSS",
        IF(
            ISNUMBER(MATCH(_xlfn.TEXTBEFORE(J2462,"-"), {"CSS","CSN","PCB","PCF","BEC","CSD","PCM"}, 0)),
            _xlfn.TEXTBEFORE(J2462,"-"),
            "Other"
        )
    ),
"Add")</f>
        <v>PCB</v>
      </c>
      <c r="B2462" s="10" t="str">
        <f t="shared" si="39"/>
        <v>0080</v>
      </c>
      <c r="C2462" s="10" t="str">
        <f>_xlfn.LET(
    _xlpm.val, IF(Datadetails[[#This Row],[Activity]]="D02","C20",Datadetails[[#This Row],[Activity]]),
    IF(ISNUMBER(MATCH(_xlpm.val,{"D04","C30","c40","C20"},0)), _xlpm.val, "Other")
)</f>
        <v>C30</v>
      </c>
      <c r="D2462" s="10" t="str">
        <f>IFERROR(VLOOKUP(Datadetails[[#This Row],[Taskcode]],Dashboard!A:A,1,FALSE),"00 Err Missing")</f>
        <v>0080</v>
      </c>
      <c r="E2462" s="79">
        <v>45937</v>
      </c>
      <c r="F2462" s="80" t="s">
        <v>329</v>
      </c>
      <c r="G2462" s="60" t="s">
        <v>40</v>
      </c>
      <c r="H2462" s="80" t="s">
        <v>247</v>
      </c>
      <c r="I2462" s="80" t="s">
        <v>34</v>
      </c>
      <c r="J2462" s="80" t="s">
        <v>375</v>
      </c>
      <c r="K2462" s="80" t="s">
        <v>347</v>
      </c>
      <c r="L2462" s="80" t="s">
        <v>343</v>
      </c>
      <c r="M2462" s="81">
        <v>0.17</v>
      </c>
      <c r="N2462" s="82">
        <v>12.750000000000002</v>
      </c>
    </row>
    <row r="2463" spans="1:14" x14ac:dyDescent="0.25">
      <c r="A2463" s="10" t="str">
        <f>_xlfn.IFNA(
    IF(J2463=
        "PCB-0001",
        "CSS",
        IF(
            ISNUMBER(MATCH(_xlfn.TEXTBEFORE(J2463,"-"), {"CSS","CSN","PCB","PCF","BEC","CSD","PCM"}, 0)),
            _xlfn.TEXTBEFORE(J2463,"-"),
            "Other"
        )
    ),
"Add")</f>
        <v>PCB</v>
      </c>
      <c r="B2463" s="10" t="str">
        <f t="shared" si="39"/>
        <v>0105</v>
      </c>
      <c r="C2463" s="10" t="str">
        <f>_xlfn.LET(
    _xlpm.val, IF(Datadetails[[#This Row],[Activity]]="D02","C20",Datadetails[[#This Row],[Activity]]),
    IF(ISNUMBER(MATCH(_xlpm.val,{"D04","C30","c40","C20"},0)), _xlpm.val, "Other")
)</f>
        <v>C30</v>
      </c>
      <c r="D2463" s="10" t="str">
        <f>IFERROR(VLOOKUP(Datadetails[[#This Row],[Taskcode]],Dashboard!A:A,1,FALSE),"00 Err Missing")</f>
        <v>0105</v>
      </c>
      <c r="E2463" s="79">
        <v>45937</v>
      </c>
      <c r="F2463" s="80" t="s">
        <v>329</v>
      </c>
      <c r="G2463" s="60" t="s">
        <v>40</v>
      </c>
      <c r="H2463" s="80" t="s">
        <v>272</v>
      </c>
      <c r="I2463" s="80" t="s">
        <v>34</v>
      </c>
      <c r="J2463" s="80" t="s">
        <v>362</v>
      </c>
      <c r="K2463" s="80" t="s">
        <v>347</v>
      </c>
      <c r="L2463" s="80" t="s">
        <v>343</v>
      </c>
      <c r="M2463" s="81">
        <v>0.33</v>
      </c>
      <c r="N2463" s="82">
        <v>24.75</v>
      </c>
    </row>
    <row r="2464" spans="1:14" x14ac:dyDescent="0.25">
      <c r="A2464" s="10" t="str">
        <f>_xlfn.IFNA(
    IF(J2464=
        "PCB-0001",
        "CSS",
        IF(
            ISNUMBER(MATCH(_xlfn.TEXTBEFORE(J2464,"-"), {"CSS","CSN","PCB","PCF","BEC","CSD","PCM"}, 0)),
            _xlfn.TEXTBEFORE(J2464,"-"),
            "Other"
        )
    ),
"Add")</f>
        <v>PCB</v>
      </c>
      <c r="B2464" s="10" t="str">
        <f t="shared" si="39"/>
        <v>0140</v>
      </c>
      <c r="C2464" s="10" t="str">
        <f>_xlfn.LET(
    _xlpm.val, IF(Datadetails[[#This Row],[Activity]]="D02","C20",Datadetails[[#This Row],[Activity]]),
    IF(ISNUMBER(MATCH(_xlpm.val,{"D04","C30","c40","C20"},0)), _xlpm.val, "Other")
)</f>
        <v>C40</v>
      </c>
      <c r="D2464" s="10" t="str">
        <f>IFERROR(VLOOKUP(Datadetails[[#This Row],[Taskcode]],Dashboard!A:A,1,FALSE),"00 Err Missing")</f>
        <v>0140</v>
      </c>
      <c r="E2464" s="79">
        <v>45937</v>
      </c>
      <c r="F2464" s="80" t="s">
        <v>325</v>
      </c>
      <c r="G2464" s="60" t="s">
        <v>40</v>
      </c>
      <c r="H2464" s="80" t="s">
        <v>307</v>
      </c>
      <c r="I2464" s="80" t="s">
        <v>341</v>
      </c>
      <c r="J2464" s="80" t="s">
        <v>472</v>
      </c>
      <c r="K2464" s="80" t="s">
        <v>347</v>
      </c>
      <c r="L2464" s="80" t="s">
        <v>344</v>
      </c>
      <c r="M2464" s="81">
        <v>1.58</v>
      </c>
      <c r="N2464" s="82">
        <v>118.5</v>
      </c>
    </row>
    <row r="2465" spans="1:14" x14ac:dyDescent="0.25">
      <c r="A2465" s="10" t="str">
        <f>_xlfn.IFNA(
    IF(J2465=
        "PCB-0001",
        "CSS",
        IF(
            ISNUMBER(MATCH(_xlfn.TEXTBEFORE(J2465,"-"), {"CSS","CSN","PCB","PCF","BEC","CSD","PCM"}, 0)),
            _xlfn.TEXTBEFORE(J2465,"-"),
            "Other"
        )
    ),
"Add")</f>
        <v>PCB</v>
      </c>
      <c r="B2465" s="10" t="str">
        <f t="shared" si="39"/>
        <v>0132</v>
      </c>
      <c r="C2465" s="10" t="str">
        <f>_xlfn.LET(
    _xlpm.val, IF(Datadetails[[#This Row],[Activity]]="D02","C20",Datadetails[[#This Row],[Activity]]),
    IF(ISNUMBER(MATCH(_xlpm.val,{"D04","C30","c40","C20"},0)), _xlpm.val, "Other")
)</f>
        <v>C20</v>
      </c>
      <c r="D2465" s="10" t="str">
        <f>IFERROR(VLOOKUP(Datadetails[[#This Row],[Taskcode]],Dashboard!A:A,1,FALSE),"00 Err Missing")</f>
        <v>0132</v>
      </c>
      <c r="E2465" s="79">
        <v>45937</v>
      </c>
      <c r="F2465" s="80" t="s">
        <v>329</v>
      </c>
      <c r="G2465" s="60" t="s">
        <v>40</v>
      </c>
      <c r="H2465" s="80" t="s">
        <v>299</v>
      </c>
      <c r="I2465" s="80" t="s">
        <v>312</v>
      </c>
      <c r="J2465" s="80" t="s">
        <v>455</v>
      </c>
      <c r="K2465" s="80" t="s">
        <v>347</v>
      </c>
      <c r="L2465" s="80" t="s">
        <v>350</v>
      </c>
      <c r="M2465" s="81">
        <v>0.25</v>
      </c>
      <c r="N2465" s="82">
        <v>18.75</v>
      </c>
    </row>
    <row r="2466" spans="1:14" x14ac:dyDescent="0.25">
      <c r="A2466" s="10" t="str">
        <f>_xlfn.IFNA(
    IF(J2466=
        "PCB-0001",
        "CSS",
        IF(
            ISNUMBER(MATCH(_xlfn.TEXTBEFORE(J2466,"-"), {"CSS","CSN","PCB","PCF","BEC","CSD","PCM"}, 0)),
            _xlfn.TEXTBEFORE(J2466,"-"),
            "Other"
        )
    ),
"Add")</f>
        <v>PCF</v>
      </c>
      <c r="B2466" s="10" t="str">
        <f t="shared" si="39"/>
        <v>0040</v>
      </c>
      <c r="C2466" s="10" t="str">
        <f>_xlfn.LET(
    _xlpm.val, IF(Datadetails[[#This Row],[Activity]]="D02","C20",Datadetails[[#This Row],[Activity]]),
    IF(ISNUMBER(MATCH(_xlpm.val,{"D04","C30","c40","C20"},0)), _xlpm.val, "Other")
)</f>
        <v>C30</v>
      </c>
      <c r="D2466" s="10" t="str">
        <f>IFERROR(VLOOKUP(Datadetails[[#This Row],[Taskcode]],Dashboard!A:A,1,FALSE),"00 Err Missing")</f>
        <v>0040</v>
      </c>
      <c r="E2466" s="79">
        <v>45937</v>
      </c>
      <c r="F2466" s="80" t="s">
        <v>326</v>
      </c>
      <c r="G2466" s="60" t="s">
        <v>40</v>
      </c>
      <c r="H2466" s="80" t="s">
        <v>207</v>
      </c>
      <c r="I2466" s="80" t="s">
        <v>34</v>
      </c>
      <c r="J2466" s="80" t="s">
        <v>417</v>
      </c>
      <c r="K2466" s="80" t="s">
        <v>348</v>
      </c>
      <c r="L2466" s="80" t="s">
        <v>343</v>
      </c>
      <c r="M2466" s="81">
        <v>0.5</v>
      </c>
      <c r="N2466" s="82">
        <v>30</v>
      </c>
    </row>
    <row r="2467" spans="1:14" x14ac:dyDescent="0.25">
      <c r="A2467" s="10" t="str">
        <f>_xlfn.IFNA(
    IF(J2467=
        "PCB-0001",
        "CSS",
        IF(
            ISNUMBER(MATCH(_xlfn.TEXTBEFORE(J2467,"-"), {"CSS","CSN","PCB","PCF","BEC","CSD","PCM"}, 0)),
            _xlfn.TEXTBEFORE(J2467,"-"),
            "Other"
        )
    ),
"Add")</f>
        <v>PCF</v>
      </c>
      <c r="B2467" s="10" t="str">
        <f t="shared" si="39"/>
        <v>0021</v>
      </c>
      <c r="C2467" s="10" t="str">
        <f>_xlfn.LET(
    _xlpm.val, IF(Datadetails[[#This Row],[Activity]]="D02","C20",Datadetails[[#This Row],[Activity]]),
    IF(ISNUMBER(MATCH(_xlpm.val,{"D04","C30","c40","C20"},0)), _xlpm.val, "Other")
)</f>
        <v>C30</v>
      </c>
      <c r="D2467" s="10" t="str">
        <f>IFERROR(VLOOKUP(Datadetails[[#This Row],[Taskcode]],Dashboard!A:A,1,FALSE),"00 Err Missing")</f>
        <v>0021</v>
      </c>
      <c r="E2467" s="79">
        <v>45937</v>
      </c>
      <c r="F2467" s="80" t="s">
        <v>326</v>
      </c>
      <c r="G2467" s="60" t="s">
        <v>40</v>
      </c>
      <c r="H2467" s="80" t="s">
        <v>188</v>
      </c>
      <c r="I2467" s="80" t="s">
        <v>34</v>
      </c>
      <c r="J2467" s="80" t="s">
        <v>356</v>
      </c>
      <c r="K2467" s="80" t="s">
        <v>348</v>
      </c>
      <c r="L2467" s="80" t="s">
        <v>343</v>
      </c>
      <c r="M2467" s="81">
        <v>1</v>
      </c>
      <c r="N2467" s="82">
        <v>60</v>
      </c>
    </row>
    <row r="2468" spans="1:14" x14ac:dyDescent="0.25">
      <c r="A2468" s="10" t="str">
        <f>_xlfn.IFNA(
    IF(J2468=
        "PCB-0001",
        "CSS",
        IF(
            ISNUMBER(MATCH(_xlfn.TEXTBEFORE(J2468,"-"), {"CSS","CSN","PCB","PCF","BEC","CSD","PCM"}, 0)),
            _xlfn.TEXTBEFORE(J2468,"-"),
            "Other"
        )
    ),
"Add")</f>
        <v>PCF</v>
      </c>
      <c r="B2468" s="10" t="str">
        <f t="shared" si="39"/>
        <v>0008</v>
      </c>
      <c r="C2468" s="10" t="str">
        <f>_xlfn.LET(
    _xlpm.val, IF(Datadetails[[#This Row],[Activity]]="D02","C20",Datadetails[[#This Row],[Activity]]),
    IF(ISNUMBER(MATCH(_xlpm.val,{"D04","C30","c40","C20"},0)), _xlpm.val, "Other")
)</f>
        <v>C30</v>
      </c>
      <c r="D2468" s="10" t="str">
        <f>IFERROR(VLOOKUP(Datadetails[[#This Row],[Taskcode]],Dashboard!A:A,1,FALSE),"00 Err Missing")</f>
        <v>0008</v>
      </c>
      <c r="E2468" s="79">
        <v>45937</v>
      </c>
      <c r="F2468" s="80" t="s">
        <v>326</v>
      </c>
      <c r="G2468" s="60" t="s">
        <v>40</v>
      </c>
      <c r="H2468" s="80" t="s">
        <v>175</v>
      </c>
      <c r="I2468" s="80" t="s">
        <v>34</v>
      </c>
      <c r="J2468" s="80" t="s">
        <v>388</v>
      </c>
      <c r="K2468" s="80" t="s">
        <v>348</v>
      </c>
      <c r="L2468" s="80" t="s">
        <v>343</v>
      </c>
      <c r="M2468" s="81">
        <v>0.5</v>
      </c>
      <c r="N2468" s="82">
        <v>30</v>
      </c>
    </row>
    <row r="2469" spans="1:14" x14ac:dyDescent="0.25">
      <c r="A2469" s="10" t="str">
        <f>_xlfn.IFNA(
    IF(J2469=
        "PCB-0001",
        "CSS",
        IF(
            ISNUMBER(MATCH(_xlfn.TEXTBEFORE(J2469,"-"), {"CSS","CSN","PCB","PCF","BEC","CSD","PCM"}, 0)),
            _xlfn.TEXTBEFORE(J2469,"-"),
            "Other"
        )
    ),
"Add")</f>
        <v>PCF</v>
      </c>
      <c r="B2469" s="10" t="str">
        <f t="shared" si="39"/>
        <v>0133</v>
      </c>
      <c r="C2469" s="10" t="str">
        <f>_xlfn.LET(
    _xlpm.val, IF(Datadetails[[#This Row],[Activity]]="D02","C20",Datadetails[[#This Row],[Activity]]),
    IF(ISNUMBER(MATCH(_xlpm.val,{"D04","C30","c40","C20"},0)), _xlpm.val, "Other")
)</f>
        <v>C30</v>
      </c>
      <c r="D2469" s="10" t="str">
        <f>IFERROR(VLOOKUP(Datadetails[[#This Row],[Taskcode]],Dashboard!A:A,1,FALSE),"00 Err Missing")</f>
        <v>0133</v>
      </c>
      <c r="E2469" s="79">
        <v>45937</v>
      </c>
      <c r="F2469" s="80" t="s">
        <v>326</v>
      </c>
      <c r="G2469" s="60" t="s">
        <v>40</v>
      </c>
      <c r="H2469" s="80" t="s">
        <v>300</v>
      </c>
      <c r="I2469" s="80" t="s">
        <v>34</v>
      </c>
      <c r="J2469" s="80" t="s">
        <v>464</v>
      </c>
      <c r="K2469" s="80" t="s">
        <v>348</v>
      </c>
      <c r="L2469" s="80" t="s">
        <v>343</v>
      </c>
      <c r="M2469" s="81">
        <v>0.5</v>
      </c>
      <c r="N2469" s="82">
        <v>30</v>
      </c>
    </row>
    <row r="2470" spans="1:14" x14ac:dyDescent="0.25">
      <c r="A2470" s="10" t="str">
        <f>_xlfn.IFNA(
    IF(J2470=
        "PCB-0001",
        "CSS",
        IF(
            ISNUMBER(MATCH(_xlfn.TEXTBEFORE(J2470,"-"), {"CSS","CSN","PCB","PCF","BEC","CSD","PCM"}, 0)),
            _xlfn.TEXTBEFORE(J2470,"-"),
            "Other"
        )
    ),
"Add")</f>
        <v>CSN</v>
      </c>
      <c r="B2470" s="10" t="str">
        <f t="shared" si="39"/>
        <v>0001</v>
      </c>
      <c r="C2470" s="10" t="str">
        <f>_xlfn.LET(
    _xlpm.val, IF(Datadetails[[#This Row],[Activity]]="D02","C20",Datadetails[[#This Row],[Activity]]),
    IF(ISNUMBER(MATCH(_xlpm.val,{"D04","C30","c40","C20"},0)), _xlpm.val, "Other")
)</f>
        <v>D04</v>
      </c>
      <c r="D2470" s="10" t="str">
        <f>IFERROR(VLOOKUP(Datadetails[[#This Row],[Taskcode]],Dashboard!A:A,1,FALSE),"00 Err Missing")</f>
        <v>0001</v>
      </c>
      <c r="E2470" s="79">
        <v>45938</v>
      </c>
      <c r="F2470" s="80" t="s">
        <v>329</v>
      </c>
      <c r="G2470" s="60" t="s">
        <v>40</v>
      </c>
      <c r="H2470" s="80" t="s">
        <v>316</v>
      </c>
      <c r="I2470" s="80" t="s">
        <v>35</v>
      </c>
      <c r="J2470" s="80" t="s">
        <v>338</v>
      </c>
      <c r="K2470" s="80" t="s">
        <v>337</v>
      </c>
      <c r="L2470" s="80" t="s">
        <v>352</v>
      </c>
      <c r="M2470" s="81">
        <v>1.17</v>
      </c>
      <c r="N2470" s="82">
        <v>87.75</v>
      </c>
    </row>
    <row r="2471" spans="1:14" x14ac:dyDescent="0.25">
      <c r="A2471" s="10" t="str">
        <f>_xlfn.IFNA(
    IF(J2471=
        "PCB-0001",
        "CSS",
        IF(
            ISNUMBER(MATCH(_xlfn.TEXTBEFORE(J2471,"-"), {"CSS","CSN","PCB","PCF","BEC","CSD","PCM"}, 0)),
            _xlfn.TEXTBEFORE(J2471,"-"),
            "Other"
        )
    ),
"Add")</f>
        <v>PCB</v>
      </c>
      <c r="B2471" s="10" t="str">
        <f t="shared" si="39"/>
        <v>0048</v>
      </c>
      <c r="C2471" s="10" t="str">
        <f>_xlfn.LET(
    _xlpm.val, IF(Datadetails[[#This Row],[Activity]]="D02","C20",Datadetails[[#This Row],[Activity]]),
    IF(ISNUMBER(MATCH(_xlpm.val,{"D04","C30","c40","C20"},0)), _xlpm.val, "Other")
)</f>
        <v>C40</v>
      </c>
      <c r="D2471" s="10" t="str">
        <f>IFERROR(VLOOKUP(Datadetails[[#This Row],[Taskcode]],Dashboard!A:A,1,FALSE),"00 Err Missing")</f>
        <v>0048</v>
      </c>
      <c r="E2471" s="79">
        <v>45938</v>
      </c>
      <c r="F2471" s="80" t="s">
        <v>330</v>
      </c>
      <c r="G2471" s="60" t="s">
        <v>40</v>
      </c>
      <c r="H2471" s="80" t="s">
        <v>215</v>
      </c>
      <c r="I2471" s="80" t="s">
        <v>341</v>
      </c>
      <c r="J2471" s="80" t="s">
        <v>450</v>
      </c>
      <c r="K2471" s="80" t="s">
        <v>347</v>
      </c>
      <c r="L2471" s="80" t="s">
        <v>344</v>
      </c>
      <c r="M2471" s="81">
        <v>2</v>
      </c>
      <c r="N2471" s="82">
        <v>120</v>
      </c>
    </row>
    <row r="2472" spans="1:14" x14ac:dyDescent="0.25">
      <c r="A2472" s="10" t="str">
        <f>_xlfn.IFNA(
    IF(J2472=
        "PCB-0001",
        "CSS",
        IF(
            ISNUMBER(MATCH(_xlfn.TEXTBEFORE(J2472,"-"), {"CSS","CSN","PCB","PCF","BEC","CSD","PCM"}, 0)),
            _xlfn.TEXTBEFORE(J2472,"-"),
            "Other"
        )
    ),
"Add")</f>
        <v>PCB</v>
      </c>
      <c r="B2472" s="10" t="str">
        <f t="shared" si="39"/>
        <v>0039</v>
      </c>
      <c r="C2472" s="10" t="str">
        <f>_xlfn.LET(
    _xlpm.val, IF(Datadetails[[#This Row],[Activity]]="D02","C20",Datadetails[[#This Row],[Activity]]),
    IF(ISNUMBER(MATCH(_xlpm.val,{"D04","C30","c40","C20"},0)), _xlpm.val, "Other")
)</f>
        <v>C40</v>
      </c>
      <c r="D2472" s="10" t="str">
        <f>IFERROR(VLOOKUP(Datadetails[[#This Row],[Taskcode]],Dashboard!A:A,1,FALSE),"00 Err Missing")</f>
        <v>0039</v>
      </c>
      <c r="E2472" s="79">
        <v>45938</v>
      </c>
      <c r="F2472" s="80" t="s">
        <v>329</v>
      </c>
      <c r="G2472" s="60" t="s">
        <v>40</v>
      </c>
      <c r="H2472" s="80" t="s">
        <v>206</v>
      </c>
      <c r="I2472" s="80" t="s">
        <v>341</v>
      </c>
      <c r="J2472" s="80" t="s">
        <v>367</v>
      </c>
      <c r="K2472" s="80" t="s">
        <v>347</v>
      </c>
      <c r="L2472" s="80" t="s">
        <v>344</v>
      </c>
      <c r="M2472" s="81">
        <v>2</v>
      </c>
      <c r="N2472" s="82">
        <v>150</v>
      </c>
    </row>
    <row r="2473" spans="1:14" x14ac:dyDescent="0.25">
      <c r="A2473" s="10" t="str">
        <f>_xlfn.IFNA(
    IF(J2473=
        "PCB-0001",
        "CSS",
        IF(
            ISNUMBER(MATCH(_xlfn.TEXTBEFORE(J2473,"-"), {"CSS","CSN","PCB","PCF","BEC","CSD","PCM"}, 0)),
            _xlfn.TEXTBEFORE(J2473,"-"),
            "Other"
        )
    ),
"Add")</f>
        <v>PCM</v>
      </c>
      <c r="B2473" s="10" t="str">
        <f t="shared" si="39"/>
        <v>0002</v>
      </c>
      <c r="C2473" s="10" t="str">
        <f>_xlfn.LET(
    _xlpm.val, IF(Datadetails[[#This Row],[Activity]]="D02","C20",Datadetails[[#This Row],[Activity]]),
    IF(ISNUMBER(MATCH(_xlpm.val,{"D04","C30","c40","C20"},0)), _xlpm.val, "Other")
)</f>
        <v>C20</v>
      </c>
      <c r="D2473" s="10" t="str">
        <f>IFERROR(VLOOKUP(Datadetails[[#This Row],[Taskcode]],Dashboard!A:A,1,FALSE),"00 Err Missing")</f>
        <v>0002</v>
      </c>
      <c r="E2473" s="79">
        <v>45938</v>
      </c>
      <c r="F2473" s="80" t="s">
        <v>323</v>
      </c>
      <c r="G2473" s="60" t="s">
        <v>40</v>
      </c>
      <c r="H2473" s="80" t="s">
        <v>169</v>
      </c>
      <c r="I2473" s="80" t="s">
        <v>36</v>
      </c>
      <c r="J2473" s="80" t="s">
        <v>433</v>
      </c>
      <c r="K2473" s="80" t="s">
        <v>346</v>
      </c>
      <c r="L2473" s="80" t="s">
        <v>342</v>
      </c>
      <c r="M2473" s="81">
        <v>0.33</v>
      </c>
      <c r="N2473" s="82">
        <v>19.8</v>
      </c>
    </row>
    <row r="2474" spans="1:14" x14ac:dyDescent="0.25">
      <c r="A2474" s="10" t="str">
        <f>_xlfn.IFNA(
    IF(J2474=
        "PCB-0001",
        "CSS",
        IF(
            ISNUMBER(MATCH(_xlfn.TEXTBEFORE(J2474,"-"), {"CSS","CSN","PCB","PCF","BEC","CSD","PCM"}, 0)),
            _xlfn.TEXTBEFORE(J2474,"-"),
            "Other"
        )
    ),
"Add")</f>
        <v>PCM</v>
      </c>
      <c r="B2474" s="10" t="str">
        <f t="shared" si="39"/>
        <v>0035</v>
      </c>
      <c r="C2474" s="10" t="str">
        <f>_xlfn.LET(
    _xlpm.val, IF(Datadetails[[#This Row],[Activity]]="D02","C20",Datadetails[[#This Row],[Activity]]),
    IF(ISNUMBER(MATCH(_xlpm.val,{"D04","C30","c40","C20"},0)), _xlpm.val, "Other")
)</f>
        <v>C20</v>
      </c>
      <c r="D2474" s="10" t="str">
        <f>IFERROR(VLOOKUP(Datadetails[[#This Row],[Taskcode]],Dashboard!A:A,1,FALSE),"00 Err Missing")</f>
        <v>0035</v>
      </c>
      <c r="E2474" s="79">
        <v>45938</v>
      </c>
      <c r="F2474" s="80" t="s">
        <v>323</v>
      </c>
      <c r="G2474" s="60" t="s">
        <v>40</v>
      </c>
      <c r="H2474" s="80" t="s">
        <v>202</v>
      </c>
      <c r="I2474" s="80" t="s">
        <v>36</v>
      </c>
      <c r="J2474" s="80" t="s">
        <v>431</v>
      </c>
      <c r="K2474" s="80" t="s">
        <v>346</v>
      </c>
      <c r="L2474" s="80" t="s">
        <v>342</v>
      </c>
      <c r="M2474" s="81">
        <v>1</v>
      </c>
      <c r="N2474" s="82">
        <v>60</v>
      </c>
    </row>
    <row r="2475" spans="1:14" x14ac:dyDescent="0.25">
      <c r="A2475" s="10" t="str">
        <f>_xlfn.IFNA(
    IF(J2475=
        "PCB-0001",
        "CSS",
        IF(
            ISNUMBER(MATCH(_xlfn.TEXTBEFORE(J2475,"-"), {"CSS","CSN","PCB","PCF","BEC","CSD","PCM"}, 0)),
            _xlfn.TEXTBEFORE(J2475,"-"),
            "Other"
        )
    ),
"Add")</f>
        <v>PCM</v>
      </c>
      <c r="B2475" s="10" t="str">
        <f t="shared" si="39"/>
        <v>0049</v>
      </c>
      <c r="C2475" s="10" t="str">
        <f>_xlfn.LET(
    _xlpm.val, IF(Datadetails[[#This Row],[Activity]]="D02","C20",Datadetails[[#This Row],[Activity]]),
    IF(ISNUMBER(MATCH(_xlpm.val,{"D04","C30","c40","C20"},0)), _xlpm.val, "Other")
)</f>
        <v>C20</v>
      </c>
      <c r="D2475" s="10" t="str">
        <f>IFERROR(VLOOKUP(Datadetails[[#This Row],[Taskcode]],Dashboard!A:A,1,FALSE),"00 Err Missing")</f>
        <v>0049</v>
      </c>
      <c r="E2475" s="79">
        <v>45938</v>
      </c>
      <c r="F2475" s="80" t="s">
        <v>323</v>
      </c>
      <c r="G2475" s="60" t="s">
        <v>40</v>
      </c>
      <c r="H2475" s="80" t="s">
        <v>216</v>
      </c>
      <c r="I2475" s="80" t="s">
        <v>36</v>
      </c>
      <c r="J2475" s="80" t="s">
        <v>473</v>
      </c>
      <c r="K2475" s="80" t="s">
        <v>346</v>
      </c>
      <c r="L2475" s="80" t="s">
        <v>342</v>
      </c>
      <c r="M2475" s="81">
        <v>0.5</v>
      </c>
      <c r="N2475" s="82">
        <v>30</v>
      </c>
    </row>
    <row r="2476" spans="1:14" x14ac:dyDescent="0.25">
      <c r="A2476" s="10" t="str">
        <f>_xlfn.IFNA(
    IF(J2476=
        "PCB-0001",
        "CSS",
        IF(
            ISNUMBER(MATCH(_xlfn.TEXTBEFORE(J2476,"-"), {"CSS","CSN","PCB","PCF","BEC","CSD","PCM"}, 0)),
            _xlfn.TEXTBEFORE(J2476,"-"),
            "Other"
        )
    ),
"Add")</f>
        <v>BEC</v>
      </c>
      <c r="B2476" s="10" t="str">
        <f t="shared" si="39"/>
        <v>0001</v>
      </c>
      <c r="C2476" s="10" t="str">
        <f>_xlfn.LET(
    _xlpm.val, IF(Datadetails[[#This Row],[Activity]]="D02","C20",Datadetails[[#This Row],[Activity]]),
    IF(ISNUMBER(MATCH(_xlpm.val,{"D04","C30","c40","C20"},0)), _xlpm.val, "Other")
)</f>
        <v>D04</v>
      </c>
      <c r="D2476" s="10" t="str">
        <f>IFERROR(VLOOKUP(Datadetails[[#This Row],[Taskcode]],Dashboard!A:A,1,FALSE),"00 Err Missing")</f>
        <v>0001</v>
      </c>
      <c r="E2476" s="79">
        <v>45938</v>
      </c>
      <c r="F2476" s="80" t="s">
        <v>332</v>
      </c>
      <c r="G2476" s="60" t="s">
        <v>40</v>
      </c>
      <c r="H2476" s="80" t="s">
        <v>314</v>
      </c>
      <c r="I2476" s="80" t="s">
        <v>35</v>
      </c>
      <c r="J2476" s="80" t="s">
        <v>359</v>
      </c>
      <c r="K2476" s="80" t="s">
        <v>339</v>
      </c>
      <c r="L2476" s="80" t="s">
        <v>352</v>
      </c>
      <c r="M2476" s="81">
        <v>8.5</v>
      </c>
      <c r="N2476" s="82">
        <v>340</v>
      </c>
    </row>
    <row r="2477" spans="1:14" x14ac:dyDescent="0.25">
      <c r="A2477" s="10" t="str">
        <f>_xlfn.IFNA(
    IF(J2477=
        "PCB-0001",
        "CSS",
        IF(
            ISNUMBER(MATCH(_xlfn.TEXTBEFORE(J2477,"-"), {"CSS","CSN","PCB","PCF","BEC","CSD","PCM"}, 0)),
            _xlfn.TEXTBEFORE(J2477,"-"),
            "Other"
        )
    ),
"Add")</f>
        <v>BEC</v>
      </c>
      <c r="B2477" s="10" t="str">
        <f t="shared" si="39"/>
        <v>0001</v>
      </c>
      <c r="C2477" s="10" t="str">
        <f>_xlfn.LET(
    _xlpm.val, IF(Datadetails[[#This Row],[Activity]]="D02","C20",Datadetails[[#This Row],[Activity]]),
    IF(ISNUMBER(MATCH(_xlpm.val,{"D04","C30","c40","C20"},0)), _xlpm.val, "Other")
)</f>
        <v>D04</v>
      </c>
      <c r="D2477" s="10" t="str">
        <f>IFERROR(VLOOKUP(Datadetails[[#This Row],[Taskcode]],Dashboard!A:A,1,FALSE),"00 Err Missing")</f>
        <v>0001</v>
      </c>
      <c r="E2477" s="79">
        <v>45938</v>
      </c>
      <c r="F2477" s="80" t="s">
        <v>324</v>
      </c>
      <c r="G2477" s="60" t="s">
        <v>40</v>
      </c>
      <c r="H2477" s="80" t="s">
        <v>314</v>
      </c>
      <c r="I2477" s="80" t="s">
        <v>35</v>
      </c>
      <c r="J2477" s="80" t="s">
        <v>359</v>
      </c>
      <c r="K2477" s="80" t="s">
        <v>339</v>
      </c>
      <c r="L2477" s="80" t="s">
        <v>352</v>
      </c>
      <c r="M2477" s="81">
        <v>8</v>
      </c>
      <c r="N2477" s="82">
        <v>600</v>
      </c>
    </row>
    <row r="2478" spans="1:14" x14ac:dyDescent="0.25">
      <c r="A2478" s="10" t="str">
        <f>_xlfn.IFNA(
    IF(J2478=
        "PCB-0001",
        "CSS",
        IF(
            ISNUMBER(MATCH(_xlfn.TEXTBEFORE(J2478,"-"), {"CSS","CSN","PCB","PCF","BEC","CSD","PCM"}, 0)),
            _xlfn.TEXTBEFORE(J2478,"-"),
            "Other"
        )
    ),
"Add")</f>
        <v>CSD</v>
      </c>
      <c r="B2478" s="10" t="str">
        <f t="shared" si="39"/>
        <v>0001</v>
      </c>
      <c r="C2478" s="10" t="str">
        <f>_xlfn.LET(
    _xlpm.val, IF(Datadetails[[#This Row],[Activity]]="D02","C20",Datadetails[[#This Row],[Activity]]),
    IF(ISNUMBER(MATCH(_xlpm.val,{"D04","C30","c40","C20"},0)), _xlpm.val, "Other")
)</f>
        <v>D04</v>
      </c>
      <c r="D2478" s="10" t="str">
        <f>IFERROR(VLOOKUP(Datadetails[[#This Row],[Taskcode]],Dashboard!A:A,1,FALSE),"00 Err Missing")</f>
        <v>0001</v>
      </c>
      <c r="E2478" s="79">
        <v>45938</v>
      </c>
      <c r="F2478" s="80" t="s">
        <v>333</v>
      </c>
      <c r="G2478" s="60" t="s">
        <v>40</v>
      </c>
      <c r="H2478" s="80" t="s">
        <v>320</v>
      </c>
      <c r="I2478" s="80" t="s">
        <v>35</v>
      </c>
      <c r="J2478" s="80" t="s">
        <v>322</v>
      </c>
      <c r="K2478" s="80" t="s">
        <v>319</v>
      </c>
      <c r="L2478" s="80" t="s">
        <v>352</v>
      </c>
      <c r="M2478" s="81">
        <v>7.52</v>
      </c>
      <c r="N2478" s="82">
        <v>240.64</v>
      </c>
    </row>
    <row r="2479" spans="1:14" x14ac:dyDescent="0.25">
      <c r="A2479" s="10" t="str">
        <f>_xlfn.IFNA(
    IF(J2479=
        "PCB-0001",
        "CSS",
        IF(
            ISNUMBER(MATCH(_xlfn.TEXTBEFORE(J2479,"-"), {"CSS","CSN","PCB","PCF","BEC","CSD","PCM"}, 0)),
            _xlfn.TEXTBEFORE(J2479,"-"),
            "Other"
        )
    ),
"Add")</f>
        <v>CSD</v>
      </c>
      <c r="B2479" s="10" t="str">
        <f t="shared" si="39"/>
        <v>0001</v>
      </c>
      <c r="C2479" s="10" t="str">
        <f>_xlfn.LET(
    _xlpm.val, IF(Datadetails[[#This Row],[Activity]]="D02","C20",Datadetails[[#This Row],[Activity]]),
    IF(ISNUMBER(MATCH(_xlpm.val,{"D04","C30","c40","C20"},0)), _xlpm.val, "Other")
)</f>
        <v>D04</v>
      </c>
      <c r="D2479" s="10" t="str">
        <f>IFERROR(VLOOKUP(Datadetails[[#This Row],[Taskcode]],Dashboard!A:A,1,FALSE),"00 Err Missing")</f>
        <v>0001</v>
      </c>
      <c r="E2479" s="79">
        <v>45938</v>
      </c>
      <c r="F2479" s="80" t="s">
        <v>327</v>
      </c>
      <c r="G2479" s="60" t="s">
        <v>40</v>
      </c>
      <c r="H2479" s="80" t="s">
        <v>320</v>
      </c>
      <c r="I2479" s="80" t="s">
        <v>35</v>
      </c>
      <c r="J2479" s="80" t="s">
        <v>322</v>
      </c>
      <c r="K2479" s="80" t="s">
        <v>319</v>
      </c>
      <c r="L2479" s="80" t="s">
        <v>352</v>
      </c>
      <c r="M2479" s="81">
        <v>7.5</v>
      </c>
      <c r="N2479" s="82">
        <v>240</v>
      </c>
    </row>
    <row r="2480" spans="1:14" x14ac:dyDescent="0.25">
      <c r="A2480" s="10" t="str">
        <f>_xlfn.IFNA(
    IF(J2480=
        "PCB-0001",
        "CSS",
        IF(
            ISNUMBER(MATCH(_xlfn.TEXTBEFORE(J2480,"-"), {"CSS","CSN","PCB","PCF","BEC","CSD","PCM"}, 0)),
            _xlfn.TEXTBEFORE(J2480,"-"),
            "Other"
        )
    ),
"Add")</f>
        <v>PCM</v>
      </c>
      <c r="B2480" s="10" t="str">
        <f t="shared" si="39"/>
        <v>0065</v>
      </c>
      <c r="C2480" s="10" t="str">
        <f>_xlfn.LET(
    _xlpm.val, IF(Datadetails[[#This Row],[Activity]]="D02","C20",Datadetails[[#This Row],[Activity]]),
    IF(ISNUMBER(MATCH(_xlpm.val,{"D04","C30","c40","C20"},0)), _xlpm.val, "Other")
)</f>
        <v>C20</v>
      </c>
      <c r="D2480" s="10" t="str">
        <f>IFERROR(VLOOKUP(Datadetails[[#This Row],[Taskcode]],Dashboard!A:A,1,FALSE),"00 Err Missing")</f>
        <v>0065</v>
      </c>
      <c r="E2480" s="79">
        <v>45938</v>
      </c>
      <c r="F2480" s="80" t="s">
        <v>323</v>
      </c>
      <c r="G2480" s="60" t="s">
        <v>40</v>
      </c>
      <c r="H2480" s="80" t="s">
        <v>232</v>
      </c>
      <c r="I2480" s="80" t="s">
        <v>36</v>
      </c>
      <c r="J2480" s="80" t="s">
        <v>393</v>
      </c>
      <c r="K2480" s="80" t="s">
        <v>346</v>
      </c>
      <c r="L2480" s="80" t="s">
        <v>342</v>
      </c>
      <c r="M2480" s="81">
        <v>0.5</v>
      </c>
      <c r="N2480" s="82">
        <v>30</v>
      </c>
    </row>
    <row r="2481" spans="1:14" x14ac:dyDescent="0.25">
      <c r="A2481" s="10" t="str">
        <f>_xlfn.IFNA(
    IF(J2481=
        "PCB-0001",
        "CSS",
        IF(
            ISNUMBER(MATCH(_xlfn.TEXTBEFORE(J2481,"-"), {"CSS","CSN","PCB","PCF","BEC","CSD","PCM"}, 0)),
            _xlfn.TEXTBEFORE(J2481,"-"),
            "Other"
        )
    ),
"Add")</f>
        <v>PCM</v>
      </c>
      <c r="B2481" s="10" t="str">
        <f t="shared" si="39"/>
        <v>0078</v>
      </c>
      <c r="C2481" s="10" t="str">
        <f>_xlfn.LET(
    _xlpm.val, IF(Datadetails[[#This Row],[Activity]]="D02","C20",Datadetails[[#This Row],[Activity]]),
    IF(ISNUMBER(MATCH(_xlpm.val,{"D04","C30","c40","C20"},0)), _xlpm.val, "Other")
)</f>
        <v>C20</v>
      </c>
      <c r="D2481" s="10" t="str">
        <f>IFERROR(VLOOKUP(Datadetails[[#This Row],[Taskcode]],Dashboard!A:A,1,FALSE),"00 Err Missing")</f>
        <v>0078</v>
      </c>
      <c r="E2481" s="79">
        <v>45938</v>
      </c>
      <c r="F2481" s="80" t="s">
        <v>323</v>
      </c>
      <c r="G2481" s="60" t="s">
        <v>40</v>
      </c>
      <c r="H2481" s="80" t="s">
        <v>245</v>
      </c>
      <c r="I2481" s="80" t="s">
        <v>36</v>
      </c>
      <c r="J2481" s="80" t="s">
        <v>435</v>
      </c>
      <c r="K2481" s="80" t="s">
        <v>346</v>
      </c>
      <c r="L2481" s="80" t="s">
        <v>342</v>
      </c>
      <c r="M2481" s="81">
        <v>0.5</v>
      </c>
      <c r="N2481" s="82">
        <v>30</v>
      </c>
    </row>
    <row r="2482" spans="1:14" x14ac:dyDescent="0.25">
      <c r="A2482" s="10" t="str">
        <f>_xlfn.IFNA(
    IF(J2482=
        "PCB-0001",
        "CSS",
        IF(
            ISNUMBER(MATCH(_xlfn.TEXTBEFORE(J2482,"-"), {"CSS","CSN","PCB","PCF","BEC","CSD","PCM"}, 0)),
            _xlfn.TEXTBEFORE(J2482,"-"),
            "Other"
        )
    ),
"Add")</f>
        <v>PCM</v>
      </c>
      <c r="B2482" s="10" t="str">
        <f t="shared" si="39"/>
        <v>0100</v>
      </c>
      <c r="C2482" s="10" t="str">
        <f>_xlfn.LET(
    _xlpm.val, IF(Datadetails[[#This Row],[Activity]]="D02","C20",Datadetails[[#This Row],[Activity]]),
    IF(ISNUMBER(MATCH(_xlpm.val,{"D04","C30","c40","C20"},0)), _xlpm.val, "Other")
)</f>
        <v>C20</v>
      </c>
      <c r="D2482" s="10" t="str">
        <f>IFERROR(VLOOKUP(Datadetails[[#This Row],[Taskcode]],Dashboard!A:A,1,FALSE),"00 Err Missing")</f>
        <v>0100</v>
      </c>
      <c r="E2482" s="79">
        <v>45938</v>
      </c>
      <c r="F2482" s="80" t="s">
        <v>323</v>
      </c>
      <c r="G2482" s="60" t="s">
        <v>40</v>
      </c>
      <c r="H2482" s="80" t="s">
        <v>267</v>
      </c>
      <c r="I2482" s="80" t="s">
        <v>36</v>
      </c>
      <c r="J2482" s="80" t="s">
        <v>436</v>
      </c>
      <c r="K2482" s="80" t="s">
        <v>346</v>
      </c>
      <c r="L2482" s="80" t="s">
        <v>342</v>
      </c>
      <c r="M2482" s="81">
        <v>0.5</v>
      </c>
      <c r="N2482" s="82">
        <v>30</v>
      </c>
    </row>
    <row r="2483" spans="1:14" x14ac:dyDescent="0.25">
      <c r="A2483" s="10" t="str">
        <f>_xlfn.IFNA(
    IF(J2483=
        "PCB-0001",
        "CSS",
        IF(
            ISNUMBER(MATCH(_xlfn.TEXTBEFORE(J2483,"-"), {"CSS","CSN","PCB","PCF","BEC","CSD","PCM"}, 0)),
            _xlfn.TEXTBEFORE(J2483,"-"),
            "Other"
        )
    ),
"Add")</f>
        <v>PCM</v>
      </c>
      <c r="B2483" s="10" t="str">
        <f t="shared" si="39"/>
        <v>0113</v>
      </c>
      <c r="C2483" s="10" t="str">
        <f>_xlfn.LET(
    _xlpm.val, IF(Datadetails[[#This Row],[Activity]]="D02","C20",Datadetails[[#This Row],[Activity]]),
    IF(ISNUMBER(MATCH(_xlpm.val,{"D04","C30","c40","C20"},0)), _xlpm.val, "Other")
)</f>
        <v>C30</v>
      </c>
      <c r="D2483" s="10" t="str">
        <f>IFERROR(VLOOKUP(Datadetails[[#This Row],[Taskcode]],Dashboard!A:A,1,FALSE),"00 Err Missing")</f>
        <v>0113</v>
      </c>
      <c r="E2483" s="79">
        <v>45938</v>
      </c>
      <c r="F2483" s="80" t="s">
        <v>323</v>
      </c>
      <c r="G2483" s="60" t="s">
        <v>40</v>
      </c>
      <c r="H2483" s="80" t="s">
        <v>280</v>
      </c>
      <c r="I2483" s="80" t="s">
        <v>34</v>
      </c>
      <c r="J2483" s="80" t="s">
        <v>445</v>
      </c>
      <c r="K2483" s="80" t="s">
        <v>346</v>
      </c>
      <c r="L2483" s="80" t="s">
        <v>343</v>
      </c>
      <c r="M2483" s="81">
        <v>0.25</v>
      </c>
      <c r="N2483" s="82">
        <v>15</v>
      </c>
    </row>
    <row r="2484" spans="1:14" x14ac:dyDescent="0.25">
      <c r="A2484" s="10" t="str">
        <f>_xlfn.IFNA(
    IF(J2484=
        "PCB-0001",
        "CSS",
        IF(
            ISNUMBER(MATCH(_xlfn.TEXTBEFORE(J2484,"-"), {"CSS","CSN","PCB","PCF","BEC","CSD","PCM"}, 0)),
            _xlfn.TEXTBEFORE(J2484,"-"),
            "Other"
        )
    ),
"Add")</f>
        <v>PCB</v>
      </c>
      <c r="B2484" s="10" t="str">
        <f t="shared" si="39"/>
        <v>0030</v>
      </c>
      <c r="C2484" s="10" t="str">
        <f>_xlfn.LET(
    _xlpm.val, IF(Datadetails[[#This Row],[Activity]]="D02","C20",Datadetails[[#This Row],[Activity]]),
    IF(ISNUMBER(MATCH(_xlpm.val,{"D04","C30","c40","C20"},0)), _xlpm.val, "Other")
)</f>
        <v>C30</v>
      </c>
      <c r="D2484" s="10" t="str">
        <f>IFERROR(VLOOKUP(Datadetails[[#This Row],[Taskcode]],Dashboard!A:A,1,FALSE),"00 Err Missing")</f>
        <v>0030</v>
      </c>
      <c r="E2484" s="79">
        <v>45938</v>
      </c>
      <c r="F2484" s="80" t="s">
        <v>329</v>
      </c>
      <c r="G2484" s="60" t="s">
        <v>40</v>
      </c>
      <c r="H2484" s="80" t="s">
        <v>197</v>
      </c>
      <c r="I2484" s="80" t="s">
        <v>34</v>
      </c>
      <c r="J2484" s="80" t="s">
        <v>366</v>
      </c>
      <c r="K2484" s="80" t="s">
        <v>347</v>
      </c>
      <c r="L2484" s="80" t="s">
        <v>343</v>
      </c>
      <c r="M2484" s="81">
        <v>0.33</v>
      </c>
      <c r="N2484" s="82">
        <v>24.75</v>
      </c>
    </row>
    <row r="2485" spans="1:14" x14ac:dyDescent="0.25">
      <c r="A2485" s="10" t="str">
        <f>_xlfn.IFNA(
    IF(J2485=
        "PCB-0001",
        "CSS",
        IF(
            ISNUMBER(MATCH(_xlfn.TEXTBEFORE(J2485,"-"), {"CSS","CSN","PCB","PCF","BEC","CSD","PCM"}, 0)),
            _xlfn.TEXTBEFORE(J2485,"-"),
            "Other"
        )
    ),
"Add")</f>
        <v>PCB</v>
      </c>
      <c r="B2485" s="10" t="str">
        <f t="shared" si="39"/>
        <v>0039</v>
      </c>
      <c r="C2485" s="10" t="str">
        <f>_xlfn.LET(
    _xlpm.val, IF(Datadetails[[#This Row],[Activity]]="D02","C20",Datadetails[[#This Row],[Activity]]),
    IF(ISNUMBER(MATCH(_xlpm.val,{"D04","C30","c40","C20"},0)), _xlpm.val, "Other")
)</f>
        <v>C30</v>
      </c>
      <c r="D2485" s="10" t="str">
        <f>IFERROR(VLOOKUP(Datadetails[[#This Row],[Taskcode]],Dashboard!A:A,1,FALSE),"00 Err Missing")</f>
        <v>0039</v>
      </c>
      <c r="E2485" s="79">
        <v>45938</v>
      </c>
      <c r="F2485" s="80" t="s">
        <v>329</v>
      </c>
      <c r="G2485" s="60" t="s">
        <v>40</v>
      </c>
      <c r="H2485" s="80" t="s">
        <v>206</v>
      </c>
      <c r="I2485" s="80" t="s">
        <v>34</v>
      </c>
      <c r="J2485" s="80" t="s">
        <v>367</v>
      </c>
      <c r="K2485" s="80" t="s">
        <v>347</v>
      </c>
      <c r="L2485" s="80" t="s">
        <v>343</v>
      </c>
      <c r="M2485" s="81">
        <v>0.25</v>
      </c>
      <c r="N2485" s="82">
        <v>18.75</v>
      </c>
    </row>
    <row r="2486" spans="1:14" x14ac:dyDescent="0.25">
      <c r="A2486" s="10" t="str">
        <f>_xlfn.IFNA(
    IF(J2486=
        "PCB-0001",
        "CSS",
        IF(
            ISNUMBER(MATCH(_xlfn.TEXTBEFORE(J2486,"-"), {"CSS","CSN","PCB","PCF","BEC","CSD","PCM"}, 0)),
            _xlfn.TEXTBEFORE(J2486,"-"),
            "Other"
        )
    ),
"Add")</f>
        <v>PCB</v>
      </c>
      <c r="B2486" s="10" t="str">
        <f t="shared" si="39"/>
        <v>0134</v>
      </c>
      <c r="C2486" s="10" t="str">
        <f>_xlfn.LET(
    _xlpm.val, IF(Datadetails[[#This Row],[Activity]]="D02","C20",Datadetails[[#This Row],[Activity]]),
    IF(ISNUMBER(MATCH(_xlpm.val,{"D04","C30","c40","C20"},0)), _xlpm.val, "Other")
)</f>
        <v>C30</v>
      </c>
      <c r="D2486" s="10" t="str">
        <f>IFERROR(VLOOKUP(Datadetails[[#This Row],[Taskcode]],Dashboard!A:A,1,FALSE),"00 Err Missing")</f>
        <v>0134</v>
      </c>
      <c r="E2486" s="79">
        <v>45938</v>
      </c>
      <c r="F2486" s="80" t="s">
        <v>329</v>
      </c>
      <c r="G2486" s="60" t="s">
        <v>40</v>
      </c>
      <c r="H2486" s="80" t="s">
        <v>301</v>
      </c>
      <c r="I2486" s="80" t="s">
        <v>34</v>
      </c>
      <c r="J2486" s="80" t="s">
        <v>371</v>
      </c>
      <c r="K2486" s="80" t="s">
        <v>347</v>
      </c>
      <c r="L2486" s="80" t="s">
        <v>343</v>
      </c>
      <c r="M2486" s="81">
        <v>0.42</v>
      </c>
      <c r="N2486" s="82">
        <v>31.5</v>
      </c>
    </row>
    <row r="2487" spans="1:14" x14ac:dyDescent="0.25">
      <c r="A2487" s="10" t="str">
        <f>_xlfn.IFNA(
    IF(J2487=
        "PCB-0001",
        "CSS",
        IF(
            ISNUMBER(MATCH(_xlfn.TEXTBEFORE(J2487,"-"), {"CSS","CSN","PCB","PCF","BEC","CSD","PCM"}, 0)),
            _xlfn.TEXTBEFORE(J2487,"-"),
            "Other"
        )
    ),
"Add")</f>
        <v>PCB</v>
      </c>
      <c r="B2487" s="10" t="str">
        <f t="shared" si="39"/>
        <v>0059</v>
      </c>
      <c r="C2487" s="10" t="str">
        <f>_xlfn.LET(
    _xlpm.val, IF(Datadetails[[#This Row],[Activity]]="D02","C20",Datadetails[[#This Row],[Activity]]),
    IF(ISNUMBER(MATCH(_xlpm.val,{"D04","C30","c40","C20"},0)), _xlpm.val, "Other")
)</f>
        <v>C30</v>
      </c>
      <c r="D2487" s="10" t="str">
        <f>IFERROR(VLOOKUP(Datadetails[[#This Row],[Taskcode]],Dashboard!A:A,1,FALSE),"00 Err Missing")</f>
        <v>0059</v>
      </c>
      <c r="E2487" s="79">
        <v>45938</v>
      </c>
      <c r="F2487" s="80" t="s">
        <v>325</v>
      </c>
      <c r="G2487" s="60" t="s">
        <v>40</v>
      </c>
      <c r="H2487" s="80" t="s">
        <v>226</v>
      </c>
      <c r="I2487" s="80" t="s">
        <v>34</v>
      </c>
      <c r="J2487" s="80" t="s">
        <v>401</v>
      </c>
      <c r="K2487" s="80" t="s">
        <v>347</v>
      </c>
      <c r="L2487" s="80" t="s">
        <v>343</v>
      </c>
      <c r="M2487" s="81">
        <v>0.33</v>
      </c>
      <c r="N2487" s="82">
        <v>24.75</v>
      </c>
    </row>
    <row r="2488" spans="1:14" x14ac:dyDescent="0.25">
      <c r="A2488" s="10" t="str">
        <f>_xlfn.IFNA(
    IF(J2488=
        "PCB-0001",
        "CSS",
        IF(
            ISNUMBER(MATCH(_xlfn.TEXTBEFORE(J2488,"-"), {"CSS","CSN","PCB","PCF","BEC","CSD","PCM"}, 0)),
            _xlfn.TEXTBEFORE(J2488,"-"),
            "Other"
        )
    ),
"Add")</f>
        <v>PCB</v>
      </c>
      <c r="B2488" s="10" t="str">
        <f t="shared" si="39"/>
        <v>0140</v>
      </c>
      <c r="C2488" s="10" t="str">
        <f>_xlfn.LET(
    _xlpm.val, IF(Datadetails[[#This Row],[Activity]]="D02","C20",Datadetails[[#This Row],[Activity]]),
    IF(ISNUMBER(MATCH(_xlpm.val,{"D04","C30","c40","C20"},0)), _xlpm.val, "Other")
)</f>
        <v>C30</v>
      </c>
      <c r="D2488" s="10" t="str">
        <f>IFERROR(VLOOKUP(Datadetails[[#This Row],[Taskcode]],Dashboard!A:A,1,FALSE),"00 Err Missing")</f>
        <v>0140</v>
      </c>
      <c r="E2488" s="79">
        <v>45938</v>
      </c>
      <c r="F2488" s="80" t="s">
        <v>325</v>
      </c>
      <c r="G2488" s="60" t="s">
        <v>40</v>
      </c>
      <c r="H2488" s="80" t="s">
        <v>307</v>
      </c>
      <c r="I2488" s="80" t="s">
        <v>34</v>
      </c>
      <c r="J2488" s="80" t="s">
        <v>472</v>
      </c>
      <c r="K2488" s="80" t="s">
        <v>347</v>
      </c>
      <c r="L2488" s="80" t="s">
        <v>343</v>
      </c>
      <c r="M2488" s="81">
        <v>0.42</v>
      </c>
      <c r="N2488" s="82">
        <v>31.5</v>
      </c>
    </row>
    <row r="2489" spans="1:14" x14ac:dyDescent="0.25">
      <c r="A2489" s="10" t="str">
        <f>_xlfn.IFNA(
    IF(J2489=
        "PCB-0001",
        "CSS",
        IF(
            ISNUMBER(MATCH(_xlfn.TEXTBEFORE(J2489,"-"), {"CSS","CSN","PCB","PCF","BEC","CSD","PCM"}, 0)),
            _xlfn.TEXTBEFORE(J2489,"-"),
            "Other"
        )
    ),
"Add")</f>
        <v>PCB</v>
      </c>
      <c r="B2489" s="10" t="str">
        <f t="shared" si="39"/>
        <v>0120</v>
      </c>
      <c r="C2489" s="10" t="str">
        <f>_xlfn.LET(
    _xlpm.val, IF(Datadetails[[#This Row],[Activity]]="D02","C20",Datadetails[[#This Row],[Activity]]),
    IF(ISNUMBER(MATCH(_xlpm.val,{"D04","C30","c40","C20"},0)), _xlpm.val, "Other")
)</f>
        <v>C30</v>
      </c>
      <c r="D2489" s="10" t="str">
        <f>IFERROR(VLOOKUP(Datadetails[[#This Row],[Taskcode]],Dashboard!A:A,1,FALSE),"00 Err Missing")</f>
        <v>0120</v>
      </c>
      <c r="E2489" s="79">
        <v>45938</v>
      </c>
      <c r="F2489" s="80" t="s">
        <v>325</v>
      </c>
      <c r="G2489" s="60" t="s">
        <v>40</v>
      </c>
      <c r="H2489" s="80" t="s">
        <v>287</v>
      </c>
      <c r="I2489" s="80" t="s">
        <v>34</v>
      </c>
      <c r="J2489" s="80" t="s">
        <v>378</v>
      </c>
      <c r="K2489" s="80" t="s">
        <v>347</v>
      </c>
      <c r="L2489" s="80" t="s">
        <v>343</v>
      </c>
      <c r="M2489" s="81">
        <v>0.57999999999999996</v>
      </c>
      <c r="N2489" s="82">
        <v>43.5</v>
      </c>
    </row>
    <row r="2490" spans="1:14" x14ac:dyDescent="0.25">
      <c r="A2490" s="10" t="str">
        <f>_xlfn.IFNA(
    IF(J2490=
        "PCB-0001",
        "CSS",
        IF(
            ISNUMBER(MATCH(_xlfn.TEXTBEFORE(J2490,"-"), {"CSS","CSN","PCB","PCF","BEC","CSD","PCM"}, 0)),
            _xlfn.TEXTBEFORE(J2490,"-"),
            "Other"
        )
    ),
"Add")</f>
        <v>PCB</v>
      </c>
      <c r="B2490" s="10" t="str">
        <f t="shared" si="39"/>
        <v>0085</v>
      </c>
      <c r="C2490" s="10" t="str">
        <f>_xlfn.LET(
    _xlpm.val, IF(Datadetails[[#This Row],[Activity]]="D02","C20",Datadetails[[#This Row],[Activity]]),
    IF(ISNUMBER(MATCH(_xlpm.val,{"D04","C30","c40","C20"},0)), _xlpm.val, "Other")
)</f>
        <v>C30</v>
      </c>
      <c r="D2490" s="10" t="str">
        <f>IFERROR(VLOOKUP(Datadetails[[#This Row],[Taskcode]],Dashboard!A:A,1,FALSE),"00 Err Missing")</f>
        <v>0085</v>
      </c>
      <c r="E2490" s="79">
        <v>45938</v>
      </c>
      <c r="F2490" s="80" t="s">
        <v>329</v>
      </c>
      <c r="G2490" s="60" t="s">
        <v>40</v>
      </c>
      <c r="H2490" s="80" t="s">
        <v>252</v>
      </c>
      <c r="I2490" s="80" t="s">
        <v>34</v>
      </c>
      <c r="J2490" s="80" t="s">
        <v>416</v>
      </c>
      <c r="K2490" s="80" t="s">
        <v>347</v>
      </c>
      <c r="L2490" s="80" t="s">
        <v>343</v>
      </c>
      <c r="M2490" s="81">
        <v>0.33</v>
      </c>
      <c r="N2490" s="82">
        <v>24.75</v>
      </c>
    </row>
    <row r="2491" spans="1:14" x14ac:dyDescent="0.25">
      <c r="A2491" s="10" t="str">
        <f>_xlfn.IFNA(
    IF(J2491=
        "PCB-0001",
        "CSS",
        IF(
            ISNUMBER(MATCH(_xlfn.TEXTBEFORE(J2491,"-"), {"CSS","CSN","PCB","PCF","BEC","CSD","PCM"}, 0)),
            _xlfn.TEXTBEFORE(J2491,"-"),
            "Other"
        )
    ),
"Add")</f>
        <v>PCB</v>
      </c>
      <c r="B2491" s="10" t="str">
        <f t="shared" si="39"/>
        <v>0086</v>
      </c>
      <c r="C2491" s="10" t="str">
        <f>_xlfn.LET(
    _xlpm.val, IF(Datadetails[[#This Row],[Activity]]="D02","C20",Datadetails[[#This Row],[Activity]]),
    IF(ISNUMBER(MATCH(_xlpm.val,{"D04","C30","c40","C20"},0)), _xlpm.val, "Other")
)</f>
        <v>C30</v>
      </c>
      <c r="D2491" s="10" t="str">
        <f>IFERROR(VLOOKUP(Datadetails[[#This Row],[Taskcode]],Dashboard!A:A,1,FALSE),"00 Err Missing")</f>
        <v>0086</v>
      </c>
      <c r="E2491" s="79">
        <v>45938</v>
      </c>
      <c r="F2491" s="80" t="s">
        <v>325</v>
      </c>
      <c r="G2491" s="60" t="s">
        <v>40</v>
      </c>
      <c r="H2491" s="80" t="s">
        <v>253</v>
      </c>
      <c r="I2491" s="80" t="s">
        <v>34</v>
      </c>
      <c r="J2491" s="80" t="s">
        <v>408</v>
      </c>
      <c r="K2491" s="80" t="s">
        <v>347</v>
      </c>
      <c r="L2491" s="80" t="s">
        <v>343</v>
      </c>
      <c r="M2491" s="81">
        <v>0.17</v>
      </c>
      <c r="N2491" s="82">
        <v>12.750000000000002</v>
      </c>
    </row>
    <row r="2492" spans="1:14" x14ac:dyDescent="0.25">
      <c r="A2492" s="10" t="str">
        <f>_xlfn.IFNA(
    IF(J2492=
        "PCB-0001",
        "CSS",
        IF(
            ISNUMBER(MATCH(_xlfn.TEXTBEFORE(J2492,"-"), {"CSS","CSN","PCB","PCF","BEC","CSD","PCM"}, 0)),
            _xlfn.TEXTBEFORE(J2492,"-"),
            "Other"
        )
    ),
"Add")</f>
        <v>PCB</v>
      </c>
      <c r="B2492" s="10" t="str">
        <f t="shared" si="39"/>
        <v>0138</v>
      </c>
      <c r="C2492" s="10" t="str">
        <f>_xlfn.LET(
    _xlpm.val, IF(Datadetails[[#This Row],[Activity]]="D02","C20",Datadetails[[#This Row],[Activity]]),
    IF(ISNUMBER(MATCH(_xlpm.val,{"D04","C30","c40","C20"},0)), _xlpm.val, "Other")
)</f>
        <v>C30</v>
      </c>
      <c r="D2492" s="10" t="str">
        <f>IFERROR(VLOOKUP(Datadetails[[#This Row],[Taskcode]],Dashboard!A:A,1,FALSE),"00 Err Missing")</f>
        <v>0138</v>
      </c>
      <c r="E2492" s="79">
        <v>45938</v>
      </c>
      <c r="F2492" s="80" t="s">
        <v>325</v>
      </c>
      <c r="G2492" s="60" t="s">
        <v>40</v>
      </c>
      <c r="H2492" s="80" t="s">
        <v>305</v>
      </c>
      <c r="I2492" s="80" t="s">
        <v>34</v>
      </c>
      <c r="J2492" s="80" t="s">
        <v>382</v>
      </c>
      <c r="K2492" s="80" t="s">
        <v>347</v>
      </c>
      <c r="L2492" s="80" t="s">
        <v>343</v>
      </c>
      <c r="M2492" s="81">
        <v>0.42</v>
      </c>
      <c r="N2492" s="82">
        <v>31.5</v>
      </c>
    </row>
    <row r="2493" spans="1:14" x14ac:dyDescent="0.25">
      <c r="A2493" s="10" t="str">
        <f>_xlfn.IFNA(
    IF(J2493=
        "PCB-0001",
        "CSS",
        IF(
            ISNUMBER(MATCH(_xlfn.TEXTBEFORE(J2493,"-"), {"CSS","CSN","PCB","PCF","BEC","CSD","PCM"}, 0)),
            _xlfn.TEXTBEFORE(J2493,"-"),
            "Other"
        )
    ),
"Add")</f>
        <v>PCB</v>
      </c>
      <c r="B2493" s="10" t="str">
        <f t="shared" si="39"/>
        <v>0111</v>
      </c>
      <c r="C2493" s="10" t="str">
        <f>_xlfn.LET(
    _xlpm.val, IF(Datadetails[[#This Row],[Activity]]="D02","C20",Datadetails[[#This Row],[Activity]]),
    IF(ISNUMBER(MATCH(_xlpm.val,{"D04","C30","c40","C20"},0)), _xlpm.val, "Other")
)</f>
        <v>C30</v>
      </c>
      <c r="D2493" s="10" t="str">
        <f>IFERROR(VLOOKUP(Datadetails[[#This Row],[Taskcode]],Dashboard!A:A,1,FALSE),"00 Err Missing")</f>
        <v>0111</v>
      </c>
      <c r="E2493" s="79">
        <v>45938</v>
      </c>
      <c r="F2493" s="80" t="s">
        <v>325</v>
      </c>
      <c r="G2493" s="60" t="s">
        <v>40</v>
      </c>
      <c r="H2493" s="80" t="s">
        <v>278</v>
      </c>
      <c r="I2493" s="80" t="s">
        <v>34</v>
      </c>
      <c r="J2493" s="80" t="s">
        <v>452</v>
      </c>
      <c r="K2493" s="80" t="s">
        <v>347</v>
      </c>
      <c r="L2493" s="80" t="s">
        <v>343</v>
      </c>
      <c r="M2493" s="81">
        <v>0.92</v>
      </c>
      <c r="N2493" s="82">
        <v>69</v>
      </c>
    </row>
    <row r="2494" spans="1:14" x14ac:dyDescent="0.25">
      <c r="A2494" s="10" t="str">
        <f>_xlfn.IFNA(
    IF(J2494=
        "PCB-0001",
        "CSS",
        IF(
            ISNUMBER(MATCH(_xlfn.TEXTBEFORE(J2494,"-"), {"CSS","CSN","PCB","PCF","BEC","CSD","PCM"}, 0)),
            _xlfn.TEXTBEFORE(J2494,"-"),
            "Other"
        )
    ),
"Add")</f>
        <v>PCF</v>
      </c>
      <c r="B2494" s="10" t="str">
        <f t="shared" si="39"/>
        <v>0021</v>
      </c>
      <c r="C2494" s="10" t="str">
        <f>_xlfn.LET(
    _xlpm.val, IF(Datadetails[[#This Row],[Activity]]="D02","C20",Datadetails[[#This Row],[Activity]]),
    IF(ISNUMBER(MATCH(_xlpm.val,{"D04","C30","c40","C20"},0)), _xlpm.val, "Other")
)</f>
        <v>C30</v>
      </c>
      <c r="D2494" s="10" t="str">
        <f>IFERROR(VLOOKUP(Datadetails[[#This Row],[Taskcode]],Dashboard!A:A,1,FALSE),"00 Err Missing")</f>
        <v>0021</v>
      </c>
      <c r="E2494" s="79">
        <v>45938</v>
      </c>
      <c r="F2494" s="80" t="s">
        <v>326</v>
      </c>
      <c r="G2494" s="60" t="s">
        <v>40</v>
      </c>
      <c r="H2494" s="80" t="s">
        <v>188</v>
      </c>
      <c r="I2494" s="80" t="s">
        <v>34</v>
      </c>
      <c r="J2494" s="80" t="s">
        <v>356</v>
      </c>
      <c r="K2494" s="80" t="s">
        <v>348</v>
      </c>
      <c r="L2494" s="80" t="s">
        <v>343</v>
      </c>
      <c r="M2494" s="81">
        <v>1.17</v>
      </c>
      <c r="N2494" s="82">
        <v>70.199999999999989</v>
      </c>
    </row>
    <row r="2495" spans="1:14" x14ac:dyDescent="0.25">
      <c r="A2495" s="10" t="str">
        <f>_xlfn.IFNA(
    IF(J2495=
        "PCB-0001",
        "CSS",
        IF(
            ISNUMBER(MATCH(_xlfn.TEXTBEFORE(J2495,"-"), {"CSS","CSN","PCB","PCF","BEC","CSD","PCM"}, 0)),
            _xlfn.TEXTBEFORE(J2495,"-"),
            "Other"
        )
    ),
"Add")</f>
        <v>PCF</v>
      </c>
      <c r="B2495" s="10" t="str">
        <f t="shared" si="39"/>
        <v>0098</v>
      </c>
      <c r="C2495" s="10" t="str">
        <f>_xlfn.LET(
    _xlpm.val, IF(Datadetails[[#This Row],[Activity]]="D02","C20",Datadetails[[#This Row],[Activity]]),
    IF(ISNUMBER(MATCH(_xlpm.val,{"D04","C30","c40","C20"},0)), _xlpm.val, "Other")
)</f>
        <v>C30</v>
      </c>
      <c r="D2495" s="10" t="str">
        <f>IFERROR(VLOOKUP(Datadetails[[#This Row],[Taskcode]],Dashboard!A:A,1,FALSE),"00 Err Missing")</f>
        <v>0098</v>
      </c>
      <c r="E2495" s="79">
        <v>45938</v>
      </c>
      <c r="F2495" s="80" t="s">
        <v>326</v>
      </c>
      <c r="G2495" s="60" t="s">
        <v>40</v>
      </c>
      <c r="H2495" s="80" t="s">
        <v>265</v>
      </c>
      <c r="I2495" s="80" t="s">
        <v>34</v>
      </c>
      <c r="J2495" s="80" t="s">
        <v>358</v>
      </c>
      <c r="K2495" s="80" t="s">
        <v>348</v>
      </c>
      <c r="L2495" s="80" t="s">
        <v>343</v>
      </c>
      <c r="M2495" s="81">
        <v>1.33</v>
      </c>
      <c r="N2495" s="82">
        <v>79.800000000000011</v>
      </c>
    </row>
    <row r="2496" spans="1:14" x14ac:dyDescent="0.25">
      <c r="A2496" s="10" t="str">
        <f>_xlfn.IFNA(
    IF(J2496=
        "PCB-0001",
        "CSS",
        IF(
            ISNUMBER(MATCH(_xlfn.TEXTBEFORE(J2496,"-"), {"CSS","CSN","PCB","PCF","BEC","CSD","PCM"}, 0)),
            _xlfn.TEXTBEFORE(J2496,"-"),
            "Other"
        )
    ),
"Add")</f>
        <v>CSN</v>
      </c>
      <c r="B2496" s="10" t="str">
        <f t="shared" si="39"/>
        <v>0001</v>
      </c>
      <c r="C2496" s="10" t="str">
        <f>_xlfn.LET(
    _xlpm.val, IF(Datadetails[[#This Row],[Activity]]="D02","C20",Datadetails[[#This Row],[Activity]]),
    IF(ISNUMBER(MATCH(_xlpm.val,{"D04","C30","c40","C20"},0)), _xlpm.val, "Other")
)</f>
        <v>D04</v>
      </c>
      <c r="D2496" s="10" t="str">
        <f>IFERROR(VLOOKUP(Datadetails[[#This Row],[Taskcode]],Dashboard!A:A,1,FALSE),"00 Err Missing")</f>
        <v>0001</v>
      </c>
      <c r="E2496" s="79">
        <v>45939</v>
      </c>
      <c r="F2496" s="80" t="s">
        <v>329</v>
      </c>
      <c r="G2496" s="60" t="s">
        <v>40</v>
      </c>
      <c r="H2496" s="80" t="s">
        <v>316</v>
      </c>
      <c r="I2496" s="80" t="s">
        <v>35</v>
      </c>
      <c r="J2496" s="80" t="s">
        <v>338</v>
      </c>
      <c r="K2496" s="80" t="s">
        <v>337</v>
      </c>
      <c r="L2496" s="80" t="s">
        <v>352</v>
      </c>
      <c r="M2496" s="81">
        <v>1</v>
      </c>
      <c r="N2496" s="82">
        <v>75</v>
      </c>
    </row>
    <row r="2497" spans="1:14" x14ac:dyDescent="0.25">
      <c r="A2497" s="10" t="str">
        <f>_xlfn.IFNA(
    IF(J2497=
        "PCB-0001",
        "CSS",
        IF(
            ISNUMBER(MATCH(_xlfn.TEXTBEFORE(J2497,"-"), {"CSS","CSN","PCB","PCF","BEC","CSD","PCM"}, 0)),
            _xlfn.TEXTBEFORE(J2497,"-"),
            "Other"
        )
    ),
"Add")</f>
        <v>BEC</v>
      </c>
      <c r="B2497" s="10" t="str">
        <f t="shared" si="39"/>
        <v>0001</v>
      </c>
      <c r="C2497" s="10" t="str">
        <f>_xlfn.LET(
    _xlpm.val, IF(Datadetails[[#This Row],[Activity]]="D02","C20",Datadetails[[#This Row],[Activity]]),
    IF(ISNUMBER(MATCH(_xlpm.val,{"D04","C30","c40","C20"},0)), _xlpm.val, "Other")
)</f>
        <v>D04</v>
      </c>
      <c r="D2497" s="10" t="str">
        <f>IFERROR(VLOOKUP(Datadetails[[#This Row],[Taskcode]],Dashboard!A:A,1,FALSE),"00 Err Missing")</f>
        <v>0001</v>
      </c>
      <c r="E2497" s="79">
        <v>45939</v>
      </c>
      <c r="F2497" s="80" t="s">
        <v>332</v>
      </c>
      <c r="G2497" s="60" t="s">
        <v>40</v>
      </c>
      <c r="H2497" s="80" t="s">
        <v>314</v>
      </c>
      <c r="I2497" s="80" t="s">
        <v>35</v>
      </c>
      <c r="J2497" s="80" t="s">
        <v>359</v>
      </c>
      <c r="K2497" s="80" t="s">
        <v>339</v>
      </c>
      <c r="L2497" s="80" t="s">
        <v>352</v>
      </c>
      <c r="M2497" s="81">
        <v>8.17</v>
      </c>
      <c r="N2497" s="82">
        <v>326.8</v>
      </c>
    </row>
    <row r="2498" spans="1:14" x14ac:dyDescent="0.25">
      <c r="A2498" s="10" t="str">
        <f>_xlfn.IFNA(
    IF(J2498=
        "PCB-0001",
        "CSS",
        IF(
            ISNUMBER(MATCH(_xlfn.TEXTBEFORE(J2498,"-"), {"CSS","CSN","PCB","PCF","BEC","CSD","PCM"}, 0)),
            _xlfn.TEXTBEFORE(J2498,"-"),
            "Other"
        )
    ),
"Add")</f>
        <v>BEC</v>
      </c>
      <c r="B2498" s="10" t="str">
        <f t="shared" si="39"/>
        <v>0001</v>
      </c>
      <c r="C2498" s="10" t="str">
        <f>_xlfn.LET(
    _xlpm.val, IF(Datadetails[[#This Row],[Activity]]="D02","C20",Datadetails[[#This Row],[Activity]]),
    IF(ISNUMBER(MATCH(_xlpm.val,{"D04","C30","c40","C20"},0)), _xlpm.val, "Other")
)</f>
        <v>D04</v>
      </c>
      <c r="D2498" s="10" t="str">
        <f>IFERROR(VLOOKUP(Datadetails[[#This Row],[Taskcode]],Dashboard!A:A,1,FALSE),"00 Err Missing")</f>
        <v>0001</v>
      </c>
      <c r="E2498" s="79">
        <v>45939</v>
      </c>
      <c r="F2498" s="80" t="s">
        <v>324</v>
      </c>
      <c r="G2498" s="60" t="s">
        <v>40</v>
      </c>
      <c r="H2498" s="80" t="s">
        <v>314</v>
      </c>
      <c r="I2498" s="80" t="s">
        <v>35</v>
      </c>
      <c r="J2498" s="80" t="s">
        <v>359</v>
      </c>
      <c r="K2498" s="80" t="s">
        <v>339</v>
      </c>
      <c r="L2498" s="80" t="s">
        <v>352</v>
      </c>
      <c r="M2498" s="81">
        <v>6.25</v>
      </c>
      <c r="N2498" s="82">
        <v>468.75</v>
      </c>
    </row>
    <row r="2499" spans="1:14" x14ac:dyDescent="0.25">
      <c r="A2499" s="10" t="str">
        <f>_xlfn.IFNA(
    IF(J2499=
        "PCB-0001",
        "CSS",
        IF(
            ISNUMBER(MATCH(_xlfn.TEXTBEFORE(J2499,"-"), {"CSS","CSN","PCB","PCF","BEC","CSD","PCM"}, 0)),
            _xlfn.TEXTBEFORE(J2499,"-"),
            "Other"
        )
    ),
"Add")</f>
        <v>CSD</v>
      </c>
      <c r="B2499" s="10" t="str">
        <f t="shared" si="39"/>
        <v>0001</v>
      </c>
      <c r="C2499" s="10" t="str">
        <f>_xlfn.LET(
    _xlpm.val, IF(Datadetails[[#This Row],[Activity]]="D02","C20",Datadetails[[#This Row],[Activity]]),
    IF(ISNUMBER(MATCH(_xlpm.val,{"D04","C30","c40","C20"},0)), _xlpm.val, "Other")
)</f>
        <v>D04</v>
      </c>
      <c r="D2499" s="10" t="str">
        <f>IFERROR(VLOOKUP(Datadetails[[#This Row],[Taskcode]],Dashboard!A:A,1,FALSE),"00 Err Missing")</f>
        <v>0001</v>
      </c>
      <c r="E2499" s="79">
        <v>45939</v>
      </c>
      <c r="F2499" s="80" t="s">
        <v>333</v>
      </c>
      <c r="G2499" s="60" t="s">
        <v>40</v>
      </c>
      <c r="H2499" s="80" t="s">
        <v>320</v>
      </c>
      <c r="I2499" s="80" t="s">
        <v>35</v>
      </c>
      <c r="J2499" s="80" t="s">
        <v>322</v>
      </c>
      <c r="K2499" s="80" t="s">
        <v>319</v>
      </c>
      <c r="L2499" s="80" t="s">
        <v>352</v>
      </c>
      <c r="M2499" s="81">
        <v>7.42</v>
      </c>
      <c r="N2499" s="82">
        <v>237.44</v>
      </c>
    </row>
    <row r="2500" spans="1:14" x14ac:dyDescent="0.25">
      <c r="A2500" s="10" t="str">
        <f>_xlfn.IFNA(
    IF(J2500=
        "PCB-0001",
        "CSS",
        IF(
            ISNUMBER(MATCH(_xlfn.TEXTBEFORE(J2500,"-"), {"CSS","CSN","PCB","PCF","BEC","CSD","PCM"}, 0)),
            _xlfn.TEXTBEFORE(J2500,"-"),
            "Other"
        )
    ),
"Add")</f>
        <v>CSD</v>
      </c>
      <c r="B2500" s="10" t="str">
        <f t="shared" ref="B2500:B2563" si="40">_xlfn.IFNA(_xlfn.TEXTAFTER(J2500,"-"),"Data to C2")</f>
        <v>0001</v>
      </c>
      <c r="C2500" s="10" t="str">
        <f>_xlfn.LET(
    _xlpm.val, IF(Datadetails[[#This Row],[Activity]]="D02","C20",Datadetails[[#This Row],[Activity]]),
    IF(ISNUMBER(MATCH(_xlpm.val,{"D04","C30","c40","C20"},0)), _xlpm.val, "Other")
)</f>
        <v>D04</v>
      </c>
      <c r="D2500" s="10" t="str">
        <f>IFERROR(VLOOKUP(Datadetails[[#This Row],[Taskcode]],Dashboard!A:A,1,FALSE),"00 Err Missing")</f>
        <v>0001</v>
      </c>
      <c r="E2500" s="79">
        <v>45939</v>
      </c>
      <c r="F2500" s="80" t="s">
        <v>327</v>
      </c>
      <c r="G2500" s="60" t="s">
        <v>40</v>
      </c>
      <c r="H2500" s="80" t="s">
        <v>320</v>
      </c>
      <c r="I2500" s="80" t="s">
        <v>35</v>
      </c>
      <c r="J2500" s="80" t="s">
        <v>322</v>
      </c>
      <c r="K2500" s="80" t="s">
        <v>319</v>
      </c>
      <c r="L2500" s="80" t="s">
        <v>352</v>
      </c>
      <c r="M2500" s="81">
        <v>7.42</v>
      </c>
      <c r="N2500" s="82">
        <v>237.44</v>
      </c>
    </row>
    <row r="2501" spans="1:14" x14ac:dyDescent="0.25">
      <c r="A2501" s="10" t="str">
        <f>_xlfn.IFNA(
    IF(J2501=
        "PCB-0001",
        "CSS",
        IF(
            ISNUMBER(MATCH(_xlfn.TEXTBEFORE(J2501,"-"), {"CSS","CSN","PCB","PCF","BEC","CSD","PCM"}, 0)),
            _xlfn.TEXTBEFORE(J2501,"-"),
            "Other"
        )
    ),
"Add")</f>
        <v>PCM</v>
      </c>
      <c r="B2501" s="10" t="str">
        <f t="shared" si="40"/>
        <v>0035</v>
      </c>
      <c r="C2501" s="10" t="str">
        <f>_xlfn.LET(
    _xlpm.val, IF(Datadetails[[#This Row],[Activity]]="D02","C20",Datadetails[[#This Row],[Activity]]),
    IF(ISNUMBER(MATCH(_xlpm.val,{"D04","C30","c40","C20"},0)), _xlpm.val, "Other")
)</f>
        <v>C30</v>
      </c>
      <c r="D2501" s="10" t="str">
        <f>IFERROR(VLOOKUP(Datadetails[[#This Row],[Taskcode]],Dashboard!A:A,1,FALSE),"00 Err Missing")</f>
        <v>0035</v>
      </c>
      <c r="E2501" s="79">
        <v>45939</v>
      </c>
      <c r="F2501" s="80" t="s">
        <v>323</v>
      </c>
      <c r="G2501" s="60" t="s">
        <v>40</v>
      </c>
      <c r="H2501" s="80" t="s">
        <v>202</v>
      </c>
      <c r="I2501" s="80" t="s">
        <v>34</v>
      </c>
      <c r="J2501" s="80" t="s">
        <v>431</v>
      </c>
      <c r="K2501" s="80" t="s">
        <v>346</v>
      </c>
      <c r="L2501" s="80" t="s">
        <v>343</v>
      </c>
      <c r="M2501" s="81">
        <v>0.25</v>
      </c>
      <c r="N2501" s="82">
        <v>15</v>
      </c>
    </row>
    <row r="2502" spans="1:14" x14ac:dyDescent="0.25">
      <c r="A2502" s="10" t="str">
        <f>_xlfn.IFNA(
    IF(J2502=
        "PCB-0001",
        "CSS",
        IF(
            ISNUMBER(MATCH(_xlfn.TEXTBEFORE(J2502,"-"), {"CSS","CSN","PCB","PCF","BEC","CSD","PCM"}, 0)),
            _xlfn.TEXTBEFORE(J2502,"-"),
            "Other"
        )
    ),
"Add")</f>
        <v>PCB</v>
      </c>
      <c r="B2502" s="10" t="str">
        <f t="shared" si="40"/>
        <v>0019</v>
      </c>
      <c r="C2502" s="10" t="str">
        <f>_xlfn.LET(
    _xlpm.val, IF(Datadetails[[#This Row],[Activity]]="D02","C20",Datadetails[[#This Row],[Activity]]),
    IF(ISNUMBER(MATCH(_xlpm.val,{"D04","C30","c40","C20"},0)), _xlpm.val, "Other")
)</f>
        <v>C30</v>
      </c>
      <c r="D2502" s="10" t="str">
        <f>IFERROR(VLOOKUP(Datadetails[[#This Row],[Taskcode]],Dashboard!A:A,1,FALSE),"00 Err Missing")</f>
        <v>0019</v>
      </c>
      <c r="E2502" s="79">
        <v>45939</v>
      </c>
      <c r="F2502" s="80" t="s">
        <v>329</v>
      </c>
      <c r="G2502" s="60" t="s">
        <v>40</v>
      </c>
      <c r="H2502" s="80" t="s">
        <v>186</v>
      </c>
      <c r="I2502" s="80" t="s">
        <v>34</v>
      </c>
      <c r="J2502" s="80" t="s">
        <v>397</v>
      </c>
      <c r="K2502" s="80" t="s">
        <v>347</v>
      </c>
      <c r="L2502" s="80" t="s">
        <v>343</v>
      </c>
      <c r="M2502" s="81">
        <v>0.5</v>
      </c>
      <c r="N2502" s="82">
        <v>37.5</v>
      </c>
    </row>
    <row r="2503" spans="1:14" x14ac:dyDescent="0.25">
      <c r="A2503" s="10" t="str">
        <f>_xlfn.IFNA(
    IF(J2503=
        "PCB-0001",
        "CSS",
        IF(
            ISNUMBER(MATCH(_xlfn.TEXTBEFORE(J2503,"-"), {"CSS","CSN","PCB","PCF","BEC","CSD","PCM"}, 0)),
            _xlfn.TEXTBEFORE(J2503,"-"),
            "Other"
        )
    ),
"Add")</f>
        <v>PCB</v>
      </c>
      <c r="B2503" s="10" t="str">
        <f t="shared" si="40"/>
        <v>0030</v>
      </c>
      <c r="C2503" s="10" t="str">
        <f>_xlfn.LET(
    _xlpm.val, IF(Datadetails[[#This Row],[Activity]]="D02","C20",Datadetails[[#This Row],[Activity]]),
    IF(ISNUMBER(MATCH(_xlpm.val,{"D04","C30","c40","C20"},0)), _xlpm.val, "Other")
)</f>
        <v>C30</v>
      </c>
      <c r="D2503" s="10" t="str">
        <f>IFERROR(VLOOKUP(Datadetails[[#This Row],[Taskcode]],Dashboard!A:A,1,FALSE),"00 Err Missing")</f>
        <v>0030</v>
      </c>
      <c r="E2503" s="79">
        <v>45939</v>
      </c>
      <c r="F2503" s="80" t="s">
        <v>329</v>
      </c>
      <c r="G2503" s="60" t="s">
        <v>40</v>
      </c>
      <c r="H2503" s="80" t="s">
        <v>197</v>
      </c>
      <c r="I2503" s="80" t="s">
        <v>34</v>
      </c>
      <c r="J2503" s="80" t="s">
        <v>366</v>
      </c>
      <c r="K2503" s="80" t="s">
        <v>347</v>
      </c>
      <c r="L2503" s="80" t="s">
        <v>343</v>
      </c>
      <c r="M2503" s="81">
        <v>0.33</v>
      </c>
      <c r="N2503" s="82">
        <v>24.75</v>
      </c>
    </row>
    <row r="2504" spans="1:14" x14ac:dyDescent="0.25">
      <c r="A2504" s="10" t="str">
        <f>_xlfn.IFNA(
    IF(J2504=
        "PCB-0001",
        "CSS",
        IF(
            ISNUMBER(MATCH(_xlfn.TEXTBEFORE(J2504,"-"), {"CSS","CSN","PCB","PCF","BEC","CSD","PCM"}, 0)),
            _xlfn.TEXTBEFORE(J2504,"-"),
            "Other"
        )
    ),
"Add")</f>
        <v>PCB</v>
      </c>
      <c r="B2504" s="10" t="str">
        <f t="shared" si="40"/>
        <v>0039</v>
      </c>
      <c r="C2504" s="10" t="str">
        <f>_xlfn.LET(
    _xlpm.val, IF(Datadetails[[#This Row],[Activity]]="D02","C20",Datadetails[[#This Row],[Activity]]),
    IF(ISNUMBER(MATCH(_xlpm.val,{"D04","C30","c40","C20"},0)), _xlpm.val, "Other")
)</f>
        <v>C30</v>
      </c>
      <c r="D2504" s="10" t="str">
        <f>IFERROR(VLOOKUP(Datadetails[[#This Row],[Taskcode]],Dashboard!A:A,1,FALSE),"00 Err Missing")</f>
        <v>0039</v>
      </c>
      <c r="E2504" s="79">
        <v>45939</v>
      </c>
      <c r="F2504" s="80" t="s">
        <v>329</v>
      </c>
      <c r="G2504" s="60" t="s">
        <v>40</v>
      </c>
      <c r="H2504" s="80" t="s">
        <v>206</v>
      </c>
      <c r="I2504" s="80" t="s">
        <v>34</v>
      </c>
      <c r="J2504" s="80" t="s">
        <v>367</v>
      </c>
      <c r="K2504" s="80" t="s">
        <v>347</v>
      </c>
      <c r="L2504" s="80" t="s">
        <v>343</v>
      </c>
      <c r="M2504" s="81">
        <v>0.17</v>
      </c>
      <c r="N2504" s="82">
        <v>12.750000000000002</v>
      </c>
    </row>
    <row r="2505" spans="1:14" x14ac:dyDescent="0.25">
      <c r="A2505" s="10" t="str">
        <f>_xlfn.IFNA(
    IF(J2505=
        "PCB-0001",
        "CSS",
        IF(
            ISNUMBER(MATCH(_xlfn.TEXTBEFORE(J2505,"-"), {"CSS","CSN","PCB","PCF","BEC","CSD","PCM"}, 0)),
            _xlfn.TEXTBEFORE(J2505,"-"),
            "Other"
        )
    ),
"Add")</f>
        <v>PCB</v>
      </c>
      <c r="B2505" s="10" t="str">
        <f t="shared" si="40"/>
        <v>0062</v>
      </c>
      <c r="C2505" s="10" t="str">
        <f>_xlfn.LET(
    _xlpm.val, IF(Datadetails[[#This Row],[Activity]]="D02","C20",Datadetails[[#This Row],[Activity]]),
    IF(ISNUMBER(MATCH(_xlpm.val,{"D04","C30","c40","C20"},0)), _xlpm.val, "Other")
)</f>
        <v>C30</v>
      </c>
      <c r="D2505" s="10" t="str">
        <f>IFERROR(VLOOKUP(Datadetails[[#This Row],[Taskcode]],Dashboard!A:A,1,FALSE),"00 Err Missing")</f>
        <v>0062</v>
      </c>
      <c r="E2505" s="79">
        <v>45939</v>
      </c>
      <c r="F2505" s="80" t="s">
        <v>329</v>
      </c>
      <c r="G2505" s="60" t="s">
        <v>40</v>
      </c>
      <c r="H2505" s="80" t="s">
        <v>229</v>
      </c>
      <c r="I2505" s="80" t="s">
        <v>34</v>
      </c>
      <c r="J2505" s="80" t="s">
        <v>373</v>
      </c>
      <c r="K2505" s="80" t="s">
        <v>347</v>
      </c>
      <c r="L2505" s="80" t="s">
        <v>343</v>
      </c>
      <c r="M2505" s="81">
        <v>0.5</v>
      </c>
      <c r="N2505" s="82">
        <v>37.5</v>
      </c>
    </row>
    <row r="2506" spans="1:14" x14ac:dyDescent="0.25">
      <c r="A2506" s="10" t="str">
        <f>_xlfn.IFNA(
    IF(J2506=
        "PCB-0001",
        "CSS",
        IF(
            ISNUMBER(MATCH(_xlfn.TEXTBEFORE(J2506,"-"), {"CSS","CSN","PCB","PCF","BEC","CSD","PCM"}, 0)),
            _xlfn.TEXTBEFORE(J2506,"-"),
            "Other"
        )
    ),
"Add")</f>
        <v>PCB</v>
      </c>
      <c r="B2506" s="10" t="str">
        <f t="shared" si="40"/>
        <v>0057</v>
      </c>
      <c r="C2506" s="10" t="str">
        <f>_xlfn.LET(
    _xlpm.val, IF(Datadetails[[#This Row],[Activity]]="D02","C20",Datadetails[[#This Row],[Activity]]),
    IF(ISNUMBER(MATCH(_xlpm.val,{"D04","C30","c40","C20"},0)), _xlpm.val, "Other")
)</f>
        <v>C30</v>
      </c>
      <c r="D2506" s="10" t="str">
        <f>IFERROR(VLOOKUP(Datadetails[[#This Row],[Taskcode]],Dashboard!A:A,1,FALSE),"00 Err Missing")</f>
        <v>0057</v>
      </c>
      <c r="E2506" s="79">
        <v>45939</v>
      </c>
      <c r="F2506" s="80" t="s">
        <v>325</v>
      </c>
      <c r="G2506" s="60" t="s">
        <v>40</v>
      </c>
      <c r="H2506" s="80" t="s">
        <v>224</v>
      </c>
      <c r="I2506" s="80" t="s">
        <v>34</v>
      </c>
      <c r="J2506" s="80" t="s">
        <v>423</v>
      </c>
      <c r="K2506" s="80" t="s">
        <v>347</v>
      </c>
      <c r="L2506" s="80" t="s">
        <v>343</v>
      </c>
      <c r="M2506" s="81">
        <v>0.25</v>
      </c>
      <c r="N2506" s="82">
        <v>18.75</v>
      </c>
    </row>
    <row r="2507" spans="1:14" x14ac:dyDescent="0.25">
      <c r="A2507" s="10" t="str">
        <f>_xlfn.IFNA(
    IF(J2507=
        "PCB-0001",
        "CSS",
        IF(
            ISNUMBER(MATCH(_xlfn.TEXTBEFORE(J2507,"-"), {"CSS","CSN","PCB","PCF","BEC","CSD","PCM"}, 0)),
            _xlfn.TEXTBEFORE(J2507,"-"),
            "Other"
        )
    ),
"Add")</f>
        <v>PCB</v>
      </c>
      <c r="B2507" s="10" t="str">
        <f t="shared" si="40"/>
        <v>0121</v>
      </c>
      <c r="C2507" s="10" t="str">
        <f>_xlfn.LET(
    _xlpm.val, IF(Datadetails[[#This Row],[Activity]]="D02","C20",Datadetails[[#This Row],[Activity]]),
    IF(ISNUMBER(MATCH(_xlpm.val,{"D04","C30","c40","C20"},0)), _xlpm.val, "Other")
)</f>
        <v>C30</v>
      </c>
      <c r="D2507" s="10" t="str">
        <f>IFERROR(VLOOKUP(Datadetails[[#This Row],[Taskcode]],Dashboard!A:A,1,FALSE),"00 Err Missing")</f>
        <v>0121</v>
      </c>
      <c r="E2507" s="79">
        <v>45939</v>
      </c>
      <c r="F2507" s="80" t="s">
        <v>329</v>
      </c>
      <c r="G2507" s="60" t="s">
        <v>40</v>
      </c>
      <c r="H2507" s="80" t="s">
        <v>288</v>
      </c>
      <c r="I2507" s="80" t="s">
        <v>34</v>
      </c>
      <c r="J2507" s="80" t="s">
        <v>405</v>
      </c>
      <c r="K2507" s="80" t="s">
        <v>347</v>
      </c>
      <c r="L2507" s="80" t="s">
        <v>343</v>
      </c>
      <c r="M2507" s="81">
        <v>0.17</v>
      </c>
      <c r="N2507" s="82">
        <v>12.750000000000002</v>
      </c>
    </row>
    <row r="2508" spans="1:14" x14ac:dyDescent="0.25">
      <c r="A2508" s="10" t="str">
        <f>_xlfn.IFNA(
    IF(J2508=
        "PCB-0001",
        "CSS",
        IF(
            ISNUMBER(MATCH(_xlfn.TEXTBEFORE(J2508,"-"), {"CSS","CSN","PCB","PCF","BEC","CSD","PCM"}, 0)),
            _xlfn.TEXTBEFORE(J2508,"-"),
            "Other"
        )
    ),
"Add")</f>
        <v>PCB</v>
      </c>
      <c r="B2508" s="10" t="str">
        <f t="shared" si="40"/>
        <v>0120</v>
      </c>
      <c r="C2508" s="10" t="str">
        <f>_xlfn.LET(
    _xlpm.val, IF(Datadetails[[#This Row],[Activity]]="D02","C20",Datadetails[[#This Row],[Activity]]),
    IF(ISNUMBER(MATCH(_xlpm.val,{"D04","C30","c40","C20"},0)), _xlpm.val, "Other")
)</f>
        <v>C30</v>
      </c>
      <c r="D2508" s="10" t="str">
        <f>IFERROR(VLOOKUP(Datadetails[[#This Row],[Taskcode]],Dashboard!A:A,1,FALSE),"00 Err Missing")</f>
        <v>0120</v>
      </c>
      <c r="E2508" s="79">
        <v>45939</v>
      </c>
      <c r="F2508" s="80" t="s">
        <v>325</v>
      </c>
      <c r="G2508" s="60" t="s">
        <v>40</v>
      </c>
      <c r="H2508" s="80" t="s">
        <v>287</v>
      </c>
      <c r="I2508" s="80" t="s">
        <v>34</v>
      </c>
      <c r="J2508" s="80" t="s">
        <v>378</v>
      </c>
      <c r="K2508" s="80" t="s">
        <v>347</v>
      </c>
      <c r="L2508" s="80" t="s">
        <v>343</v>
      </c>
      <c r="M2508" s="81">
        <v>0.42</v>
      </c>
      <c r="N2508" s="82">
        <v>31.5</v>
      </c>
    </row>
    <row r="2509" spans="1:14" x14ac:dyDescent="0.25">
      <c r="A2509" s="10" t="str">
        <f>_xlfn.IFNA(
    IF(J2509=
        "PCB-0001",
        "CSS",
        IF(
            ISNUMBER(MATCH(_xlfn.TEXTBEFORE(J2509,"-"), {"CSS","CSN","PCB","PCF","BEC","CSD","PCM"}, 0)),
            _xlfn.TEXTBEFORE(J2509,"-"),
            "Other"
        )
    ),
"Add")</f>
        <v>PCB</v>
      </c>
      <c r="B2509" s="10" t="str">
        <f t="shared" si="40"/>
        <v>0129</v>
      </c>
      <c r="C2509" s="10" t="str">
        <f>_xlfn.LET(
    _xlpm.val, IF(Datadetails[[#This Row],[Activity]]="D02","C20",Datadetails[[#This Row],[Activity]]),
    IF(ISNUMBER(MATCH(_xlpm.val,{"D04","C30","c40","C20"},0)), _xlpm.val, "Other")
)</f>
        <v>C30</v>
      </c>
      <c r="D2509" s="10" t="str">
        <f>IFERROR(VLOOKUP(Datadetails[[#This Row],[Taskcode]],Dashboard!A:A,1,FALSE),"00 Err Missing")</f>
        <v>0129</v>
      </c>
      <c r="E2509" s="79">
        <v>45939</v>
      </c>
      <c r="F2509" s="80" t="s">
        <v>329</v>
      </c>
      <c r="G2509" s="60" t="s">
        <v>40</v>
      </c>
      <c r="H2509" s="80" t="s">
        <v>296</v>
      </c>
      <c r="I2509" s="80" t="s">
        <v>34</v>
      </c>
      <c r="J2509" s="80" t="s">
        <v>411</v>
      </c>
      <c r="K2509" s="80" t="s">
        <v>347</v>
      </c>
      <c r="L2509" s="80" t="s">
        <v>343</v>
      </c>
      <c r="M2509" s="81">
        <v>0.25</v>
      </c>
      <c r="N2509" s="82">
        <v>18.75</v>
      </c>
    </row>
    <row r="2510" spans="1:14" x14ac:dyDescent="0.25">
      <c r="A2510" s="10" t="str">
        <f>_xlfn.IFNA(
    IF(J2510=
        "PCB-0001",
        "CSS",
        IF(
            ISNUMBER(MATCH(_xlfn.TEXTBEFORE(J2510,"-"), {"CSS","CSN","PCB","PCF","BEC","CSD","PCM"}, 0)),
            _xlfn.TEXTBEFORE(J2510,"-"),
            "Other"
        )
    ),
"Add")</f>
        <v>PCB</v>
      </c>
      <c r="B2510" s="10" t="str">
        <f t="shared" si="40"/>
        <v>0092</v>
      </c>
      <c r="C2510" s="10" t="str">
        <f>_xlfn.LET(
    _xlpm.val, IF(Datadetails[[#This Row],[Activity]]="D02","C20",Datadetails[[#This Row],[Activity]]),
    IF(ISNUMBER(MATCH(_xlpm.val,{"D04","C30","c40","C20"},0)), _xlpm.val, "Other")
)</f>
        <v>C30</v>
      </c>
      <c r="D2510" s="10" t="str">
        <f>IFERROR(VLOOKUP(Datadetails[[#This Row],[Taskcode]],Dashboard!A:A,1,FALSE),"00 Err Missing")</f>
        <v>0092</v>
      </c>
      <c r="E2510" s="79">
        <v>45939</v>
      </c>
      <c r="F2510" s="80" t="s">
        <v>329</v>
      </c>
      <c r="G2510" s="60" t="s">
        <v>40</v>
      </c>
      <c r="H2510" s="80" t="s">
        <v>259</v>
      </c>
      <c r="I2510" s="80" t="s">
        <v>34</v>
      </c>
      <c r="J2510" s="80" t="s">
        <v>407</v>
      </c>
      <c r="K2510" s="80" t="s">
        <v>347</v>
      </c>
      <c r="L2510" s="80" t="s">
        <v>343</v>
      </c>
      <c r="M2510" s="81">
        <v>0.17</v>
      </c>
      <c r="N2510" s="82">
        <v>12.750000000000002</v>
      </c>
    </row>
    <row r="2511" spans="1:14" x14ac:dyDescent="0.25">
      <c r="A2511" s="10" t="str">
        <f>_xlfn.IFNA(
    IF(J2511=
        "PCB-0001",
        "CSS",
        IF(
            ISNUMBER(MATCH(_xlfn.TEXTBEFORE(J2511,"-"), {"CSS","CSN","PCB","PCF","BEC","CSD","PCM"}, 0)),
            _xlfn.TEXTBEFORE(J2511,"-"),
            "Other"
        )
    ),
"Add")</f>
        <v>PCB</v>
      </c>
      <c r="B2511" s="10" t="str">
        <f t="shared" si="40"/>
        <v>0063</v>
      </c>
      <c r="C2511" s="10" t="str">
        <f>_xlfn.LET(
    _xlpm.val, IF(Datadetails[[#This Row],[Activity]]="D02","C20",Datadetails[[#This Row],[Activity]]),
    IF(ISNUMBER(MATCH(_xlpm.val,{"D04","C30","c40","C20"},0)), _xlpm.val, "Other")
)</f>
        <v>C30</v>
      </c>
      <c r="D2511" s="10" t="str">
        <f>IFERROR(VLOOKUP(Datadetails[[#This Row],[Taskcode]],Dashboard!A:A,1,FALSE),"00 Err Missing")</f>
        <v>0063</v>
      </c>
      <c r="E2511" s="79">
        <v>45939</v>
      </c>
      <c r="F2511" s="80" t="s">
        <v>329</v>
      </c>
      <c r="G2511" s="60" t="s">
        <v>40</v>
      </c>
      <c r="H2511" s="80" t="s">
        <v>230</v>
      </c>
      <c r="I2511" s="80" t="s">
        <v>34</v>
      </c>
      <c r="J2511" s="80" t="s">
        <v>410</v>
      </c>
      <c r="K2511" s="80" t="s">
        <v>347</v>
      </c>
      <c r="L2511" s="80" t="s">
        <v>343</v>
      </c>
      <c r="M2511" s="81">
        <v>0.08</v>
      </c>
      <c r="N2511" s="82">
        <v>6</v>
      </c>
    </row>
    <row r="2512" spans="1:14" x14ac:dyDescent="0.25">
      <c r="A2512" s="10" t="str">
        <f>_xlfn.IFNA(
    IF(J2512=
        "PCB-0001",
        "CSS",
        IF(
            ISNUMBER(MATCH(_xlfn.TEXTBEFORE(J2512,"-"), {"CSS","CSN","PCB","PCF","BEC","CSD","PCM"}, 0)),
            _xlfn.TEXTBEFORE(J2512,"-"),
            "Other"
        )
    ),
"Add")</f>
        <v>PCB</v>
      </c>
      <c r="B2512" s="10" t="str">
        <f t="shared" si="40"/>
        <v>0105</v>
      </c>
      <c r="C2512" s="10" t="str">
        <f>_xlfn.LET(
    _xlpm.val, IF(Datadetails[[#This Row],[Activity]]="D02","C20",Datadetails[[#This Row],[Activity]]),
    IF(ISNUMBER(MATCH(_xlpm.val,{"D04","C30","c40","C20"},0)), _xlpm.val, "Other")
)</f>
        <v>C30</v>
      </c>
      <c r="D2512" s="10" t="str">
        <f>IFERROR(VLOOKUP(Datadetails[[#This Row],[Taskcode]],Dashboard!A:A,1,FALSE),"00 Err Missing")</f>
        <v>0105</v>
      </c>
      <c r="E2512" s="79">
        <v>45939</v>
      </c>
      <c r="F2512" s="80" t="s">
        <v>329</v>
      </c>
      <c r="G2512" s="60" t="s">
        <v>40</v>
      </c>
      <c r="H2512" s="80" t="s">
        <v>272</v>
      </c>
      <c r="I2512" s="80" t="s">
        <v>34</v>
      </c>
      <c r="J2512" s="80" t="s">
        <v>362</v>
      </c>
      <c r="K2512" s="80" t="s">
        <v>347</v>
      </c>
      <c r="L2512" s="80" t="s">
        <v>343</v>
      </c>
      <c r="M2512" s="81">
        <v>0.25</v>
      </c>
      <c r="N2512" s="82">
        <v>18.75</v>
      </c>
    </row>
    <row r="2513" spans="1:14" x14ac:dyDescent="0.25">
      <c r="A2513" s="10" t="str">
        <f>_xlfn.IFNA(
    IF(J2513=
        "PCB-0001",
        "CSS",
        IF(
            ISNUMBER(MATCH(_xlfn.TEXTBEFORE(J2513,"-"), {"CSS","CSN","PCB","PCF","BEC","CSD","PCM"}, 0)),
            _xlfn.TEXTBEFORE(J2513,"-"),
            "Other"
        )
    ),
"Add")</f>
        <v>PCB</v>
      </c>
      <c r="B2513" s="10" t="str">
        <f t="shared" si="40"/>
        <v>0086</v>
      </c>
      <c r="C2513" s="10" t="str">
        <f>_xlfn.LET(
    _xlpm.val, IF(Datadetails[[#This Row],[Activity]]="D02","C20",Datadetails[[#This Row],[Activity]]),
    IF(ISNUMBER(MATCH(_xlpm.val,{"D04","C30","c40","C20"},0)), _xlpm.val, "Other")
)</f>
        <v>C40</v>
      </c>
      <c r="D2513" s="10" t="str">
        <f>IFERROR(VLOOKUP(Datadetails[[#This Row],[Taskcode]],Dashboard!A:A,1,FALSE),"00 Err Missing")</f>
        <v>0086</v>
      </c>
      <c r="E2513" s="79">
        <v>45939</v>
      </c>
      <c r="F2513" s="80" t="s">
        <v>325</v>
      </c>
      <c r="G2513" s="60" t="s">
        <v>40</v>
      </c>
      <c r="H2513" s="80" t="s">
        <v>253</v>
      </c>
      <c r="I2513" s="80" t="s">
        <v>341</v>
      </c>
      <c r="J2513" s="80" t="s">
        <v>408</v>
      </c>
      <c r="K2513" s="80" t="s">
        <v>347</v>
      </c>
      <c r="L2513" s="80" t="s">
        <v>344</v>
      </c>
      <c r="M2513" s="81">
        <v>1.58</v>
      </c>
      <c r="N2513" s="82">
        <v>118.5</v>
      </c>
    </row>
    <row r="2514" spans="1:14" x14ac:dyDescent="0.25">
      <c r="A2514" s="10" t="str">
        <f>_xlfn.IFNA(
    IF(J2514=
        "PCB-0001",
        "CSS",
        IF(
            ISNUMBER(MATCH(_xlfn.TEXTBEFORE(J2514,"-"), {"CSS","CSN","PCB","PCF","BEC","CSD","PCM"}, 0)),
            _xlfn.TEXTBEFORE(J2514,"-"),
            "Other"
        )
    ),
"Add")</f>
        <v>PCF</v>
      </c>
      <c r="B2514" s="10" t="str">
        <f t="shared" si="40"/>
        <v>0070</v>
      </c>
      <c r="C2514" s="10" t="str">
        <f>_xlfn.LET(
    _xlpm.val, IF(Datadetails[[#This Row],[Activity]]="D02","C20",Datadetails[[#This Row],[Activity]]),
    IF(ISNUMBER(MATCH(_xlpm.val,{"D04","C30","c40","C20"},0)), _xlpm.val, "Other")
)</f>
        <v>C20</v>
      </c>
      <c r="D2514" s="10" t="str">
        <f>IFERROR(VLOOKUP(Datadetails[[#This Row],[Taskcode]],Dashboard!A:A,1,FALSE),"00 Err Missing")</f>
        <v>0070</v>
      </c>
      <c r="E2514" s="79">
        <v>45939</v>
      </c>
      <c r="F2514" s="80" t="s">
        <v>326</v>
      </c>
      <c r="G2514" s="60" t="s">
        <v>40</v>
      </c>
      <c r="H2514" s="80" t="s">
        <v>237</v>
      </c>
      <c r="I2514" s="80" t="s">
        <v>36</v>
      </c>
      <c r="J2514" s="80" t="s">
        <v>427</v>
      </c>
      <c r="K2514" s="80" t="s">
        <v>348</v>
      </c>
      <c r="L2514" s="80" t="s">
        <v>342</v>
      </c>
      <c r="M2514" s="81">
        <v>1</v>
      </c>
      <c r="N2514" s="82">
        <v>60</v>
      </c>
    </row>
    <row r="2515" spans="1:14" x14ac:dyDescent="0.25">
      <c r="A2515" s="10" t="str">
        <f>_xlfn.IFNA(
    IF(J2515=
        "PCB-0001",
        "CSS",
        IF(
            ISNUMBER(MATCH(_xlfn.TEXTBEFORE(J2515,"-"), {"CSS","CSN","PCB","PCF","BEC","CSD","PCM"}, 0)),
            _xlfn.TEXTBEFORE(J2515,"-"),
            "Other"
        )
    ),
"Add")</f>
        <v>PCM</v>
      </c>
      <c r="B2515" s="10" t="str">
        <f t="shared" si="40"/>
        <v>0034</v>
      </c>
      <c r="C2515" s="10" t="str">
        <f>_xlfn.LET(
    _xlpm.val, IF(Datadetails[[#This Row],[Activity]]="D02","C20",Datadetails[[#This Row],[Activity]]),
    IF(ISNUMBER(MATCH(_xlpm.val,{"D04","C30","c40","C20"},0)), _xlpm.val, "Other")
)</f>
        <v>C20</v>
      </c>
      <c r="D2515" s="10" t="str">
        <f>IFERROR(VLOOKUP(Datadetails[[#This Row],[Taskcode]],Dashboard!A:A,1,FALSE),"00 Err Missing")</f>
        <v>0034</v>
      </c>
      <c r="E2515" s="79">
        <v>45940</v>
      </c>
      <c r="F2515" s="80" t="s">
        <v>323</v>
      </c>
      <c r="G2515" s="60" t="s">
        <v>40</v>
      </c>
      <c r="H2515" s="80" t="s">
        <v>201</v>
      </c>
      <c r="I2515" s="80" t="s">
        <v>36</v>
      </c>
      <c r="J2515" s="80" t="s">
        <v>395</v>
      </c>
      <c r="K2515" s="80" t="s">
        <v>346</v>
      </c>
      <c r="L2515" s="80" t="s">
        <v>342</v>
      </c>
      <c r="M2515" s="81">
        <v>0.25</v>
      </c>
      <c r="N2515" s="82">
        <v>15</v>
      </c>
    </row>
    <row r="2516" spans="1:14" x14ac:dyDescent="0.25">
      <c r="A2516" s="10" t="str">
        <f>_xlfn.IFNA(
    IF(J2516=
        "PCB-0001",
        "CSS",
        IF(
            ISNUMBER(MATCH(_xlfn.TEXTBEFORE(J2516,"-"), {"CSS","CSN","PCB","PCF","BEC","CSD","PCM"}, 0)),
            _xlfn.TEXTBEFORE(J2516,"-"),
            "Other"
        )
    ),
"Add")</f>
        <v>BEC</v>
      </c>
      <c r="B2516" s="10" t="str">
        <f t="shared" si="40"/>
        <v>0001</v>
      </c>
      <c r="C2516" s="10" t="str">
        <f>_xlfn.LET(
    _xlpm.val, IF(Datadetails[[#This Row],[Activity]]="D02","C20",Datadetails[[#This Row],[Activity]]),
    IF(ISNUMBER(MATCH(_xlpm.val,{"D04","C30","c40","C20"},0)), _xlpm.val, "Other")
)</f>
        <v>D04</v>
      </c>
      <c r="D2516" s="10" t="str">
        <f>IFERROR(VLOOKUP(Datadetails[[#This Row],[Taskcode]],Dashboard!A:A,1,FALSE),"00 Err Missing")</f>
        <v>0001</v>
      </c>
      <c r="E2516" s="79">
        <v>45940</v>
      </c>
      <c r="F2516" s="80" t="s">
        <v>332</v>
      </c>
      <c r="G2516" s="60" t="s">
        <v>40</v>
      </c>
      <c r="H2516" s="80" t="s">
        <v>314</v>
      </c>
      <c r="I2516" s="80" t="s">
        <v>35</v>
      </c>
      <c r="J2516" s="80" t="s">
        <v>359</v>
      </c>
      <c r="K2516" s="80" t="s">
        <v>339</v>
      </c>
      <c r="L2516" s="80" t="s">
        <v>352</v>
      </c>
      <c r="M2516" s="81">
        <v>4</v>
      </c>
      <c r="N2516" s="82">
        <v>160</v>
      </c>
    </row>
    <row r="2517" spans="1:14" x14ac:dyDescent="0.25">
      <c r="A2517" s="10" t="str">
        <f>_xlfn.IFNA(
    IF(J2517=
        "PCB-0001",
        "CSS",
        IF(
            ISNUMBER(MATCH(_xlfn.TEXTBEFORE(J2517,"-"), {"CSS","CSN","PCB","PCF","BEC","CSD","PCM"}, 0)),
            _xlfn.TEXTBEFORE(J2517,"-"),
            "Other"
        )
    ),
"Add")</f>
        <v>BEC</v>
      </c>
      <c r="B2517" s="10" t="str">
        <f t="shared" si="40"/>
        <v>0001</v>
      </c>
      <c r="C2517" s="10" t="str">
        <f>_xlfn.LET(
    _xlpm.val, IF(Datadetails[[#This Row],[Activity]]="D02","C20",Datadetails[[#This Row],[Activity]]),
    IF(ISNUMBER(MATCH(_xlpm.val,{"D04","C30","c40","C20"},0)), _xlpm.val, "Other")
)</f>
        <v>D04</v>
      </c>
      <c r="D2517" s="10" t="str">
        <f>IFERROR(VLOOKUP(Datadetails[[#This Row],[Taskcode]],Dashboard!A:A,1,FALSE),"00 Err Missing")</f>
        <v>0001</v>
      </c>
      <c r="E2517" s="79">
        <v>45940</v>
      </c>
      <c r="F2517" s="80" t="s">
        <v>324</v>
      </c>
      <c r="G2517" s="60" t="s">
        <v>40</v>
      </c>
      <c r="H2517" s="80" t="s">
        <v>314</v>
      </c>
      <c r="I2517" s="80" t="s">
        <v>35</v>
      </c>
      <c r="J2517" s="80" t="s">
        <v>359</v>
      </c>
      <c r="K2517" s="80" t="s">
        <v>339</v>
      </c>
      <c r="L2517" s="80" t="s">
        <v>352</v>
      </c>
      <c r="M2517" s="81">
        <v>4.75</v>
      </c>
      <c r="N2517" s="82">
        <v>356.25</v>
      </c>
    </row>
    <row r="2518" spans="1:14" x14ac:dyDescent="0.25">
      <c r="A2518" s="10" t="str">
        <f>_xlfn.IFNA(
    IF(J2518=
        "PCB-0001",
        "CSS",
        IF(
            ISNUMBER(MATCH(_xlfn.TEXTBEFORE(J2518,"-"), {"CSS","CSN","PCB","PCF","BEC","CSD","PCM"}, 0)),
            _xlfn.TEXTBEFORE(J2518,"-"),
            "Other"
        )
    ),
"Add")</f>
        <v>CSD</v>
      </c>
      <c r="B2518" s="10" t="str">
        <f t="shared" si="40"/>
        <v>0001</v>
      </c>
      <c r="C2518" s="10" t="str">
        <f>_xlfn.LET(
    _xlpm.val, IF(Datadetails[[#This Row],[Activity]]="D02","C20",Datadetails[[#This Row],[Activity]]),
    IF(ISNUMBER(MATCH(_xlpm.val,{"D04","C30","c40","C20"},0)), _xlpm.val, "Other")
)</f>
        <v>D04</v>
      </c>
      <c r="D2518" s="10" t="str">
        <f>IFERROR(VLOOKUP(Datadetails[[#This Row],[Taskcode]],Dashboard!A:A,1,FALSE),"00 Err Missing")</f>
        <v>0001</v>
      </c>
      <c r="E2518" s="79">
        <v>45940</v>
      </c>
      <c r="F2518" s="80" t="s">
        <v>333</v>
      </c>
      <c r="G2518" s="60" t="s">
        <v>40</v>
      </c>
      <c r="H2518" s="80" t="s">
        <v>320</v>
      </c>
      <c r="I2518" s="80" t="s">
        <v>35</v>
      </c>
      <c r="J2518" s="80" t="s">
        <v>322</v>
      </c>
      <c r="K2518" s="80" t="s">
        <v>319</v>
      </c>
      <c r="L2518" s="80" t="s">
        <v>352</v>
      </c>
      <c r="M2518" s="81">
        <v>8</v>
      </c>
      <c r="N2518" s="82">
        <v>256</v>
      </c>
    </row>
    <row r="2519" spans="1:14" x14ac:dyDescent="0.25">
      <c r="A2519" s="10" t="str">
        <f>_xlfn.IFNA(
    IF(J2519=
        "PCB-0001",
        "CSS",
        IF(
            ISNUMBER(MATCH(_xlfn.TEXTBEFORE(J2519,"-"), {"CSS","CSN","PCB","PCF","BEC","CSD","PCM"}, 0)),
            _xlfn.TEXTBEFORE(J2519,"-"),
            "Other"
        )
    ),
"Add")</f>
        <v>PCM</v>
      </c>
      <c r="B2519" s="10" t="str">
        <f t="shared" si="40"/>
        <v>0035</v>
      </c>
      <c r="C2519" s="10" t="str">
        <f>_xlfn.LET(
    _xlpm.val, IF(Datadetails[[#This Row],[Activity]]="D02","C20",Datadetails[[#This Row],[Activity]]),
    IF(ISNUMBER(MATCH(_xlpm.val,{"D04","C30","c40","C20"},0)), _xlpm.val, "Other")
)</f>
        <v>C30</v>
      </c>
      <c r="D2519" s="10" t="str">
        <f>IFERROR(VLOOKUP(Datadetails[[#This Row],[Taskcode]],Dashboard!A:A,1,FALSE),"00 Err Missing")</f>
        <v>0035</v>
      </c>
      <c r="E2519" s="79">
        <v>45940</v>
      </c>
      <c r="F2519" s="80" t="s">
        <v>323</v>
      </c>
      <c r="G2519" s="60" t="s">
        <v>40</v>
      </c>
      <c r="H2519" s="80" t="s">
        <v>202</v>
      </c>
      <c r="I2519" s="80" t="s">
        <v>34</v>
      </c>
      <c r="J2519" s="80" t="s">
        <v>431</v>
      </c>
      <c r="K2519" s="80" t="s">
        <v>346</v>
      </c>
      <c r="L2519" s="80" t="s">
        <v>343</v>
      </c>
      <c r="M2519" s="81">
        <v>0.25</v>
      </c>
      <c r="N2519" s="82">
        <v>15</v>
      </c>
    </row>
    <row r="2520" spans="1:14" x14ac:dyDescent="0.25">
      <c r="A2520" s="10" t="str">
        <f>_xlfn.IFNA(
    IF(J2520=
        "PCB-0001",
        "CSS",
        IF(
            ISNUMBER(MATCH(_xlfn.TEXTBEFORE(J2520,"-"), {"CSS","CSN","PCB","PCF","BEC","CSD","PCM"}, 0)),
            _xlfn.TEXTBEFORE(J2520,"-"),
            "Other"
        )
    ),
"Add")</f>
        <v>PCM</v>
      </c>
      <c r="B2520" s="10" t="str">
        <f t="shared" si="40"/>
        <v>0033</v>
      </c>
      <c r="C2520" s="10" t="str">
        <f>_xlfn.LET(
    _xlpm.val, IF(Datadetails[[#This Row],[Activity]]="D02","C20",Datadetails[[#This Row],[Activity]]),
    IF(ISNUMBER(MATCH(_xlpm.val,{"D04","C30","c40","C20"},0)), _xlpm.val, "Other")
)</f>
        <v>C30</v>
      </c>
      <c r="D2520" s="10" t="str">
        <f>IFERROR(VLOOKUP(Datadetails[[#This Row],[Taskcode]],Dashboard!A:A,1,FALSE),"00 Err Missing")</f>
        <v>0033</v>
      </c>
      <c r="E2520" s="79">
        <v>45940</v>
      </c>
      <c r="F2520" s="80" t="s">
        <v>323</v>
      </c>
      <c r="G2520" s="60" t="s">
        <v>40</v>
      </c>
      <c r="H2520" s="80" t="s">
        <v>200</v>
      </c>
      <c r="I2520" s="80" t="s">
        <v>34</v>
      </c>
      <c r="J2520" s="80" t="s">
        <v>391</v>
      </c>
      <c r="K2520" s="80" t="s">
        <v>346</v>
      </c>
      <c r="L2520" s="80" t="s">
        <v>343</v>
      </c>
      <c r="M2520" s="81">
        <v>0.25</v>
      </c>
      <c r="N2520" s="82">
        <v>15</v>
      </c>
    </row>
    <row r="2521" spans="1:14" x14ac:dyDescent="0.25">
      <c r="A2521" s="10" t="str">
        <f>_xlfn.IFNA(
    IF(J2521=
        "PCB-0001",
        "CSS",
        IF(
            ISNUMBER(MATCH(_xlfn.TEXTBEFORE(J2521,"-"), {"CSS","CSN","PCB","PCF","BEC","CSD","PCM"}, 0)),
            _xlfn.TEXTBEFORE(J2521,"-"),
            "Other"
        )
    ),
"Add")</f>
        <v>PCM</v>
      </c>
      <c r="B2521" s="10" t="str">
        <f t="shared" si="40"/>
        <v>0099</v>
      </c>
      <c r="C2521" s="10" t="str">
        <f>_xlfn.LET(
    _xlpm.val, IF(Datadetails[[#This Row],[Activity]]="D02","C20",Datadetails[[#This Row],[Activity]]),
    IF(ISNUMBER(MATCH(_xlpm.val,{"D04","C30","c40","C20"},0)), _xlpm.val, "Other")
)</f>
        <v>C30</v>
      </c>
      <c r="D2521" s="10" t="str">
        <f>IFERROR(VLOOKUP(Datadetails[[#This Row],[Taskcode]],Dashboard!A:A,1,FALSE),"00 Err Missing")</f>
        <v>0099</v>
      </c>
      <c r="E2521" s="79">
        <v>45940</v>
      </c>
      <c r="F2521" s="80" t="s">
        <v>323</v>
      </c>
      <c r="G2521" s="60" t="s">
        <v>40</v>
      </c>
      <c r="H2521" s="80" t="s">
        <v>266</v>
      </c>
      <c r="I2521" s="80" t="s">
        <v>34</v>
      </c>
      <c r="J2521" s="80" t="s">
        <v>394</v>
      </c>
      <c r="K2521" s="80" t="s">
        <v>346</v>
      </c>
      <c r="L2521" s="80" t="s">
        <v>343</v>
      </c>
      <c r="M2521" s="81">
        <v>0.33</v>
      </c>
      <c r="N2521" s="82">
        <v>19.8</v>
      </c>
    </row>
    <row r="2522" spans="1:14" x14ac:dyDescent="0.25">
      <c r="A2522" s="10" t="str">
        <f>_xlfn.IFNA(
    IF(J2522=
        "PCB-0001",
        "CSS",
        IF(
            ISNUMBER(MATCH(_xlfn.TEXTBEFORE(J2522,"-"), {"CSS","CSN","PCB","PCF","BEC","CSD","PCM"}, 0)),
            _xlfn.TEXTBEFORE(J2522,"-"),
            "Other"
        )
    ),
"Add")</f>
        <v>PCB</v>
      </c>
      <c r="B2522" s="10" t="str">
        <f t="shared" si="40"/>
        <v>0085</v>
      </c>
      <c r="C2522" s="10" t="str">
        <f>_xlfn.LET(
    _xlpm.val, IF(Datadetails[[#This Row],[Activity]]="D02","C20",Datadetails[[#This Row],[Activity]]),
    IF(ISNUMBER(MATCH(_xlpm.val,{"D04","C30","c40","C20"},0)), _xlpm.val, "Other")
)</f>
        <v>C20</v>
      </c>
      <c r="D2522" s="10" t="str">
        <f>IFERROR(VLOOKUP(Datadetails[[#This Row],[Taskcode]],Dashboard!A:A,1,FALSE),"00 Err Missing")</f>
        <v>0085</v>
      </c>
      <c r="E2522" s="79">
        <v>45940</v>
      </c>
      <c r="F2522" s="80" t="s">
        <v>330</v>
      </c>
      <c r="G2522" s="60" t="s">
        <v>40</v>
      </c>
      <c r="H2522" s="80" t="s">
        <v>252</v>
      </c>
      <c r="I2522" s="80" t="s">
        <v>36</v>
      </c>
      <c r="J2522" s="80" t="s">
        <v>416</v>
      </c>
      <c r="K2522" s="80" t="s">
        <v>347</v>
      </c>
      <c r="L2522" s="80" t="s">
        <v>342</v>
      </c>
      <c r="M2522" s="81">
        <v>1</v>
      </c>
      <c r="N2522" s="82">
        <v>60</v>
      </c>
    </row>
    <row r="2523" spans="1:14" x14ac:dyDescent="0.25">
      <c r="A2523" s="10" t="str">
        <f>_xlfn.IFNA(
    IF(J2523=
        "PCB-0001",
        "CSS",
        IF(
            ISNUMBER(MATCH(_xlfn.TEXTBEFORE(J2523,"-"), {"CSS","CSN","PCB","PCF","BEC","CSD","PCM"}, 0)),
            _xlfn.TEXTBEFORE(J2523,"-"),
            "Other"
        )
    ),
"Add")</f>
        <v>PCB</v>
      </c>
      <c r="B2523" s="10" t="str">
        <f t="shared" si="40"/>
        <v>0012</v>
      </c>
      <c r="C2523" s="10" t="str">
        <f>_xlfn.LET(
    _xlpm.val, IF(Datadetails[[#This Row],[Activity]]="D02","C20",Datadetails[[#This Row],[Activity]]),
    IF(ISNUMBER(MATCH(_xlpm.val,{"D04","C30","c40","C20"},0)), _xlpm.val, "Other")
)</f>
        <v>C30</v>
      </c>
      <c r="D2523" s="10" t="str">
        <f>IFERROR(VLOOKUP(Datadetails[[#This Row],[Taskcode]],Dashboard!A:A,1,FALSE),"00 Err Missing")</f>
        <v>0012</v>
      </c>
      <c r="E2523" s="79">
        <v>45940</v>
      </c>
      <c r="F2523" s="80" t="s">
        <v>325</v>
      </c>
      <c r="G2523" s="60" t="s">
        <v>40</v>
      </c>
      <c r="H2523" s="80" t="s">
        <v>179</v>
      </c>
      <c r="I2523" s="80" t="s">
        <v>34</v>
      </c>
      <c r="J2523" s="80" t="s">
        <v>422</v>
      </c>
      <c r="K2523" s="80" t="s">
        <v>347</v>
      </c>
      <c r="L2523" s="80" t="s">
        <v>343</v>
      </c>
      <c r="M2523" s="81">
        <v>0.33</v>
      </c>
      <c r="N2523" s="82">
        <v>24.75</v>
      </c>
    </row>
    <row r="2524" spans="1:14" x14ac:dyDescent="0.25">
      <c r="A2524" s="10" t="str">
        <f>_xlfn.IFNA(
    IF(J2524=
        "PCB-0001",
        "CSS",
        IF(
            ISNUMBER(MATCH(_xlfn.TEXTBEFORE(J2524,"-"), {"CSS","CSN","PCB","PCF","BEC","CSD","PCM"}, 0)),
            _xlfn.TEXTBEFORE(J2524,"-"),
            "Other"
        )
    ),
"Add")</f>
        <v>PCB</v>
      </c>
      <c r="B2524" s="10" t="str">
        <f t="shared" si="40"/>
        <v>0023</v>
      </c>
      <c r="C2524" s="10" t="str">
        <f>_xlfn.LET(
    _xlpm.val, IF(Datadetails[[#This Row],[Activity]]="D02","C20",Datadetails[[#This Row],[Activity]]),
    IF(ISNUMBER(MATCH(_xlpm.val,{"D04","C30","c40","C20"},0)), _xlpm.val, "Other")
)</f>
        <v>C30</v>
      </c>
      <c r="D2524" s="10" t="str">
        <f>IFERROR(VLOOKUP(Datadetails[[#This Row],[Taskcode]],Dashboard!A:A,1,FALSE),"00 Err Missing")</f>
        <v>0023</v>
      </c>
      <c r="E2524" s="79">
        <v>45940</v>
      </c>
      <c r="F2524" s="80" t="s">
        <v>330</v>
      </c>
      <c r="G2524" s="60" t="s">
        <v>40</v>
      </c>
      <c r="H2524" s="80" t="s">
        <v>190</v>
      </c>
      <c r="I2524" s="80" t="s">
        <v>34</v>
      </c>
      <c r="J2524" s="80" t="s">
        <v>438</v>
      </c>
      <c r="K2524" s="80" t="s">
        <v>347</v>
      </c>
      <c r="L2524" s="80" t="s">
        <v>343</v>
      </c>
      <c r="M2524" s="81">
        <v>0.25</v>
      </c>
      <c r="N2524" s="82">
        <v>15</v>
      </c>
    </row>
    <row r="2525" spans="1:14" x14ac:dyDescent="0.25">
      <c r="A2525" s="10" t="str">
        <f>_xlfn.IFNA(
    IF(J2525=
        "PCB-0001",
        "CSS",
        IF(
            ISNUMBER(MATCH(_xlfn.TEXTBEFORE(J2525,"-"), {"CSS","CSN","PCB","PCF","BEC","CSD","PCM"}, 0)),
            _xlfn.TEXTBEFORE(J2525,"-"),
            "Other"
        )
    ),
"Add")</f>
        <v>PCB</v>
      </c>
      <c r="B2525" s="10" t="str">
        <f t="shared" si="40"/>
        <v>0104</v>
      </c>
      <c r="C2525" s="10" t="str">
        <f>_xlfn.LET(
    _xlpm.val, IF(Datadetails[[#This Row],[Activity]]="D02","C20",Datadetails[[#This Row],[Activity]]),
    IF(ISNUMBER(MATCH(_xlpm.val,{"D04","C30","c40","C20"},0)), _xlpm.val, "Other")
)</f>
        <v>C30</v>
      </c>
      <c r="D2525" s="10" t="str">
        <f>IFERROR(VLOOKUP(Datadetails[[#This Row],[Taskcode]],Dashboard!A:A,1,FALSE),"00 Err Missing")</f>
        <v>0104</v>
      </c>
      <c r="E2525" s="79">
        <v>45940</v>
      </c>
      <c r="F2525" s="80" t="s">
        <v>325</v>
      </c>
      <c r="G2525" s="60" t="s">
        <v>40</v>
      </c>
      <c r="H2525" s="80" t="s">
        <v>271</v>
      </c>
      <c r="I2525" s="80" t="s">
        <v>34</v>
      </c>
      <c r="J2525" s="80" t="s">
        <v>363</v>
      </c>
      <c r="K2525" s="80" t="s">
        <v>347</v>
      </c>
      <c r="L2525" s="80" t="s">
        <v>343</v>
      </c>
      <c r="M2525" s="81">
        <v>0.25</v>
      </c>
      <c r="N2525" s="82">
        <v>18.75</v>
      </c>
    </row>
    <row r="2526" spans="1:14" x14ac:dyDescent="0.25">
      <c r="A2526" s="10" t="str">
        <f>_xlfn.IFNA(
    IF(J2526=
        "PCB-0001",
        "CSS",
        IF(
            ISNUMBER(MATCH(_xlfn.TEXTBEFORE(J2526,"-"), {"CSS","CSN","PCB","PCF","BEC","CSD","PCM"}, 0)),
            _xlfn.TEXTBEFORE(J2526,"-"),
            "Other"
        )
    ),
"Add")</f>
        <v>PCB</v>
      </c>
      <c r="B2526" s="10" t="str">
        <f t="shared" si="40"/>
        <v>0011</v>
      </c>
      <c r="C2526" s="10" t="str">
        <f>_xlfn.LET(
    _xlpm.val, IF(Datadetails[[#This Row],[Activity]]="D02","C20",Datadetails[[#This Row],[Activity]]),
    IF(ISNUMBER(MATCH(_xlpm.val,{"D04","C30","c40","C20"},0)), _xlpm.val, "Other")
)</f>
        <v>C30</v>
      </c>
      <c r="D2526" s="10" t="str">
        <f>IFERROR(VLOOKUP(Datadetails[[#This Row],[Taskcode]],Dashboard!A:A,1,FALSE),"00 Err Missing")</f>
        <v>0011</v>
      </c>
      <c r="E2526" s="79">
        <v>45940</v>
      </c>
      <c r="F2526" s="80" t="s">
        <v>330</v>
      </c>
      <c r="G2526" s="60" t="s">
        <v>40</v>
      </c>
      <c r="H2526" s="80" t="s">
        <v>178</v>
      </c>
      <c r="I2526" s="80" t="s">
        <v>34</v>
      </c>
      <c r="J2526" s="80" t="s">
        <v>460</v>
      </c>
      <c r="K2526" s="80" t="s">
        <v>347</v>
      </c>
      <c r="L2526" s="80" t="s">
        <v>343</v>
      </c>
      <c r="M2526" s="81">
        <v>0.25</v>
      </c>
      <c r="N2526" s="82">
        <v>15</v>
      </c>
    </row>
    <row r="2527" spans="1:14" x14ac:dyDescent="0.25">
      <c r="A2527" s="10" t="str">
        <f>_xlfn.IFNA(
    IF(J2527=
        "PCB-0001",
        "CSS",
        IF(
            ISNUMBER(MATCH(_xlfn.TEXTBEFORE(J2527,"-"), {"CSS","CSN","PCB","PCF","BEC","CSD","PCM"}, 0)),
            _xlfn.TEXTBEFORE(J2527,"-"),
            "Other"
        )
    ),
"Add")</f>
        <v>PCB</v>
      </c>
      <c r="B2527" s="10" t="str">
        <f t="shared" si="40"/>
        <v>0120</v>
      </c>
      <c r="C2527" s="10" t="str">
        <f>_xlfn.LET(
    _xlpm.val, IF(Datadetails[[#This Row],[Activity]]="D02","C20",Datadetails[[#This Row],[Activity]]),
    IF(ISNUMBER(MATCH(_xlpm.val,{"D04","C30","c40","C20"},0)), _xlpm.val, "Other")
)</f>
        <v>C30</v>
      </c>
      <c r="D2527" s="10" t="str">
        <f>IFERROR(VLOOKUP(Datadetails[[#This Row],[Taskcode]],Dashboard!A:A,1,FALSE),"00 Err Missing")</f>
        <v>0120</v>
      </c>
      <c r="E2527" s="79">
        <v>45940</v>
      </c>
      <c r="F2527" s="80" t="s">
        <v>325</v>
      </c>
      <c r="G2527" s="60" t="s">
        <v>40</v>
      </c>
      <c r="H2527" s="80" t="s">
        <v>287</v>
      </c>
      <c r="I2527" s="80" t="s">
        <v>34</v>
      </c>
      <c r="J2527" s="80" t="s">
        <v>378</v>
      </c>
      <c r="K2527" s="80" t="s">
        <v>347</v>
      </c>
      <c r="L2527" s="80" t="s">
        <v>343</v>
      </c>
      <c r="M2527" s="81">
        <v>0.17</v>
      </c>
      <c r="N2527" s="82">
        <v>12.750000000000002</v>
      </c>
    </row>
    <row r="2528" spans="1:14" x14ac:dyDescent="0.25">
      <c r="A2528" s="10" t="str">
        <f>_xlfn.IFNA(
    IF(J2528=
        "PCB-0001",
        "CSS",
        IF(
            ISNUMBER(MATCH(_xlfn.TEXTBEFORE(J2528,"-"), {"CSS","CSN","PCB","PCF","BEC","CSD","PCM"}, 0)),
            _xlfn.TEXTBEFORE(J2528,"-"),
            "Other"
        )
    ),
"Add")</f>
        <v>PCB</v>
      </c>
      <c r="B2528" s="10" t="str">
        <f t="shared" si="40"/>
        <v>0086</v>
      </c>
      <c r="C2528" s="10" t="str">
        <f>_xlfn.LET(
    _xlpm.val, IF(Datadetails[[#This Row],[Activity]]="D02","C20",Datadetails[[#This Row],[Activity]]),
    IF(ISNUMBER(MATCH(_xlpm.val,{"D04","C30","c40","C20"},0)), _xlpm.val, "Other")
)</f>
        <v>C30</v>
      </c>
      <c r="D2528" s="10" t="str">
        <f>IFERROR(VLOOKUP(Datadetails[[#This Row],[Taskcode]],Dashboard!A:A,1,FALSE),"00 Err Missing")</f>
        <v>0086</v>
      </c>
      <c r="E2528" s="79">
        <v>45940</v>
      </c>
      <c r="F2528" s="80" t="s">
        <v>325</v>
      </c>
      <c r="G2528" s="60" t="s">
        <v>40</v>
      </c>
      <c r="H2528" s="80" t="s">
        <v>253</v>
      </c>
      <c r="I2528" s="80" t="s">
        <v>34</v>
      </c>
      <c r="J2528" s="80" t="s">
        <v>408</v>
      </c>
      <c r="K2528" s="80" t="s">
        <v>347</v>
      </c>
      <c r="L2528" s="80" t="s">
        <v>343</v>
      </c>
      <c r="M2528" s="81">
        <v>0.25</v>
      </c>
      <c r="N2528" s="82">
        <v>18.75</v>
      </c>
    </row>
    <row r="2529" spans="1:14" x14ac:dyDescent="0.25">
      <c r="A2529" s="10" t="str">
        <f>_xlfn.IFNA(
    IF(J2529=
        "PCB-0001",
        "CSS",
        IF(
            ISNUMBER(MATCH(_xlfn.TEXTBEFORE(J2529,"-"), {"CSS","CSN","PCB","PCF","BEC","CSD","PCM"}, 0)),
            _xlfn.TEXTBEFORE(J2529,"-"),
            "Other"
        )
    ),
"Add")</f>
        <v>PCB</v>
      </c>
      <c r="B2529" s="10" t="str">
        <f t="shared" si="40"/>
        <v>0138</v>
      </c>
      <c r="C2529" s="10" t="str">
        <f>_xlfn.LET(
    _xlpm.val, IF(Datadetails[[#This Row],[Activity]]="D02","C20",Datadetails[[#This Row],[Activity]]),
    IF(ISNUMBER(MATCH(_xlpm.val,{"D04","C30","c40","C20"},0)), _xlpm.val, "Other")
)</f>
        <v>C30</v>
      </c>
      <c r="D2529" s="10" t="str">
        <f>IFERROR(VLOOKUP(Datadetails[[#This Row],[Taskcode]],Dashboard!A:A,1,FALSE),"00 Err Missing")</f>
        <v>0138</v>
      </c>
      <c r="E2529" s="79">
        <v>45940</v>
      </c>
      <c r="F2529" s="80" t="s">
        <v>325</v>
      </c>
      <c r="G2529" s="60" t="s">
        <v>40</v>
      </c>
      <c r="H2529" s="80" t="s">
        <v>305</v>
      </c>
      <c r="I2529" s="80" t="s">
        <v>34</v>
      </c>
      <c r="J2529" s="80" t="s">
        <v>382</v>
      </c>
      <c r="K2529" s="80" t="s">
        <v>347</v>
      </c>
      <c r="L2529" s="80" t="s">
        <v>343</v>
      </c>
      <c r="M2529" s="81">
        <v>0.25</v>
      </c>
      <c r="N2529" s="82">
        <v>18.75</v>
      </c>
    </row>
    <row r="2530" spans="1:14" x14ac:dyDescent="0.25">
      <c r="A2530" s="10" t="str">
        <f>_xlfn.IFNA(
    IF(J2530=
        "PCB-0001",
        "CSS",
        IF(
            ISNUMBER(MATCH(_xlfn.TEXTBEFORE(J2530,"-"), {"CSS","CSN","PCB","PCF","BEC","CSD","PCM"}, 0)),
            _xlfn.TEXTBEFORE(J2530,"-"),
            "Other"
        )
    ),
"Add")</f>
        <v>PCB</v>
      </c>
      <c r="B2530" s="10" t="str">
        <f t="shared" si="40"/>
        <v>0095</v>
      </c>
      <c r="C2530" s="10" t="str">
        <f>_xlfn.LET(
    _xlpm.val, IF(Datadetails[[#This Row],[Activity]]="D02","C20",Datadetails[[#This Row],[Activity]]),
    IF(ISNUMBER(MATCH(_xlpm.val,{"D04","C30","c40","C20"},0)), _xlpm.val, "Other")
)</f>
        <v>C30</v>
      </c>
      <c r="D2530" s="10" t="str">
        <f>IFERROR(VLOOKUP(Datadetails[[#This Row],[Taskcode]],Dashboard!A:A,1,FALSE),"00 Err Missing")</f>
        <v>0095</v>
      </c>
      <c r="E2530" s="79">
        <v>45940</v>
      </c>
      <c r="F2530" s="80" t="s">
        <v>325</v>
      </c>
      <c r="G2530" s="60" t="s">
        <v>40</v>
      </c>
      <c r="H2530" s="80" t="s">
        <v>262</v>
      </c>
      <c r="I2530" s="80" t="s">
        <v>34</v>
      </c>
      <c r="J2530" s="80" t="s">
        <v>442</v>
      </c>
      <c r="K2530" s="80" t="s">
        <v>347</v>
      </c>
      <c r="L2530" s="80" t="s">
        <v>343</v>
      </c>
      <c r="M2530" s="81">
        <v>0.17</v>
      </c>
      <c r="N2530" s="82">
        <v>12.750000000000002</v>
      </c>
    </row>
    <row r="2531" spans="1:14" x14ac:dyDescent="0.25">
      <c r="A2531" s="10" t="str">
        <f>_xlfn.IFNA(
    IF(J2531=
        "PCB-0001",
        "CSS",
        IF(
            ISNUMBER(MATCH(_xlfn.TEXTBEFORE(J2531,"-"), {"CSS","CSN","PCB","PCF","BEC","CSD","PCM"}, 0)),
            _xlfn.TEXTBEFORE(J2531,"-"),
            "Other"
        )
    ),
"Add")</f>
        <v>PCB</v>
      </c>
      <c r="B2531" s="10" t="str">
        <f t="shared" si="40"/>
        <v>0111</v>
      </c>
      <c r="C2531" s="10" t="str">
        <f>_xlfn.LET(
    _xlpm.val, IF(Datadetails[[#This Row],[Activity]]="D02","C20",Datadetails[[#This Row],[Activity]]),
    IF(ISNUMBER(MATCH(_xlpm.val,{"D04","C30","c40","C20"},0)), _xlpm.val, "Other")
)</f>
        <v>C30</v>
      </c>
      <c r="D2531" s="10" t="str">
        <f>IFERROR(VLOOKUP(Datadetails[[#This Row],[Taskcode]],Dashboard!A:A,1,FALSE),"00 Err Missing")</f>
        <v>0111</v>
      </c>
      <c r="E2531" s="79">
        <v>45940</v>
      </c>
      <c r="F2531" s="80" t="s">
        <v>325</v>
      </c>
      <c r="G2531" s="60" t="s">
        <v>40</v>
      </c>
      <c r="H2531" s="80" t="s">
        <v>278</v>
      </c>
      <c r="I2531" s="80" t="s">
        <v>34</v>
      </c>
      <c r="J2531" s="80" t="s">
        <v>452</v>
      </c>
      <c r="K2531" s="80" t="s">
        <v>347</v>
      </c>
      <c r="L2531" s="80" t="s">
        <v>343</v>
      </c>
      <c r="M2531" s="81">
        <v>0.33</v>
      </c>
      <c r="N2531" s="82">
        <v>24.75</v>
      </c>
    </row>
    <row r="2532" spans="1:14" x14ac:dyDescent="0.25">
      <c r="A2532" s="10" t="str">
        <f>_xlfn.IFNA(
    IF(J2532=
        "PCB-0001",
        "CSS",
        IF(
            ISNUMBER(MATCH(_xlfn.TEXTBEFORE(J2532,"-"), {"CSS","CSN","PCB","PCF","BEC","CSD","PCM"}, 0)),
            _xlfn.TEXTBEFORE(J2532,"-"),
            "Other"
        )
    ),
"Add")</f>
        <v>PCF</v>
      </c>
      <c r="B2532" s="10" t="str">
        <f t="shared" si="40"/>
        <v>0070</v>
      </c>
      <c r="C2532" s="10" t="str">
        <f>_xlfn.LET(
    _xlpm.val, IF(Datadetails[[#This Row],[Activity]]="D02","C20",Datadetails[[#This Row],[Activity]]),
    IF(ISNUMBER(MATCH(_xlpm.val,{"D04","C30","c40","C20"},0)), _xlpm.val, "Other")
)</f>
        <v>C20</v>
      </c>
      <c r="D2532" s="10" t="str">
        <f>IFERROR(VLOOKUP(Datadetails[[#This Row],[Taskcode]],Dashboard!A:A,1,FALSE),"00 Err Missing")</f>
        <v>0070</v>
      </c>
      <c r="E2532" s="79">
        <v>45940</v>
      </c>
      <c r="F2532" s="80" t="s">
        <v>326</v>
      </c>
      <c r="G2532" s="60" t="s">
        <v>40</v>
      </c>
      <c r="H2532" s="80" t="s">
        <v>237</v>
      </c>
      <c r="I2532" s="80" t="s">
        <v>36</v>
      </c>
      <c r="J2532" s="80" t="s">
        <v>427</v>
      </c>
      <c r="K2532" s="80" t="s">
        <v>348</v>
      </c>
      <c r="L2532" s="80" t="s">
        <v>342</v>
      </c>
      <c r="M2532" s="81">
        <v>1</v>
      </c>
      <c r="N2532" s="82">
        <v>60</v>
      </c>
    </row>
    <row r="2533" spans="1:14" x14ac:dyDescent="0.25">
      <c r="A2533" s="10" t="str">
        <f>_xlfn.IFNA(
    IF(J2533=
        "PCB-0001",
        "CSS",
        IF(
            ISNUMBER(MATCH(_xlfn.TEXTBEFORE(J2533,"-"), {"CSS","CSN","PCB","PCF","BEC","CSD","PCM"}, 0)),
            _xlfn.TEXTBEFORE(J2533,"-"),
            "Other"
        )
    ),
"Add")</f>
        <v>PCF</v>
      </c>
      <c r="B2533" s="10" t="str">
        <f t="shared" si="40"/>
        <v>0069</v>
      </c>
      <c r="C2533" s="10" t="str">
        <f>_xlfn.LET(
    _xlpm.val, IF(Datadetails[[#This Row],[Activity]]="D02","C20",Datadetails[[#This Row],[Activity]]),
    IF(ISNUMBER(MATCH(_xlpm.val,{"D04","C30","c40","C20"},0)), _xlpm.val, "Other")
)</f>
        <v>C20</v>
      </c>
      <c r="D2533" s="10" t="str">
        <f>IFERROR(VLOOKUP(Datadetails[[#This Row],[Taskcode]],Dashboard!A:A,1,FALSE),"00 Err Missing")</f>
        <v>0069</v>
      </c>
      <c r="E2533" s="79">
        <v>45940</v>
      </c>
      <c r="F2533" s="80" t="s">
        <v>326</v>
      </c>
      <c r="G2533" s="60" t="s">
        <v>40</v>
      </c>
      <c r="H2533" s="80" t="s">
        <v>236</v>
      </c>
      <c r="I2533" s="80" t="s">
        <v>36</v>
      </c>
      <c r="J2533" s="80" t="s">
        <v>357</v>
      </c>
      <c r="K2533" s="80" t="s">
        <v>348</v>
      </c>
      <c r="L2533" s="80" t="s">
        <v>342</v>
      </c>
      <c r="M2533" s="81">
        <v>1</v>
      </c>
      <c r="N2533" s="82">
        <v>60</v>
      </c>
    </row>
    <row r="2534" spans="1:14" x14ac:dyDescent="0.25">
      <c r="A2534" s="10" t="str">
        <f>_xlfn.IFNA(
    IF(J2534=
        "PCB-0001",
        "CSS",
        IF(
            ISNUMBER(MATCH(_xlfn.TEXTBEFORE(J2534,"-"), {"CSS","CSN","PCB","PCF","BEC","CSD","PCM"}, 0)),
            _xlfn.TEXTBEFORE(J2534,"-"),
            "Other"
        )
    ),
"Add")</f>
        <v>PCF</v>
      </c>
      <c r="B2534" s="10" t="str">
        <f t="shared" si="40"/>
        <v>0040</v>
      </c>
      <c r="C2534" s="10" t="str">
        <f>_xlfn.LET(
    _xlpm.val, IF(Datadetails[[#This Row],[Activity]]="D02","C20",Datadetails[[#This Row],[Activity]]),
    IF(ISNUMBER(MATCH(_xlpm.val,{"D04","C30","c40","C20"},0)), _xlpm.val, "Other")
)</f>
        <v>C30</v>
      </c>
      <c r="D2534" s="10" t="str">
        <f>IFERROR(VLOOKUP(Datadetails[[#This Row],[Taskcode]],Dashboard!A:A,1,FALSE),"00 Err Missing")</f>
        <v>0040</v>
      </c>
      <c r="E2534" s="79">
        <v>45940</v>
      </c>
      <c r="F2534" s="80" t="s">
        <v>326</v>
      </c>
      <c r="G2534" s="60" t="s">
        <v>40</v>
      </c>
      <c r="H2534" s="80" t="s">
        <v>207</v>
      </c>
      <c r="I2534" s="80" t="s">
        <v>34</v>
      </c>
      <c r="J2534" s="80" t="s">
        <v>417</v>
      </c>
      <c r="K2534" s="80" t="s">
        <v>348</v>
      </c>
      <c r="L2534" s="80" t="s">
        <v>343</v>
      </c>
      <c r="M2534" s="81">
        <v>1.42</v>
      </c>
      <c r="N2534" s="82">
        <v>85.199999999999989</v>
      </c>
    </row>
    <row r="2535" spans="1:14" x14ac:dyDescent="0.25">
      <c r="A2535" s="10" t="str">
        <f>_xlfn.IFNA(
    IF(J2535=
        "PCB-0001",
        "CSS",
        IF(
            ISNUMBER(MATCH(_xlfn.TEXTBEFORE(J2535,"-"), {"CSS","CSN","PCB","PCF","BEC","CSD","PCM"}, 0)),
            _xlfn.TEXTBEFORE(J2535,"-"),
            "Other"
        )
    ),
"Add")</f>
        <v>PCF</v>
      </c>
      <c r="B2535" s="10" t="str">
        <f t="shared" si="40"/>
        <v>0060</v>
      </c>
      <c r="C2535" s="10" t="str">
        <f>_xlfn.LET(
    _xlpm.val, IF(Datadetails[[#This Row],[Activity]]="D02","C20",Datadetails[[#This Row],[Activity]]),
    IF(ISNUMBER(MATCH(_xlpm.val,{"D04","C30","c40","C20"},0)), _xlpm.val, "Other")
)</f>
        <v>C30</v>
      </c>
      <c r="D2535" s="10" t="str">
        <f>IFERROR(VLOOKUP(Datadetails[[#This Row],[Taskcode]],Dashboard!A:A,1,FALSE),"00 Err Missing")</f>
        <v>0060</v>
      </c>
      <c r="E2535" s="79">
        <v>45940</v>
      </c>
      <c r="F2535" s="80" t="s">
        <v>326</v>
      </c>
      <c r="G2535" s="60" t="s">
        <v>40</v>
      </c>
      <c r="H2535" s="80" t="s">
        <v>227</v>
      </c>
      <c r="I2535" s="80" t="s">
        <v>34</v>
      </c>
      <c r="J2535" s="80" t="s">
        <v>453</v>
      </c>
      <c r="K2535" s="80" t="s">
        <v>348</v>
      </c>
      <c r="L2535" s="80" t="s">
        <v>343</v>
      </c>
      <c r="M2535" s="81">
        <v>2.5</v>
      </c>
      <c r="N2535" s="82">
        <v>150</v>
      </c>
    </row>
    <row r="2536" spans="1:14" x14ac:dyDescent="0.25">
      <c r="A2536" s="10" t="str">
        <f>_xlfn.IFNA(
    IF(J2536=
        "PCB-0001",
        "CSS",
        IF(
            ISNUMBER(MATCH(_xlfn.TEXTBEFORE(J2536,"-"), {"CSS","CSN","PCB","PCF","BEC","CSD","PCM"}, 0)),
            _xlfn.TEXTBEFORE(J2536,"-"),
            "Other"
        )
    ),
"Add")</f>
        <v>BEC</v>
      </c>
      <c r="B2536" s="10" t="str">
        <f t="shared" si="40"/>
        <v>0001</v>
      </c>
      <c r="C2536" s="10" t="str">
        <f>_xlfn.LET(
    _xlpm.val, IF(Datadetails[[#This Row],[Activity]]="D02","C20",Datadetails[[#This Row],[Activity]]),
    IF(ISNUMBER(MATCH(_xlpm.val,{"D04","C30","c40","C20"},0)), _xlpm.val, "Other")
)</f>
        <v>D04</v>
      </c>
      <c r="D2536" s="10" t="str">
        <f>IFERROR(VLOOKUP(Datadetails[[#This Row],[Taskcode]],Dashboard!A:A,1,FALSE),"00 Err Missing")</f>
        <v>0001</v>
      </c>
      <c r="E2536" s="79">
        <v>45941</v>
      </c>
      <c r="F2536" s="80" t="s">
        <v>332</v>
      </c>
      <c r="G2536" s="60" t="s">
        <v>40</v>
      </c>
      <c r="H2536" s="80" t="s">
        <v>314</v>
      </c>
      <c r="I2536" s="80" t="s">
        <v>35</v>
      </c>
      <c r="J2536" s="80" t="s">
        <v>359</v>
      </c>
      <c r="K2536" s="80" t="s">
        <v>339</v>
      </c>
      <c r="L2536" s="80" t="s">
        <v>352</v>
      </c>
      <c r="M2536" s="81">
        <v>4</v>
      </c>
      <c r="N2536" s="82">
        <v>160</v>
      </c>
    </row>
    <row r="2537" spans="1:14" x14ac:dyDescent="0.25">
      <c r="A2537" s="10" t="str">
        <f>_xlfn.IFNA(
    IF(J2537=
        "PCB-0001",
        "CSS",
        IF(
            ISNUMBER(MATCH(_xlfn.TEXTBEFORE(J2537,"-"), {"CSS","CSN","PCB","PCF","BEC","CSD","PCM"}, 0)),
            _xlfn.TEXTBEFORE(J2537,"-"),
            "Other"
        )
    ),
"Add")</f>
        <v>CSN</v>
      </c>
      <c r="B2537" s="10" t="str">
        <f t="shared" si="40"/>
        <v>0001</v>
      </c>
      <c r="C2537" s="10" t="str">
        <f>_xlfn.LET(
    _xlpm.val, IF(Datadetails[[#This Row],[Activity]]="D02","C20",Datadetails[[#This Row],[Activity]]),
    IF(ISNUMBER(MATCH(_xlpm.val,{"D04","C30","c40","C20"},0)), _xlpm.val, "Other")
)</f>
        <v>D04</v>
      </c>
      <c r="D2537" s="10" t="str">
        <f>IFERROR(VLOOKUP(Datadetails[[#This Row],[Taskcode]],Dashboard!A:A,1,FALSE),"00 Err Missing")</f>
        <v>0001</v>
      </c>
      <c r="E2537" s="79">
        <v>45943</v>
      </c>
      <c r="F2537" s="80" t="s">
        <v>331</v>
      </c>
      <c r="G2537" s="60" t="s">
        <v>40</v>
      </c>
      <c r="H2537" s="80" t="s">
        <v>316</v>
      </c>
      <c r="I2537" s="80" t="s">
        <v>35</v>
      </c>
      <c r="J2537" s="80" t="s">
        <v>338</v>
      </c>
      <c r="K2537" s="80" t="s">
        <v>337</v>
      </c>
      <c r="L2537" s="80" t="s">
        <v>352</v>
      </c>
      <c r="M2537" s="81">
        <v>0.33</v>
      </c>
      <c r="N2537" s="82">
        <v>10.56</v>
      </c>
    </row>
    <row r="2538" spans="1:14" x14ac:dyDescent="0.25">
      <c r="A2538" s="10" t="str">
        <f>_xlfn.IFNA(
    IF(J2538=
        "PCB-0001",
        "CSS",
        IF(
            ISNUMBER(MATCH(_xlfn.TEXTBEFORE(J2538,"-"), {"CSS","CSN","PCB","PCF","BEC","CSD","PCM"}, 0)),
            _xlfn.TEXTBEFORE(J2538,"-"),
            "Other"
        )
    ),
"Add")</f>
        <v>CSN</v>
      </c>
      <c r="B2538" s="10" t="str">
        <f t="shared" si="40"/>
        <v>0001</v>
      </c>
      <c r="C2538" s="10" t="str">
        <f>_xlfn.LET(
    _xlpm.val, IF(Datadetails[[#This Row],[Activity]]="D02","C20",Datadetails[[#This Row],[Activity]]),
    IF(ISNUMBER(MATCH(_xlpm.val,{"D04","C30","c40","C20"},0)), _xlpm.val, "Other")
)</f>
        <v>D04</v>
      </c>
      <c r="D2538" s="10" t="str">
        <f>IFERROR(VLOOKUP(Datadetails[[#This Row],[Taskcode]],Dashboard!A:A,1,FALSE),"00 Err Missing")</f>
        <v>0001</v>
      </c>
      <c r="E2538" s="79">
        <v>45943</v>
      </c>
      <c r="F2538" s="80" t="s">
        <v>329</v>
      </c>
      <c r="G2538" s="60" t="s">
        <v>40</v>
      </c>
      <c r="H2538" s="80" t="s">
        <v>316</v>
      </c>
      <c r="I2538" s="80" t="s">
        <v>35</v>
      </c>
      <c r="J2538" s="80" t="s">
        <v>338</v>
      </c>
      <c r="K2538" s="80" t="s">
        <v>337</v>
      </c>
      <c r="L2538" s="80" t="s">
        <v>352</v>
      </c>
      <c r="M2538" s="81">
        <v>1.25</v>
      </c>
      <c r="N2538" s="82">
        <v>93.75</v>
      </c>
    </row>
    <row r="2539" spans="1:14" x14ac:dyDescent="0.25">
      <c r="A2539" s="10" t="str">
        <f>_xlfn.IFNA(
    IF(J2539=
        "PCB-0001",
        "CSS",
        IF(
            ISNUMBER(MATCH(_xlfn.TEXTBEFORE(J2539,"-"), {"CSS","CSN","PCB","PCF","BEC","CSD","PCM"}, 0)),
            _xlfn.TEXTBEFORE(J2539,"-"),
            "Other"
        )
    ),
"Add")</f>
        <v>PCB</v>
      </c>
      <c r="B2539" s="10" t="str">
        <f t="shared" si="40"/>
        <v>0102</v>
      </c>
      <c r="C2539" s="10" t="str">
        <f>_xlfn.LET(
    _xlpm.val, IF(Datadetails[[#This Row],[Activity]]="D02","C20",Datadetails[[#This Row],[Activity]]),
    IF(ISNUMBER(MATCH(_xlpm.val,{"D04","C30","c40","C20"},0)), _xlpm.val, "Other")
)</f>
        <v>C30</v>
      </c>
      <c r="D2539" s="10" t="str">
        <f>IFERROR(VLOOKUP(Datadetails[[#This Row],[Taskcode]],Dashboard!A:A,1,FALSE),"00 Err Missing")</f>
        <v>0102</v>
      </c>
      <c r="E2539" s="79">
        <v>45943</v>
      </c>
      <c r="F2539" s="80" t="s">
        <v>329</v>
      </c>
      <c r="G2539" s="60" t="s">
        <v>40</v>
      </c>
      <c r="H2539" s="80" t="s">
        <v>269</v>
      </c>
      <c r="I2539" s="80" t="s">
        <v>34</v>
      </c>
      <c r="J2539" s="80" t="s">
        <v>361</v>
      </c>
      <c r="K2539" s="80" t="s">
        <v>347</v>
      </c>
      <c r="L2539" s="80" t="s">
        <v>343</v>
      </c>
      <c r="M2539" s="81">
        <v>0.17</v>
      </c>
      <c r="N2539" s="82">
        <v>12.750000000000002</v>
      </c>
    </row>
    <row r="2540" spans="1:14" x14ac:dyDescent="0.25">
      <c r="A2540" s="10" t="str">
        <f>_xlfn.IFNA(
    IF(J2540=
        "PCB-0001",
        "CSS",
        IF(
            ISNUMBER(MATCH(_xlfn.TEXTBEFORE(J2540,"-"), {"CSS","CSN","PCB","PCF","BEC","CSD","PCM"}, 0)),
            _xlfn.TEXTBEFORE(J2540,"-"),
            "Other"
        )
    ),
"Add")</f>
        <v>PCB</v>
      </c>
      <c r="B2540" s="10" t="str">
        <f t="shared" si="40"/>
        <v>0101</v>
      </c>
      <c r="C2540" s="10" t="str">
        <f>_xlfn.LET(
    _xlpm.val, IF(Datadetails[[#This Row],[Activity]]="D02","C20",Datadetails[[#This Row],[Activity]]),
    IF(ISNUMBER(MATCH(_xlpm.val,{"D04","C30","c40","C20"},0)), _xlpm.val, "Other")
)</f>
        <v>C30</v>
      </c>
      <c r="D2540" s="10" t="str">
        <f>IFERROR(VLOOKUP(Datadetails[[#This Row],[Taskcode]],Dashboard!A:A,1,FALSE),"00 Err Missing")</f>
        <v>0101</v>
      </c>
      <c r="E2540" s="79">
        <v>45943</v>
      </c>
      <c r="F2540" s="80" t="s">
        <v>329</v>
      </c>
      <c r="G2540" s="60" t="s">
        <v>40</v>
      </c>
      <c r="H2540" s="80" t="s">
        <v>268</v>
      </c>
      <c r="I2540" s="80" t="s">
        <v>34</v>
      </c>
      <c r="J2540" s="80" t="s">
        <v>386</v>
      </c>
      <c r="K2540" s="80" t="s">
        <v>347</v>
      </c>
      <c r="L2540" s="80" t="s">
        <v>343</v>
      </c>
      <c r="M2540" s="81">
        <v>0.17</v>
      </c>
      <c r="N2540" s="82">
        <v>12.750000000000002</v>
      </c>
    </row>
    <row r="2541" spans="1:14" x14ac:dyDescent="0.25">
      <c r="A2541" s="10" t="str">
        <f>_xlfn.IFNA(
    IF(J2541=
        "PCB-0001",
        "CSS",
        IF(
            ISNUMBER(MATCH(_xlfn.TEXTBEFORE(J2541,"-"), {"CSS","CSN","PCB","PCF","BEC","CSD","PCM"}, 0)),
            _xlfn.TEXTBEFORE(J2541,"-"),
            "Other"
        )
    ),
"Add")</f>
        <v>PCM</v>
      </c>
      <c r="B2541" s="10" t="str">
        <f t="shared" si="40"/>
        <v>0001</v>
      </c>
      <c r="C2541" s="10" t="str">
        <f>_xlfn.LET(
    _xlpm.val, IF(Datadetails[[#This Row],[Activity]]="D02","C20",Datadetails[[#This Row],[Activity]]),
    IF(ISNUMBER(MATCH(_xlpm.val,{"D04","C30","c40","C20"},0)), _xlpm.val, "Other")
)</f>
        <v>C20</v>
      </c>
      <c r="D2541" s="10" t="str">
        <f>IFERROR(VLOOKUP(Datadetails[[#This Row],[Taskcode]],Dashboard!A:A,1,FALSE),"00 Err Missing")</f>
        <v>0001</v>
      </c>
      <c r="E2541" s="79">
        <v>45943</v>
      </c>
      <c r="F2541" s="80" t="s">
        <v>323</v>
      </c>
      <c r="G2541" s="60" t="s">
        <v>40</v>
      </c>
      <c r="H2541" s="80" t="s">
        <v>168</v>
      </c>
      <c r="I2541" s="80" t="s">
        <v>36</v>
      </c>
      <c r="J2541" s="80" t="s">
        <v>419</v>
      </c>
      <c r="K2541" s="80" t="s">
        <v>346</v>
      </c>
      <c r="L2541" s="80" t="s">
        <v>342</v>
      </c>
      <c r="M2541" s="81">
        <v>0.25</v>
      </c>
      <c r="N2541" s="82">
        <v>15</v>
      </c>
    </row>
    <row r="2542" spans="1:14" x14ac:dyDescent="0.25">
      <c r="A2542" s="10" t="str">
        <f>_xlfn.IFNA(
    IF(J2542=
        "PCB-0001",
        "CSS",
        IF(
            ISNUMBER(MATCH(_xlfn.TEXTBEFORE(J2542,"-"), {"CSS","CSN","PCB","PCF","BEC","CSD","PCM"}, 0)),
            _xlfn.TEXTBEFORE(J2542,"-"),
            "Other"
        )
    ),
"Add")</f>
        <v>PCM</v>
      </c>
      <c r="B2542" s="10" t="str">
        <f t="shared" si="40"/>
        <v>0002</v>
      </c>
      <c r="C2542" s="10" t="str">
        <f>_xlfn.LET(
    _xlpm.val, IF(Datadetails[[#This Row],[Activity]]="D02","C20",Datadetails[[#This Row],[Activity]]),
    IF(ISNUMBER(MATCH(_xlpm.val,{"D04","C30","c40","C20"},0)), _xlpm.val, "Other")
)</f>
        <v>C20</v>
      </c>
      <c r="D2542" s="10" t="str">
        <f>IFERROR(VLOOKUP(Datadetails[[#This Row],[Taskcode]],Dashboard!A:A,1,FALSE),"00 Err Missing")</f>
        <v>0002</v>
      </c>
      <c r="E2542" s="79">
        <v>45943</v>
      </c>
      <c r="F2542" s="80" t="s">
        <v>323</v>
      </c>
      <c r="G2542" s="60" t="s">
        <v>40</v>
      </c>
      <c r="H2542" s="80" t="s">
        <v>169</v>
      </c>
      <c r="I2542" s="80" t="s">
        <v>36</v>
      </c>
      <c r="J2542" s="80" t="s">
        <v>433</v>
      </c>
      <c r="K2542" s="80" t="s">
        <v>346</v>
      </c>
      <c r="L2542" s="80" t="s">
        <v>342</v>
      </c>
      <c r="M2542" s="81">
        <v>0.25</v>
      </c>
      <c r="N2542" s="82">
        <v>15</v>
      </c>
    </row>
    <row r="2543" spans="1:14" x14ac:dyDescent="0.25">
      <c r="A2543" s="10" t="str">
        <f>_xlfn.IFNA(
    IF(J2543=
        "PCB-0001",
        "CSS",
        IF(
            ISNUMBER(MATCH(_xlfn.TEXTBEFORE(J2543,"-"), {"CSS","CSN","PCB","PCF","BEC","CSD","PCM"}, 0)),
            _xlfn.TEXTBEFORE(J2543,"-"),
            "Other"
        )
    ),
"Add")</f>
        <v>PCM</v>
      </c>
      <c r="B2543" s="10" t="str">
        <f t="shared" si="40"/>
        <v>0005</v>
      </c>
      <c r="C2543" s="10" t="str">
        <f>_xlfn.LET(
    _xlpm.val, IF(Datadetails[[#This Row],[Activity]]="D02","C20",Datadetails[[#This Row],[Activity]]),
    IF(ISNUMBER(MATCH(_xlpm.val,{"D04","C30","c40","C20"},0)), _xlpm.val, "Other")
)</f>
        <v>C20</v>
      </c>
      <c r="D2543" s="10" t="str">
        <f>IFERROR(VLOOKUP(Datadetails[[#This Row],[Taskcode]],Dashboard!A:A,1,FALSE),"00 Err Missing")</f>
        <v>0005</v>
      </c>
      <c r="E2543" s="79">
        <v>45943</v>
      </c>
      <c r="F2543" s="80" t="s">
        <v>323</v>
      </c>
      <c r="G2543" s="60" t="s">
        <v>40</v>
      </c>
      <c r="H2543" s="80" t="s">
        <v>172</v>
      </c>
      <c r="I2543" s="80" t="s">
        <v>36</v>
      </c>
      <c r="J2543" s="80" t="s">
        <v>426</v>
      </c>
      <c r="K2543" s="80" t="s">
        <v>346</v>
      </c>
      <c r="L2543" s="80" t="s">
        <v>342</v>
      </c>
      <c r="M2543" s="81">
        <v>0.25</v>
      </c>
      <c r="N2543" s="82">
        <v>15</v>
      </c>
    </row>
    <row r="2544" spans="1:14" x14ac:dyDescent="0.25">
      <c r="A2544" s="10" t="str">
        <f>_xlfn.IFNA(
    IF(J2544=
        "PCB-0001",
        "CSS",
        IF(
            ISNUMBER(MATCH(_xlfn.TEXTBEFORE(J2544,"-"), {"CSS","CSN","PCB","PCF","BEC","CSD","PCM"}, 0)),
            _xlfn.TEXTBEFORE(J2544,"-"),
            "Other"
        )
    ),
"Add")</f>
        <v>PCM</v>
      </c>
      <c r="B2544" s="10" t="str">
        <f t="shared" si="40"/>
        <v>0033</v>
      </c>
      <c r="C2544" s="10" t="str">
        <f>_xlfn.LET(
    _xlpm.val, IF(Datadetails[[#This Row],[Activity]]="D02","C20",Datadetails[[#This Row],[Activity]]),
    IF(ISNUMBER(MATCH(_xlpm.val,{"D04","C30","c40","C20"},0)), _xlpm.val, "Other")
)</f>
        <v>C20</v>
      </c>
      <c r="D2544" s="10" t="str">
        <f>IFERROR(VLOOKUP(Datadetails[[#This Row],[Taskcode]],Dashboard!A:A,1,FALSE),"00 Err Missing")</f>
        <v>0033</v>
      </c>
      <c r="E2544" s="79">
        <v>45943</v>
      </c>
      <c r="F2544" s="80" t="s">
        <v>323</v>
      </c>
      <c r="G2544" s="60" t="s">
        <v>40</v>
      </c>
      <c r="H2544" s="80" t="s">
        <v>200</v>
      </c>
      <c r="I2544" s="80" t="s">
        <v>36</v>
      </c>
      <c r="J2544" s="80" t="s">
        <v>391</v>
      </c>
      <c r="K2544" s="80" t="s">
        <v>346</v>
      </c>
      <c r="L2544" s="80" t="s">
        <v>342</v>
      </c>
      <c r="M2544" s="81">
        <v>0.25</v>
      </c>
      <c r="N2544" s="82">
        <v>15</v>
      </c>
    </row>
    <row r="2545" spans="1:14" x14ac:dyDescent="0.25">
      <c r="A2545" s="10" t="str">
        <f>_xlfn.IFNA(
    IF(J2545=
        "PCB-0001",
        "CSS",
        IF(
            ISNUMBER(MATCH(_xlfn.TEXTBEFORE(J2545,"-"), {"CSS","CSN","PCB","PCF","BEC","CSD","PCM"}, 0)),
            _xlfn.TEXTBEFORE(J2545,"-"),
            "Other"
        )
    ),
"Add")</f>
        <v>PCM</v>
      </c>
      <c r="B2545" s="10" t="str">
        <f t="shared" si="40"/>
        <v>0045</v>
      </c>
      <c r="C2545" s="10" t="str">
        <f>_xlfn.LET(
    _xlpm.val, IF(Datadetails[[#This Row],[Activity]]="D02","C20",Datadetails[[#This Row],[Activity]]),
    IF(ISNUMBER(MATCH(_xlpm.val,{"D04","C30","c40","C20"},0)), _xlpm.val, "Other")
)</f>
        <v>C20</v>
      </c>
      <c r="D2545" s="10" t="str">
        <f>IFERROR(VLOOKUP(Datadetails[[#This Row],[Taskcode]],Dashboard!A:A,1,FALSE),"00 Err Missing")</f>
        <v>0045</v>
      </c>
      <c r="E2545" s="79">
        <v>45943</v>
      </c>
      <c r="F2545" s="80" t="s">
        <v>323</v>
      </c>
      <c r="G2545" s="60" t="s">
        <v>40</v>
      </c>
      <c r="H2545" s="80" t="s">
        <v>212</v>
      </c>
      <c r="I2545" s="80" t="s">
        <v>36</v>
      </c>
      <c r="J2545" s="80" t="s">
        <v>392</v>
      </c>
      <c r="K2545" s="80" t="s">
        <v>346</v>
      </c>
      <c r="L2545" s="80" t="s">
        <v>342</v>
      </c>
      <c r="M2545" s="81">
        <v>0.25</v>
      </c>
      <c r="N2545" s="82">
        <v>15</v>
      </c>
    </row>
    <row r="2546" spans="1:14" x14ac:dyDescent="0.25">
      <c r="A2546" s="10" t="str">
        <f>_xlfn.IFNA(
    IF(J2546=
        "PCB-0001",
        "CSS",
        IF(
            ISNUMBER(MATCH(_xlfn.TEXTBEFORE(J2546,"-"), {"CSS","CSN","PCB","PCF","BEC","CSD","PCM"}, 0)),
            _xlfn.TEXTBEFORE(J2546,"-"),
            "Other"
        )
    ),
"Add")</f>
        <v>PCM</v>
      </c>
      <c r="B2546" s="10" t="str">
        <f t="shared" si="40"/>
        <v>0052</v>
      </c>
      <c r="C2546" s="10" t="str">
        <f>_xlfn.LET(
    _xlpm.val, IF(Datadetails[[#This Row],[Activity]]="D02","C20",Datadetails[[#This Row],[Activity]]),
    IF(ISNUMBER(MATCH(_xlpm.val,{"D04","C30","c40","C20"},0)), _xlpm.val, "Other")
)</f>
        <v>C20</v>
      </c>
      <c r="D2546" s="10" t="str">
        <f>IFERROR(VLOOKUP(Datadetails[[#This Row],[Taskcode]],Dashboard!A:A,1,FALSE),"00 Err Missing")</f>
        <v>0052</v>
      </c>
      <c r="E2546" s="79">
        <v>45943</v>
      </c>
      <c r="F2546" s="80" t="s">
        <v>323</v>
      </c>
      <c r="G2546" s="60" t="s">
        <v>40</v>
      </c>
      <c r="H2546" s="80" t="s">
        <v>219</v>
      </c>
      <c r="I2546" s="80" t="s">
        <v>36</v>
      </c>
      <c r="J2546" s="80" t="s">
        <v>432</v>
      </c>
      <c r="K2546" s="80" t="s">
        <v>346</v>
      </c>
      <c r="L2546" s="80" t="s">
        <v>342</v>
      </c>
      <c r="M2546" s="81">
        <v>0.25</v>
      </c>
      <c r="N2546" s="82">
        <v>15</v>
      </c>
    </row>
    <row r="2547" spans="1:14" x14ac:dyDescent="0.25">
      <c r="A2547" s="10" t="str">
        <f>_xlfn.IFNA(
    IF(J2547=
        "PCB-0001",
        "CSS",
        IF(
            ISNUMBER(MATCH(_xlfn.TEXTBEFORE(J2547,"-"), {"CSS","CSN","PCB","PCF","BEC","CSD","PCM"}, 0)),
            _xlfn.TEXTBEFORE(J2547,"-"),
            "Other"
        )
    ),
"Add")</f>
        <v>BEC</v>
      </c>
      <c r="B2547" s="10" t="str">
        <f t="shared" si="40"/>
        <v>0001</v>
      </c>
      <c r="C2547" s="10" t="str">
        <f>_xlfn.LET(
    _xlpm.val, IF(Datadetails[[#This Row],[Activity]]="D02","C20",Datadetails[[#This Row],[Activity]]),
    IF(ISNUMBER(MATCH(_xlpm.val,{"D04","C30","c40","C20"},0)), _xlpm.val, "Other")
)</f>
        <v>D04</v>
      </c>
      <c r="D2547" s="10" t="str">
        <f>IFERROR(VLOOKUP(Datadetails[[#This Row],[Taskcode]],Dashboard!A:A,1,FALSE),"00 Err Missing")</f>
        <v>0001</v>
      </c>
      <c r="E2547" s="79">
        <v>45943</v>
      </c>
      <c r="F2547" s="80" t="s">
        <v>332</v>
      </c>
      <c r="G2547" s="60" t="s">
        <v>40</v>
      </c>
      <c r="H2547" s="80" t="s">
        <v>314</v>
      </c>
      <c r="I2547" s="80" t="s">
        <v>35</v>
      </c>
      <c r="J2547" s="80" t="s">
        <v>359</v>
      </c>
      <c r="K2547" s="80" t="s">
        <v>339</v>
      </c>
      <c r="L2547" s="80" t="s">
        <v>352</v>
      </c>
      <c r="M2547" s="81">
        <v>9.33</v>
      </c>
      <c r="N2547" s="82">
        <v>373.2</v>
      </c>
    </row>
    <row r="2548" spans="1:14" x14ac:dyDescent="0.25">
      <c r="A2548" s="10" t="str">
        <f>_xlfn.IFNA(
    IF(J2548=
        "PCB-0001",
        "CSS",
        IF(
            ISNUMBER(MATCH(_xlfn.TEXTBEFORE(J2548,"-"), {"CSS","CSN","PCB","PCF","BEC","CSD","PCM"}, 0)),
            _xlfn.TEXTBEFORE(J2548,"-"),
            "Other"
        )
    ),
"Add")</f>
        <v>BEC</v>
      </c>
      <c r="B2548" s="10" t="str">
        <f t="shared" si="40"/>
        <v>0001</v>
      </c>
      <c r="C2548" s="10" t="str">
        <f>_xlfn.LET(
    _xlpm.val, IF(Datadetails[[#This Row],[Activity]]="D02","C20",Datadetails[[#This Row],[Activity]]),
    IF(ISNUMBER(MATCH(_xlpm.val,{"D04","C30","c40","C20"},0)), _xlpm.val, "Other")
)</f>
        <v>D04</v>
      </c>
      <c r="D2548" s="10" t="str">
        <f>IFERROR(VLOOKUP(Datadetails[[#This Row],[Taskcode]],Dashboard!A:A,1,FALSE),"00 Err Missing")</f>
        <v>0001</v>
      </c>
      <c r="E2548" s="79">
        <v>45943</v>
      </c>
      <c r="F2548" s="80" t="s">
        <v>324</v>
      </c>
      <c r="G2548" s="60" t="s">
        <v>40</v>
      </c>
      <c r="H2548" s="80" t="s">
        <v>314</v>
      </c>
      <c r="I2548" s="80" t="s">
        <v>35</v>
      </c>
      <c r="J2548" s="80" t="s">
        <v>359</v>
      </c>
      <c r="K2548" s="80" t="s">
        <v>339</v>
      </c>
      <c r="L2548" s="80" t="s">
        <v>352</v>
      </c>
      <c r="M2548" s="81">
        <v>5.58</v>
      </c>
      <c r="N2548" s="82">
        <v>418.5</v>
      </c>
    </row>
    <row r="2549" spans="1:14" x14ac:dyDescent="0.25">
      <c r="A2549" s="10" t="str">
        <f>_xlfn.IFNA(
    IF(J2549=
        "PCB-0001",
        "CSS",
        IF(
            ISNUMBER(MATCH(_xlfn.TEXTBEFORE(J2549,"-"), {"CSS","CSN","PCB","PCF","BEC","CSD","PCM"}, 0)),
            _xlfn.TEXTBEFORE(J2549,"-"),
            "Other"
        )
    ),
"Add")</f>
        <v>CSD</v>
      </c>
      <c r="B2549" s="10" t="str">
        <f t="shared" si="40"/>
        <v>0001</v>
      </c>
      <c r="C2549" s="10" t="str">
        <f>_xlfn.LET(
    _xlpm.val, IF(Datadetails[[#This Row],[Activity]]="D02","C20",Datadetails[[#This Row],[Activity]]),
    IF(ISNUMBER(MATCH(_xlpm.val,{"D04","C30","c40","C20"},0)), _xlpm.val, "Other")
)</f>
        <v>D04</v>
      </c>
      <c r="D2549" s="10" t="str">
        <f>IFERROR(VLOOKUP(Datadetails[[#This Row],[Taskcode]],Dashboard!A:A,1,FALSE),"00 Err Missing")</f>
        <v>0001</v>
      </c>
      <c r="E2549" s="79">
        <v>45943</v>
      </c>
      <c r="F2549" s="80" t="s">
        <v>333</v>
      </c>
      <c r="G2549" s="60" t="s">
        <v>40</v>
      </c>
      <c r="H2549" s="80" t="s">
        <v>320</v>
      </c>
      <c r="I2549" s="80" t="s">
        <v>35</v>
      </c>
      <c r="J2549" s="80" t="s">
        <v>322</v>
      </c>
      <c r="K2549" s="80" t="s">
        <v>319</v>
      </c>
      <c r="L2549" s="80" t="s">
        <v>352</v>
      </c>
      <c r="M2549" s="81">
        <v>6.92</v>
      </c>
      <c r="N2549" s="82">
        <v>221.44</v>
      </c>
    </row>
    <row r="2550" spans="1:14" x14ac:dyDescent="0.25">
      <c r="A2550" s="10" t="str">
        <f>_xlfn.IFNA(
    IF(J2550=
        "PCB-0001",
        "CSS",
        IF(
            ISNUMBER(MATCH(_xlfn.TEXTBEFORE(J2550,"-"), {"CSS","CSN","PCB","PCF","BEC","CSD","PCM"}, 0)),
            _xlfn.TEXTBEFORE(J2550,"-"),
            "Other"
        )
    ),
"Add")</f>
        <v>CSD</v>
      </c>
      <c r="B2550" s="10" t="str">
        <f t="shared" si="40"/>
        <v>0001</v>
      </c>
      <c r="C2550" s="10" t="str">
        <f>_xlfn.LET(
    _xlpm.val, IF(Datadetails[[#This Row],[Activity]]="D02","C20",Datadetails[[#This Row],[Activity]]),
    IF(ISNUMBER(MATCH(_xlpm.val,{"D04","C30","c40","C20"},0)), _xlpm.val, "Other")
)</f>
        <v>D04</v>
      </c>
      <c r="D2550" s="10" t="str">
        <f>IFERROR(VLOOKUP(Datadetails[[#This Row],[Taskcode]],Dashboard!A:A,1,FALSE),"00 Err Missing")</f>
        <v>0001</v>
      </c>
      <c r="E2550" s="79">
        <v>45943</v>
      </c>
      <c r="F2550" s="80" t="s">
        <v>327</v>
      </c>
      <c r="G2550" s="60" t="s">
        <v>40</v>
      </c>
      <c r="H2550" s="80" t="s">
        <v>320</v>
      </c>
      <c r="I2550" s="80" t="s">
        <v>35</v>
      </c>
      <c r="J2550" s="80" t="s">
        <v>322</v>
      </c>
      <c r="K2550" s="80" t="s">
        <v>319</v>
      </c>
      <c r="L2550" s="80" t="s">
        <v>352</v>
      </c>
      <c r="M2550" s="81">
        <v>7.33</v>
      </c>
      <c r="N2550" s="82">
        <v>234.56</v>
      </c>
    </row>
    <row r="2551" spans="1:14" x14ac:dyDescent="0.25">
      <c r="A2551" s="10" t="str">
        <f>_xlfn.IFNA(
    IF(J2551=
        "PCB-0001",
        "CSS",
        IF(
            ISNUMBER(MATCH(_xlfn.TEXTBEFORE(J2551,"-"), {"CSS","CSN","PCB","PCF","BEC","CSD","PCM"}, 0)),
            _xlfn.TEXTBEFORE(J2551,"-"),
            "Other"
        )
    ),
"Add")</f>
        <v>PCM</v>
      </c>
      <c r="B2551" s="10" t="str">
        <f t="shared" si="40"/>
        <v>0078</v>
      </c>
      <c r="C2551" s="10" t="str">
        <f>_xlfn.LET(
    _xlpm.val, IF(Datadetails[[#This Row],[Activity]]="D02","C20",Datadetails[[#This Row],[Activity]]),
    IF(ISNUMBER(MATCH(_xlpm.val,{"D04","C30","c40","C20"},0)), _xlpm.val, "Other")
)</f>
        <v>C20</v>
      </c>
      <c r="D2551" s="10" t="str">
        <f>IFERROR(VLOOKUP(Datadetails[[#This Row],[Taskcode]],Dashboard!A:A,1,FALSE),"00 Err Missing")</f>
        <v>0078</v>
      </c>
      <c r="E2551" s="79">
        <v>45943</v>
      </c>
      <c r="F2551" s="80" t="s">
        <v>323</v>
      </c>
      <c r="G2551" s="60" t="s">
        <v>40</v>
      </c>
      <c r="H2551" s="80" t="s">
        <v>245</v>
      </c>
      <c r="I2551" s="80" t="s">
        <v>36</v>
      </c>
      <c r="J2551" s="80" t="s">
        <v>435</v>
      </c>
      <c r="K2551" s="80" t="s">
        <v>346</v>
      </c>
      <c r="L2551" s="80" t="s">
        <v>342</v>
      </c>
      <c r="M2551" s="81">
        <v>0.25</v>
      </c>
      <c r="N2551" s="82">
        <v>15</v>
      </c>
    </row>
    <row r="2552" spans="1:14" x14ac:dyDescent="0.25">
      <c r="A2552" s="10" t="str">
        <f>_xlfn.IFNA(
    IF(J2552=
        "PCB-0001",
        "CSS",
        IF(
            ISNUMBER(MATCH(_xlfn.TEXTBEFORE(J2552,"-"), {"CSS","CSN","PCB","PCF","BEC","CSD","PCM"}, 0)),
            _xlfn.TEXTBEFORE(J2552,"-"),
            "Other"
        )
    ),
"Add")</f>
        <v>PCM</v>
      </c>
      <c r="B2552" s="10" t="str">
        <f t="shared" si="40"/>
        <v>0099</v>
      </c>
      <c r="C2552" s="10" t="str">
        <f>_xlfn.LET(
    _xlpm.val, IF(Datadetails[[#This Row],[Activity]]="D02","C20",Datadetails[[#This Row],[Activity]]),
    IF(ISNUMBER(MATCH(_xlpm.val,{"D04","C30","c40","C20"},0)), _xlpm.val, "Other")
)</f>
        <v>C20</v>
      </c>
      <c r="D2552" s="10" t="str">
        <f>IFERROR(VLOOKUP(Datadetails[[#This Row],[Taskcode]],Dashboard!A:A,1,FALSE),"00 Err Missing")</f>
        <v>0099</v>
      </c>
      <c r="E2552" s="79">
        <v>45943</v>
      </c>
      <c r="F2552" s="80" t="s">
        <v>323</v>
      </c>
      <c r="G2552" s="60" t="s">
        <v>40</v>
      </c>
      <c r="H2552" s="80" t="s">
        <v>266</v>
      </c>
      <c r="I2552" s="80" t="s">
        <v>36</v>
      </c>
      <c r="J2552" s="80" t="s">
        <v>394</v>
      </c>
      <c r="K2552" s="80" t="s">
        <v>346</v>
      </c>
      <c r="L2552" s="80" t="s">
        <v>342</v>
      </c>
      <c r="M2552" s="81">
        <v>0.25</v>
      </c>
      <c r="N2552" s="82">
        <v>15</v>
      </c>
    </row>
    <row r="2553" spans="1:14" x14ac:dyDescent="0.25">
      <c r="A2553" s="10" t="str">
        <f>_xlfn.IFNA(
    IF(J2553=
        "PCB-0001",
        "CSS",
        IF(
            ISNUMBER(MATCH(_xlfn.TEXTBEFORE(J2553,"-"), {"CSS","CSN","PCB","PCF","BEC","CSD","PCM"}, 0)),
            _xlfn.TEXTBEFORE(J2553,"-"),
            "Other"
        )
    ),
"Add")</f>
        <v>PCM</v>
      </c>
      <c r="B2553" s="10" t="str">
        <f t="shared" si="40"/>
        <v>0100</v>
      </c>
      <c r="C2553" s="10" t="str">
        <f>_xlfn.LET(
    _xlpm.val, IF(Datadetails[[#This Row],[Activity]]="D02","C20",Datadetails[[#This Row],[Activity]]),
    IF(ISNUMBER(MATCH(_xlpm.val,{"D04","C30","c40","C20"},0)), _xlpm.val, "Other")
)</f>
        <v>C20</v>
      </c>
      <c r="D2553" s="10" t="str">
        <f>IFERROR(VLOOKUP(Datadetails[[#This Row],[Taskcode]],Dashboard!A:A,1,FALSE),"00 Err Missing")</f>
        <v>0100</v>
      </c>
      <c r="E2553" s="79">
        <v>45943</v>
      </c>
      <c r="F2553" s="80" t="s">
        <v>323</v>
      </c>
      <c r="G2553" s="60" t="s">
        <v>40</v>
      </c>
      <c r="H2553" s="80" t="s">
        <v>267</v>
      </c>
      <c r="I2553" s="80" t="s">
        <v>36</v>
      </c>
      <c r="J2553" s="80" t="s">
        <v>436</v>
      </c>
      <c r="K2553" s="80" t="s">
        <v>346</v>
      </c>
      <c r="L2553" s="80" t="s">
        <v>342</v>
      </c>
      <c r="M2553" s="81">
        <v>0.33</v>
      </c>
      <c r="N2553" s="82">
        <v>19.8</v>
      </c>
    </row>
    <row r="2554" spans="1:14" x14ac:dyDescent="0.25">
      <c r="A2554" s="10" t="str">
        <f>_xlfn.IFNA(
    IF(J2554=
        "PCB-0001",
        "CSS",
        IF(
            ISNUMBER(MATCH(_xlfn.TEXTBEFORE(J2554,"-"), {"CSS","CSN","PCB","PCF","BEC","CSD","PCM"}, 0)),
            _xlfn.TEXTBEFORE(J2554,"-"),
            "Other"
        )
    ),
"Add")</f>
        <v>PCB</v>
      </c>
      <c r="B2554" s="10" t="str">
        <f t="shared" si="40"/>
        <v>0057</v>
      </c>
      <c r="C2554" s="10" t="str">
        <f>_xlfn.LET(
    _xlpm.val, IF(Datadetails[[#This Row],[Activity]]="D02","C20",Datadetails[[#This Row],[Activity]]),
    IF(ISNUMBER(MATCH(_xlpm.val,{"D04","C30","c40","C20"},0)), _xlpm.val, "Other")
)</f>
        <v>C20</v>
      </c>
      <c r="D2554" s="10" t="str">
        <f>IFERROR(VLOOKUP(Datadetails[[#This Row],[Taskcode]],Dashboard!A:A,1,FALSE),"00 Err Missing")</f>
        <v>0057</v>
      </c>
      <c r="E2554" s="79">
        <v>45943</v>
      </c>
      <c r="F2554" s="80" t="s">
        <v>325</v>
      </c>
      <c r="G2554" s="60" t="s">
        <v>40</v>
      </c>
      <c r="H2554" s="80" t="s">
        <v>224</v>
      </c>
      <c r="I2554" s="80" t="s">
        <v>36</v>
      </c>
      <c r="J2554" s="80" t="s">
        <v>423</v>
      </c>
      <c r="K2554" s="80" t="s">
        <v>347</v>
      </c>
      <c r="L2554" s="80" t="s">
        <v>342</v>
      </c>
      <c r="M2554" s="81">
        <v>0.5</v>
      </c>
      <c r="N2554" s="82">
        <v>37.5</v>
      </c>
    </row>
    <row r="2555" spans="1:14" x14ac:dyDescent="0.25">
      <c r="A2555" s="10" t="str">
        <f>_xlfn.IFNA(
    IF(J2555=
        "PCB-0001",
        "CSS",
        IF(
            ISNUMBER(MATCH(_xlfn.TEXTBEFORE(J2555,"-"), {"CSS","CSN","PCB","PCF","BEC","CSD","PCM"}, 0)),
            _xlfn.TEXTBEFORE(J2555,"-"),
            "Other"
        )
    ),
"Add")</f>
        <v>PCB</v>
      </c>
      <c r="B2555" s="10" t="str">
        <f t="shared" si="40"/>
        <v>0030</v>
      </c>
      <c r="C2555" s="10" t="str">
        <f>_xlfn.LET(
    _xlpm.val, IF(Datadetails[[#This Row],[Activity]]="D02","C20",Datadetails[[#This Row],[Activity]]),
    IF(ISNUMBER(MATCH(_xlpm.val,{"D04","C30","c40","C20"},0)), _xlpm.val, "Other")
)</f>
        <v>C30</v>
      </c>
      <c r="D2555" s="10" t="str">
        <f>IFERROR(VLOOKUP(Datadetails[[#This Row],[Taskcode]],Dashboard!A:A,1,FALSE),"00 Err Missing")</f>
        <v>0030</v>
      </c>
      <c r="E2555" s="79">
        <v>45943</v>
      </c>
      <c r="F2555" s="80" t="s">
        <v>329</v>
      </c>
      <c r="G2555" s="60" t="s">
        <v>40</v>
      </c>
      <c r="H2555" s="80" t="s">
        <v>197</v>
      </c>
      <c r="I2555" s="80" t="s">
        <v>34</v>
      </c>
      <c r="J2555" s="80" t="s">
        <v>366</v>
      </c>
      <c r="K2555" s="80" t="s">
        <v>347</v>
      </c>
      <c r="L2555" s="80" t="s">
        <v>343</v>
      </c>
      <c r="M2555" s="81">
        <v>0.17</v>
      </c>
      <c r="N2555" s="82">
        <v>12.750000000000002</v>
      </c>
    </row>
    <row r="2556" spans="1:14" x14ac:dyDescent="0.25">
      <c r="A2556" s="10" t="str">
        <f>_xlfn.IFNA(
    IF(J2556=
        "PCB-0001",
        "CSS",
        IF(
            ISNUMBER(MATCH(_xlfn.TEXTBEFORE(J2556,"-"), {"CSS","CSN","PCB","PCF","BEC","CSD","PCM"}, 0)),
            _xlfn.TEXTBEFORE(J2556,"-"),
            "Other"
        )
    ),
"Add")</f>
        <v>PCB</v>
      </c>
      <c r="B2556" s="10" t="str">
        <f t="shared" si="40"/>
        <v>0038</v>
      </c>
      <c r="C2556" s="10" t="str">
        <f>_xlfn.LET(
    _xlpm.val, IF(Datadetails[[#This Row],[Activity]]="D02","C20",Datadetails[[#This Row],[Activity]]),
    IF(ISNUMBER(MATCH(_xlpm.val,{"D04","C30","c40","C20"},0)), _xlpm.val, "Other")
)</f>
        <v>C30</v>
      </c>
      <c r="D2556" s="10" t="str">
        <f>IFERROR(VLOOKUP(Datadetails[[#This Row],[Taskcode]],Dashboard!A:A,1,FALSE),"00 Err Missing")</f>
        <v>0038</v>
      </c>
      <c r="E2556" s="79">
        <v>45943</v>
      </c>
      <c r="F2556" s="80" t="s">
        <v>325</v>
      </c>
      <c r="G2556" s="60" t="s">
        <v>40</v>
      </c>
      <c r="H2556" s="80" t="s">
        <v>205</v>
      </c>
      <c r="I2556" s="80" t="s">
        <v>34</v>
      </c>
      <c r="J2556" s="80" t="s">
        <v>470</v>
      </c>
      <c r="K2556" s="80" t="s">
        <v>347</v>
      </c>
      <c r="L2556" s="80" t="s">
        <v>343</v>
      </c>
      <c r="M2556" s="81">
        <v>0.17</v>
      </c>
      <c r="N2556" s="82">
        <v>12.750000000000002</v>
      </c>
    </row>
    <row r="2557" spans="1:14" x14ac:dyDescent="0.25">
      <c r="A2557" s="10" t="str">
        <f>_xlfn.IFNA(
    IF(J2557=
        "PCB-0001",
        "CSS",
        IF(
            ISNUMBER(MATCH(_xlfn.TEXTBEFORE(J2557,"-"), {"CSS","CSN","PCB","PCF","BEC","CSD","PCM"}, 0)),
            _xlfn.TEXTBEFORE(J2557,"-"),
            "Other"
        )
    ),
"Add")</f>
        <v>PCB</v>
      </c>
      <c r="B2557" s="10" t="str">
        <f t="shared" si="40"/>
        <v>0085</v>
      </c>
      <c r="C2557" s="10" t="str">
        <f>_xlfn.LET(
    _xlpm.val, IF(Datadetails[[#This Row],[Activity]]="D02","C20",Datadetails[[#This Row],[Activity]]),
    IF(ISNUMBER(MATCH(_xlpm.val,{"D04","C30","c40","C20"},0)), _xlpm.val, "Other")
)</f>
        <v>C20</v>
      </c>
      <c r="D2557" s="10" t="str">
        <f>IFERROR(VLOOKUP(Datadetails[[#This Row],[Taskcode]],Dashboard!A:A,1,FALSE),"00 Err Missing")</f>
        <v>0085</v>
      </c>
      <c r="E2557" s="79">
        <v>45943</v>
      </c>
      <c r="F2557" s="80" t="s">
        <v>330</v>
      </c>
      <c r="G2557" s="60" t="s">
        <v>40</v>
      </c>
      <c r="H2557" s="80" t="s">
        <v>252</v>
      </c>
      <c r="I2557" s="80" t="s">
        <v>36</v>
      </c>
      <c r="J2557" s="80" t="s">
        <v>416</v>
      </c>
      <c r="K2557" s="80" t="s">
        <v>347</v>
      </c>
      <c r="L2557" s="80" t="s">
        <v>342</v>
      </c>
      <c r="M2557" s="81">
        <v>2.5</v>
      </c>
      <c r="N2557" s="82">
        <v>150</v>
      </c>
    </row>
    <row r="2558" spans="1:14" x14ac:dyDescent="0.25">
      <c r="A2558" s="10" t="str">
        <f>_xlfn.IFNA(
    IF(J2558=
        "PCB-0001",
        "CSS",
        IF(
            ISNUMBER(MATCH(_xlfn.TEXTBEFORE(J2558,"-"), {"CSS","CSN","PCB","PCF","BEC","CSD","PCM"}, 0)),
            _xlfn.TEXTBEFORE(J2558,"-"),
            "Other"
        )
    ),
"Add")</f>
        <v>PCB</v>
      </c>
      <c r="B2558" s="10" t="str">
        <f t="shared" si="40"/>
        <v>0009</v>
      </c>
      <c r="C2558" s="10" t="str">
        <f>_xlfn.LET(
    _xlpm.val, IF(Datadetails[[#This Row],[Activity]]="D02","C20",Datadetails[[#This Row],[Activity]]),
    IF(ISNUMBER(MATCH(_xlpm.val,{"D04","C30","c40","C20"},0)), _xlpm.val, "Other")
)</f>
        <v>C30</v>
      </c>
      <c r="D2558" s="10" t="str">
        <f>IFERROR(VLOOKUP(Datadetails[[#This Row],[Taskcode]],Dashboard!A:A,1,FALSE),"00 Err Missing")</f>
        <v>0009</v>
      </c>
      <c r="E2558" s="79">
        <v>45943</v>
      </c>
      <c r="F2558" s="80" t="s">
        <v>330</v>
      </c>
      <c r="G2558" s="60" t="s">
        <v>40</v>
      </c>
      <c r="H2558" s="80" t="s">
        <v>176</v>
      </c>
      <c r="I2558" s="80" t="s">
        <v>34</v>
      </c>
      <c r="J2558" s="80" t="s">
        <v>458</v>
      </c>
      <c r="K2558" s="80" t="s">
        <v>347</v>
      </c>
      <c r="L2558" s="80" t="s">
        <v>343</v>
      </c>
      <c r="M2558" s="81">
        <v>0.17</v>
      </c>
      <c r="N2558" s="82">
        <v>10.200000000000001</v>
      </c>
    </row>
    <row r="2559" spans="1:14" x14ac:dyDescent="0.25">
      <c r="A2559" s="10" t="str">
        <f>_xlfn.IFNA(
    IF(J2559=
        "PCB-0001",
        "CSS",
        IF(
            ISNUMBER(MATCH(_xlfn.TEXTBEFORE(J2559,"-"), {"CSS","CSN","PCB","PCF","BEC","CSD","PCM"}, 0)),
            _xlfn.TEXTBEFORE(J2559,"-"),
            "Other"
        )
    ),
"Add")</f>
        <v>PCB</v>
      </c>
      <c r="B2559" s="10" t="str">
        <f t="shared" si="40"/>
        <v>0039</v>
      </c>
      <c r="C2559" s="10" t="str">
        <f>_xlfn.LET(
    _xlpm.val, IF(Datadetails[[#This Row],[Activity]]="D02","C20",Datadetails[[#This Row],[Activity]]),
    IF(ISNUMBER(MATCH(_xlpm.val,{"D04","C30","c40","C20"},0)), _xlpm.val, "Other")
)</f>
        <v>C30</v>
      </c>
      <c r="D2559" s="10" t="str">
        <f>IFERROR(VLOOKUP(Datadetails[[#This Row],[Taskcode]],Dashboard!A:A,1,FALSE),"00 Err Missing")</f>
        <v>0039</v>
      </c>
      <c r="E2559" s="79">
        <v>45943</v>
      </c>
      <c r="F2559" s="80" t="s">
        <v>329</v>
      </c>
      <c r="G2559" s="60" t="s">
        <v>40</v>
      </c>
      <c r="H2559" s="80" t="s">
        <v>206</v>
      </c>
      <c r="I2559" s="80" t="s">
        <v>34</v>
      </c>
      <c r="J2559" s="80" t="s">
        <v>367</v>
      </c>
      <c r="K2559" s="80" t="s">
        <v>347</v>
      </c>
      <c r="L2559" s="80" t="s">
        <v>343</v>
      </c>
      <c r="M2559" s="81">
        <v>0.25</v>
      </c>
      <c r="N2559" s="82">
        <v>18.75</v>
      </c>
    </row>
    <row r="2560" spans="1:14" x14ac:dyDescent="0.25">
      <c r="A2560" s="10" t="str">
        <f>_xlfn.IFNA(
    IF(J2560=
        "PCB-0001",
        "CSS",
        IF(
            ISNUMBER(MATCH(_xlfn.TEXTBEFORE(J2560,"-"), {"CSS","CSN","PCB","PCF","BEC","CSD","PCM"}, 0)),
            _xlfn.TEXTBEFORE(J2560,"-"),
            "Other"
        )
    ),
"Add")</f>
        <v>PCB</v>
      </c>
      <c r="B2560" s="10" t="str">
        <f t="shared" si="40"/>
        <v>0134</v>
      </c>
      <c r="C2560" s="10" t="str">
        <f>_xlfn.LET(
    _xlpm.val, IF(Datadetails[[#This Row],[Activity]]="D02","C20",Datadetails[[#This Row],[Activity]]),
    IF(ISNUMBER(MATCH(_xlpm.val,{"D04","C30","c40","C20"},0)), _xlpm.val, "Other")
)</f>
        <v>C30</v>
      </c>
      <c r="D2560" s="10" t="str">
        <f>IFERROR(VLOOKUP(Datadetails[[#This Row],[Taskcode]],Dashboard!A:A,1,FALSE),"00 Err Missing")</f>
        <v>0134</v>
      </c>
      <c r="E2560" s="79">
        <v>45943</v>
      </c>
      <c r="F2560" s="80" t="s">
        <v>329</v>
      </c>
      <c r="G2560" s="60" t="s">
        <v>40</v>
      </c>
      <c r="H2560" s="80" t="s">
        <v>301</v>
      </c>
      <c r="I2560" s="80" t="s">
        <v>34</v>
      </c>
      <c r="J2560" s="80" t="s">
        <v>371</v>
      </c>
      <c r="K2560" s="80" t="s">
        <v>347</v>
      </c>
      <c r="L2560" s="80" t="s">
        <v>343</v>
      </c>
      <c r="M2560" s="81">
        <v>0.42</v>
      </c>
      <c r="N2560" s="82">
        <v>31.5</v>
      </c>
    </row>
    <row r="2561" spans="1:14" x14ac:dyDescent="0.25">
      <c r="A2561" s="10" t="str">
        <f>_xlfn.IFNA(
    IF(J2561=
        "PCB-0001",
        "CSS",
        IF(
            ISNUMBER(MATCH(_xlfn.TEXTBEFORE(J2561,"-"), {"CSS","CSN","PCB","PCF","BEC","CSD","PCM"}, 0)),
            _xlfn.TEXTBEFORE(J2561,"-"),
            "Other"
        )
    ),
"Add")</f>
        <v>PCB</v>
      </c>
      <c r="B2561" s="10" t="str">
        <f t="shared" si="40"/>
        <v>0136</v>
      </c>
      <c r="C2561" s="10" t="str">
        <f>_xlfn.LET(
    _xlpm.val, IF(Datadetails[[#This Row],[Activity]]="D02","C20",Datadetails[[#This Row],[Activity]]),
    IF(ISNUMBER(MATCH(_xlpm.val,{"D04","C30","c40","C20"},0)), _xlpm.val, "Other")
)</f>
        <v>C30</v>
      </c>
      <c r="D2561" s="10" t="str">
        <f>IFERROR(VLOOKUP(Datadetails[[#This Row],[Taskcode]],Dashboard!A:A,1,FALSE),"00 Err Missing")</f>
        <v>0136</v>
      </c>
      <c r="E2561" s="79">
        <v>45943</v>
      </c>
      <c r="F2561" s="80" t="s">
        <v>329</v>
      </c>
      <c r="G2561" s="60" t="s">
        <v>40</v>
      </c>
      <c r="H2561" s="80" t="s">
        <v>303</v>
      </c>
      <c r="I2561" s="80" t="s">
        <v>34</v>
      </c>
      <c r="J2561" s="80" t="s">
        <v>400</v>
      </c>
      <c r="K2561" s="80" t="s">
        <v>347</v>
      </c>
      <c r="L2561" s="80" t="s">
        <v>343</v>
      </c>
      <c r="M2561" s="81">
        <v>0.17</v>
      </c>
      <c r="N2561" s="82">
        <v>12.750000000000002</v>
      </c>
    </row>
    <row r="2562" spans="1:14" x14ac:dyDescent="0.25">
      <c r="A2562" s="10" t="str">
        <f>_xlfn.IFNA(
    IF(J2562=
        "PCB-0001",
        "CSS",
        IF(
            ISNUMBER(MATCH(_xlfn.TEXTBEFORE(J2562,"-"), {"CSS","CSN","PCB","PCF","BEC","CSD","PCM"}, 0)),
            _xlfn.TEXTBEFORE(J2562,"-"),
            "Other"
        )
    ),
"Add")</f>
        <v>PCB</v>
      </c>
      <c r="B2562" s="10" t="str">
        <f t="shared" si="40"/>
        <v>0074</v>
      </c>
      <c r="C2562" s="10" t="str">
        <f>_xlfn.LET(
    _xlpm.val, IF(Datadetails[[#This Row],[Activity]]="D02","C20",Datadetails[[#This Row],[Activity]]),
    IF(ISNUMBER(MATCH(_xlpm.val,{"D04","C30","c40","C20"},0)), _xlpm.val, "Other")
)</f>
        <v>C30</v>
      </c>
      <c r="D2562" s="10" t="str">
        <f>IFERROR(VLOOKUP(Datadetails[[#This Row],[Taskcode]],Dashboard!A:A,1,FALSE),"00 Err Missing")</f>
        <v>0074</v>
      </c>
      <c r="E2562" s="79">
        <v>45943</v>
      </c>
      <c r="F2562" s="80" t="s">
        <v>329</v>
      </c>
      <c r="G2562" s="60" t="s">
        <v>40</v>
      </c>
      <c r="H2562" s="80" t="s">
        <v>241</v>
      </c>
      <c r="I2562" s="80" t="s">
        <v>34</v>
      </c>
      <c r="J2562" s="80" t="s">
        <v>403</v>
      </c>
      <c r="K2562" s="80" t="s">
        <v>347</v>
      </c>
      <c r="L2562" s="80" t="s">
        <v>343</v>
      </c>
      <c r="M2562" s="81">
        <v>0.25</v>
      </c>
      <c r="N2562" s="82">
        <v>18.75</v>
      </c>
    </row>
    <row r="2563" spans="1:14" x14ac:dyDescent="0.25">
      <c r="A2563" s="10" t="str">
        <f>_xlfn.IFNA(
    IF(J2563=
        "PCB-0001",
        "CSS",
        IF(
            ISNUMBER(MATCH(_xlfn.TEXTBEFORE(J2563,"-"), {"CSS","CSN","PCB","PCF","BEC","CSD","PCM"}, 0)),
            _xlfn.TEXTBEFORE(J2563,"-"),
            "Other"
        )
    ),
"Add")</f>
        <v>PCB</v>
      </c>
      <c r="B2563" s="10" t="str">
        <f t="shared" si="40"/>
        <v>0075</v>
      </c>
      <c r="C2563" s="10" t="str">
        <f>_xlfn.LET(
    _xlpm.val, IF(Datadetails[[#This Row],[Activity]]="D02","C20",Datadetails[[#This Row],[Activity]]),
    IF(ISNUMBER(MATCH(_xlpm.val,{"D04","C30","c40","C20"},0)), _xlpm.val, "Other")
)</f>
        <v>C30</v>
      </c>
      <c r="D2563" s="10" t="str">
        <f>IFERROR(VLOOKUP(Datadetails[[#This Row],[Taskcode]],Dashboard!A:A,1,FALSE),"00 Err Missing")</f>
        <v>0075</v>
      </c>
      <c r="E2563" s="79">
        <v>45943</v>
      </c>
      <c r="F2563" s="80" t="s">
        <v>329</v>
      </c>
      <c r="G2563" s="60" t="s">
        <v>40</v>
      </c>
      <c r="H2563" s="80" t="s">
        <v>242</v>
      </c>
      <c r="I2563" s="80" t="s">
        <v>34</v>
      </c>
      <c r="J2563" s="80" t="s">
        <v>404</v>
      </c>
      <c r="K2563" s="80" t="s">
        <v>347</v>
      </c>
      <c r="L2563" s="80" t="s">
        <v>343</v>
      </c>
      <c r="M2563" s="81">
        <v>0.17</v>
      </c>
      <c r="N2563" s="82">
        <v>12.750000000000002</v>
      </c>
    </row>
    <row r="2564" spans="1:14" x14ac:dyDescent="0.25">
      <c r="A2564" s="10" t="str">
        <f>_xlfn.IFNA(
    IF(J2564=
        "PCB-0001",
        "CSS",
        IF(
            ISNUMBER(MATCH(_xlfn.TEXTBEFORE(J2564,"-"), {"CSS","CSN","PCB","PCF","BEC","CSD","PCM"}, 0)),
            _xlfn.TEXTBEFORE(J2564,"-"),
            "Other"
        )
    ),
"Add")</f>
        <v>PCB</v>
      </c>
      <c r="B2564" s="10" t="str">
        <f t="shared" ref="B2564:B2627" si="41">_xlfn.IFNA(_xlfn.TEXTAFTER(J2564,"-"),"Data to C2")</f>
        <v>0121</v>
      </c>
      <c r="C2564" s="10" t="str">
        <f>_xlfn.LET(
    _xlpm.val, IF(Datadetails[[#This Row],[Activity]]="D02","C20",Datadetails[[#This Row],[Activity]]),
    IF(ISNUMBER(MATCH(_xlpm.val,{"D04","C30","c40","C20"},0)), _xlpm.val, "Other")
)</f>
        <v>C30</v>
      </c>
      <c r="D2564" s="10" t="str">
        <f>IFERROR(VLOOKUP(Datadetails[[#This Row],[Taskcode]],Dashboard!A:A,1,FALSE),"00 Err Missing")</f>
        <v>0121</v>
      </c>
      <c r="E2564" s="79">
        <v>45943</v>
      </c>
      <c r="F2564" s="80" t="s">
        <v>329</v>
      </c>
      <c r="G2564" s="60" t="s">
        <v>40</v>
      </c>
      <c r="H2564" s="80" t="s">
        <v>288</v>
      </c>
      <c r="I2564" s="80" t="s">
        <v>34</v>
      </c>
      <c r="J2564" s="80" t="s">
        <v>405</v>
      </c>
      <c r="K2564" s="80" t="s">
        <v>347</v>
      </c>
      <c r="L2564" s="80" t="s">
        <v>343</v>
      </c>
      <c r="M2564" s="81">
        <v>0.17</v>
      </c>
      <c r="N2564" s="82">
        <v>12.750000000000002</v>
      </c>
    </row>
    <row r="2565" spans="1:14" x14ac:dyDescent="0.25">
      <c r="A2565" s="10" t="str">
        <f>_xlfn.IFNA(
    IF(J2565=
        "PCB-0001",
        "CSS",
        IF(
            ISNUMBER(MATCH(_xlfn.TEXTBEFORE(J2565,"-"), {"CSS","CSN","PCB","PCF","BEC","CSD","PCM"}, 0)),
            _xlfn.TEXTBEFORE(J2565,"-"),
            "Other"
        )
    ),
"Add")</f>
        <v>PCB</v>
      </c>
      <c r="B2565" s="10" t="str">
        <f t="shared" si="41"/>
        <v>0127</v>
      </c>
      <c r="C2565" s="10" t="str">
        <f>_xlfn.LET(
    _xlpm.val, IF(Datadetails[[#This Row],[Activity]]="D02","C20",Datadetails[[#This Row],[Activity]]),
    IF(ISNUMBER(MATCH(_xlpm.val,{"D04","C30","c40","C20"},0)), _xlpm.val, "Other")
)</f>
        <v>C30</v>
      </c>
      <c r="D2565" s="10" t="str">
        <f>IFERROR(VLOOKUP(Datadetails[[#This Row],[Taskcode]],Dashboard!A:A,1,FALSE),"00 Err Missing")</f>
        <v>0127</v>
      </c>
      <c r="E2565" s="79">
        <v>45943</v>
      </c>
      <c r="F2565" s="80" t="s">
        <v>329</v>
      </c>
      <c r="G2565" s="60" t="s">
        <v>40</v>
      </c>
      <c r="H2565" s="80" t="s">
        <v>294</v>
      </c>
      <c r="I2565" s="80" t="s">
        <v>34</v>
      </c>
      <c r="J2565" s="80" t="s">
        <v>377</v>
      </c>
      <c r="K2565" s="80" t="s">
        <v>347</v>
      </c>
      <c r="L2565" s="80" t="s">
        <v>343</v>
      </c>
      <c r="M2565" s="81">
        <v>0.17</v>
      </c>
      <c r="N2565" s="82">
        <v>12.750000000000002</v>
      </c>
    </row>
    <row r="2566" spans="1:14" x14ac:dyDescent="0.25">
      <c r="A2566" s="10" t="str">
        <f>_xlfn.IFNA(
    IF(J2566=
        "PCB-0001",
        "CSS",
        IF(
            ISNUMBER(MATCH(_xlfn.TEXTBEFORE(J2566,"-"), {"CSS","CSN","PCB","PCF","BEC","CSD","PCM"}, 0)),
            _xlfn.TEXTBEFORE(J2566,"-"),
            "Other"
        )
    ),
"Add")</f>
        <v>PCB</v>
      </c>
      <c r="B2566" s="10" t="str">
        <f t="shared" si="41"/>
        <v>0128</v>
      </c>
      <c r="C2566" s="10" t="str">
        <f>_xlfn.LET(
    _xlpm.val, IF(Datadetails[[#This Row],[Activity]]="D02","C20",Datadetails[[#This Row],[Activity]]),
    IF(ISNUMBER(MATCH(_xlpm.val,{"D04","C30","c40","C20"},0)), _xlpm.val, "Other")
)</f>
        <v>C30</v>
      </c>
      <c r="D2566" s="10" t="str">
        <f>IFERROR(VLOOKUP(Datadetails[[#This Row],[Taskcode]],Dashboard!A:A,1,FALSE),"00 Err Missing")</f>
        <v>0128</v>
      </c>
      <c r="E2566" s="79">
        <v>45943</v>
      </c>
      <c r="F2566" s="80" t="s">
        <v>329</v>
      </c>
      <c r="G2566" s="60" t="s">
        <v>40</v>
      </c>
      <c r="H2566" s="80" t="s">
        <v>295</v>
      </c>
      <c r="I2566" s="80" t="s">
        <v>34</v>
      </c>
      <c r="J2566" s="80" t="s">
        <v>379</v>
      </c>
      <c r="K2566" s="80" t="s">
        <v>347</v>
      </c>
      <c r="L2566" s="80" t="s">
        <v>343</v>
      </c>
      <c r="M2566" s="81">
        <v>0.5</v>
      </c>
      <c r="N2566" s="82">
        <v>37.5</v>
      </c>
    </row>
    <row r="2567" spans="1:14" x14ac:dyDescent="0.25">
      <c r="A2567" s="10" t="str">
        <f>_xlfn.IFNA(
    IF(J2567=
        "PCB-0001",
        "CSS",
        IF(
            ISNUMBER(MATCH(_xlfn.TEXTBEFORE(J2567,"-"), {"CSS","CSN","PCB","PCF","BEC","CSD","PCM"}, 0)),
            _xlfn.TEXTBEFORE(J2567,"-"),
            "Other"
        )
    ),
"Add")</f>
        <v>PCB</v>
      </c>
      <c r="B2567" s="10" t="str">
        <f t="shared" si="41"/>
        <v>0131</v>
      </c>
      <c r="C2567" s="10" t="str">
        <f>_xlfn.LET(
    _xlpm.val, IF(Datadetails[[#This Row],[Activity]]="D02","C20",Datadetails[[#This Row],[Activity]]),
    IF(ISNUMBER(MATCH(_xlpm.val,{"D04","C30","c40","C20"},0)), _xlpm.val, "Other")
)</f>
        <v>C30</v>
      </c>
      <c r="D2567" s="10" t="str">
        <f>IFERROR(VLOOKUP(Datadetails[[#This Row],[Taskcode]],Dashboard!A:A,1,FALSE),"00 Err Missing")</f>
        <v>0131</v>
      </c>
      <c r="E2567" s="79">
        <v>45943</v>
      </c>
      <c r="F2567" s="80" t="s">
        <v>325</v>
      </c>
      <c r="G2567" s="60" t="s">
        <v>40</v>
      </c>
      <c r="H2567" s="80" t="s">
        <v>298</v>
      </c>
      <c r="I2567" s="80" t="s">
        <v>34</v>
      </c>
      <c r="J2567" s="80" t="s">
        <v>406</v>
      </c>
      <c r="K2567" s="80" t="s">
        <v>347</v>
      </c>
      <c r="L2567" s="80" t="s">
        <v>343</v>
      </c>
      <c r="M2567" s="81">
        <v>0.25</v>
      </c>
      <c r="N2567" s="82">
        <v>18.75</v>
      </c>
    </row>
    <row r="2568" spans="1:14" x14ac:dyDescent="0.25">
      <c r="A2568" s="10" t="str">
        <f>_xlfn.IFNA(
    IF(J2568=
        "PCB-0001",
        "CSS",
        IF(
            ISNUMBER(MATCH(_xlfn.TEXTBEFORE(J2568,"-"), {"CSS","CSN","PCB","PCF","BEC","CSD","PCM"}, 0)),
            _xlfn.TEXTBEFORE(J2568,"-"),
            "Other"
        )
    ),
"Add")</f>
        <v>PCB</v>
      </c>
      <c r="B2568" s="10" t="str">
        <f t="shared" si="41"/>
        <v>0092</v>
      </c>
      <c r="C2568" s="10" t="str">
        <f>_xlfn.LET(
    _xlpm.val, IF(Datadetails[[#This Row],[Activity]]="D02","C20",Datadetails[[#This Row],[Activity]]),
    IF(ISNUMBER(MATCH(_xlpm.val,{"D04","C30","c40","C20"},0)), _xlpm.val, "Other")
)</f>
        <v>C30</v>
      </c>
      <c r="D2568" s="10" t="str">
        <f>IFERROR(VLOOKUP(Datadetails[[#This Row],[Taskcode]],Dashboard!A:A,1,FALSE),"00 Err Missing")</f>
        <v>0092</v>
      </c>
      <c r="E2568" s="79">
        <v>45943</v>
      </c>
      <c r="F2568" s="80" t="s">
        <v>329</v>
      </c>
      <c r="G2568" s="60" t="s">
        <v>40</v>
      </c>
      <c r="H2568" s="80" t="s">
        <v>259</v>
      </c>
      <c r="I2568" s="80" t="s">
        <v>34</v>
      </c>
      <c r="J2568" s="80" t="s">
        <v>407</v>
      </c>
      <c r="K2568" s="80" t="s">
        <v>347</v>
      </c>
      <c r="L2568" s="80" t="s">
        <v>343</v>
      </c>
      <c r="M2568" s="81">
        <v>0.17</v>
      </c>
      <c r="N2568" s="82">
        <v>12.750000000000002</v>
      </c>
    </row>
    <row r="2569" spans="1:14" x14ac:dyDescent="0.25">
      <c r="A2569" s="10" t="str">
        <f>_xlfn.IFNA(
    IF(J2569=
        "PCB-0001",
        "CSS",
        IF(
            ISNUMBER(MATCH(_xlfn.TEXTBEFORE(J2569,"-"), {"CSS","CSN","PCB","PCF","BEC","CSD","PCM"}, 0)),
            _xlfn.TEXTBEFORE(J2569,"-"),
            "Other"
        )
    ),
"Add")</f>
        <v>PCB</v>
      </c>
      <c r="B2569" s="10" t="str">
        <f t="shared" si="41"/>
        <v>0088</v>
      </c>
      <c r="C2569" s="10" t="str">
        <f>_xlfn.LET(
    _xlpm.val, IF(Datadetails[[#This Row],[Activity]]="D02","C20",Datadetails[[#This Row],[Activity]]),
    IF(ISNUMBER(MATCH(_xlpm.val,{"D04","C30","c40","C20"},0)), _xlpm.val, "Other")
)</f>
        <v>C30</v>
      </c>
      <c r="D2569" s="10" t="str">
        <f>IFERROR(VLOOKUP(Datadetails[[#This Row],[Taskcode]],Dashboard!A:A,1,FALSE),"00 Err Missing")</f>
        <v>0088</v>
      </c>
      <c r="E2569" s="79">
        <v>45943</v>
      </c>
      <c r="F2569" s="80" t="s">
        <v>330</v>
      </c>
      <c r="G2569" s="60" t="s">
        <v>40</v>
      </c>
      <c r="H2569" s="80" t="s">
        <v>255</v>
      </c>
      <c r="I2569" s="80" t="s">
        <v>34</v>
      </c>
      <c r="J2569" s="80" t="s">
        <v>462</v>
      </c>
      <c r="K2569" s="80" t="s">
        <v>347</v>
      </c>
      <c r="L2569" s="80" t="s">
        <v>343</v>
      </c>
      <c r="M2569" s="81">
        <v>0.17</v>
      </c>
      <c r="N2569" s="82">
        <v>10.200000000000001</v>
      </c>
    </row>
    <row r="2570" spans="1:14" x14ac:dyDescent="0.25">
      <c r="A2570" s="10" t="str">
        <f>_xlfn.IFNA(
    IF(J2570=
        "PCB-0001",
        "CSS",
        IF(
            ISNUMBER(MATCH(_xlfn.TEXTBEFORE(J2570,"-"), {"CSS","CSN","PCB","PCF","BEC","CSD","PCM"}, 0)),
            _xlfn.TEXTBEFORE(J2570,"-"),
            "Other"
        )
    ),
"Add")</f>
        <v>PCB</v>
      </c>
      <c r="B2570" s="10" t="str">
        <f t="shared" si="41"/>
        <v>0095</v>
      </c>
      <c r="C2570" s="10" t="str">
        <f>_xlfn.LET(
    _xlpm.val, IF(Datadetails[[#This Row],[Activity]]="D02","C20",Datadetails[[#This Row],[Activity]]),
    IF(ISNUMBER(MATCH(_xlpm.val,{"D04","C30","c40","C20"},0)), _xlpm.val, "Other")
)</f>
        <v>C30</v>
      </c>
      <c r="D2570" s="10" t="str">
        <f>IFERROR(VLOOKUP(Datadetails[[#This Row],[Taskcode]],Dashboard!A:A,1,FALSE),"00 Err Missing")</f>
        <v>0095</v>
      </c>
      <c r="E2570" s="79">
        <v>45943</v>
      </c>
      <c r="F2570" s="80" t="s">
        <v>325</v>
      </c>
      <c r="G2570" s="60" t="s">
        <v>40</v>
      </c>
      <c r="H2570" s="80" t="s">
        <v>262</v>
      </c>
      <c r="I2570" s="80" t="s">
        <v>34</v>
      </c>
      <c r="J2570" s="80" t="s">
        <v>442</v>
      </c>
      <c r="K2570" s="80" t="s">
        <v>347</v>
      </c>
      <c r="L2570" s="80" t="s">
        <v>343</v>
      </c>
      <c r="M2570" s="81">
        <v>0.17</v>
      </c>
      <c r="N2570" s="82">
        <v>12.750000000000002</v>
      </c>
    </row>
    <row r="2571" spans="1:14" x14ac:dyDescent="0.25">
      <c r="A2571" s="10" t="str">
        <f>_xlfn.IFNA(
    IF(J2571=
        "PCB-0001",
        "CSS",
        IF(
            ISNUMBER(MATCH(_xlfn.TEXTBEFORE(J2571,"-"), {"CSS","CSN","PCB","PCF","BEC","CSD","PCM"}, 0)),
            _xlfn.TEXTBEFORE(J2571,"-"),
            "Other"
        )
    ),
"Add")</f>
        <v>PCB</v>
      </c>
      <c r="B2571" s="10" t="str">
        <f t="shared" si="41"/>
        <v>0105</v>
      </c>
      <c r="C2571" s="10" t="str">
        <f>_xlfn.LET(
    _xlpm.val, IF(Datadetails[[#This Row],[Activity]]="D02","C20",Datadetails[[#This Row],[Activity]]),
    IF(ISNUMBER(MATCH(_xlpm.val,{"D04","C30","c40","C20"},0)), _xlpm.val, "Other")
)</f>
        <v>C30</v>
      </c>
      <c r="D2571" s="10" t="str">
        <f>IFERROR(VLOOKUP(Datadetails[[#This Row],[Taskcode]],Dashboard!A:A,1,FALSE),"00 Err Missing")</f>
        <v>0105</v>
      </c>
      <c r="E2571" s="79">
        <v>45943</v>
      </c>
      <c r="F2571" s="80" t="s">
        <v>329</v>
      </c>
      <c r="G2571" s="60" t="s">
        <v>40</v>
      </c>
      <c r="H2571" s="80" t="s">
        <v>272</v>
      </c>
      <c r="I2571" s="80" t="s">
        <v>34</v>
      </c>
      <c r="J2571" s="80" t="s">
        <v>362</v>
      </c>
      <c r="K2571" s="80" t="s">
        <v>347</v>
      </c>
      <c r="L2571" s="80" t="s">
        <v>343</v>
      </c>
      <c r="M2571" s="81">
        <v>0.25</v>
      </c>
      <c r="N2571" s="82">
        <v>18.75</v>
      </c>
    </row>
    <row r="2572" spans="1:14" x14ac:dyDescent="0.25">
      <c r="A2572" s="10" t="str">
        <f>_xlfn.IFNA(
    IF(J2572=
        "PCB-0001",
        "CSS",
        IF(
            ISNUMBER(MATCH(_xlfn.TEXTBEFORE(J2572,"-"), {"CSS","CSN","PCB","PCF","BEC","CSD","PCM"}, 0)),
            _xlfn.TEXTBEFORE(J2572,"-"),
            "Other"
        )
    ),
"Add")</f>
        <v>PCF</v>
      </c>
      <c r="B2572" s="10" t="str">
        <f t="shared" si="41"/>
        <v>0040</v>
      </c>
      <c r="C2572" s="10" t="str">
        <f>_xlfn.LET(
    _xlpm.val, IF(Datadetails[[#This Row],[Activity]]="D02","C20",Datadetails[[#This Row],[Activity]]),
    IF(ISNUMBER(MATCH(_xlpm.val,{"D04","C30","c40","C20"},0)), _xlpm.val, "Other")
)</f>
        <v>C30</v>
      </c>
      <c r="D2572" s="10" t="str">
        <f>IFERROR(VLOOKUP(Datadetails[[#This Row],[Taskcode]],Dashboard!A:A,1,FALSE),"00 Err Missing")</f>
        <v>0040</v>
      </c>
      <c r="E2572" s="79">
        <v>45943</v>
      </c>
      <c r="F2572" s="80" t="s">
        <v>326</v>
      </c>
      <c r="G2572" s="60" t="s">
        <v>40</v>
      </c>
      <c r="H2572" s="80" t="s">
        <v>207</v>
      </c>
      <c r="I2572" s="80" t="s">
        <v>34</v>
      </c>
      <c r="J2572" s="80" t="s">
        <v>417</v>
      </c>
      <c r="K2572" s="80" t="s">
        <v>348</v>
      </c>
      <c r="L2572" s="80" t="s">
        <v>343</v>
      </c>
      <c r="M2572" s="81">
        <v>0.83</v>
      </c>
      <c r="N2572" s="82">
        <v>49.8</v>
      </c>
    </row>
    <row r="2573" spans="1:14" x14ac:dyDescent="0.25">
      <c r="A2573" s="10" t="str">
        <f>_xlfn.IFNA(
    IF(J2573=
        "PCB-0001",
        "CSS",
        IF(
            ISNUMBER(MATCH(_xlfn.TEXTBEFORE(J2573,"-"), {"CSS","CSN","PCB","PCF","BEC","CSD","PCM"}, 0)),
            _xlfn.TEXTBEFORE(J2573,"-"),
            "Other"
        )
    ),
"Add")</f>
        <v>PCF</v>
      </c>
      <c r="B2573" s="10" t="str">
        <f t="shared" si="41"/>
        <v>0021</v>
      </c>
      <c r="C2573" s="10" t="str">
        <f>_xlfn.LET(
    _xlpm.val, IF(Datadetails[[#This Row],[Activity]]="D02","C20",Datadetails[[#This Row],[Activity]]),
    IF(ISNUMBER(MATCH(_xlpm.val,{"D04","C30","c40","C20"},0)), _xlpm.val, "Other")
)</f>
        <v>C30</v>
      </c>
      <c r="D2573" s="10" t="str">
        <f>IFERROR(VLOOKUP(Datadetails[[#This Row],[Taskcode]],Dashboard!A:A,1,FALSE),"00 Err Missing")</f>
        <v>0021</v>
      </c>
      <c r="E2573" s="79">
        <v>45943</v>
      </c>
      <c r="F2573" s="80" t="s">
        <v>326</v>
      </c>
      <c r="G2573" s="60" t="s">
        <v>40</v>
      </c>
      <c r="H2573" s="80" t="s">
        <v>188</v>
      </c>
      <c r="I2573" s="80" t="s">
        <v>34</v>
      </c>
      <c r="J2573" s="80" t="s">
        <v>356</v>
      </c>
      <c r="K2573" s="80" t="s">
        <v>348</v>
      </c>
      <c r="L2573" s="80" t="s">
        <v>343</v>
      </c>
      <c r="M2573" s="81">
        <v>1.33</v>
      </c>
      <c r="N2573" s="82">
        <v>79.800000000000011</v>
      </c>
    </row>
    <row r="2574" spans="1:14" x14ac:dyDescent="0.25">
      <c r="A2574" s="10" t="str">
        <f>_xlfn.IFNA(
    IF(J2574=
        "PCB-0001",
        "CSS",
        IF(
            ISNUMBER(MATCH(_xlfn.TEXTBEFORE(J2574,"-"), {"CSS","CSN","PCB","PCF","BEC","CSD","PCM"}, 0)),
            _xlfn.TEXTBEFORE(J2574,"-"),
            "Other"
        )
    ),
"Add")</f>
        <v>PCF</v>
      </c>
      <c r="B2574" s="10" t="str">
        <f t="shared" si="41"/>
        <v>0098</v>
      </c>
      <c r="C2574" s="10" t="str">
        <f>_xlfn.LET(
    _xlpm.val, IF(Datadetails[[#This Row],[Activity]]="D02","C20",Datadetails[[#This Row],[Activity]]),
    IF(ISNUMBER(MATCH(_xlpm.val,{"D04","C30","c40","C20"},0)), _xlpm.val, "Other")
)</f>
        <v>C30</v>
      </c>
      <c r="D2574" s="10" t="str">
        <f>IFERROR(VLOOKUP(Datadetails[[#This Row],[Taskcode]],Dashboard!A:A,1,FALSE),"00 Err Missing")</f>
        <v>0098</v>
      </c>
      <c r="E2574" s="79">
        <v>45943</v>
      </c>
      <c r="F2574" s="80" t="s">
        <v>326</v>
      </c>
      <c r="G2574" s="60" t="s">
        <v>40</v>
      </c>
      <c r="H2574" s="80" t="s">
        <v>265</v>
      </c>
      <c r="I2574" s="80" t="s">
        <v>34</v>
      </c>
      <c r="J2574" s="80" t="s">
        <v>358</v>
      </c>
      <c r="K2574" s="80" t="s">
        <v>348</v>
      </c>
      <c r="L2574" s="80" t="s">
        <v>343</v>
      </c>
      <c r="M2574" s="81">
        <v>1</v>
      </c>
      <c r="N2574" s="82">
        <v>60</v>
      </c>
    </row>
    <row r="2575" spans="1:14" x14ac:dyDescent="0.25">
      <c r="A2575" s="10" t="str">
        <f>_xlfn.IFNA(
    IF(J2575=
        "PCB-0001",
        "CSS",
        IF(
            ISNUMBER(MATCH(_xlfn.TEXTBEFORE(J2575,"-"), {"CSS","CSN","PCB","PCF","BEC","CSD","PCM"}, 0)),
            _xlfn.TEXTBEFORE(J2575,"-"),
            "Other"
        )
    ),
"Add")</f>
        <v>PCF</v>
      </c>
      <c r="B2575" s="10" t="str">
        <f t="shared" si="41"/>
        <v>0069</v>
      </c>
      <c r="C2575" s="10" t="str">
        <f>_xlfn.LET(
    _xlpm.val, IF(Datadetails[[#This Row],[Activity]]="D02","C20",Datadetails[[#This Row],[Activity]]),
    IF(ISNUMBER(MATCH(_xlpm.val,{"D04","C30","c40","C20"},0)), _xlpm.val, "Other")
)</f>
        <v>C30</v>
      </c>
      <c r="D2575" s="10" t="str">
        <f>IFERROR(VLOOKUP(Datadetails[[#This Row],[Taskcode]],Dashboard!A:A,1,FALSE),"00 Err Missing")</f>
        <v>0069</v>
      </c>
      <c r="E2575" s="79">
        <v>45943</v>
      </c>
      <c r="F2575" s="80" t="s">
        <v>326</v>
      </c>
      <c r="G2575" s="60" t="s">
        <v>40</v>
      </c>
      <c r="H2575" s="80" t="s">
        <v>236</v>
      </c>
      <c r="I2575" s="80" t="s">
        <v>34</v>
      </c>
      <c r="J2575" s="80" t="s">
        <v>357</v>
      </c>
      <c r="K2575" s="80" t="s">
        <v>348</v>
      </c>
      <c r="L2575" s="80" t="s">
        <v>343</v>
      </c>
      <c r="M2575" s="81">
        <v>1</v>
      </c>
      <c r="N2575" s="82">
        <v>60</v>
      </c>
    </row>
    <row r="2576" spans="1:14" x14ac:dyDescent="0.25">
      <c r="A2576" s="10" t="str">
        <f>_xlfn.IFNA(
    IF(J2576=
        "PCB-0001",
        "CSS",
        IF(
            ISNUMBER(MATCH(_xlfn.TEXTBEFORE(J2576,"-"), {"CSS","CSN","PCB","PCF","BEC","CSD","PCM"}, 0)),
            _xlfn.TEXTBEFORE(J2576,"-"),
            "Other"
        )
    ),
"Add")</f>
        <v>PCF</v>
      </c>
      <c r="B2576" s="10" t="str">
        <f t="shared" si="41"/>
        <v>0133</v>
      </c>
      <c r="C2576" s="10" t="str">
        <f>_xlfn.LET(
    _xlpm.val, IF(Datadetails[[#This Row],[Activity]]="D02","C20",Datadetails[[#This Row],[Activity]]),
    IF(ISNUMBER(MATCH(_xlpm.val,{"D04","C30","c40","C20"},0)), _xlpm.val, "Other")
)</f>
        <v>C30</v>
      </c>
      <c r="D2576" s="10" t="str">
        <f>IFERROR(VLOOKUP(Datadetails[[#This Row],[Taskcode]],Dashboard!A:A,1,FALSE),"00 Err Missing")</f>
        <v>0133</v>
      </c>
      <c r="E2576" s="79">
        <v>45943</v>
      </c>
      <c r="F2576" s="80" t="s">
        <v>326</v>
      </c>
      <c r="G2576" s="60" t="s">
        <v>40</v>
      </c>
      <c r="H2576" s="80" t="s">
        <v>300</v>
      </c>
      <c r="I2576" s="80" t="s">
        <v>34</v>
      </c>
      <c r="J2576" s="80" t="s">
        <v>464</v>
      </c>
      <c r="K2576" s="80" t="s">
        <v>348</v>
      </c>
      <c r="L2576" s="80" t="s">
        <v>343</v>
      </c>
      <c r="M2576" s="81">
        <v>0.83</v>
      </c>
      <c r="N2576" s="82">
        <v>49.8</v>
      </c>
    </row>
    <row r="2577" spans="1:14" x14ac:dyDescent="0.25">
      <c r="A2577" s="10" t="str">
        <f>_xlfn.IFNA(
    IF(J2577=
        "PCB-0001",
        "CSS",
        IF(
            ISNUMBER(MATCH(_xlfn.TEXTBEFORE(J2577,"-"), {"CSS","CSN","PCB","PCF","BEC","CSD","PCM"}, 0)),
            _xlfn.TEXTBEFORE(J2577,"-"),
            "Other"
        )
    ),
"Add")</f>
        <v>CSN</v>
      </c>
      <c r="B2577" s="10" t="str">
        <f t="shared" si="41"/>
        <v>0001</v>
      </c>
      <c r="C2577" s="10" t="str">
        <f>_xlfn.LET(
    _xlpm.val, IF(Datadetails[[#This Row],[Activity]]="D02","C20",Datadetails[[#This Row],[Activity]]),
    IF(ISNUMBER(MATCH(_xlpm.val,{"D04","C30","c40","C20"},0)), _xlpm.val, "Other")
)</f>
        <v>D04</v>
      </c>
      <c r="D2577" s="10" t="str">
        <f>IFERROR(VLOOKUP(Datadetails[[#This Row],[Taskcode]],Dashboard!A:A,1,FALSE),"00 Err Missing")</f>
        <v>0001</v>
      </c>
      <c r="E2577" s="79">
        <v>45944</v>
      </c>
      <c r="F2577" s="80" t="s">
        <v>331</v>
      </c>
      <c r="G2577" s="60" t="s">
        <v>40</v>
      </c>
      <c r="H2577" s="80" t="s">
        <v>316</v>
      </c>
      <c r="I2577" s="80" t="s">
        <v>35</v>
      </c>
      <c r="J2577" s="80" t="s">
        <v>338</v>
      </c>
      <c r="K2577" s="80" t="s">
        <v>337</v>
      </c>
      <c r="L2577" s="80" t="s">
        <v>352</v>
      </c>
      <c r="M2577" s="81">
        <v>3.5</v>
      </c>
      <c r="N2577" s="82">
        <v>112</v>
      </c>
    </row>
    <row r="2578" spans="1:14" x14ac:dyDescent="0.25">
      <c r="A2578" s="10" t="str">
        <f>_xlfn.IFNA(
    IF(J2578=
        "PCB-0001",
        "CSS",
        IF(
            ISNUMBER(MATCH(_xlfn.TEXTBEFORE(J2578,"-"), {"CSS","CSN","PCB","PCF","BEC","CSD","PCM"}, 0)),
            _xlfn.TEXTBEFORE(J2578,"-"),
            "Other"
        )
    ),
"Add")</f>
        <v>CSN</v>
      </c>
      <c r="B2578" s="10" t="str">
        <f t="shared" si="41"/>
        <v>0001</v>
      </c>
      <c r="C2578" s="10" t="str">
        <f>_xlfn.LET(
    _xlpm.val, IF(Datadetails[[#This Row],[Activity]]="D02","C20",Datadetails[[#This Row],[Activity]]),
    IF(ISNUMBER(MATCH(_xlpm.val,{"D04","C30","c40","C20"},0)), _xlpm.val, "Other")
)</f>
        <v>D04</v>
      </c>
      <c r="D2578" s="10" t="str">
        <f>IFERROR(VLOOKUP(Datadetails[[#This Row],[Taskcode]],Dashboard!A:A,1,FALSE),"00 Err Missing")</f>
        <v>0001</v>
      </c>
      <c r="E2578" s="79">
        <v>45944</v>
      </c>
      <c r="F2578" s="80" t="s">
        <v>329</v>
      </c>
      <c r="G2578" s="60" t="s">
        <v>40</v>
      </c>
      <c r="H2578" s="80" t="s">
        <v>316</v>
      </c>
      <c r="I2578" s="80" t="s">
        <v>35</v>
      </c>
      <c r="J2578" s="80" t="s">
        <v>338</v>
      </c>
      <c r="K2578" s="80" t="s">
        <v>337</v>
      </c>
      <c r="L2578" s="80" t="s">
        <v>352</v>
      </c>
      <c r="M2578" s="81">
        <v>5</v>
      </c>
      <c r="N2578" s="82">
        <v>375</v>
      </c>
    </row>
    <row r="2579" spans="1:14" x14ac:dyDescent="0.25">
      <c r="A2579" s="10" t="str">
        <f>_xlfn.IFNA(
    IF(J2579=
        "PCB-0001",
        "CSS",
        IF(
            ISNUMBER(MATCH(_xlfn.TEXTBEFORE(J2579,"-"), {"CSS","CSN","PCB","PCF","BEC","CSD","PCM"}, 0)),
            _xlfn.TEXTBEFORE(J2579,"-"),
            "Other"
        )
    ),
"Add")</f>
        <v>PCB</v>
      </c>
      <c r="B2579" s="10" t="str">
        <f t="shared" si="41"/>
        <v>0011</v>
      </c>
      <c r="C2579" s="10" t="str">
        <f>_xlfn.LET(
    _xlpm.val, IF(Datadetails[[#This Row],[Activity]]="D02","C20",Datadetails[[#This Row],[Activity]]),
    IF(ISNUMBER(MATCH(_xlpm.val,{"D04","C30","c40","C20"},0)), _xlpm.val, "Other")
)</f>
        <v>C40</v>
      </c>
      <c r="D2579" s="10" t="str">
        <f>IFERROR(VLOOKUP(Datadetails[[#This Row],[Taskcode]],Dashboard!A:A,1,FALSE),"00 Err Missing")</f>
        <v>0011</v>
      </c>
      <c r="E2579" s="79">
        <v>45944</v>
      </c>
      <c r="F2579" s="80" t="s">
        <v>330</v>
      </c>
      <c r="G2579" s="60" t="s">
        <v>40</v>
      </c>
      <c r="H2579" s="80" t="s">
        <v>178</v>
      </c>
      <c r="I2579" s="80" t="s">
        <v>341</v>
      </c>
      <c r="J2579" s="80" t="s">
        <v>460</v>
      </c>
      <c r="K2579" s="80" t="s">
        <v>347</v>
      </c>
      <c r="L2579" s="80" t="s">
        <v>344</v>
      </c>
      <c r="M2579" s="81">
        <v>1</v>
      </c>
      <c r="N2579" s="82">
        <v>60</v>
      </c>
    </row>
    <row r="2580" spans="1:14" x14ac:dyDescent="0.25">
      <c r="A2580" s="10" t="str">
        <f>_xlfn.IFNA(
    IF(J2580=
        "PCB-0001",
        "CSS",
        IF(
            ISNUMBER(MATCH(_xlfn.TEXTBEFORE(J2580,"-"), {"CSS","CSN","PCB","PCF","BEC","CSD","PCM"}, 0)),
            _xlfn.TEXTBEFORE(J2580,"-"),
            "Other"
        )
    ),
"Add")</f>
        <v>PCB</v>
      </c>
      <c r="B2580" s="10" t="str">
        <f t="shared" si="41"/>
        <v>0057</v>
      </c>
      <c r="C2580" s="10" t="str">
        <f>_xlfn.LET(
    _xlpm.val, IF(Datadetails[[#This Row],[Activity]]="D02","C20",Datadetails[[#This Row],[Activity]]),
    IF(ISNUMBER(MATCH(_xlpm.val,{"D04","C30","c40","C20"},0)), _xlpm.val, "Other")
)</f>
        <v>C40</v>
      </c>
      <c r="D2580" s="10" t="str">
        <f>IFERROR(VLOOKUP(Datadetails[[#This Row],[Taskcode]],Dashboard!A:A,1,FALSE),"00 Err Missing")</f>
        <v>0057</v>
      </c>
      <c r="E2580" s="79">
        <v>45944</v>
      </c>
      <c r="F2580" s="80" t="s">
        <v>325</v>
      </c>
      <c r="G2580" s="60" t="s">
        <v>40</v>
      </c>
      <c r="H2580" s="80" t="s">
        <v>224</v>
      </c>
      <c r="I2580" s="80" t="s">
        <v>341</v>
      </c>
      <c r="J2580" s="80" t="s">
        <v>423</v>
      </c>
      <c r="K2580" s="80" t="s">
        <v>347</v>
      </c>
      <c r="L2580" s="80" t="s">
        <v>344</v>
      </c>
      <c r="M2580" s="81">
        <v>1.75</v>
      </c>
      <c r="N2580" s="82">
        <v>131.25</v>
      </c>
    </row>
    <row r="2581" spans="1:14" x14ac:dyDescent="0.25">
      <c r="A2581" s="10" t="str">
        <f>_xlfn.IFNA(
    IF(J2581=
        "PCB-0001",
        "CSS",
        IF(
            ISNUMBER(MATCH(_xlfn.TEXTBEFORE(J2581,"-"), {"CSS","CSN","PCB","PCF","BEC","CSD","PCM"}, 0)),
            _xlfn.TEXTBEFORE(J2581,"-"),
            "Other"
        )
    ),
"Add")</f>
        <v>BEC</v>
      </c>
      <c r="B2581" s="10" t="str">
        <f t="shared" si="41"/>
        <v>0001</v>
      </c>
      <c r="C2581" s="10" t="str">
        <f>_xlfn.LET(
    _xlpm.val, IF(Datadetails[[#This Row],[Activity]]="D02","C20",Datadetails[[#This Row],[Activity]]),
    IF(ISNUMBER(MATCH(_xlpm.val,{"D04","C30","c40","C20"},0)), _xlpm.val, "Other")
)</f>
        <v>D04</v>
      </c>
      <c r="D2581" s="10" t="str">
        <f>IFERROR(VLOOKUP(Datadetails[[#This Row],[Taskcode]],Dashboard!A:A,1,FALSE),"00 Err Missing")</f>
        <v>0001</v>
      </c>
      <c r="E2581" s="79">
        <v>45944</v>
      </c>
      <c r="F2581" s="80" t="s">
        <v>332</v>
      </c>
      <c r="G2581" s="60" t="s">
        <v>40</v>
      </c>
      <c r="H2581" s="80" t="s">
        <v>314</v>
      </c>
      <c r="I2581" s="80" t="s">
        <v>35</v>
      </c>
      <c r="J2581" s="80" t="s">
        <v>359</v>
      </c>
      <c r="K2581" s="80" t="s">
        <v>339</v>
      </c>
      <c r="L2581" s="80" t="s">
        <v>352</v>
      </c>
      <c r="M2581" s="81">
        <v>9</v>
      </c>
      <c r="N2581" s="82">
        <v>360</v>
      </c>
    </row>
    <row r="2582" spans="1:14" x14ac:dyDescent="0.25">
      <c r="A2582" s="10" t="str">
        <f>_xlfn.IFNA(
    IF(J2582=
        "PCB-0001",
        "CSS",
        IF(
            ISNUMBER(MATCH(_xlfn.TEXTBEFORE(J2582,"-"), {"CSS","CSN","PCB","PCF","BEC","CSD","PCM"}, 0)),
            _xlfn.TEXTBEFORE(J2582,"-"),
            "Other"
        )
    ),
"Add")</f>
        <v>BEC</v>
      </c>
      <c r="B2582" s="10" t="str">
        <f t="shared" si="41"/>
        <v>0001</v>
      </c>
      <c r="C2582" s="10" t="str">
        <f>_xlfn.LET(
    _xlpm.val, IF(Datadetails[[#This Row],[Activity]]="D02","C20",Datadetails[[#This Row],[Activity]]),
    IF(ISNUMBER(MATCH(_xlpm.val,{"D04","C30","c40","C20"},0)), _xlpm.val, "Other")
)</f>
        <v>D04</v>
      </c>
      <c r="D2582" s="10" t="str">
        <f>IFERROR(VLOOKUP(Datadetails[[#This Row],[Taskcode]],Dashboard!A:A,1,FALSE),"00 Err Missing")</f>
        <v>0001</v>
      </c>
      <c r="E2582" s="79">
        <v>45944</v>
      </c>
      <c r="F2582" s="80" t="s">
        <v>324</v>
      </c>
      <c r="G2582" s="60" t="s">
        <v>40</v>
      </c>
      <c r="H2582" s="80" t="s">
        <v>314</v>
      </c>
      <c r="I2582" s="80" t="s">
        <v>35</v>
      </c>
      <c r="J2582" s="80" t="s">
        <v>359</v>
      </c>
      <c r="K2582" s="80" t="s">
        <v>339</v>
      </c>
      <c r="L2582" s="80" t="s">
        <v>352</v>
      </c>
      <c r="M2582" s="81">
        <v>4.75</v>
      </c>
      <c r="N2582" s="82">
        <v>356.25</v>
      </c>
    </row>
    <row r="2583" spans="1:14" x14ac:dyDescent="0.25">
      <c r="A2583" s="10" t="str">
        <f>_xlfn.IFNA(
    IF(J2583=
        "PCB-0001",
        "CSS",
        IF(
            ISNUMBER(MATCH(_xlfn.TEXTBEFORE(J2583,"-"), {"CSS","CSN","PCB","PCF","BEC","CSD","PCM"}, 0)),
            _xlfn.TEXTBEFORE(J2583,"-"),
            "Other"
        )
    ),
"Add")</f>
        <v>CSD</v>
      </c>
      <c r="B2583" s="10" t="str">
        <f t="shared" si="41"/>
        <v>0001</v>
      </c>
      <c r="C2583" s="10" t="str">
        <f>_xlfn.LET(
    _xlpm.val, IF(Datadetails[[#This Row],[Activity]]="D02","C20",Datadetails[[#This Row],[Activity]]),
    IF(ISNUMBER(MATCH(_xlpm.val,{"D04","C30","c40","C20"},0)), _xlpm.val, "Other")
)</f>
        <v>D04</v>
      </c>
      <c r="D2583" s="10" t="str">
        <f>IFERROR(VLOOKUP(Datadetails[[#This Row],[Taskcode]],Dashboard!A:A,1,FALSE),"00 Err Missing")</f>
        <v>0001</v>
      </c>
      <c r="E2583" s="79">
        <v>45944</v>
      </c>
      <c r="F2583" s="80" t="s">
        <v>333</v>
      </c>
      <c r="G2583" s="60" t="s">
        <v>40</v>
      </c>
      <c r="H2583" s="80" t="s">
        <v>320</v>
      </c>
      <c r="I2583" s="80" t="s">
        <v>35</v>
      </c>
      <c r="J2583" s="80" t="s">
        <v>322</v>
      </c>
      <c r="K2583" s="80" t="s">
        <v>319</v>
      </c>
      <c r="L2583" s="80" t="s">
        <v>352</v>
      </c>
      <c r="M2583" s="81">
        <v>7.63</v>
      </c>
      <c r="N2583" s="82">
        <v>244.16</v>
      </c>
    </row>
    <row r="2584" spans="1:14" x14ac:dyDescent="0.25">
      <c r="A2584" s="10" t="str">
        <f>_xlfn.IFNA(
    IF(J2584=
        "PCB-0001",
        "CSS",
        IF(
            ISNUMBER(MATCH(_xlfn.TEXTBEFORE(J2584,"-"), {"CSS","CSN","PCB","PCF","BEC","CSD","PCM"}, 0)),
            _xlfn.TEXTBEFORE(J2584,"-"),
            "Other"
        )
    ),
"Add")</f>
        <v>CSD</v>
      </c>
      <c r="B2584" s="10" t="str">
        <f t="shared" si="41"/>
        <v>0001</v>
      </c>
      <c r="C2584" s="10" t="str">
        <f>_xlfn.LET(
    _xlpm.val, IF(Datadetails[[#This Row],[Activity]]="D02","C20",Datadetails[[#This Row],[Activity]]),
    IF(ISNUMBER(MATCH(_xlpm.val,{"D04","C30","c40","C20"},0)), _xlpm.val, "Other")
)</f>
        <v>D04</v>
      </c>
      <c r="D2584" s="10" t="str">
        <f>IFERROR(VLOOKUP(Datadetails[[#This Row],[Taskcode]],Dashboard!A:A,1,FALSE),"00 Err Missing")</f>
        <v>0001</v>
      </c>
      <c r="E2584" s="79">
        <v>45944</v>
      </c>
      <c r="F2584" s="80" t="s">
        <v>327</v>
      </c>
      <c r="G2584" s="60" t="s">
        <v>40</v>
      </c>
      <c r="H2584" s="80" t="s">
        <v>320</v>
      </c>
      <c r="I2584" s="80" t="s">
        <v>35</v>
      </c>
      <c r="J2584" s="80" t="s">
        <v>322</v>
      </c>
      <c r="K2584" s="80" t="s">
        <v>319</v>
      </c>
      <c r="L2584" s="80" t="s">
        <v>352</v>
      </c>
      <c r="M2584" s="81">
        <v>7.5</v>
      </c>
      <c r="N2584" s="82">
        <v>240</v>
      </c>
    </row>
    <row r="2585" spans="1:14" x14ac:dyDescent="0.25">
      <c r="A2585" s="10" t="str">
        <f>_xlfn.IFNA(
    IF(J2585=
        "PCB-0001",
        "CSS",
        IF(
            ISNUMBER(MATCH(_xlfn.TEXTBEFORE(J2585,"-"), {"CSS","CSN","PCB","PCF","BEC","CSD","PCM"}, 0)),
            _xlfn.TEXTBEFORE(J2585,"-"),
            "Other"
        )
    ),
"Add")</f>
        <v>PCM</v>
      </c>
      <c r="B2585" s="10" t="str">
        <f t="shared" si="41"/>
        <v>0034</v>
      </c>
      <c r="C2585" s="10" t="str">
        <f>_xlfn.LET(
    _xlpm.val, IF(Datadetails[[#This Row],[Activity]]="D02","C20",Datadetails[[#This Row],[Activity]]),
    IF(ISNUMBER(MATCH(_xlpm.val,{"D04","C30","c40","C20"},0)), _xlpm.val, "Other")
)</f>
        <v>C40</v>
      </c>
      <c r="D2585" s="10" t="str">
        <f>IFERROR(VLOOKUP(Datadetails[[#This Row],[Taskcode]],Dashboard!A:A,1,FALSE),"00 Err Missing")</f>
        <v>0034</v>
      </c>
      <c r="E2585" s="79">
        <v>45944</v>
      </c>
      <c r="F2585" s="80" t="s">
        <v>323</v>
      </c>
      <c r="G2585" s="60" t="s">
        <v>40</v>
      </c>
      <c r="H2585" s="80" t="s">
        <v>201</v>
      </c>
      <c r="I2585" s="80" t="s">
        <v>341</v>
      </c>
      <c r="J2585" s="80" t="s">
        <v>395</v>
      </c>
      <c r="K2585" s="80" t="s">
        <v>346</v>
      </c>
      <c r="L2585" s="80" t="s">
        <v>344</v>
      </c>
      <c r="M2585" s="81">
        <v>1</v>
      </c>
      <c r="N2585" s="82">
        <v>60</v>
      </c>
    </row>
    <row r="2586" spans="1:14" x14ac:dyDescent="0.25">
      <c r="A2586" s="10" t="str">
        <f>_xlfn.IFNA(
    IF(J2586=
        "PCB-0001",
        "CSS",
        IF(
            ISNUMBER(MATCH(_xlfn.TEXTBEFORE(J2586,"-"), {"CSS","CSN","PCB","PCF","BEC","CSD","PCM"}, 0)),
            _xlfn.TEXTBEFORE(J2586,"-"),
            "Other"
        )
    ),
"Add")</f>
        <v>PCB</v>
      </c>
      <c r="B2586" s="10" t="str">
        <f t="shared" si="41"/>
        <v>0030</v>
      </c>
      <c r="C2586" s="10" t="str">
        <f>_xlfn.LET(
    _xlpm.val, IF(Datadetails[[#This Row],[Activity]]="D02","C20",Datadetails[[#This Row],[Activity]]),
    IF(ISNUMBER(MATCH(_xlpm.val,{"D04","C30","c40","C20"},0)), _xlpm.val, "Other")
)</f>
        <v>C30</v>
      </c>
      <c r="D2586" s="10" t="str">
        <f>IFERROR(VLOOKUP(Datadetails[[#This Row],[Taskcode]],Dashboard!A:A,1,FALSE),"00 Err Missing")</f>
        <v>0030</v>
      </c>
      <c r="E2586" s="79">
        <v>45944</v>
      </c>
      <c r="F2586" s="80" t="s">
        <v>329</v>
      </c>
      <c r="G2586" s="60" t="s">
        <v>40</v>
      </c>
      <c r="H2586" s="80" t="s">
        <v>197</v>
      </c>
      <c r="I2586" s="80" t="s">
        <v>34</v>
      </c>
      <c r="J2586" s="80" t="s">
        <v>366</v>
      </c>
      <c r="K2586" s="80" t="s">
        <v>347</v>
      </c>
      <c r="L2586" s="80" t="s">
        <v>343</v>
      </c>
      <c r="M2586" s="81">
        <v>0.17</v>
      </c>
      <c r="N2586" s="82">
        <v>12.750000000000002</v>
      </c>
    </row>
    <row r="2587" spans="1:14" x14ac:dyDescent="0.25">
      <c r="A2587" s="10" t="str">
        <f>_xlfn.IFNA(
    IF(J2587=
        "PCB-0001",
        "CSS",
        IF(
            ISNUMBER(MATCH(_xlfn.TEXTBEFORE(J2587,"-"), {"CSS","CSN","PCB","PCF","BEC","CSD","PCM"}, 0)),
            _xlfn.TEXTBEFORE(J2587,"-"),
            "Other"
        )
    ),
"Add")</f>
        <v>PCB</v>
      </c>
      <c r="B2587" s="10" t="str">
        <f t="shared" si="41"/>
        <v>0013</v>
      </c>
      <c r="C2587" s="10" t="str">
        <f>_xlfn.LET(
    _xlpm.val, IF(Datadetails[[#This Row],[Activity]]="D02","C20",Datadetails[[#This Row],[Activity]]),
    IF(ISNUMBER(MATCH(_xlpm.val,{"D04","C30","c40","C20"},0)), _xlpm.val, "Other")
)</f>
        <v>C30</v>
      </c>
      <c r="D2587" s="10" t="str">
        <f>IFERROR(VLOOKUP(Datadetails[[#This Row],[Taskcode]],Dashboard!A:A,1,FALSE),"00 Err Missing")</f>
        <v>0013</v>
      </c>
      <c r="E2587" s="79">
        <v>45944</v>
      </c>
      <c r="F2587" s="80" t="s">
        <v>325</v>
      </c>
      <c r="G2587" s="60" t="s">
        <v>40</v>
      </c>
      <c r="H2587" s="80" t="s">
        <v>180</v>
      </c>
      <c r="I2587" s="80" t="s">
        <v>34</v>
      </c>
      <c r="J2587" s="80" t="s">
        <v>465</v>
      </c>
      <c r="K2587" s="80" t="s">
        <v>347</v>
      </c>
      <c r="L2587" s="80" t="s">
        <v>343</v>
      </c>
      <c r="M2587" s="81">
        <v>0.25</v>
      </c>
      <c r="N2587" s="82">
        <v>18.75</v>
      </c>
    </row>
    <row r="2588" spans="1:14" x14ac:dyDescent="0.25">
      <c r="A2588" s="10" t="str">
        <f>_xlfn.IFNA(
    IF(J2588=
        "PCB-0001",
        "CSS",
        IF(
            ISNUMBER(MATCH(_xlfn.TEXTBEFORE(J2588,"-"), {"CSS","CSN","PCB","PCF","BEC","CSD","PCM"}, 0)),
            _xlfn.TEXTBEFORE(J2588,"-"),
            "Other"
        )
    ),
"Add")</f>
        <v>PCB</v>
      </c>
      <c r="B2588" s="10" t="str">
        <f t="shared" si="41"/>
        <v>0039</v>
      </c>
      <c r="C2588" s="10" t="str">
        <f>_xlfn.LET(
    _xlpm.val, IF(Datadetails[[#This Row],[Activity]]="D02","C20",Datadetails[[#This Row],[Activity]]),
    IF(ISNUMBER(MATCH(_xlpm.val,{"D04","C30","c40","C20"},0)), _xlpm.val, "Other")
)</f>
        <v>C30</v>
      </c>
      <c r="D2588" s="10" t="str">
        <f>IFERROR(VLOOKUP(Datadetails[[#This Row],[Taskcode]],Dashboard!A:A,1,FALSE),"00 Err Missing")</f>
        <v>0039</v>
      </c>
      <c r="E2588" s="79">
        <v>45944</v>
      </c>
      <c r="F2588" s="80" t="s">
        <v>329</v>
      </c>
      <c r="G2588" s="60" t="s">
        <v>40</v>
      </c>
      <c r="H2588" s="80" t="s">
        <v>206</v>
      </c>
      <c r="I2588" s="80" t="s">
        <v>34</v>
      </c>
      <c r="J2588" s="80" t="s">
        <v>367</v>
      </c>
      <c r="K2588" s="80" t="s">
        <v>347</v>
      </c>
      <c r="L2588" s="80" t="s">
        <v>343</v>
      </c>
      <c r="M2588" s="81">
        <v>0.17</v>
      </c>
      <c r="N2588" s="82">
        <v>12.750000000000002</v>
      </c>
    </row>
    <row r="2589" spans="1:14" x14ac:dyDescent="0.25">
      <c r="A2589" s="10" t="str">
        <f>_xlfn.IFNA(
    IF(J2589=
        "PCB-0001",
        "CSS",
        IF(
            ISNUMBER(MATCH(_xlfn.TEXTBEFORE(J2589,"-"), {"CSS","CSN","PCB","PCF","BEC","CSD","PCM"}, 0)),
            _xlfn.TEXTBEFORE(J2589,"-"),
            "Other"
        )
    ),
"Add")</f>
        <v>PCB</v>
      </c>
      <c r="B2589" s="10" t="str">
        <f t="shared" si="41"/>
        <v>0136</v>
      </c>
      <c r="C2589" s="10" t="str">
        <f>_xlfn.LET(
    _xlpm.val, IF(Datadetails[[#This Row],[Activity]]="D02","C20",Datadetails[[#This Row],[Activity]]),
    IF(ISNUMBER(MATCH(_xlpm.val,{"D04","C30","c40","C20"},0)), _xlpm.val, "Other")
)</f>
        <v>C30</v>
      </c>
      <c r="D2589" s="10" t="str">
        <f>IFERROR(VLOOKUP(Datadetails[[#This Row],[Taskcode]],Dashboard!A:A,1,FALSE),"00 Err Missing")</f>
        <v>0136</v>
      </c>
      <c r="E2589" s="79">
        <v>45944</v>
      </c>
      <c r="F2589" s="80" t="s">
        <v>329</v>
      </c>
      <c r="G2589" s="60" t="s">
        <v>40</v>
      </c>
      <c r="H2589" s="80" t="s">
        <v>303</v>
      </c>
      <c r="I2589" s="80" t="s">
        <v>34</v>
      </c>
      <c r="J2589" s="80" t="s">
        <v>400</v>
      </c>
      <c r="K2589" s="80" t="s">
        <v>347</v>
      </c>
      <c r="L2589" s="80" t="s">
        <v>343</v>
      </c>
      <c r="M2589" s="81">
        <v>0.25</v>
      </c>
      <c r="N2589" s="82">
        <v>18.75</v>
      </c>
    </row>
    <row r="2590" spans="1:14" x14ac:dyDescent="0.25">
      <c r="A2590" s="10" t="str">
        <f>_xlfn.IFNA(
    IF(J2590=
        "PCB-0001",
        "CSS",
        IF(
            ISNUMBER(MATCH(_xlfn.TEXTBEFORE(J2590,"-"), {"CSS","CSN","PCB","PCF","BEC","CSD","PCM"}, 0)),
            _xlfn.TEXTBEFORE(J2590,"-"),
            "Other"
        )
    ),
"Add")</f>
        <v>PCB</v>
      </c>
      <c r="B2590" s="10" t="str">
        <f t="shared" si="41"/>
        <v>0074</v>
      </c>
      <c r="C2590" s="10" t="str">
        <f>_xlfn.LET(
    _xlpm.val, IF(Datadetails[[#This Row],[Activity]]="D02","C20",Datadetails[[#This Row],[Activity]]),
    IF(ISNUMBER(MATCH(_xlpm.val,{"D04","C30","c40","C20"},0)), _xlpm.val, "Other")
)</f>
        <v>C30</v>
      </c>
      <c r="D2590" s="10" t="str">
        <f>IFERROR(VLOOKUP(Datadetails[[#This Row],[Taskcode]],Dashboard!A:A,1,FALSE),"00 Err Missing")</f>
        <v>0074</v>
      </c>
      <c r="E2590" s="79">
        <v>45944</v>
      </c>
      <c r="F2590" s="80" t="s">
        <v>329</v>
      </c>
      <c r="G2590" s="60" t="s">
        <v>40</v>
      </c>
      <c r="H2590" s="80" t="s">
        <v>241</v>
      </c>
      <c r="I2590" s="80" t="s">
        <v>34</v>
      </c>
      <c r="J2590" s="80" t="s">
        <v>403</v>
      </c>
      <c r="K2590" s="80" t="s">
        <v>347</v>
      </c>
      <c r="L2590" s="80" t="s">
        <v>343</v>
      </c>
      <c r="M2590" s="81">
        <v>0.17</v>
      </c>
      <c r="N2590" s="82">
        <v>12.750000000000002</v>
      </c>
    </row>
    <row r="2591" spans="1:14" x14ac:dyDescent="0.25">
      <c r="A2591" s="10" t="str">
        <f>_xlfn.IFNA(
    IF(J2591=
        "PCB-0001",
        "CSS",
        IF(
            ISNUMBER(MATCH(_xlfn.TEXTBEFORE(J2591,"-"), {"CSS","CSN","PCB","PCF","BEC","CSD","PCM"}, 0)),
            _xlfn.TEXTBEFORE(J2591,"-"),
            "Other"
        )
    ),
"Add")</f>
        <v>PCB</v>
      </c>
      <c r="B2591" s="10" t="str">
        <f t="shared" si="41"/>
        <v>0140</v>
      </c>
      <c r="C2591" s="10" t="str">
        <f>_xlfn.LET(
    _xlpm.val, IF(Datadetails[[#This Row],[Activity]]="D02","C20",Datadetails[[#This Row],[Activity]]),
    IF(ISNUMBER(MATCH(_xlpm.val,{"D04","C30","c40","C20"},0)), _xlpm.val, "Other")
)</f>
        <v>C30</v>
      </c>
      <c r="D2591" s="10" t="str">
        <f>IFERROR(VLOOKUP(Datadetails[[#This Row],[Taskcode]],Dashboard!A:A,1,FALSE),"00 Err Missing")</f>
        <v>0140</v>
      </c>
      <c r="E2591" s="79">
        <v>45944</v>
      </c>
      <c r="F2591" s="80" t="s">
        <v>325</v>
      </c>
      <c r="G2591" s="60" t="s">
        <v>40</v>
      </c>
      <c r="H2591" s="80" t="s">
        <v>307</v>
      </c>
      <c r="I2591" s="80" t="s">
        <v>34</v>
      </c>
      <c r="J2591" s="80" t="s">
        <v>472</v>
      </c>
      <c r="K2591" s="80" t="s">
        <v>347</v>
      </c>
      <c r="L2591" s="80" t="s">
        <v>343</v>
      </c>
      <c r="M2591" s="81">
        <v>0.57999999999999996</v>
      </c>
      <c r="N2591" s="82">
        <v>43.5</v>
      </c>
    </row>
    <row r="2592" spans="1:14" x14ac:dyDescent="0.25">
      <c r="A2592" s="10" t="str">
        <f>_xlfn.IFNA(
    IF(J2592=
        "PCB-0001",
        "CSS",
        IF(
            ISNUMBER(MATCH(_xlfn.TEXTBEFORE(J2592,"-"), {"CSS","CSN","PCB","PCF","BEC","CSD","PCM"}, 0)),
            _xlfn.TEXTBEFORE(J2592,"-"),
            "Other"
        )
    ),
"Add")</f>
        <v>PCB</v>
      </c>
      <c r="B2592" s="10" t="str">
        <f t="shared" si="41"/>
        <v>0128</v>
      </c>
      <c r="C2592" s="10" t="str">
        <f>_xlfn.LET(
    _xlpm.val, IF(Datadetails[[#This Row],[Activity]]="D02","C20",Datadetails[[#This Row],[Activity]]),
    IF(ISNUMBER(MATCH(_xlpm.val,{"D04","C30","c40","C20"},0)), _xlpm.val, "Other")
)</f>
        <v>C30</v>
      </c>
      <c r="D2592" s="10" t="str">
        <f>IFERROR(VLOOKUP(Datadetails[[#This Row],[Taskcode]],Dashboard!A:A,1,FALSE),"00 Err Missing")</f>
        <v>0128</v>
      </c>
      <c r="E2592" s="79">
        <v>45944</v>
      </c>
      <c r="F2592" s="80" t="s">
        <v>329</v>
      </c>
      <c r="G2592" s="60" t="s">
        <v>40</v>
      </c>
      <c r="H2592" s="80" t="s">
        <v>295</v>
      </c>
      <c r="I2592" s="80" t="s">
        <v>34</v>
      </c>
      <c r="J2592" s="80" t="s">
        <v>379</v>
      </c>
      <c r="K2592" s="80" t="s">
        <v>347</v>
      </c>
      <c r="L2592" s="80" t="s">
        <v>343</v>
      </c>
      <c r="M2592" s="81">
        <v>0.08</v>
      </c>
      <c r="N2592" s="82">
        <v>6</v>
      </c>
    </row>
    <row r="2593" spans="1:14" x14ac:dyDescent="0.25">
      <c r="A2593" s="10" t="str">
        <f>_xlfn.IFNA(
    IF(J2593=
        "PCB-0001",
        "CSS",
        IF(
            ISNUMBER(MATCH(_xlfn.TEXTBEFORE(J2593,"-"), {"CSS","CSN","PCB","PCF","BEC","CSD","PCM"}, 0)),
            _xlfn.TEXTBEFORE(J2593,"-"),
            "Other"
        )
    ),
"Add")</f>
        <v>PCB</v>
      </c>
      <c r="B2593" s="10" t="str">
        <f t="shared" si="41"/>
        <v>0086</v>
      </c>
      <c r="C2593" s="10" t="str">
        <f>_xlfn.LET(
    _xlpm.val, IF(Datadetails[[#This Row],[Activity]]="D02","C20",Datadetails[[#This Row],[Activity]]),
    IF(ISNUMBER(MATCH(_xlpm.val,{"D04","C30","c40","C20"},0)), _xlpm.val, "Other")
)</f>
        <v>C30</v>
      </c>
      <c r="D2593" s="10" t="str">
        <f>IFERROR(VLOOKUP(Datadetails[[#This Row],[Taskcode]],Dashboard!A:A,1,FALSE),"00 Err Missing")</f>
        <v>0086</v>
      </c>
      <c r="E2593" s="79">
        <v>45944</v>
      </c>
      <c r="F2593" s="80" t="s">
        <v>325</v>
      </c>
      <c r="G2593" s="60" t="s">
        <v>40</v>
      </c>
      <c r="H2593" s="80" t="s">
        <v>253</v>
      </c>
      <c r="I2593" s="80" t="s">
        <v>34</v>
      </c>
      <c r="J2593" s="80" t="s">
        <v>408</v>
      </c>
      <c r="K2593" s="80" t="s">
        <v>347</v>
      </c>
      <c r="L2593" s="80" t="s">
        <v>343</v>
      </c>
      <c r="M2593" s="81">
        <v>0.5</v>
      </c>
      <c r="N2593" s="82">
        <v>37.5</v>
      </c>
    </row>
    <row r="2594" spans="1:14" x14ac:dyDescent="0.25">
      <c r="A2594" s="10" t="str">
        <f>_xlfn.IFNA(
    IF(J2594=
        "PCB-0001",
        "CSS",
        IF(
            ISNUMBER(MATCH(_xlfn.TEXTBEFORE(J2594,"-"), {"CSS","CSN","PCB","PCF","BEC","CSD","PCM"}, 0)),
            _xlfn.TEXTBEFORE(J2594,"-"),
            "Other"
        )
    ),
"Add")</f>
        <v>PCB</v>
      </c>
      <c r="B2594" s="10" t="str">
        <f t="shared" si="41"/>
        <v>0097</v>
      </c>
      <c r="C2594" s="10" t="str">
        <f>_xlfn.LET(
    _xlpm.val, IF(Datadetails[[#This Row],[Activity]]="D02","C20",Datadetails[[#This Row],[Activity]]),
    IF(ISNUMBER(MATCH(_xlpm.val,{"D04","C30","c40","C20"},0)), _xlpm.val, "Other")
)</f>
        <v>C30</v>
      </c>
      <c r="D2594" s="10" t="str">
        <f>IFERROR(VLOOKUP(Datadetails[[#This Row],[Taskcode]],Dashboard!A:A,1,FALSE),"00 Err Missing")</f>
        <v>0097</v>
      </c>
      <c r="E2594" s="79">
        <v>45944</v>
      </c>
      <c r="F2594" s="80" t="s">
        <v>325</v>
      </c>
      <c r="G2594" s="60" t="s">
        <v>40</v>
      </c>
      <c r="H2594" s="80" t="s">
        <v>264</v>
      </c>
      <c r="I2594" s="80" t="s">
        <v>34</v>
      </c>
      <c r="J2594" s="80" t="s">
        <v>384</v>
      </c>
      <c r="K2594" s="80" t="s">
        <v>347</v>
      </c>
      <c r="L2594" s="80" t="s">
        <v>343</v>
      </c>
      <c r="M2594" s="81">
        <v>0.17</v>
      </c>
      <c r="N2594" s="82">
        <v>12.750000000000002</v>
      </c>
    </row>
    <row r="2595" spans="1:14" x14ac:dyDescent="0.25">
      <c r="A2595" s="10" t="str">
        <f>_xlfn.IFNA(
    IF(J2595=
        "PCB-0001",
        "CSS",
        IF(
            ISNUMBER(MATCH(_xlfn.TEXTBEFORE(J2595,"-"), {"CSS","CSN","PCB","PCF","BEC","CSD","PCM"}, 0)),
            _xlfn.TEXTBEFORE(J2595,"-"),
            "Other"
        )
    ),
"Add")</f>
        <v>PCB</v>
      </c>
      <c r="B2595" s="10" t="str">
        <f t="shared" si="41"/>
        <v>0082</v>
      </c>
      <c r="C2595" s="10" t="str">
        <f>_xlfn.LET(
    _xlpm.val, IF(Datadetails[[#This Row],[Activity]]="D02","C20",Datadetails[[#This Row],[Activity]]),
    IF(ISNUMBER(MATCH(_xlpm.val,{"D04","C30","c40","C20"},0)), _xlpm.val, "Other")
)</f>
        <v>C30</v>
      </c>
      <c r="D2595" s="10" t="str">
        <f>IFERROR(VLOOKUP(Datadetails[[#This Row],[Taskcode]],Dashboard!A:A,1,FALSE),"00 Err Missing")</f>
        <v>0082</v>
      </c>
      <c r="E2595" s="79">
        <v>45944</v>
      </c>
      <c r="F2595" s="80" t="s">
        <v>325</v>
      </c>
      <c r="G2595" s="60" t="s">
        <v>40</v>
      </c>
      <c r="H2595" s="80" t="s">
        <v>249</v>
      </c>
      <c r="I2595" s="80" t="s">
        <v>34</v>
      </c>
      <c r="J2595" s="80" t="s">
        <v>409</v>
      </c>
      <c r="K2595" s="80" t="s">
        <v>347</v>
      </c>
      <c r="L2595" s="80" t="s">
        <v>343</v>
      </c>
      <c r="M2595" s="81">
        <v>0.17</v>
      </c>
      <c r="N2595" s="82">
        <v>12.750000000000002</v>
      </c>
    </row>
    <row r="2596" spans="1:14" x14ac:dyDescent="0.25">
      <c r="A2596" s="10" t="str">
        <f>_xlfn.IFNA(
    IF(J2596=
        "PCB-0001",
        "CSS",
        IF(
            ISNUMBER(MATCH(_xlfn.TEXTBEFORE(J2596,"-"), {"CSS","CSN","PCB","PCF","BEC","CSD","PCM"}, 0)),
            _xlfn.TEXTBEFORE(J2596,"-"),
            "Other"
        )
    ),
"Add")</f>
        <v>PCB</v>
      </c>
      <c r="B2596" s="10" t="str">
        <f t="shared" si="41"/>
        <v>0080</v>
      </c>
      <c r="C2596" s="10" t="str">
        <f>_xlfn.LET(
    _xlpm.val, IF(Datadetails[[#This Row],[Activity]]="D02","C20",Datadetails[[#This Row],[Activity]]),
    IF(ISNUMBER(MATCH(_xlpm.val,{"D04","C30","c40","C20"},0)), _xlpm.val, "Other")
)</f>
        <v>C30</v>
      </c>
      <c r="D2596" s="10" t="str">
        <f>IFERROR(VLOOKUP(Datadetails[[#This Row],[Taskcode]],Dashboard!A:A,1,FALSE),"00 Err Missing")</f>
        <v>0080</v>
      </c>
      <c r="E2596" s="79">
        <v>45944</v>
      </c>
      <c r="F2596" s="80" t="s">
        <v>329</v>
      </c>
      <c r="G2596" s="60" t="s">
        <v>40</v>
      </c>
      <c r="H2596" s="80" t="s">
        <v>247</v>
      </c>
      <c r="I2596" s="80" t="s">
        <v>34</v>
      </c>
      <c r="J2596" s="80" t="s">
        <v>375</v>
      </c>
      <c r="K2596" s="80" t="s">
        <v>347</v>
      </c>
      <c r="L2596" s="80" t="s">
        <v>343</v>
      </c>
      <c r="M2596" s="81">
        <v>0.17</v>
      </c>
      <c r="N2596" s="82">
        <v>12.750000000000002</v>
      </c>
    </row>
    <row r="2597" spans="1:14" x14ac:dyDescent="0.25">
      <c r="A2597" s="10" t="str">
        <f>_xlfn.IFNA(
    IF(J2597=
        "PCB-0001",
        "CSS",
        IF(
            ISNUMBER(MATCH(_xlfn.TEXTBEFORE(J2597,"-"), {"CSS","CSN","PCB","PCF","BEC","CSD","PCM"}, 0)),
            _xlfn.TEXTBEFORE(J2597,"-"),
            "Other"
        )
    ),
"Add")</f>
        <v>PCB</v>
      </c>
      <c r="B2597" s="10" t="str">
        <f t="shared" si="41"/>
        <v>0063</v>
      </c>
      <c r="C2597" s="10" t="str">
        <f>_xlfn.LET(
    _xlpm.val, IF(Datadetails[[#This Row],[Activity]]="D02","C20",Datadetails[[#This Row],[Activity]]),
    IF(ISNUMBER(MATCH(_xlpm.val,{"D04","C30","c40","C20"},0)), _xlpm.val, "Other")
)</f>
        <v>C30</v>
      </c>
      <c r="D2597" s="10" t="str">
        <f>IFERROR(VLOOKUP(Datadetails[[#This Row],[Taskcode]],Dashboard!A:A,1,FALSE),"00 Err Missing")</f>
        <v>0063</v>
      </c>
      <c r="E2597" s="79">
        <v>45944</v>
      </c>
      <c r="F2597" s="80" t="s">
        <v>329</v>
      </c>
      <c r="G2597" s="60" t="s">
        <v>40</v>
      </c>
      <c r="H2597" s="80" t="s">
        <v>230</v>
      </c>
      <c r="I2597" s="80" t="s">
        <v>34</v>
      </c>
      <c r="J2597" s="80" t="s">
        <v>410</v>
      </c>
      <c r="K2597" s="80" t="s">
        <v>347</v>
      </c>
      <c r="L2597" s="80" t="s">
        <v>343</v>
      </c>
      <c r="M2597" s="81">
        <v>0.5</v>
      </c>
      <c r="N2597" s="82">
        <v>37.5</v>
      </c>
    </row>
    <row r="2598" spans="1:14" x14ac:dyDescent="0.25">
      <c r="A2598" s="10" t="str">
        <f>_xlfn.IFNA(
    IF(J2598=
        "PCB-0001",
        "CSS",
        IF(
            ISNUMBER(MATCH(_xlfn.TEXTBEFORE(J2598,"-"), {"CSS","CSN","PCB","PCF","BEC","CSD","PCM"}, 0)),
            _xlfn.TEXTBEFORE(J2598,"-"),
            "Other"
        )
    ),
"Add")</f>
        <v>PCB</v>
      </c>
      <c r="B2598" s="10" t="str">
        <f t="shared" si="41"/>
        <v>0105</v>
      </c>
      <c r="C2598" s="10" t="str">
        <f>_xlfn.LET(
    _xlpm.val, IF(Datadetails[[#This Row],[Activity]]="D02","C20",Datadetails[[#This Row],[Activity]]),
    IF(ISNUMBER(MATCH(_xlpm.val,{"D04","C30","c40","C20"},0)), _xlpm.val, "Other")
)</f>
        <v>C30</v>
      </c>
      <c r="D2598" s="10" t="str">
        <f>IFERROR(VLOOKUP(Datadetails[[#This Row],[Taskcode]],Dashboard!A:A,1,FALSE),"00 Err Missing")</f>
        <v>0105</v>
      </c>
      <c r="E2598" s="79">
        <v>45944</v>
      </c>
      <c r="F2598" s="80" t="s">
        <v>329</v>
      </c>
      <c r="G2598" s="60" t="s">
        <v>40</v>
      </c>
      <c r="H2598" s="80" t="s">
        <v>272</v>
      </c>
      <c r="I2598" s="80" t="s">
        <v>34</v>
      </c>
      <c r="J2598" s="80" t="s">
        <v>362</v>
      </c>
      <c r="K2598" s="80" t="s">
        <v>347</v>
      </c>
      <c r="L2598" s="80" t="s">
        <v>343</v>
      </c>
      <c r="M2598" s="81">
        <v>0.17</v>
      </c>
      <c r="N2598" s="82">
        <v>12.750000000000002</v>
      </c>
    </row>
    <row r="2599" spans="1:14" x14ac:dyDescent="0.25">
      <c r="A2599" s="10" t="str">
        <f>_xlfn.IFNA(
    IF(J2599=
        "PCB-0001",
        "CSS",
        IF(
            ISNUMBER(MATCH(_xlfn.TEXTBEFORE(J2599,"-"), {"CSS","CSN","PCB","PCF","BEC","CSD","PCM"}, 0)),
            _xlfn.TEXTBEFORE(J2599,"-"),
            "Other"
        )
    ),
"Add")</f>
        <v>PCF</v>
      </c>
      <c r="B2599" s="10" t="str">
        <f t="shared" si="41"/>
        <v>0142</v>
      </c>
      <c r="C2599" s="10" t="str">
        <f>_xlfn.LET(
    _xlpm.val, IF(Datadetails[[#This Row],[Activity]]="D02","C20",Datadetails[[#This Row],[Activity]]),
    IF(ISNUMBER(MATCH(_xlpm.val,{"D04","C30","c40","C20"},0)), _xlpm.val, "Other")
)</f>
        <v>C20</v>
      </c>
      <c r="D2599" s="10" t="str">
        <f>IFERROR(VLOOKUP(Datadetails[[#This Row],[Taskcode]],Dashboard!A:A,1,FALSE),"00 Err Missing")</f>
        <v>0142</v>
      </c>
      <c r="E2599" s="79">
        <v>45944</v>
      </c>
      <c r="F2599" s="80" t="s">
        <v>326</v>
      </c>
      <c r="G2599" s="60" t="s">
        <v>40</v>
      </c>
      <c r="H2599" s="80" t="s">
        <v>309</v>
      </c>
      <c r="I2599" s="80" t="s">
        <v>36</v>
      </c>
      <c r="J2599" s="80" t="s">
        <v>454</v>
      </c>
      <c r="K2599" s="80" t="s">
        <v>348</v>
      </c>
      <c r="L2599" s="80" t="s">
        <v>342</v>
      </c>
      <c r="M2599" s="81">
        <v>0.67</v>
      </c>
      <c r="N2599" s="82">
        <v>40.200000000000003</v>
      </c>
    </row>
    <row r="2600" spans="1:14" x14ac:dyDescent="0.25">
      <c r="A2600" s="10" t="str">
        <f>_xlfn.IFNA(
    IF(J2600=
        "PCB-0001",
        "CSS",
        IF(
            ISNUMBER(MATCH(_xlfn.TEXTBEFORE(J2600,"-"), {"CSS","CSN","PCB","PCF","BEC","CSD","PCM"}, 0)),
            _xlfn.TEXTBEFORE(J2600,"-"),
            "Other"
        )
    ),
"Add")</f>
        <v>PCF</v>
      </c>
      <c r="B2600" s="10" t="str">
        <f t="shared" si="41"/>
        <v>0070</v>
      </c>
      <c r="C2600" s="10" t="str">
        <f>_xlfn.LET(
    _xlpm.val, IF(Datadetails[[#This Row],[Activity]]="D02","C20",Datadetails[[#This Row],[Activity]]),
    IF(ISNUMBER(MATCH(_xlpm.val,{"D04","C30","c40","C20"},0)), _xlpm.val, "Other")
)</f>
        <v>C30</v>
      </c>
      <c r="D2600" s="10" t="str">
        <f>IFERROR(VLOOKUP(Datadetails[[#This Row],[Taskcode]],Dashboard!A:A,1,FALSE),"00 Err Missing")</f>
        <v>0070</v>
      </c>
      <c r="E2600" s="79">
        <v>45944</v>
      </c>
      <c r="F2600" s="80" t="s">
        <v>326</v>
      </c>
      <c r="G2600" s="60" t="s">
        <v>40</v>
      </c>
      <c r="H2600" s="80" t="s">
        <v>237</v>
      </c>
      <c r="I2600" s="80" t="s">
        <v>34</v>
      </c>
      <c r="J2600" s="80" t="s">
        <v>427</v>
      </c>
      <c r="K2600" s="80" t="s">
        <v>348</v>
      </c>
      <c r="L2600" s="80" t="s">
        <v>343</v>
      </c>
      <c r="M2600" s="81">
        <v>0.25</v>
      </c>
      <c r="N2600" s="82">
        <v>15</v>
      </c>
    </row>
    <row r="2601" spans="1:14" x14ac:dyDescent="0.25">
      <c r="A2601" s="10" t="str">
        <f>_xlfn.IFNA(
    IF(J2601=
        "PCB-0001",
        "CSS",
        IF(
            ISNUMBER(MATCH(_xlfn.TEXTBEFORE(J2601,"-"), {"CSS","CSN","PCB","PCF","BEC","CSD","PCM"}, 0)),
            _xlfn.TEXTBEFORE(J2601,"-"),
            "Other"
        )
    ),
"Add")</f>
        <v>PCF</v>
      </c>
      <c r="B2601" s="10" t="str">
        <f t="shared" si="41"/>
        <v>0008</v>
      </c>
      <c r="C2601" s="10" t="str">
        <f>_xlfn.LET(
    _xlpm.val, IF(Datadetails[[#This Row],[Activity]]="D02","C20",Datadetails[[#This Row],[Activity]]),
    IF(ISNUMBER(MATCH(_xlpm.val,{"D04","C30","c40","C20"},0)), _xlpm.val, "Other")
)</f>
        <v>C30</v>
      </c>
      <c r="D2601" s="10" t="str">
        <f>IFERROR(VLOOKUP(Datadetails[[#This Row],[Taskcode]],Dashboard!A:A,1,FALSE),"00 Err Missing")</f>
        <v>0008</v>
      </c>
      <c r="E2601" s="79">
        <v>45944</v>
      </c>
      <c r="F2601" s="80" t="s">
        <v>326</v>
      </c>
      <c r="G2601" s="60" t="s">
        <v>40</v>
      </c>
      <c r="H2601" s="80" t="s">
        <v>175</v>
      </c>
      <c r="I2601" s="80" t="s">
        <v>34</v>
      </c>
      <c r="J2601" s="80" t="s">
        <v>388</v>
      </c>
      <c r="K2601" s="80" t="s">
        <v>348</v>
      </c>
      <c r="L2601" s="80" t="s">
        <v>343</v>
      </c>
      <c r="M2601" s="81">
        <v>0.42</v>
      </c>
      <c r="N2601" s="82">
        <v>25.2</v>
      </c>
    </row>
    <row r="2602" spans="1:14" x14ac:dyDescent="0.25">
      <c r="A2602" s="10" t="str">
        <f>_xlfn.IFNA(
    IF(J2602=
        "PCB-0001",
        "CSS",
        IF(
            ISNUMBER(MATCH(_xlfn.TEXTBEFORE(J2602,"-"), {"CSS","CSN","PCB","PCF","BEC","CSD","PCM"}, 0)),
            _xlfn.TEXTBEFORE(J2602,"-"),
            "Other"
        )
    ),
"Add")</f>
        <v>PCF</v>
      </c>
      <c r="B2602" s="10" t="str">
        <f t="shared" si="41"/>
        <v>0133</v>
      </c>
      <c r="C2602" s="10" t="str">
        <f>_xlfn.LET(
    _xlpm.val, IF(Datadetails[[#This Row],[Activity]]="D02","C20",Datadetails[[#This Row],[Activity]]),
    IF(ISNUMBER(MATCH(_xlpm.val,{"D04","C30","c40","C20"},0)), _xlpm.val, "Other")
)</f>
        <v>C30</v>
      </c>
      <c r="D2602" s="10" t="str">
        <f>IFERROR(VLOOKUP(Datadetails[[#This Row],[Taskcode]],Dashboard!A:A,1,FALSE),"00 Err Missing")</f>
        <v>0133</v>
      </c>
      <c r="E2602" s="79">
        <v>45944</v>
      </c>
      <c r="F2602" s="80" t="s">
        <v>326</v>
      </c>
      <c r="G2602" s="60" t="s">
        <v>40</v>
      </c>
      <c r="H2602" s="80" t="s">
        <v>300</v>
      </c>
      <c r="I2602" s="80" t="s">
        <v>34</v>
      </c>
      <c r="J2602" s="80" t="s">
        <v>464</v>
      </c>
      <c r="K2602" s="80" t="s">
        <v>348</v>
      </c>
      <c r="L2602" s="80" t="s">
        <v>343</v>
      </c>
      <c r="M2602" s="81">
        <v>0.42</v>
      </c>
      <c r="N2602" s="82">
        <v>25.2</v>
      </c>
    </row>
    <row r="2603" spans="1:14" x14ac:dyDescent="0.25">
      <c r="A2603" s="10" t="str">
        <f>_xlfn.IFNA(
    IF(J2603=
        "PCB-0001",
        "CSS",
        IF(
            ISNUMBER(MATCH(_xlfn.TEXTBEFORE(J2603,"-"), {"CSS","CSN","PCB","PCF","BEC","CSD","PCM"}, 0)),
            _xlfn.TEXTBEFORE(J2603,"-"),
            "Other"
        )
    ),
"Add")</f>
        <v>PCF</v>
      </c>
      <c r="B2603" s="10" t="str">
        <f t="shared" si="41"/>
        <v>0066</v>
      </c>
      <c r="C2603" s="10" t="str">
        <f>_xlfn.LET(
    _xlpm.val, IF(Datadetails[[#This Row],[Activity]]="D02","C20",Datadetails[[#This Row],[Activity]]),
    IF(ISNUMBER(MATCH(_xlpm.val,{"D04","C30","c40","C20"},0)), _xlpm.val, "Other")
)</f>
        <v>C40</v>
      </c>
      <c r="D2603" s="10" t="str">
        <f>IFERROR(VLOOKUP(Datadetails[[#This Row],[Taskcode]],Dashboard!A:A,1,FALSE),"00 Err Missing")</f>
        <v>0066</v>
      </c>
      <c r="E2603" s="79">
        <v>45944</v>
      </c>
      <c r="F2603" s="80" t="s">
        <v>326</v>
      </c>
      <c r="G2603" s="60" t="s">
        <v>40</v>
      </c>
      <c r="H2603" s="80" t="s">
        <v>233</v>
      </c>
      <c r="I2603" s="80" t="s">
        <v>341</v>
      </c>
      <c r="J2603" s="80" t="s">
        <v>387</v>
      </c>
      <c r="K2603" s="80" t="s">
        <v>348</v>
      </c>
      <c r="L2603" s="80" t="s">
        <v>344</v>
      </c>
      <c r="M2603" s="81">
        <v>0.75</v>
      </c>
      <c r="N2603" s="82">
        <v>45</v>
      </c>
    </row>
    <row r="2604" spans="1:14" x14ac:dyDescent="0.25">
      <c r="A2604" s="10" t="str">
        <f>_xlfn.IFNA(
    IF(J2604=
        "PCB-0001",
        "CSS",
        IF(
            ISNUMBER(MATCH(_xlfn.TEXTBEFORE(J2604,"-"), {"CSS","CSN","PCB","PCF","BEC","CSD","PCM"}, 0)),
            _xlfn.TEXTBEFORE(J2604,"-"),
            "Other"
        )
    ),
"Add")</f>
        <v>PCF</v>
      </c>
      <c r="B2604" s="10" t="str">
        <f t="shared" si="41"/>
        <v>0067</v>
      </c>
      <c r="C2604" s="10" t="str">
        <f>_xlfn.LET(
    _xlpm.val, IF(Datadetails[[#This Row],[Activity]]="D02","C20",Datadetails[[#This Row],[Activity]]),
    IF(ISNUMBER(MATCH(_xlpm.val,{"D04","C30","c40","C20"},0)), _xlpm.val, "Other")
)</f>
        <v>C40</v>
      </c>
      <c r="D2604" s="10" t="str">
        <f>IFERROR(VLOOKUP(Datadetails[[#This Row],[Taskcode]],Dashboard!A:A,1,FALSE),"00 Err Missing")</f>
        <v>0067</v>
      </c>
      <c r="E2604" s="79">
        <v>45944</v>
      </c>
      <c r="F2604" s="80" t="s">
        <v>326</v>
      </c>
      <c r="G2604" s="60" t="s">
        <v>40</v>
      </c>
      <c r="H2604" s="80" t="s">
        <v>234</v>
      </c>
      <c r="I2604" s="80" t="s">
        <v>341</v>
      </c>
      <c r="J2604" s="80" t="s">
        <v>389</v>
      </c>
      <c r="K2604" s="80" t="s">
        <v>348</v>
      </c>
      <c r="L2604" s="80" t="s">
        <v>344</v>
      </c>
      <c r="M2604" s="81">
        <v>0.75</v>
      </c>
      <c r="N2604" s="82">
        <v>45</v>
      </c>
    </row>
    <row r="2605" spans="1:14" x14ac:dyDescent="0.25">
      <c r="A2605" s="10" t="str">
        <f>_xlfn.IFNA(
    IF(J2605=
        "PCB-0001",
        "CSS",
        IF(
            ISNUMBER(MATCH(_xlfn.TEXTBEFORE(J2605,"-"), {"CSS","CSN","PCB","PCF","BEC","CSD","PCM"}, 0)),
            _xlfn.TEXTBEFORE(J2605,"-"),
            "Other"
        )
    ),
"Add")</f>
        <v>PCF</v>
      </c>
      <c r="B2605" s="10" t="str">
        <f t="shared" si="41"/>
        <v>0068</v>
      </c>
      <c r="C2605" s="10" t="str">
        <f>_xlfn.LET(
    _xlpm.val, IF(Datadetails[[#This Row],[Activity]]="D02","C20",Datadetails[[#This Row],[Activity]]),
    IF(ISNUMBER(MATCH(_xlpm.val,{"D04","C30","c40","C20"},0)), _xlpm.val, "Other")
)</f>
        <v>C40</v>
      </c>
      <c r="D2605" s="10" t="str">
        <f>IFERROR(VLOOKUP(Datadetails[[#This Row],[Taskcode]],Dashboard!A:A,1,FALSE),"00 Err Missing")</f>
        <v>0068</v>
      </c>
      <c r="E2605" s="79">
        <v>45944</v>
      </c>
      <c r="F2605" s="80" t="s">
        <v>326</v>
      </c>
      <c r="G2605" s="60" t="s">
        <v>40</v>
      </c>
      <c r="H2605" s="80" t="s">
        <v>235</v>
      </c>
      <c r="I2605" s="80" t="s">
        <v>341</v>
      </c>
      <c r="J2605" s="80" t="s">
        <v>355</v>
      </c>
      <c r="K2605" s="80" t="s">
        <v>348</v>
      </c>
      <c r="L2605" s="80" t="s">
        <v>344</v>
      </c>
      <c r="M2605" s="81">
        <v>1.5</v>
      </c>
      <c r="N2605" s="82">
        <v>90</v>
      </c>
    </row>
    <row r="2606" spans="1:14" x14ac:dyDescent="0.25">
      <c r="A2606" s="10" t="str">
        <f>_xlfn.IFNA(
    IF(J2606=
        "PCB-0001",
        "CSS",
        IF(
            ISNUMBER(MATCH(_xlfn.TEXTBEFORE(J2606,"-"), {"CSS","CSN","PCB","PCF","BEC","CSD","PCM"}, 0)),
            _xlfn.TEXTBEFORE(J2606,"-"),
            "Other"
        )
    ),
"Add")</f>
        <v>PCF</v>
      </c>
      <c r="B2606" s="10" t="str">
        <f t="shared" si="41"/>
        <v>0069</v>
      </c>
      <c r="C2606" s="10" t="str">
        <f>_xlfn.LET(
    _xlpm.val, IF(Datadetails[[#This Row],[Activity]]="D02","C20",Datadetails[[#This Row],[Activity]]),
    IF(ISNUMBER(MATCH(_xlpm.val,{"D04","C30","c40","C20"},0)), _xlpm.val, "Other")
)</f>
        <v>C40</v>
      </c>
      <c r="D2606" s="10" t="str">
        <f>IFERROR(VLOOKUP(Datadetails[[#This Row],[Taskcode]],Dashboard!A:A,1,FALSE),"00 Err Missing")</f>
        <v>0069</v>
      </c>
      <c r="E2606" s="79">
        <v>45944</v>
      </c>
      <c r="F2606" s="80" t="s">
        <v>326</v>
      </c>
      <c r="G2606" s="60" t="s">
        <v>40</v>
      </c>
      <c r="H2606" s="80" t="s">
        <v>236</v>
      </c>
      <c r="I2606" s="80" t="s">
        <v>341</v>
      </c>
      <c r="J2606" s="80" t="s">
        <v>357</v>
      </c>
      <c r="K2606" s="80" t="s">
        <v>348</v>
      </c>
      <c r="L2606" s="80" t="s">
        <v>344</v>
      </c>
      <c r="M2606" s="81">
        <v>1.5</v>
      </c>
      <c r="N2606" s="82">
        <v>90</v>
      </c>
    </row>
    <row r="2607" spans="1:14" x14ac:dyDescent="0.25">
      <c r="A2607" s="10" t="str">
        <f>_xlfn.IFNA(
    IF(J2607=
        "PCB-0001",
        "CSS",
        IF(
            ISNUMBER(MATCH(_xlfn.TEXTBEFORE(J2607,"-"), {"CSS","CSN","PCB","PCF","BEC","CSD","PCM"}, 0)),
            _xlfn.TEXTBEFORE(J2607,"-"),
            "Other"
        )
    ),
"Add")</f>
        <v>CSN</v>
      </c>
      <c r="B2607" s="10" t="str">
        <f t="shared" si="41"/>
        <v>0001</v>
      </c>
      <c r="C2607" s="10" t="str">
        <f>_xlfn.LET(
    _xlpm.val, IF(Datadetails[[#This Row],[Activity]]="D02","C20",Datadetails[[#This Row],[Activity]]),
    IF(ISNUMBER(MATCH(_xlpm.val,{"D04","C30","c40","C20"},0)), _xlpm.val, "Other")
)</f>
        <v>D04</v>
      </c>
      <c r="D2607" s="10" t="str">
        <f>IFERROR(VLOOKUP(Datadetails[[#This Row],[Taskcode]],Dashboard!A:A,1,FALSE),"00 Err Missing")</f>
        <v>0001</v>
      </c>
      <c r="E2607" s="79">
        <v>45945</v>
      </c>
      <c r="F2607" s="80" t="s">
        <v>329</v>
      </c>
      <c r="G2607" s="60" t="s">
        <v>40</v>
      </c>
      <c r="H2607" s="80" t="s">
        <v>316</v>
      </c>
      <c r="I2607" s="80" t="s">
        <v>35</v>
      </c>
      <c r="J2607" s="80" t="s">
        <v>338</v>
      </c>
      <c r="K2607" s="80" t="s">
        <v>337</v>
      </c>
      <c r="L2607" s="80" t="s">
        <v>352</v>
      </c>
      <c r="M2607" s="81">
        <v>0.83</v>
      </c>
      <c r="N2607" s="82">
        <v>62.25</v>
      </c>
    </row>
    <row r="2608" spans="1:14" x14ac:dyDescent="0.25">
      <c r="A2608" s="10" t="str">
        <f>_xlfn.IFNA(
    IF(J2608=
        "PCB-0001",
        "CSS",
        IF(
            ISNUMBER(MATCH(_xlfn.TEXTBEFORE(J2608,"-"), {"CSS","CSN","PCB","PCF","BEC","CSD","PCM"}, 0)),
            _xlfn.TEXTBEFORE(J2608,"-"),
            "Other"
        )
    ),
"Add")</f>
        <v>PCM</v>
      </c>
      <c r="B2608" s="10" t="str">
        <f t="shared" si="41"/>
        <v>0001</v>
      </c>
      <c r="C2608" s="10" t="str">
        <f>_xlfn.LET(
    _xlpm.val, IF(Datadetails[[#This Row],[Activity]]="D02","C20",Datadetails[[#This Row],[Activity]]),
    IF(ISNUMBER(MATCH(_xlpm.val,{"D04","C30","c40","C20"},0)), _xlpm.val, "Other")
)</f>
        <v>C20</v>
      </c>
      <c r="D2608" s="10" t="str">
        <f>IFERROR(VLOOKUP(Datadetails[[#This Row],[Taskcode]],Dashboard!A:A,1,FALSE),"00 Err Missing")</f>
        <v>0001</v>
      </c>
      <c r="E2608" s="79">
        <v>45945</v>
      </c>
      <c r="F2608" s="80" t="s">
        <v>323</v>
      </c>
      <c r="G2608" s="60" t="s">
        <v>40</v>
      </c>
      <c r="H2608" s="80" t="s">
        <v>168</v>
      </c>
      <c r="I2608" s="80" t="s">
        <v>36</v>
      </c>
      <c r="J2608" s="80" t="s">
        <v>419</v>
      </c>
      <c r="K2608" s="80" t="s">
        <v>346</v>
      </c>
      <c r="L2608" s="80" t="s">
        <v>342</v>
      </c>
      <c r="M2608" s="81">
        <v>0.25</v>
      </c>
      <c r="N2608" s="82">
        <v>15</v>
      </c>
    </row>
    <row r="2609" spans="1:14" x14ac:dyDescent="0.25">
      <c r="A2609" s="10" t="str">
        <f>_xlfn.IFNA(
    IF(J2609=
        "PCB-0001",
        "CSS",
        IF(
            ISNUMBER(MATCH(_xlfn.TEXTBEFORE(J2609,"-"), {"CSS","CSN","PCB","PCF","BEC","CSD","PCM"}, 0)),
            _xlfn.TEXTBEFORE(J2609,"-"),
            "Other"
        )
    ),
"Add")</f>
        <v>PCM</v>
      </c>
      <c r="B2609" s="10" t="str">
        <f t="shared" si="41"/>
        <v>0002</v>
      </c>
      <c r="C2609" s="10" t="str">
        <f>_xlfn.LET(
    _xlpm.val, IF(Datadetails[[#This Row],[Activity]]="D02","C20",Datadetails[[#This Row],[Activity]]),
    IF(ISNUMBER(MATCH(_xlpm.val,{"D04","C30","c40","C20"},0)), _xlpm.val, "Other")
)</f>
        <v>C20</v>
      </c>
      <c r="D2609" s="10" t="str">
        <f>IFERROR(VLOOKUP(Datadetails[[#This Row],[Taskcode]],Dashboard!A:A,1,FALSE),"00 Err Missing")</f>
        <v>0002</v>
      </c>
      <c r="E2609" s="79">
        <v>45945</v>
      </c>
      <c r="F2609" s="80" t="s">
        <v>323</v>
      </c>
      <c r="G2609" s="60" t="s">
        <v>40</v>
      </c>
      <c r="H2609" s="80" t="s">
        <v>169</v>
      </c>
      <c r="I2609" s="80" t="s">
        <v>36</v>
      </c>
      <c r="J2609" s="80" t="s">
        <v>433</v>
      </c>
      <c r="K2609" s="80" t="s">
        <v>346</v>
      </c>
      <c r="L2609" s="80" t="s">
        <v>342</v>
      </c>
      <c r="M2609" s="81">
        <v>0.25</v>
      </c>
      <c r="N2609" s="82">
        <v>15</v>
      </c>
    </row>
    <row r="2610" spans="1:14" x14ac:dyDescent="0.25">
      <c r="A2610" s="10" t="str">
        <f>_xlfn.IFNA(
    IF(J2610=
        "PCB-0001",
        "CSS",
        IF(
            ISNUMBER(MATCH(_xlfn.TEXTBEFORE(J2610,"-"), {"CSS","CSN","PCB","PCF","BEC","CSD","PCM"}, 0)),
            _xlfn.TEXTBEFORE(J2610,"-"),
            "Other"
        )
    ),
"Add")</f>
        <v>PCM</v>
      </c>
      <c r="B2610" s="10" t="str">
        <f t="shared" si="41"/>
        <v>0005</v>
      </c>
      <c r="C2610" s="10" t="str">
        <f>_xlfn.LET(
    _xlpm.val, IF(Datadetails[[#This Row],[Activity]]="D02","C20",Datadetails[[#This Row],[Activity]]),
    IF(ISNUMBER(MATCH(_xlpm.val,{"D04","C30","c40","C20"},0)), _xlpm.val, "Other")
)</f>
        <v>C20</v>
      </c>
      <c r="D2610" s="10" t="str">
        <f>IFERROR(VLOOKUP(Datadetails[[#This Row],[Taskcode]],Dashboard!A:A,1,FALSE),"00 Err Missing")</f>
        <v>0005</v>
      </c>
      <c r="E2610" s="79">
        <v>45945</v>
      </c>
      <c r="F2610" s="80" t="s">
        <v>323</v>
      </c>
      <c r="G2610" s="60" t="s">
        <v>40</v>
      </c>
      <c r="H2610" s="80" t="s">
        <v>172</v>
      </c>
      <c r="I2610" s="80" t="s">
        <v>36</v>
      </c>
      <c r="J2610" s="80" t="s">
        <v>426</v>
      </c>
      <c r="K2610" s="80" t="s">
        <v>346</v>
      </c>
      <c r="L2610" s="80" t="s">
        <v>342</v>
      </c>
      <c r="M2610" s="81">
        <v>0.25</v>
      </c>
      <c r="N2610" s="82">
        <v>15</v>
      </c>
    </row>
    <row r="2611" spans="1:14" x14ac:dyDescent="0.25">
      <c r="A2611" s="10" t="str">
        <f>_xlfn.IFNA(
    IF(J2611=
        "PCB-0001",
        "CSS",
        IF(
            ISNUMBER(MATCH(_xlfn.TEXTBEFORE(J2611,"-"), {"CSS","CSN","PCB","PCF","BEC","CSD","PCM"}, 0)),
            _xlfn.TEXTBEFORE(J2611,"-"),
            "Other"
        )
    ),
"Add")</f>
        <v>PCM</v>
      </c>
      <c r="B2611" s="10" t="str">
        <f t="shared" si="41"/>
        <v>0045</v>
      </c>
      <c r="C2611" s="10" t="str">
        <f>_xlfn.LET(
    _xlpm.val, IF(Datadetails[[#This Row],[Activity]]="D02","C20",Datadetails[[#This Row],[Activity]]),
    IF(ISNUMBER(MATCH(_xlpm.val,{"D04","C30","c40","C20"},0)), _xlpm.val, "Other")
)</f>
        <v>C20</v>
      </c>
      <c r="D2611" s="10" t="str">
        <f>IFERROR(VLOOKUP(Datadetails[[#This Row],[Taskcode]],Dashboard!A:A,1,FALSE),"00 Err Missing")</f>
        <v>0045</v>
      </c>
      <c r="E2611" s="79">
        <v>45945</v>
      </c>
      <c r="F2611" s="80" t="s">
        <v>323</v>
      </c>
      <c r="G2611" s="60" t="s">
        <v>40</v>
      </c>
      <c r="H2611" s="80" t="s">
        <v>212</v>
      </c>
      <c r="I2611" s="80" t="s">
        <v>36</v>
      </c>
      <c r="J2611" s="80" t="s">
        <v>392</v>
      </c>
      <c r="K2611" s="80" t="s">
        <v>346</v>
      </c>
      <c r="L2611" s="80" t="s">
        <v>342</v>
      </c>
      <c r="M2611" s="81">
        <v>0.25</v>
      </c>
      <c r="N2611" s="82">
        <v>15</v>
      </c>
    </row>
    <row r="2612" spans="1:14" x14ac:dyDescent="0.25">
      <c r="A2612" s="10" t="str">
        <f>_xlfn.IFNA(
    IF(J2612=
        "PCB-0001",
        "CSS",
        IF(
            ISNUMBER(MATCH(_xlfn.TEXTBEFORE(J2612,"-"), {"CSS","CSN","PCB","PCF","BEC","CSD","PCM"}, 0)),
            _xlfn.TEXTBEFORE(J2612,"-"),
            "Other"
        )
    ),
"Add")</f>
        <v>BEC</v>
      </c>
      <c r="B2612" s="10" t="str">
        <f t="shared" si="41"/>
        <v>0001</v>
      </c>
      <c r="C2612" s="10" t="str">
        <f>_xlfn.LET(
    _xlpm.val, IF(Datadetails[[#This Row],[Activity]]="D02","C20",Datadetails[[#This Row],[Activity]]),
    IF(ISNUMBER(MATCH(_xlpm.val,{"D04","C30","c40","C20"},0)), _xlpm.val, "Other")
)</f>
        <v>D04</v>
      </c>
      <c r="D2612" s="10" t="str">
        <f>IFERROR(VLOOKUP(Datadetails[[#This Row],[Taskcode]],Dashboard!A:A,1,FALSE),"00 Err Missing")</f>
        <v>0001</v>
      </c>
      <c r="E2612" s="79">
        <v>45945</v>
      </c>
      <c r="F2612" s="80" t="s">
        <v>332</v>
      </c>
      <c r="G2612" s="60" t="s">
        <v>40</v>
      </c>
      <c r="H2612" s="80" t="s">
        <v>314</v>
      </c>
      <c r="I2612" s="80" t="s">
        <v>35</v>
      </c>
      <c r="J2612" s="80" t="s">
        <v>359</v>
      </c>
      <c r="K2612" s="80" t="s">
        <v>339</v>
      </c>
      <c r="L2612" s="80" t="s">
        <v>352</v>
      </c>
      <c r="M2612" s="81">
        <v>8.33</v>
      </c>
      <c r="N2612" s="82">
        <v>333.2</v>
      </c>
    </row>
    <row r="2613" spans="1:14" x14ac:dyDescent="0.25">
      <c r="A2613" s="10" t="str">
        <f>_xlfn.IFNA(
    IF(J2613=
        "PCB-0001",
        "CSS",
        IF(
            ISNUMBER(MATCH(_xlfn.TEXTBEFORE(J2613,"-"), {"CSS","CSN","PCB","PCF","BEC","CSD","PCM"}, 0)),
            _xlfn.TEXTBEFORE(J2613,"-"),
            "Other"
        )
    ),
"Add")</f>
        <v>BEC</v>
      </c>
      <c r="B2613" s="10" t="str">
        <f t="shared" si="41"/>
        <v>0001</v>
      </c>
      <c r="C2613" s="10" t="str">
        <f>_xlfn.LET(
    _xlpm.val, IF(Datadetails[[#This Row],[Activity]]="D02","C20",Datadetails[[#This Row],[Activity]]),
    IF(ISNUMBER(MATCH(_xlpm.val,{"D04","C30","c40","C20"},0)), _xlpm.val, "Other")
)</f>
        <v>D04</v>
      </c>
      <c r="D2613" s="10" t="str">
        <f>IFERROR(VLOOKUP(Datadetails[[#This Row],[Taskcode]],Dashboard!A:A,1,FALSE),"00 Err Missing")</f>
        <v>0001</v>
      </c>
      <c r="E2613" s="79">
        <v>45945</v>
      </c>
      <c r="F2613" s="80" t="s">
        <v>324</v>
      </c>
      <c r="G2613" s="60" t="s">
        <v>40</v>
      </c>
      <c r="H2613" s="80" t="s">
        <v>314</v>
      </c>
      <c r="I2613" s="80" t="s">
        <v>35</v>
      </c>
      <c r="J2613" s="80" t="s">
        <v>359</v>
      </c>
      <c r="K2613" s="80" t="s">
        <v>339</v>
      </c>
      <c r="L2613" s="80" t="s">
        <v>352</v>
      </c>
      <c r="M2613" s="81">
        <v>4.75</v>
      </c>
      <c r="N2613" s="82">
        <v>356.25</v>
      </c>
    </row>
    <row r="2614" spans="1:14" x14ac:dyDescent="0.25">
      <c r="A2614" s="10" t="str">
        <f>_xlfn.IFNA(
    IF(J2614=
        "PCB-0001",
        "CSS",
        IF(
            ISNUMBER(MATCH(_xlfn.TEXTBEFORE(J2614,"-"), {"CSS","CSN","PCB","PCF","BEC","CSD","PCM"}, 0)),
            _xlfn.TEXTBEFORE(J2614,"-"),
            "Other"
        )
    ),
"Add")</f>
        <v>CSD</v>
      </c>
      <c r="B2614" s="10" t="str">
        <f t="shared" si="41"/>
        <v>0001</v>
      </c>
      <c r="C2614" s="10" t="str">
        <f>_xlfn.LET(
    _xlpm.val, IF(Datadetails[[#This Row],[Activity]]="D02","C20",Datadetails[[#This Row],[Activity]]),
    IF(ISNUMBER(MATCH(_xlpm.val,{"D04","C30","c40","C20"},0)), _xlpm.val, "Other")
)</f>
        <v>D04</v>
      </c>
      <c r="D2614" s="10" t="str">
        <f>IFERROR(VLOOKUP(Datadetails[[#This Row],[Taskcode]],Dashboard!A:A,1,FALSE),"00 Err Missing")</f>
        <v>0001</v>
      </c>
      <c r="E2614" s="79">
        <v>45945</v>
      </c>
      <c r="F2614" s="80" t="s">
        <v>327</v>
      </c>
      <c r="G2614" s="60" t="s">
        <v>40</v>
      </c>
      <c r="H2614" s="80" t="s">
        <v>320</v>
      </c>
      <c r="I2614" s="80" t="s">
        <v>35</v>
      </c>
      <c r="J2614" s="80" t="s">
        <v>322</v>
      </c>
      <c r="K2614" s="80" t="s">
        <v>319</v>
      </c>
      <c r="L2614" s="80" t="s">
        <v>352</v>
      </c>
      <c r="M2614" s="81">
        <v>7.42</v>
      </c>
      <c r="N2614" s="82">
        <v>237.44</v>
      </c>
    </row>
    <row r="2615" spans="1:14" x14ac:dyDescent="0.25">
      <c r="A2615" s="10" t="str">
        <f>_xlfn.IFNA(
    IF(J2615=
        "PCB-0001",
        "CSS",
        IF(
            ISNUMBER(MATCH(_xlfn.TEXTBEFORE(J2615,"-"), {"CSS","CSN","PCB","PCF","BEC","CSD","PCM"}, 0)),
            _xlfn.TEXTBEFORE(J2615,"-"),
            "Other"
        )
    ),
"Add")</f>
        <v>PCM</v>
      </c>
      <c r="B2615" s="10" t="str">
        <f t="shared" si="41"/>
        <v>0078</v>
      </c>
      <c r="C2615" s="10" t="str">
        <f>_xlfn.LET(
    _xlpm.val, IF(Datadetails[[#This Row],[Activity]]="D02","C20",Datadetails[[#This Row],[Activity]]),
    IF(ISNUMBER(MATCH(_xlpm.val,{"D04","C30","c40","C20"},0)), _xlpm.val, "Other")
)</f>
        <v>C20</v>
      </c>
      <c r="D2615" s="10" t="str">
        <f>IFERROR(VLOOKUP(Datadetails[[#This Row],[Taskcode]],Dashboard!A:A,1,FALSE),"00 Err Missing")</f>
        <v>0078</v>
      </c>
      <c r="E2615" s="79">
        <v>45945</v>
      </c>
      <c r="F2615" s="80" t="s">
        <v>323</v>
      </c>
      <c r="G2615" s="60" t="s">
        <v>40</v>
      </c>
      <c r="H2615" s="80" t="s">
        <v>245</v>
      </c>
      <c r="I2615" s="80" t="s">
        <v>36</v>
      </c>
      <c r="J2615" s="80" t="s">
        <v>435</v>
      </c>
      <c r="K2615" s="80" t="s">
        <v>346</v>
      </c>
      <c r="L2615" s="80" t="s">
        <v>342</v>
      </c>
      <c r="M2615" s="81">
        <v>0.25</v>
      </c>
      <c r="N2615" s="82">
        <v>15</v>
      </c>
    </row>
    <row r="2616" spans="1:14" x14ac:dyDescent="0.25">
      <c r="A2616" s="10" t="str">
        <f>_xlfn.IFNA(
    IF(J2616=
        "PCB-0001",
        "CSS",
        IF(
            ISNUMBER(MATCH(_xlfn.TEXTBEFORE(J2616,"-"), {"CSS","CSN","PCB","PCF","BEC","CSD","PCM"}, 0)),
            _xlfn.TEXTBEFORE(J2616,"-"),
            "Other"
        )
    ),
"Add")</f>
        <v>PCM</v>
      </c>
      <c r="B2616" s="10" t="str">
        <f t="shared" si="41"/>
        <v>0099</v>
      </c>
      <c r="C2616" s="10" t="str">
        <f>_xlfn.LET(
    _xlpm.val, IF(Datadetails[[#This Row],[Activity]]="D02","C20",Datadetails[[#This Row],[Activity]]),
    IF(ISNUMBER(MATCH(_xlpm.val,{"D04","C30","c40","C20"},0)), _xlpm.val, "Other")
)</f>
        <v>C20</v>
      </c>
      <c r="D2616" s="10" t="str">
        <f>IFERROR(VLOOKUP(Datadetails[[#This Row],[Taskcode]],Dashboard!A:A,1,FALSE),"00 Err Missing")</f>
        <v>0099</v>
      </c>
      <c r="E2616" s="79">
        <v>45945</v>
      </c>
      <c r="F2616" s="80" t="s">
        <v>323</v>
      </c>
      <c r="G2616" s="60" t="s">
        <v>40</v>
      </c>
      <c r="H2616" s="80" t="s">
        <v>266</v>
      </c>
      <c r="I2616" s="80" t="s">
        <v>36</v>
      </c>
      <c r="J2616" s="80" t="s">
        <v>394</v>
      </c>
      <c r="K2616" s="80" t="s">
        <v>346</v>
      </c>
      <c r="L2616" s="80" t="s">
        <v>342</v>
      </c>
      <c r="M2616" s="81">
        <v>0.25</v>
      </c>
      <c r="N2616" s="82">
        <v>15</v>
      </c>
    </row>
    <row r="2617" spans="1:14" x14ac:dyDescent="0.25">
      <c r="A2617" s="10" t="str">
        <f>_xlfn.IFNA(
    IF(J2617=
        "PCB-0001",
        "CSS",
        IF(
            ISNUMBER(MATCH(_xlfn.TEXTBEFORE(J2617,"-"), {"CSS","CSN","PCB","PCF","BEC","CSD","PCM"}, 0)),
            _xlfn.TEXTBEFORE(J2617,"-"),
            "Other"
        )
    ),
"Add")</f>
        <v>PCM</v>
      </c>
      <c r="B2617" s="10" t="str">
        <f t="shared" si="41"/>
        <v>0100</v>
      </c>
      <c r="C2617" s="10" t="str">
        <f>_xlfn.LET(
    _xlpm.val, IF(Datadetails[[#This Row],[Activity]]="D02","C20",Datadetails[[#This Row],[Activity]]),
    IF(ISNUMBER(MATCH(_xlpm.val,{"D04","C30","c40","C20"},0)), _xlpm.val, "Other")
)</f>
        <v>C20</v>
      </c>
      <c r="D2617" s="10" t="str">
        <f>IFERROR(VLOOKUP(Datadetails[[#This Row],[Taskcode]],Dashboard!A:A,1,FALSE),"00 Err Missing")</f>
        <v>0100</v>
      </c>
      <c r="E2617" s="79">
        <v>45945</v>
      </c>
      <c r="F2617" s="80" t="s">
        <v>323</v>
      </c>
      <c r="G2617" s="60" t="s">
        <v>40</v>
      </c>
      <c r="H2617" s="80" t="s">
        <v>267</v>
      </c>
      <c r="I2617" s="80" t="s">
        <v>36</v>
      </c>
      <c r="J2617" s="80" t="s">
        <v>436</v>
      </c>
      <c r="K2617" s="80" t="s">
        <v>346</v>
      </c>
      <c r="L2617" s="80" t="s">
        <v>342</v>
      </c>
      <c r="M2617" s="81">
        <v>0.25</v>
      </c>
      <c r="N2617" s="82">
        <v>15</v>
      </c>
    </row>
    <row r="2618" spans="1:14" x14ac:dyDescent="0.25">
      <c r="A2618" s="10" t="str">
        <f>_xlfn.IFNA(
    IF(J2618=
        "PCB-0001",
        "CSS",
        IF(
            ISNUMBER(MATCH(_xlfn.TEXTBEFORE(J2618,"-"), {"CSS","CSN","PCB","PCF","BEC","CSD","PCM"}, 0)),
            _xlfn.TEXTBEFORE(J2618,"-"),
            "Other"
        )
    ),
"Add")</f>
        <v>PCB</v>
      </c>
      <c r="B2618" s="10" t="str">
        <f t="shared" si="41"/>
        <v>0030</v>
      </c>
      <c r="C2618" s="10" t="str">
        <f>_xlfn.LET(
    _xlpm.val, IF(Datadetails[[#This Row],[Activity]]="D02","C20",Datadetails[[#This Row],[Activity]]),
    IF(ISNUMBER(MATCH(_xlpm.val,{"D04","C30","c40","C20"},0)), _xlpm.val, "Other")
)</f>
        <v>C30</v>
      </c>
      <c r="D2618" s="10" t="str">
        <f>IFERROR(VLOOKUP(Datadetails[[#This Row],[Taskcode]],Dashboard!A:A,1,FALSE),"00 Err Missing")</f>
        <v>0030</v>
      </c>
      <c r="E2618" s="79">
        <v>45945</v>
      </c>
      <c r="F2618" s="80" t="s">
        <v>329</v>
      </c>
      <c r="G2618" s="60" t="s">
        <v>40</v>
      </c>
      <c r="H2618" s="80" t="s">
        <v>197</v>
      </c>
      <c r="I2618" s="80" t="s">
        <v>34</v>
      </c>
      <c r="J2618" s="80" t="s">
        <v>366</v>
      </c>
      <c r="K2618" s="80" t="s">
        <v>347</v>
      </c>
      <c r="L2618" s="80" t="s">
        <v>343</v>
      </c>
      <c r="M2618" s="81">
        <v>0.25</v>
      </c>
      <c r="N2618" s="82">
        <v>18.75</v>
      </c>
    </row>
    <row r="2619" spans="1:14" x14ac:dyDescent="0.25">
      <c r="A2619" s="10" t="str">
        <f>_xlfn.IFNA(
    IF(J2619=
        "PCB-0001",
        "CSS",
        IF(
            ISNUMBER(MATCH(_xlfn.TEXTBEFORE(J2619,"-"), {"CSS","CSN","PCB","PCF","BEC","CSD","PCM"}, 0)),
            _xlfn.TEXTBEFORE(J2619,"-"),
            "Other"
        )
    ),
"Add")</f>
        <v>PCB</v>
      </c>
      <c r="B2619" s="10" t="str">
        <f t="shared" si="41"/>
        <v>0013</v>
      </c>
      <c r="C2619" s="10" t="str">
        <f>_xlfn.LET(
    _xlpm.val, IF(Datadetails[[#This Row],[Activity]]="D02","C20",Datadetails[[#This Row],[Activity]]),
    IF(ISNUMBER(MATCH(_xlpm.val,{"D04","C30","c40","C20"},0)), _xlpm.val, "Other")
)</f>
        <v>C30</v>
      </c>
      <c r="D2619" s="10" t="str">
        <f>IFERROR(VLOOKUP(Datadetails[[#This Row],[Taskcode]],Dashboard!A:A,1,FALSE),"00 Err Missing")</f>
        <v>0013</v>
      </c>
      <c r="E2619" s="79">
        <v>45945</v>
      </c>
      <c r="F2619" s="80" t="s">
        <v>325</v>
      </c>
      <c r="G2619" s="60" t="s">
        <v>40</v>
      </c>
      <c r="H2619" s="80" t="s">
        <v>180</v>
      </c>
      <c r="I2619" s="80" t="s">
        <v>34</v>
      </c>
      <c r="J2619" s="80" t="s">
        <v>465</v>
      </c>
      <c r="K2619" s="80" t="s">
        <v>347</v>
      </c>
      <c r="L2619" s="80" t="s">
        <v>343</v>
      </c>
      <c r="M2619" s="81">
        <v>0.17</v>
      </c>
      <c r="N2619" s="82">
        <v>12.750000000000002</v>
      </c>
    </row>
    <row r="2620" spans="1:14" x14ac:dyDescent="0.25">
      <c r="A2620" s="10" t="str">
        <f>_xlfn.IFNA(
    IF(J2620=
        "PCB-0001",
        "CSS",
        IF(
            ISNUMBER(MATCH(_xlfn.TEXTBEFORE(J2620,"-"), {"CSS","CSN","PCB","PCF","BEC","CSD","PCM"}, 0)),
            _xlfn.TEXTBEFORE(J2620,"-"),
            "Other"
        )
    ),
"Add")</f>
        <v>PCB</v>
      </c>
      <c r="B2620" s="10" t="str">
        <f t="shared" si="41"/>
        <v>0009</v>
      </c>
      <c r="C2620" s="10" t="str">
        <f>_xlfn.LET(
    _xlpm.val, IF(Datadetails[[#This Row],[Activity]]="D02","C20",Datadetails[[#This Row],[Activity]]),
    IF(ISNUMBER(MATCH(_xlpm.val,{"D04","C30","c40","C20"},0)), _xlpm.val, "Other")
)</f>
        <v>C30</v>
      </c>
      <c r="D2620" s="10" t="str">
        <f>IFERROR(VLOOKUP(Datadetails[[#This Row],[Taskcode]],Dashboard!A:A,1,FALSE),"00 Err Missing")</f>
        <v>0009</v>
      </c>
      <c r="E2620" s="79">
        <v>45945</v>
      </c>
      <c r="F2620" s="80" t="s">
        <v>330</v>
      </c>
      <c r="G2620" s="60" t="s">
        <v>40</v>
      </c>
      <c r="H2620" s="80" t="s">
        <v>176</v>
      </c>
      <c r="I2620" s="80" t="s">
        <v>34</v>
      </c>
      <c r="J2620" s="80" t="s">
        <v>458</v>
      </c>
      <c r="K2620" s="80" t="s">
        <v>347</v>
      </c>
      <c r="L2620" s="80" t="s">
        <v>343</v>
      </c>
      <c r="M2620" s="81">
        <v>1.5</v>
      </c>
      <c r="N2620" s="82">
        <v>90</v>
      </c>
    </row>
    <row r="2621" spans="1:14" x14ac:dyDescent="0.25">
      <c r="A2621" s="10" t="str">
        <f>_xlfn.IFNA(
    IF(J2621=
        "PCB-0001",
        "CSS",
        IF(
            ISNUMBER(MATCH(_xlfn.TEXTBEFORE(J2621,"-"), {"CSS","CSN","PCB","PCF","BEC","CSD","PCM"}, 0)),
            _xlfn.TEXTBEFORE(J2621,"-"),
            "Other"
        )
    ),
"Add")</f>
        <v>PCB</v>
      </c>
      <c r="B2621" s="10" t="str">
        <f t="shared" si="41"/>
        <v>0039</v>
      </c>
      <c r="C2621" s="10" t="str">
        <f>_xlfn.LET(
    _xlpm.val, IF(Datadetails[[#This Row],[Activity]]="D02","C20",Datadetails[[#This Row],[Activity]]),
    IF(ISNUMBER(MATCH(_xlpm.val,{"D04","C30","c40","C20"},0)), _xlpm.val, "Other")
)</f>
        <v>C30</v>
      </c>
      <c r="D2621" s="10" t="str">
        <f>IFERROR(VLOOKUP(Datadetails[[#This Row],[Taskcode]],Dashboard!A:A,1,FALSE),"00 Err Missing")</f>
        <v>0039</v>
      </c>
      <c r="E2621" s="79">
        <v>45945</v>
      </c>
      <c r="F2621" s="80" t="s">
        <v>329</v>
      </c>
      <c r="G2621" s="60" t="s">
        <v>40</v>
      </c>
      <c r="H2621" s="80" t="s">
        <v>206</v>
      </c>
      <c r="I2621" s="80" t="s">
        <v>34</v>
      </c>
      <c r="J2621" s="80" t="s">
        <v>367</v>
      </c>
      <c r="K2621" s="80" t="s">
        <v>347</v>
      </c>
      <c r="L2621" s="80" t="s">
        <v>343</v>
      </c>
      <c r="M2621" s="81">
        <v>0.25</v>
      </c>
      <c r="N2621" s="82">
        <v>18.75</v>
      </c>
    </row>
    <row r="2622" spans="1:14" x14ac:dyDescent="0.25">
      <c r="A2622" s="10" t="str">
        <f>_xlfn.IFNA(
    IF(J2622=
        "PCB-0001",
        "CSS",
        IF(
            ISNUMBER(MATCH(_xlfn.TEXTBEFORE(J2622,"-"), {"CSS","CSN","PCB","PCF","BEC","CSD","PCM"}, 0)),
            _xlfn.TEXTBEFORE(J2622,"-"),
            "Other"
        )
    ),
"Add")</f>
        <v>PCB</v>
      </c>
      <c r="B2622" s="10" t="str">
        <f t="shared" si="41"/>
        <v>0134</v>
      </c>
      <c r="C2622" s="10" t="str">
        <f>_xlfn.LET(
    _xlpm.val, IF(Datadetails[[#This Row],[Activity]]="D02","C20",Datadetails[[#This Row],[Activity]]),
    IF(ISNUMBER(MATCH(_xlpm.val,{"D04","C30","c40","C20"},0)), _xlpm.val, "Other")
)</f>
        <v>C30</v>
      </c>
      <c r="D2622" s="10" t="str">
        <f>IFERROR(VLOOKUP(Datadetails[[#This Row],[Taskcode]],Dashboard!A:A,1,FALSE),"00 Err Missing")</f>
        <v>0134</v>
      </c>
      <c r="E2622" s="79">
        <v>45945</v>
      </c>
      <c r="F2622" s="80" t="s">
        <v>329</v>
      </c>
      <c r="G2622" s="60" t="s">
        <v>40</v>
      </c>
      <c r="H2622" s="80" t="s">
        <v>301</v>
      </c>
      <c r="I2622" s="80" t="s">
        <v>34</v>
      </c>
      <c r="J2622" s="80" t="s">
        <v>371</v>
      </c>
      <c r="K2622" s="80" t="s">
        <v>347</v>
      </c>
      <c r="L2622" s="80" t="s">
        <v>343</v>
      </c>
      <c r="M2622" s="81">
        <v>0.5</v>
      </c>
      <c r="N2622" s="82">
        <v>37.5</v>
      </c>
    </row>
    <row r="2623" spans="1:14" x14ac:dyDescent="0.25">
      <c r="A2623" s="10" t="str">
        <f>_xlfn.IFNA(
    IF(J2623=
        "PCB-0001",
        "CSS",
        IF(
            ISNUMBER(MATCH(_xlfn.TEXTBEFORE(J2623,"-"), {"CSS","CSN","PCB","PCF","BEC","CSD","PCM"}, 0)),
            _xlfn.TEXTBEFORE(J2623,"-"),
            "Other"
        )
    ),
"Add")</f>
        <v>PCB</v>
      </c>
      <c r="B2623" s="10" t="str">
        <f t="shared" si="41"/>
        <v>0062</v>
      </c>
      <c r="C2623" s="10" t="str">
        <f>_xlfn.LET(
    _xlpm.val, IF(Datadetails[[#This Row],[Activity]]="D02","C20",Datadetails[[#This Row],[Activity]]),
    IF(ISNUMBER(MATCH(_xlpm.val,{"D04","C30","c40","C20"},0)), _xlpm.val, "Other")
)</f>
        <v>C30</v>
      </c>
      <c r="D2623" s="10" t="str">
        <f>IFERROR(VLOOKUP(Datadetails[[#This Row],[Taskcode]],Dashboard!A:A,1,FALSE),"00 Err Missing")</f>
        <v>0062</v>
      </c>
      <c r="E2623" s="79">
        <v>45945</v>
      </c>
      <c r="F2623" s="80" t="s">
        <v>329</v>
      </c>
      <c r="G2623" s="60" t="s">
        <v>40</v>
      </c>
      <c r="H2623" s="80" t="s">
        <v>229</v>
      </c>
      <c r="I2623" s="80" t="s">
        <v>34</v>
      </c>
      <c r="J2623" s="80" t="s">
        <v>373</v>
      </c>
      <c r="K2623" s="80" t="s">
        <v>347</v>
      </c>
      <c r="L2623" s="80" t="s">
        <v>343</v>
      </c>
      <c r="M2623" s="81">
        <v>0.5</v>
      </c>
      <c r="N2623" s="82">
        <v>37.5</v>
      </c>
    </row>
    <row r="2624" spans="1:14" x14ac:dyDescent="0.25">
      <c r="A2624" s="10" t="str">
        <f>_xlfn.IFNA(
    IF(J2624=
        "PCB-0001",
        "CSS",
        IF(
            ISNUMBER(MATCH(_xlfn.TEXTBEFORE(J2624,"-"), {"CSS","CSN","PCB","PCF","BEC","CSD","PCM"}, 0)),
            _xlfn.TEXTBEFORE(J2624,"-"),
            "Other"
        )
    ),
"Add")</f>
        <v>PCB</v>
      </c>
      <c r="B2624" s="10" t="str">
        <f t="shared" si="41"/>
        <v>0054</v>
      </c>
      <c r="C2624" s="10" t="str">
        <f>_xlfn.LET(
    _xlpm.val, IF(Datadetails[[#This Row],[Activity]]="D02","C20",Datadetails[[#This Row],[Activity]]),
    IF(ISNUMBER(MATCH(_xlpm.val,{"D04","C30","c40","C20"},0)), _xlpm.val, "Other")
)</f>
        <v>C30</v>
      </c>
      <c r="D2624" s="10" t="str">
        <f>IFERROR(VLOOKUP(Datadetails[[#This Row],[Taskcode]],Dashboard!A:A,1,FALSE),"00 Err Missing")</f>
        <v>0054</v>
      </c>
      <c r="E2624" s="79">
        <v>45945</v>
      </c>
      <c r="F2624" s="80" t="s">
        <v>329</v>
      </c>
      <c r="G2624" s="60" t="s">
        <v>40</v>
      </c>
      <c r="H2624" s="80" t="s">
        <v>221</v>
      </c>
      <c r="I2624" s="80" t="s">
        <v>34</v>
      </c>
      <c r="J2624" s="80" t="s">
        <v>369</v>
      </c>
      <c r="K2624" s="80" t="s">
        <v>347</v>
      </c>
      <c r="L2624" s="80" t="s">
        <v>343</v>
      </c>
      <c r="M2624" s="81">
        <v>0.25</v>
      </c>
      <c r="N2624" s="82">
        <v>18.75</v>
      </c>
    </row>
    <row r="2625" spans="1:14" x14ac:dyDescent="0.25">
      <c r="A2625" s="10" t="str">
        <f>_xlfn.IFNA(
    IF(J2625=
        "PCB-0001",
        "CSS",
        IF(
            ISNUMBER(MATCH(_xlfn.TEXTBEFORE(J2625,"-"), {"CSS","CSN","PCB","PCF","BEC","CSD","PCM"}, 0)),
            _xlfn.TEXTBEFORE(J2625,"-"),
            "Other"
        )
    ),
"Add")</f>
        <v>PCB</v>
      </c>
      <c r="B2625" s="10" t="str">
        <f t="shared" si="41"/>
        <v>0073</v>
      </c>
      <c r="C2625" s="10" t="str">
        <f>_xlfn.LET(
    _xlpm.val, IF(Datadetails[[#This Row],[Activity]]="D02","C20",Datadetails[[#This Row],[Activity]]),
    IF(ISNUMBER(MATCH(_xlpm.val,{"D04","C30","c40","C20"},0)), _xlpm.val, "Other")
)</f>
        <v>C30</v>
      </c>
      <c r="D2625" s="10" t="str">
        <f>IFERROR(VLOOKUP(Datadetails[[#This Row],[Taskcode]],Dashboard!A:A,1,FALSE),"00 Err Missing")</f>
        <v>0073</v>
      </c>
      <c r="E2625" s="79">
        <v>45945</v>
      </c>
      <c r="F2625" s="80" t="s">
        <v>329</v>
      </c>
      <c r="G2625" s="60" t="s">
        <v>40</v>
      </c>
      <c r="H2625" s="80" t="s">
        <v>240</v>
      </c>
      <c r="I2625" s="80" t="s">
        <v>34</v>
      </c>
      <c r="J2625" s="80" t="s">
        <v>402</v>
      </c>
      <c r="K2625" s="80" t="s">
        <v>347</v>
      </c>
      <c r="L2625" s="80" t="s">
        <v>343</v>
      </c>
      <c r="M2625" s="81">
        <v>0.25</v>
      </c>
      <c r="N2625" s="82">
        <v>18.75</v>
      </c>
    </row>
    <row r="2626" spans="1:14" x14ac:dyDescent="0.25">
      <c r="A2626" s="10" t="str">
        <f>_xlfn.IFNA(
    IF(J2626=
        "PCB-0001",
        "CSS",
        IF(
            ISNUMBER(MATCH(_xlfn.TEXTBEFORE(J2626,"-"), {"CSS","CSN","PCB","PCF","BEC","CSD","PCM"}, 0)),
            _xlfn.TEXTBEFORE(J2626,"-"),
            "Other"
        )
    ),
"Add")</f>
        <v>PCB</v>
      </c>
      <c r="B2626" s="10" t="str">
        <f t="shared" si="41"/>
        <v>0074</v>
      </c>
      <c r="C2626" s="10" t="str">
        <f>_xlfn.LET(
    _xlpm.val, IF(Datadetails[[#This Row],[Activity]]="D02","C20",Datadetails[[#This Row],[Activity]]),
    IF(ISNUMBER(MATCH(_xlpm.val,{"D04","C30","c40","C20"},0)), _xlpm.val, "Other")
)</f>
        <v>C30</v>
      </c>
      <c r="D2626" s="10" t="str">
        <f>IFERROR(VLOOKUP(Datadetails[[#This Row],[Taskcode]],Dashboard!A:A,1,FALSE),"00 Err Missing")</f>
        <v>0074</v>
      </c>
      <c r="E2626" s="79">
        <v>45945</v>
      </c>
      <c r="F2626" s="80" t="s">
        <v>329</v>
      </c>
      <c r="G2626" s="60" t="s">
        <v>40</v>
      </c>
      <c r="H2626" s="80" t="s">
        <v>241</v>
      </c>
      <c r="I2626" s="80" t="s">
        <v>34</v>
      </c>
      <c r="J2626" s="80" t="s">
        <v>403</v>
      </c>
      <c r="K2626" s="80" t="s">
        <v>347</v>
      </c>
      <c r="L2626" s="80" t="s">
        <v>343</v>
      </c>
      <c r="M2626" s="81">
        <v>0.5</v>
      </c>
      <c r="N2626" s="82">
        <v>37.5</v>
      </c>
    </row>
    <row r="2627" spans="1:14" x14ac:dyDescent="0.25">
      <c r="A2627" s="10" t="str">
        <f>_xlfn.IFNA(
    IF(J2627=
        "PCB-0001",
        "CSS",
        IF(
            ISNUMBER(MATCH(_xlfn.TEXTBEFORE(J2627,"-"), {"CSS","CSN","PCB","PCF","BEC","CSD","PCM"}, 0)),
            _xlfn.TEXTBEFORE(J2627,"-"),
            "Other"
        )
    ),
"Add")</f>
        <v>PCB</v>
      </c>
      <c r="B2627" s="10" t="str">
        <f t="shared" si="41"/>
        <v>0123</v>
      </c>
      <c r="C2627" s="10" t="str">
        <f>_xlfn.LET(
    _xlpm.val, IF(Datadetails[[#This Row],[Activity]]="D02","C20",Datadetails[[#This Row],[Activity]]),
    IF(ISNUMBER(MATCH(_xlpm.val,{"D04","C30","c40","C20"},0)), _xlpm.val, "Other")
)</f>
        <v>C30</v>
      </c>
      <c r="D2627" s="10" t="str">
        <f>IFERROR(VLOOKUP(Datadetails[[#This Row],[Taskcode]],Dashboard!A:A,1,FALSE),"00 Err Missing")</f>
        <v>0123</v>
      </c>
      <c r="E2627" s="79">
        <v>45945</v>
      </c>
      <c r="F2627" s="80" t="s">
        <v>325</v>
      </c>
      <c r="G2627" s="60" t="s">
        <v>40</v>
      </c>
      <c r="H2627" s="80" t="s">
        <v>290</v>
      </c>
      <c r="I2627" s="80" t="s">
        <v>34</v>
      </c>
      <c r="J2627" s="80" t="s">
        <v>428</v>
      </c>
      <c r="K2627" s="80" t="s">
        <v>347</v>
      </c>
      <c r="L2627" s="80" t="s">
        <v>343</v>
      </c>
      <c r="M2627" s="81">
        <v>0.17</v>
      </c>
      <c r="N2627" s="82">
        <v>12.750000000000002</v>
      </c>
    </row>
    <row r="2628" spans="1:14" x14ac:dyDescent="0.25">
      <c r="A2628" s="10" t="str">
        <f>_xlfn.IFNA(
    IF(J2628=
        "PCB-0001",
        "CSS",
        IF(
            ISNUMBER(MATCH(_xlfn.TEXTBEFORE(J2628,"-"), {"CSS","CSN","PCB","PCF","BEC","CSD","PCM"}, 0)),
            _xlfn.TEXTBEFORE(J2628,"-"),
            "Other"
        )
    ),
"Add")</f>
        <v>PCB</v>
      </c>
      <c r="B2628" s="10" t="str">
        <f t="shared" ref="B2628:B2691" si="42">_xlfn.IFNA(_xlfn.TEXTAFTER(J2628,"-"),"Data to C2")</f>
        <v>0129</v>
      </c>
      <c r="C2628" s="10" t="str">
        <f>_xlfn.LET(
    _xlpm.val, IF(Datadetails[[#This Row],[Activity]]="D02","C20",Datadetails[[#This Row],[Activity]]),
    IF(ISNUMBER(MATCH(_xlpm.val,{"D04","C30","c40","C20"},0)), _xlpm.val, "Other")
)</f>
        <v>C30</v>
      </c>
      <c r="D2628" s="10" t="str">
        <f>IFERROR(VLOOKUP(Datadetails[[#This Row],[Taskcode]],Dashboard!A:A,1,FALSE),"00 Err Missing")</f>
        <v>0129</v>
      </c>
      <c r="E2628" s="79">
        <v>45945</v>
      </c>
      <c r="F2628" s="80" t="s">
        <v>329</v>
      </c>
      <c r="G2628" s="60" t="s">
        <v>40</v>
      </c>
      <c r="H2628" s="80" t="s">
        <v>296</v>
      </c>
      <c r="I2628" s="80" t="s">
        <v>34</v>
      </c>
      <c r="J2628" s="80" t="s">
        <v>411</v>
      </c>
      <c r="K2628" s="80" t="s">
        <v>347</v>
      </c>
      <c r="L2628" s="80" t="s">
        <v>343</v>
      </c>
      <c r="M2628" s="81">
        <v>0.33</v>
      </c>
      <c r="N2628" s="82">
        <v>24.75</v>
      </c>
    </row>
    <row r="2629" spans="1:14" x14ac:dyDescent="0.25">
      <c r="A2629" s="10" t="str">
        <f>_xlfn.IFNA(
    IF(J2629=
        "PCB-0001",
        "CSS",
        IF(
            ISNUMBER(MATCH(_xlfn.TEXTBEFORE(J2629,"-"), {"CSS","CSN","PCB","PCF","BEC","CSD","PCM"}, 0)),
            _xlfn.TEXTBEFORE(J2629,"-"),
            "Other"
        )
    ),
"Add")</f>
        <v>PCB</v>
      </c>
      <c r="B2629" s="10" t="str">
        <f t="shared" si="42"/>
        <v>0086</v>
      </c>
      <c r="C2629" s="10" t="str">
        <f>_xlfn.LET(
    _xlpm.val, IF(Datadetails[[#This Row],[Activity]]="D02","C20",Datadetails[[#This Row],[Activity]]),
    IF(ISNUMBER(MATCH(_xlpm.val,{"D04","C30","c40","C20"},0)), _xlpm.val, "Other")
)</f>
        <v>C30</v>
      </c>
      <c r="D2629" s="10" t="str">
        <f>IFERROR(VLOOKUP(Datadetails[[#This Row],[Taskcode]],Dashboard!A:A,1,FALSE),"00 Err Missing")</f>
        <v>0086</v>
      </c>
      <c r="E2629" s="79">
        <v>45945</v>
      </c>
      <c r="F2629" s="80" t="s">
        <v>325</v>
      </c>
      <c r="G2629" s="60" t="s">
        <v>40</v>
      </c>
      <c r="H2629" s="80" t="s">
        <v>253</v>
      </c>
      <c r="I2629" s="80" t="s">
        <v>34</v>
      </c>
      <c r="J2629" s="80" t="s">
        <v>408</v>
      </c>
      <c r="K2629" s="80" t="s">
        <v>347</v>
      </c>
      <c r="L2629" s="80" t="s">
        <v>343</v>
      </c>
      <c r="M2629" s="81">
        <v>0.17</v>
      </c>
      <c r="N2629" s="82">
        <v>12.750000000000002</v>
      </c>
    </row>
    <row r="2630" spans="1:14" x14ac:dyDescent="0.25">
      <c r="A2630" s="10" t="str">
        <f>_xlfn.IFNA(
    IF(J2630=
        "PCB-0001",
        "CSS",
        IF(
            ISNUMBER(MATCH(_xlfn.TEXTBEFORE(J2630,"-"), {"CSS","CSN","PCB","PCF","BEC","CSD","PCM"}, 0)),
            _xlfn.TEXTBEFORE(J2630,"-"),
            "Other"
        )
    ),
"Add")</f>
        <v>PCB</v>
      </c>
      <c r="B2630" s="10" t="str">
        <f t="shared" si="42"/>
        <v>0088</v>
      </c>
      <c r="C2630" s="10" t="str">
        <f>_xlfn.LET(
    _xlpm.val, IF(Datadetails[[#This Row],[Activity]]="D02","C20",Datadetails[[#This Row],[Activity]]),
    IF(ISNUMBER(MATCH(_xlpm.val,{"D04","C30","c40","C20"},0)), _xlpm.val, "Other")
)</f>
        <v>C30</v>
      </c>
      <c r="D2630" s="10" t="str">
        <f>IFERROR(VLOOKUP(Datadetails[[#This Row],[Taskcode]],Dashboard!A:A,1,FALSE),"00 Err Missing")</f>
        <v>0088</v>
      </c>
      <c r="E2630" s="79">
        <v>45945</v>
      </c>
      <c r="F2630" s="80" t="s">
        <v>330</v>
      </c>
      <c r="G2630" s="60" t="s">
        <v>40</v>
      </c>
      <c r="H2630" s="80" t="s">
        <v>255</v>
      </c>
      <c r="I2630" s="80" t="s">
        <v>34</v>
      </c>
      <c r="J2630" s="80" t="s">
        <v>462</v>
      </c>
      <c r="K2630" s="80" t="s">
        <v>347</v>
      </c>
      <c r="L2630" s="80" t="s">
        <v>343</v>
      </c>
      <c r="M2630" s="81">
        <v>0.5</v>
      </c>
      <c r="N2630" s="82">
        <v>30</v>
      </c>
    </row>
    <row r="2631" spans="1:14" x14ac:dyDescent="0.25">
      <c r="A2631" s="10" t="str">
        <f>_xlfn.IFNA(
    IF(J2631=
        "PCB-0001",
        "CSS",
        IF(
            ISNUMBER(MATCH(_xlfn.TEXTBEFORE(J2631,"-"), {"CSS","CSN","PCB","PCF","BEC","CSD","PCM"}, 0)),
            _xlfn.TEXTBEFORE(J2631,"-"),
            "Other"
        )
    ),
"Add")</f>
        <v>PCB</v>
      </c>
      <c r="B2631" s="10" t="str">
        <f t="shared" si="42"/>
        <v>0063</v>
      </c>
      <c r="C2631" s="10" t="str">
        <f>_xlfn.LET(
    _xlpm.val, IF(Datadetails[[#This Row],[Activity]]="D02","C20",Datadetails[[#This Row],[Activity]]),
    IF(ISNUMBER(MATCH(_xlpm.val,{"D04","C30","c40","C20"},0)), _xlpm.val, "Other")
)</f>
        <v>C30</v>
      </c>
      <c r="D2631" s="10" t="str">
        <f>IFERROR(VLOOKUP(Datadetails[[#This Row],[Taskcode]],Dashboard!A:A,1,FALSE),"00 Err Missing")</f>
        <v>0063</v>
      </c>
      <c r="E2631" s="79">
        <v>45945</v>
      </c>
      <c r="F2631" s="80" t="s">
        <v>329</v>
      </c>
      <c r="G2631" s="60" t="s">
        <v>40</v>
      </c>
      <c r="H2631" s="80" t="s">
        <v>230</v>
      </c>
      <c r="I2631" s="80" t="s">
        <v>34</v>
      </c>
      <c r="J2631" s="80" t="s">
        <v>410</v>
      </c>
      <c r="K2631" s="80" t="s">
        <v>347</v>
      </c>
      <c r="L2631" s="80" t="s">
        <v>343</v>
      </c>
      <c r="M2631" s="81">
        <v>0.25</v>
      </c>
      <c r="N2631" s="82">
        <v>18.75</v>
      </c>
    </row>
    <row r="2632" spans="1:14" x14ac:dyDescent="0.25">
      <c r="A2632" s="10" t="str">
        <f>_xlfn.IFNA(
    IF(J2632=
        "PCB-0001",
        "CSS",
        IF(
            ISNUMBER(MATCH(_xlfn.TEXTBEFORE(J2632,"-"), {"CSS","CSN","PCB","PCF","BEC","CSD","PCM"}, 0)),
            _xlfn.TEXTBEFORE(J2632,"-"),
            "Other"
        )
    ),
"Add")</f>
        <v>PCF</v>
      </c>
      <c r="B2632" s="10" t="str">
        <f t="shared" si="42"/>
        <v>0068</v>
      </c>
      <c r="C2632" s="10" t="str">
        <f>_xlfn.LET(
    _xlpm.val, IF(Datadetails[[#This Row],[Activity]]="D02","C20",Datadetails[[#This Row],[Activity]]),
    IF(ISNUMBER(MATCH(_xlpm.val,{"D04","C30","c40","C20"},0)), _xlpm.val, "Other")
)</f>
        <v>C30</v>
      </c>
      <c r="D2632" s="10" t="str">
        <f>IFERROR(VLOOKUP(Datadetails[[#This Row],[Taskcode]],Dashboard!A:A,1,FALSE),"00 Err Missing")</f>
        <v>0068</v>
      </c>
      <c r="E2632" s="79">
        <v>45945</v>
      </c>
      <c r="F2632" s="80" t="s">
        <v>326</v>
      </c>
      <c r="G2632" s="60" t="s">
        <v>40</v>
      </c>
      <c r="H2632" s="80" t="s">
        <v>235</v>
      </c>
      <c r="I2632" s="80" t="s">
        <v>34</v>
      </c>
      <c r="J2632" s="80" t="s">
        <v>355</v>
      </c>
      <c r="K2632" s="80" t="s">
        <v>348</v>
      </c>
      <c r="L2632" s="80" t="s">
        <v>343</v>
      </c>
      <c r="M2632" s="81">
        <v>0.67</v>
      </c>
      <c r="N2632" s="82">
        <v>40.200000000000003</v>
      </c>
    </row>
    <row r="2633" spans="1:14" x14ac:dyDescent="0.25">
      <c r="A2633" s="10" t="str">
        <f>_xlfn.IFNA(
    IF(J2633=
        "PCB-0001",
        "CSS",
        IF(
            ISNUMBER(MATCH(_xlfn.TEXTBEFORE(J2633,"-"), {"CSS","CSN","PCB","PCF","BEC","CSD","PCM"}, 0)),
            _xlfn.TEXTBEFORE(J2633,"-"),
            "Other"
        )
    ),
"Add")</f>
        <v>PCF</v>
      </c>
      <c r="B2633" s="10" t="str">
        <f t="shared" si="42"/>
        <v>0067</v>
      </c>
      <c r="C2633" s="10" t="str">
        <f>_xlfn.LET(
    _xlpm.val, IF(Datadetails[[#This Row],[Activity]]="D02","C20",Datadetails[[#This Row],[Activity]]),
    IF(ISNUMBER(MATCH(_xlpm.val,{"D04","C30","c40","C20"},0)), _xlpm.val, "Other")
)</f>
        <v>C30</v>
      </c>
      <c r="D2633" s="10" t="str">
        <f>IFERROR(VLOOKUP(Datadetails[[#This Row],[Taskcode]],Dashboard!A:A,1,FALSE),"00 Err Missing")</f>
        <v>0067</v>
      </c>
      <c r="E2633" s="79">
        <v>45945</v>
      </c>
      <c r="F2633" s="80" t="s">
        <v>326</v>
      </c>
      <c r="G2633" s="60" t="s">
        <v>40</v>
      </c>
      <c r="H2633" s="80" t="s">
        <v>234</v>
      </c>
      <c r="I2633" s="80" t="s">
        <v>34</v>
      </c>
      <c r="J2633" s="80" t="s">
        <v>389</v>
      </c>
      <c r="K2633" s="80" t="s">
        <v>348</v>
      </c>
      <c r="L2633" s="80" t="s">
        <v>343</v>
      </c>
      <c r="M2633" s="81">
        <v>0.67</v>
      </c>
      <c r="N2633" s="82">
        <v>40.200000000000003</v>
      </c>
    </row>
    <row r="2634" spans="1:14" x14ac:dyDescent="0.25">
      <c r="A2634" s="10" t="str">
        <f>_xlfn.IFNA(
    IF(J2634=
        "PCB-0001",
        "CSS",
        IF(
            ISNUMBER(MATCH(_xlfn.TEXTBEFORE(J2634,"-"), {"CSS","CSN","PCB","PCF","BEC","CSD","PCM"}, 0)),
            _xlfn.TEXTBEFORE(J2634,"-"),
            "Other"
        )
    ),
"Add")</f>
        <v>PCF</v>
      </c>
      <c r="B2634" s="10" t="str">
        <f t="shared" si="42"/>
        <v>0066</v>
      </c>
      <c r="C2634" s="10" t="str">
        <f>_xlfn.LET(
    _xlpm.val, IF(Datadetails[[#This Row],[Activity]]="D02","C20",Datadetails[[#This Row],[Activity]]),
    IF(ISNUMBER(MATCH(_xlpm.val,{"D04","C30","c40","C20"},0)), _xlpm.val, "Other")
)</f>
        <v>C30</v>
      </c>
      <c r="D2634" s="10" t="str">
        <f>IFERROR(VLOOKUP(Datadetails[[#This Row],[Taskcode]],Dashboard!A:A,1,FALSE),"00 Err Missing")</f>
        <v>0066</v>
      </c>
      <c r="E2634" s="79">
        <v>45945</v>
      </c>
      <c r="F2634" s="80" t="s">
        <v>326</v>
      </c>
      <c r="G2634" s="60" t="s">
        <v>40</v>
      </c>
      <c r="H2634" s="80" t="s">
        <v>233</v>
      </c>
      <c r="I2634" s="80" t="s">
        <v>34</v>
      </c>
      <c r="J2634" s="80" t="s">
        <v>387</v>
      </c>
      <c r="K2634" s="80" t="s">
        <v>348</v>
      </c>
      <c r="L2634" s="80" t="s">
        <v>343</v>
      </c>
      <c r="M2634" s="81">
        <v>0.75</v>
      </c>
      <c r="N2634" s="82">
        <v>45</v>
      </c>
    </row>
    <row r="2635" spans="1:14" x14ac:dyDescent="0.25">
      <c r="A2635" s="10" t="str">
        <f>_xlfn.IFNA(
    IF(J2635=
        "PCB-0001",
        "CSS",
        IF(
            ISNUMBER(MATCH(_xlfn.TEXTBEFORE(J2635,"-"), {"CSS","CSN","PCB","PCF","BEC","CSD","PCM"}, 0)),
            _xlfn.TEXTBEFORE(J2635,"-"),
            "Other"
        )
    ),
"Add")</f>
        <v>PCF</v>
      </c>
      <c r="B2635" s="10" t="str">
        <f t="shared" si="42"/>
        <v>0008</v>
      </c>
      <c r="C2635" s="10" t="str">
        <f>_xlfn.LET(
    _xlpm.val, IF(Datadetails[[#This Row],[Activity]]="D02","C20",Datadetails[[#This Row],[Activity]]),
    IF(ISNUMBER(MATCH(_xlpm.val,{"D04","C30","c40","C20"},0)), _xlpm.val, "Other")
)</f>
        <v>C30</v>
      </c>
      <c r="D2635" s="10" t="str">
        <f>IFERROR(VLOOKUP(Datadetails[[#This Row],[Taskcode]],Dashboard!A:A,1,FALSE),"00 Err Missing")</f>
        <v>0008</v>
      </c>
      <c r="E2635" s="79">
        <v>45945</v>
      </c>
      <c r="F2635" s="80" t="s">
        <v>326</v>
      </c>
      <c r="G2635" s="60" t="s">
        <v>40</v>
      </c>
      <c r="H2635" s="80" t="s">
        <v>175</v>
      </c>
      <c r="I2635" s="80" t="s">
        <v>34</v>
      </c>
      <c r="J2635" s="80" t="s">
        <v>388</v>
      </c>
      <c r="K2635" s="80" t="s">
        <v>348</v>
      </c>
      <c r="L2635" s="80" t="s">
        <v>343</v>
      </c>
      <c r="M2635" s="81">
        <v>0.57999999999999996</v>
      </c>
      <c r="N2635" s="82">
        <v>34.799999999999997</v>
      </c>
    </row>
    <row r="2636" spans="1:14" x14ac:dyDescent="0.25">
      <c r="A2636" s="10" t="str">
        <f>_xlfn.IFNA(
    IF(J2636=
        "PCB-0001",
        "CSS",
        IF(
            ISNUMBER(MATCH(_xlfn.TEXTBEFORE(J2636,"-"), {"CSS","CSN","PCB","PCF","BEC","CSD","PCM"}, 0)),
            _xlfn.TEXTBEFORE(J2636,"-"),
            "Other"
        )
    ),
"Add")</f>
        <v>PCF</v>
      </c>
      <c r="B2636" s="10" t="str">
        <f t="shared" si="42"/>
        <v>0069</v>
      </c>
      <c r="C2636" s="10" t="str">
        <f>_xlfn.LET(
    _xlpm.val, IF(Datadetails[[#This Row],[Activity]]="D02","C20",Datadetails[[#This Row],[Activity]]),
    IF(ISNUMBER(MATCH(_xlpm.val,{"D04","C30","c40","C20"},0)), _xlpm.val, "Other")
)</f>
        <v>C30</v>
      </c>
      <c r="D2636" s="10" t="str">
        <f>IFERROR(VLOOKUP(Datadetails[[#This Row],[Taskcode]],Dashboard!A:A,1,FALSE),"00 Err Missing")</f>
        <v>0069</v>
      </c>
      <c r="E2636" s="79">
        <v>45945</v>
      </c>
      <c r="F2636" s="80" t="s">
        <v>326</v>
      </c>
      <c r="G2636" s="60" t="s">
        <v>40</v>
      </c>
      <c r="H2636" s="80" t="s">
        <v>236</v>
      </c>
      <c r="I2636" s="80" t="s">
        <v>34</v>
      </c>
      <c r="J2636" s="80" t="s">
        <v>357</v>
      </c>
      <c r="K2636" s="80" t="s">
        <v>348</v>
      </c>
      <c r="L2636" s="80" t="s">
        <v>343</v>
      </c>
      <c r="M2636" s="81">
        <v>0.33</v>
      </c>
      <c r="N2636" s="82">
        <v>19.8</v>
      </c>
    </row>
    <row r="2637" spans="1:14" x14ac:dyDescent="0.25">
      <c r="A2637" s="10" t="str">
        <f>_xlfn.IFNA(
    IF(J2637=
        "PCB-0001",
        "CSS",
        IF(
            ISNUMBER(MATCH(_xlfn.TEXTBEFORE(J2637,"-"), {"CSS","CSN","PCB","PCF","BEC","CSD","PCM"}, 0)),
            _xlfn.TEXTBEFORE(J2637,"-"),
            "Other"
        )
    ),
"Add")</f>
        <v>PCF</v>
      </c>
      <c r="B2637" s="10" t="str">
        <f t="shared" si="42"/>
        <v>0142</v>
      </c>
      <c r="C2637" s="10" t="str">
        <f>_xlfn.LET(
    _xlpm.val, IF(Datadetails[[#This Row],[Activity]]="D02","C20",Datadetails[[#This Row],[Activity]]),
    IF(ISNUMBER(MATCH(_xlpm.val,{"D04","C30","c40","C20"},0)), _xlpm.val, "Other")
)</f>
        <v>C30</v>
      </c>
      <c r="D2637" s="10" t="str">
        <f>IFERROR(VLOOKUP(Datadetails[[#This Row],[Taskcode]],Dashboard!A:A,1,FALSE),"00 Err Missing")</f>
        <v>0142</v>
      </c>
      <c r="E2637" s="79">
        <v>45945</v>
      </c>
      <c r="F2637" s="80" t="s">
        <v>326</v>
      </c>
      <c r="G2637" s="60" t="s">
        <v>40</v>
      </c>
      <c r="H2637" s="80" t="s">
        <v>309</v>
      </c>
      <c r="I2637" s="80" t="s">
        <v>34</v>
      </c>
      <c r="J2637" s="80" t="s">
        <v>454</v>
      </c>
      <c r="K2637" s="80" t="s">
        <v>348</v>
      </c>
      <c r="L2637" s="80" t="s">
        <v>343</v>
      </c>
      <c r="M2637" s="81">
        <v>1.42</v>
      </c>
      <c r="N2637" s="82">
        <v>85.199999999999989</v>
      </c>
    </row>
    <row r="2638" spans="1:14" x14ac:dyDescent="0.25">
      <c r="A2638" s="10" t="str">
        <f>_xlfn.IFNA(
    IF(J2638=
        "PCB-0001",
        "CSS",
        IF(
            ISNUMBER(MATCH(_xlfn.TEXTBEFORE(J2638,"-"), {"CSS","CSN","PCB","PCF","BEC","CSD","PCM"}, 0)),
            _xlfn.TEXTBEFORE(J2638,"-"),
            "Other"
        )
    ),
"Add")</f>
        <v>CSN</v>
      </c>
      <c r="B2638" s="10" t="str">
        <f t="shared" si="42"/>
        <v>0001</v>
      </c>
      <c r="C2638" s="10" t="str">
        <f>_xlfn.LET(
    _xlpm.val, IF(Datadetails[[#This Row],[Activity]]="D02","C20",Datadetails[[#This Row],[Activity]]),
    IF(ISNUMBER(MATCH(_xlpm.val,{"D04","C30","c40","C20"},0)), _xlpm.val, "Other")
)</f>
        <v>D04</v>
      </c>
      <c r="D2638" s="10" t="str">
        <f>IFERROR(VLOOKUP(Datadetails[[#This Row],[Taskcode]],Dashboard!A:A,1,FALSE),"00 Err Missing")</f>
        <v>0001</v>
      </c>
      <c r="E2638" s="79">
        <v>45946</v>
      </c>
      <c r="F2638" s="80" t="s">
        <v>329</v>
      </c>
      <c r="G2638" s="60" t="s">
        <v>40</v>
      </c>
      <c r="H2638" s="80" t="s">
        <v>316</v>
      </c>
      <c r="I2638" s="80" t="s">
        <v>35</v>
      </c>
      <c r="J2638" s="80" t="s">
        <v>338</v>
      </c>
      <c r="K2638" s="80" t="s">
        <v>337</v>
      </c>
      <c r="L2638" s="80" t="s">
        <v>352</v>
      </c>
      <c r="M2638" s="81">
        <v>1.17</v>
      </c>
      <c r="N2638" s="82">
        <v>87.75</v>
      </c>
    </row>
    <row r="2639" spans="1:14" x14ac:dyDescent="0.25">
      <c r="A2639" s="10" t="str">
        <f>_xlfn.IFNA(
    IF(J2639=
        "PCB-0001",
        "CSS",
        IF(
            ISNUMBER(MATCH(_xlfn.TEXTBEFORE(J2639,"-"), {"CSS","CSN","PCB","PCF","BEC","CSD","PCM"}, 0)),
            _xlfn.TEXTBEFORE(J2639,"-"),
            "Other"
        )
    ),
"Add")</f>
        <v>PCB</v>
      </c>
      <c r="B2639" s="10" t="str">
        <f t="shared" si="42"/>
        <v>0011</v>
      </c>
      <c r="C2639" s="10" t="str">
        <f>_xlfn.LET(
    _xlpm.val, IF(Datadetails[[#This Row],[Activity]]="D02","C20",Datadetails[[#This Row],[Activity]]),
    IF(ISNUMBER(MATCH(_xlpm.val,{"D04","C30","c40","C20"},0)), _xlpm.val, "Other")
)</f>
        <v>C40</v>
      </c>
      <c r="D2639" s="10" t="str">
        <f>IFERROR(VLOOKUP(Datadetails[[#This Row],[Taskcode]],Dashboard!A:A,1,FALSE),"00 Err Missing")</f>
        <v>0011</v>
      </c>
      <c r="E2639" s="79">
        <v>45946</v>
      </c>
      <c r="F2639" s="80" t="s">
        <v>330</v>
      </c>
      <c r="G2639" s="60" t="s">
        <v>40</v>
      </c>
      <c r="H2639" s="80" t="s">
        <v>178</v>
      </c>
      <c r="I2639" s="80" t="s">
        <v>341</v>
      </c>
      <c r="J2639" s="80" t="s">
        <v>460</v>
      </c>
      <c r="K2639" s="80" t="s">
        <v>347</v>
      </c>
      <c r="L2639" s="80" t="s">
        <v>344</v>
      </c>
      <c r="M2639" s="81">
        <v>0.25</v>
      </c>
      <c r="N2639" s="82">
        <v>15</v>
      </c>
    </row>
    <row r="2640" spans="1:14" x14ac:dyDescent="0.25">
      <c r="A2640" s="10" t="str">
        <f>_xlfn.IFNA(
    IF(J2640=
        "PCB-0001",
        "CSS",
        IF(
            ISNUMBER(MATCH(_xlfn.TEXTBEFORE(J2640,"-"), {"CSS","CSN","PCB","PCF","BEC","CSD","PCM"}, 0)),
            _xlfn.TEXTBEFORE(J2640,"-"),
            "Other"
        )
    ),
"Add")</f>
        <v>PCB</v>
      </c>
      <c r="B2640" s="10" t="str">
        <f t="shared" si="42"/>
        <v>0023</v>
      </c>
      <c r="C2640" s="10" t="str">
        <f>_xlfn.LET(
    _xlpm.val, IF(Datadetails[[#This Row],[Activity]]="D02","C20",Datadetails[[#This Row],[Activity]]),
    IF(ISNUMBER(MATCH(_xlpm.val,{"D04","C30","c40","C20"},0)), _xlpm.val, "Other")
)</f>
        <v>C40</v>
      </c>
      <c r="D2640" s="10" t="str">
        <f>IFERROR(VLOOKUP(Datadetails[[#This Row],[Taskcode]],Dashboard!A:A,1,FALSE),"00 Err Missing")</f>
        <v>0023</v>
      </c>
      <c r="E2640" s="79">
        <v>45946</v>
      </c>
      <c r="F2640" s="80" t="s">
        <v>330</v>
      </c>
      <c r="G2640" s="60" t="s">
        <v>40</v>
      </c>
      <c r="H2640" s="80" t="s">
        <v>190</v>
      </c>
      <c r="I2640" s="80" t="s">
        <v>341</v>
      </c>
      <c r="J2640" s="80" t="s">
        <v>438</v>
      </c>
      <c r="K2640" s="80" t="s">
        <v>347</v>
      </c>
      <c r="L2640" s="80" t="s">
        <v>344</v>
      </c>
      <c r="M2640" s="81">
        <v>1</v>
      </c>
      <c r="N2640" s="82">
        <v>60</v>
      </c>
    </row>
    <row r="2641" spans="1:14" x14ac:dyDescent="0.25">
      <c r="A2641" s="10" t="str">
        <f>_xlfn.IFNA(
    IF(J2641=
        "PCB-0001",
        "CSS",
        IF(
            ISNUMBER(MATCH(_xlfn.TEXTBEFORE(J2641,"-"), {"CSS","CSN","PCB","PCF","BEC","CSD","PCM"}, 0)),
            _xlfn.TEXTBEFORE(J2641,"-"),
            "Other"
        )
    ),
"Add")</f>
        <v>PCB</v>
      </c>
      <c r="B2641" s="10" t="str">
        <f t="shared" si="42"/>
        <v>0135</v>
      </c>
      <c r="C2641" s="10" t="str">
        <f>_xlfn.LET(
    _xlpm.val, IF(Datadetails[[#This Row],[Activity]]="D02","C20",Datadetails[[#This Row],[Activity]]),
    IF(ISNUMBER(MATCH(_xlpm.val,{"D04","C30","c40","C20"},0)), _xlpm.val, "Other")
)</f>
        <v>C40</v>
      </c>
      <c r="D2641" s="10" t="str">
        <f>IFERROR(VLOOKUP(Datadetails[[#This Row],[Taskcode]],Dashboard!A:A,1,FALSE),"00 Err Missing")</f>
        <v>0135</v>
      </c>
      <c r="E2641" s="79">
        <v>45946</v>
      </c>
      <c r="F2641" s="80" t="s">
        <v>329</v>
      </c>
      <c r="G2641" s="60" t="s">
        <v>40</v>
      </c>
      <c r="H2641" s="80" t="s">
        <v>302</v>
      </c>
      <c r="I2641" s="80" t="s">
        <v>341</v>
      </c>
      <c r="J2641" s="80" t="s">
        <v>398</v>
      </c>
      <c r="K2641" s="80" t="s">
        <v>347</v>
      </c>
      <c r="L2641" s="80" t="s">
        <v>344</v>
      </c>
      <c r="M2641" s="81">
        <v>1.75</v>
      </c>
      <c r="N2641" s="82">
        <v>131.25</v>
      </c>
    </row>
    <row r="2642" spans="1:14" x14ac:dyDescent="0.25">
      <c r="A2642" s="10" t="str">
        <f>_xlfn.IFNA(
    IF(J2642=
        "PCB-0001",
        "CSS",
        IF(
            ISNUMBER(MATCH(_xlfn.TEXTBEFORE(J2642,"-"), {"CSS","CSN","PCB","PCF","BEC","CSD","PCM"}, 0)),
            _xlfn.TEXTBEFORE(J2642,"-"),
            "Other"
        )
    ),
"Add")</f>
        <v>PCM</v>
      </c>
      <c r="B2642" s="10" t="str">
        <f t="shared" si="42"/>
        <v>0035</v>
      </c>
      <c r="C2642" s="10" t="str">
        <f>_xlfn.LET(
    _xlpm.val, IF(Datadetails[[#This Row],[Activity]]="D02","C20",Datadetails[[#This Row],[Activity]]),
    IF(ISNUMBER(MATCH(_xlpm.val,{"D04","C30","c40","C20"},0)), _xlpm.val, "Other")
)</f>
        <v>C20</v>
      </c>
      <c r="D2642" s="10" t="str">
        <f>IFERROR(VLOOKUP(Datadetails[[#This Row],[Taskcode]],Dashboard!A:A,1,FALSE),"00 Err Missing")</f>
        <v>0035</v>
      </c>
      <c r="E2642" s="79">
        <v>45946</v>
      </c>
      <c r="F2642" s="80" t="s">
        <v>323</v>
      </c>
      <c r="G2642" s="60" t="s">
        <v>40</v>
      </c>
      <c r="H2642" s="80" t="s">
        <v>202</v>
      </c>
      <c r="I2642" s="80" t="s">
        <v>36</v>
      </c>
      <c r="J2642" s="80" t="s">
        <v>431</v>
      </c>
      <c r="K2642" s="80" t="s">
        <v>346</v>
      </c>
      <c r="L2642" s="80" t="s">
        <v>342</v>
      </c>
      <c r="M2642" s="81">
        <v>1</v>
      </c>
      <c r="N2642" s="82">
        <v>60</v>
      </c>
    </row>
    <row r="2643" spans="1:14" x14ac:dyDescent="0.25">
      <c r="A2643" s="10" t="str">
        <f>_xlfn.IFNA(
    IF(J2643=
        "PCB-0001",
        "CSS",
        IF(
            ISNUMBER(MATCH(_xlfn.TEXTBEFORE(J2643,"-"), {"CSS","CSN","PCB","PCF","BEC","CSD","PCM"}, 0)),
            _xlfn.TEXTBEFORE(J2643,"-"),
            "Other"
        )
    ),
"Add")</f>
        <v>BEC</v>
      </c>
      <c r="B2643" s="10" t="str">
        <f t="shared" si="42"/>
        <v>0001</v>
      </c>
      <c r="C2643" s="10" t="str">
        <f>_xlfn.LET(
    _xlpm.val, IF(Datadetails[[#This Row],[Activity]]="D02","C20",Datadetails[[#This Row],[Activity]]),
    IF(ISNUMBER(MATCH(_xlpm.val,{"D04","C30","c40","C20"},0)), _xlpm.val, "Other")
)</f>
        <v>D04</v>
      </c>
      <c r="D2643" s="10" t="str">
        <f>IFERROR(VLOOKUP(Datadetails[[#This Row],[Taskcode]],Dashboard!A:A,1,FALSE),"00 Err Missing")</f>
        <v>0001</v>
      </c>
      <c r="E2643" s="79">
        <v>45946</v>
      </c>
      <c r="F2643" s="80" t="s">
        <v>332</v>
      </c>
      <c r="G2643" s="60" t="s">
        <v>40</v>
      </c>
      <c r="H2643" s="80" t="s">
        <v>314</v>
      </c>
      <c r="I2643" s="80" t="s">
        <v>35</v>
      </c>
      <c r="J2643" s="80" t="s">
        <v>359</v>
      </c>
      <c r="K2643" s="80" t="s">
        <v>339</v>
      </c>
      <c r="L2643" s="80" t="s">
        <v>352</v>
      </c>
      <c r="M2643" s="81">
        <v>9.33</v>
      </c>
      <c r="N2643" s="82">
        <v>373.2</v>
      </c>
    </row>
    <row r="2644" spans="1:14" x14ac:dyDescent="0.25">
      <c r="A2644" s="10" t="str">
        <f>_xlfn.IFNA(
    IF(J2644=
        "PCB-0001",
        "CSS",
        IF(
            ISNUMBER(MATCH(_xlfn.TEXTBEFORE(J2644,"-"), {"CSS","CSN","PCB","PCF","BEC","CSD","PCM"}, 0)),
            _xlfn.TEXTBEFORE(J2644,"-"),
            "Other"
        )
    ),
"Add")</f>
        <v>BEC</v>
      </c>
      <c r="B2644" s="10" t="str">
        <f t="shared" si="42"/>
        <v>0001</v>
      </c>
      <c r="C2644" s="10" t="str">
        <f>_xlfn.LET(
    _xlpm.val, IF(Datadetails[[#This Row],[Activity]]="D02","C20",Datadetails[[#This Row],[Activity]]),
    IF(ISNUMBER(MATCH(_xlpm.val,{"D04","C30","c40","C20"},0)), _xlpm.val, "Other")
)</f>
        <v>D04</v>
      </c>
      <c r="D2644" s="10" t="str">
        <f>IFERROR(VLOOKUP(Datadetails[[#This Row],[Taskcode]],Dashboard!A:A,1,FALSE),"00 Err Missing")</f>
        <v>0001</v>
      </c>
      <c r="E2644" s="79">
        <v>45946</v>
      </c>
      <c r="F2644" s="80" t="s">
        <v>324</v>
      </c>
      <c r="G2644" s="60" t="s">
        <v>40</v>
      </c>
      <c r="H2644" s="80" t="s">
        <v>314</v>
      </c>
      <c r="I2644" s="80" t="s">
        <v>35</v>
      </c>
      <c r="J2644" s="80" t="s">
        <v>359</v>
      </c>
      <c r="K2644" s="80" t="s">
        <v>339</v>
      </c>
      <c r="L2644" s="80" t="s">
        <v>352</v>
      </c>
      <c r="M2644" s="81">
        <v>4.33</v>
      </c>
      <c r="N2644" s="82">
        <v>324.75</v>
      </c>
    </row>
    <row r="2645" spans="1:14" x14ac:dyDescent="0.25">
      <c r="A2645" s="10" t="str">
        <f>_xlfn.IFNA(
    IF(J2645=
        "PCB-0001",
        "CSS",
        IF(
            ISNUMBER(MATCH(_xlfn.TEXTBEFORE(J2645,"-"), {"CSS","CSN","PCB","PCF","BEC","CSD","PCM"}, 0)),
            _xlfn.TEXTBEFORE(J2645,"-"),
            "Other"
        )
    ),
"Add")</f>
        <v>CSD</v>
      </c>
      <c r="B2645" s="10" t="str">
        <f t="shared" si="42"/>
        <v>0001</v>
      </c>
      <c r="C2645" s="10" t="str">
        <f>_xlfn.LET(
    _xlpm.val, IF(Datadetails[[#This Row],[Activity]]="D02","C20",Datadetails[[#This Row],[Activity]]),
    IF(ISNUMBER(MATCH(_xlpm.val,{"D04","C30","c40","C20"},0)), _xlpm.val, "Other")
)</f>
        <v>D04</v>
      </c>
      <c r="D2645" s="10" t="str">
        <f>IFERROR(VLOOKUP(Datadetails[[#This Row],[Taskcode]],Dashboard!A:A,1,FALSE),"00 Err Missing")</f>
        <v>0001</v>
      </c>
      <c r="E2645" s="79">
        <v>45946</v>
      </c>
      <c r="F2645" s="80" t="s">
        <v>333</v>
      </c>
      <c r="G2645" s="60" t="s">
        <v>40</v>
      </c>
      <c r="H2645" s="80" t="s">
        <v>320</v>
      </c>
      <c r="I2645" s="80" t="s">
        <v>35</v>
      </c>
      <c r="J2645" s="80" t="s">
        <v>322</v>
      </c>
      <c r="K2645" s="80" t="s">
        <v>319</v>
      </c>
      <c r="L2645" s="80" t="s">
        <v>352</v>
      </c>
      <c r="M2645" s="81">
        <v>7.58</v>
      </c>
      <c r="N2645" s="82">
        <v>242.56</v>
      </c>
    </row>
    <row r="2646" spans="1:14" x14ac:dyDescent="0.25">
      <c r="A2646" s="10" t="str">
        <f>_xlfn.IFNA(
    IF(J2646=
        "PCB-0001",
        "CSS",
        IF(
            ISNUMBER(MATCH(_xlfn.TEXTBEFORE(J2646,"-"), {"CSS","CSN","PCB","PCF","BEC","CSD","PCM"}, 0)),
            _xlfn.TEXTBEFORE(J2646,"-"),
            "Other"
        )
    ),
"Add")</f>
        <v>CSD</v>
      </c>
      <c r="B2646" s="10" t="str">
        <f t="shared" si="42"/>
        <v>0001</v>
      </c>
      <c r="C2646" s="10" t="str">
        <f>_xlfn.LET(
    _xlpm.val, IF(Datadetails[[#This Row],[Activity]]="D02","C20",Datadetails[[#This Row],[Activity]]),
    IF(ISNUMBER(MATCH(_xlpm.val,{"D04","C30","c40","C20"},0)), _xlpm.val, "Other")
)</f>
        <v>D04</v>
      </c>
      <c r="D2646" s="10" t="str">
        <f>IFERROR(VLOOKUP(Datadetails[[#This Row],[Taskcode]],Dashboard!A:A,1,FALSE),"00 Err Missing")</f>
        <v>0001</v>
      </c>
      <c r="E2646" s="79">
        <v>45946</v>
      </c>
      <c r="F2646" s="80" t="s">
        <v>327</v>
      </c>
      <c r="G2646" s="60" t="s">
        <v>40</v>
      </c>
      <c r="H2646" s="80" t="s">
        <v>320</v>
      </c>
      <c r="I2646" s="80" t="s">
        <v>35</v>
      </c>
      <c r="J2646" s="80" t="s">
        <v>322</v>
      </c>
      <c r="K2646" s="80" t="s">
        <v>319</v>
      </c>
      <c r="L2646" s="80" t="s">
        <v>352</v>
      </c>
      <c r="M2646" s="81">
        <v>7.25</v>
      </c>
      <c r="N2646" s="82">
        <v>232</v>
      </c>
    </row>
    <row r="2647" spans="1:14" x14ac:dyDescent="0.25">
      <c r="A2647" s="10" t="str">
        <f>_xlfn.IFNA(
    IF(J2647=
        "PCB-0001",
        "CSS",
        IF(
            ISNUMBER(MATCH(_xlfn.TEXTBEFORE(J2647,"-"), {"CSS","CSN","PCB","PCF","BEC","CSD","PCM"}, 0)),
            _xlfn.TEXTBEFORE(J2647,"-"),
            "Other"
        )
    ),
"Add")</f>
        <v>PCM</v>
      </c>
      <c r="B2647" s="10" t="str">
        <f t="shared" si="42"/>
        <v>0033</v>
      </c>
      <c r="C2647" s="10" t="str">
        <f>_xlfn.LET(
    _xlpm.val, IF(Datadetails[[#This Row],[Activity]]="D02","C20",Datadetails[[#This Row],[Activity]]),
    IF(ISNUMBER(MATCH(_xlpm.val,{"D04","C30","c40","C20"},0)), _xlpm.val, "Other")
)</f>
        <v>C40</v>
      </c>
      <c r="D2647" s="10" t="str">
        <f>IFERROR(VLOOKUP(Datadetails[[#This Row],[Taskcode]],Dashboard!A:A,1,FALSE),"00 Err Missing")</f>
        <v>0033</v>
      </c>
      <c r="E2647" s="79">
        <v>45946</v>
      </c>
      <c r="F2647" s="80" t="s">
        <v>323</v>
      </c>
      <c r="G2647" s="60" t="s">
        <v>40</v>
      </c>
      <c r="H2647" s="80" t="s">
        <v>200</v>
      </c>
      <c r="I2647" s="80" t="s">
        <v>341</v>
      </c>
      <c r="J2647" s="80" t="s">
        <v>391</v>
      </c>
      <c r="K2647" s="80" t="s">
        <v>346</v>
      </c>
      <c r="L2647" s="80" t="s">
        <v>344</v>
      </c>
      <c r="M2647" s="81">
        <v>1</v>
      </c>
      <c r="N2647" s="82">
        <v>60</v>
      </c>
    </row>
    <row r="2648" spans="1:14" x14ac:dyDescent="0.25">
      <c r="A2648" s="10" t="str">
        <f>_xlfn.IFNA(
    IF(J2648=
        "PCB-0001",
        "CSS",
        IF(
            ISNUMBER(MATCH(_xlfn.TEXTBEFORE(J2648,"-"), {"CSS","CSN","PCB","PCF","BEC","CSD","PCM"}, 0)),
            _xlfn.TEXTBEFORE(J2648,"-"),
            "Other"
        )
    ),
"Add")</f>
        <v>PCM</v>
      </c>
      <c r="B2648" s="10" t="str">
        <f t="shared" si="42"/>
        <v>0035</v>
      </c>
      <c r="C2648" s="10" t="str">
        <f>_xlfn.LET(
    _xlpm.val, IF(Datadetails[[#This Row],[Activity]]="D02","C20",Datadetails[[#This Row],[Activity]]),
    IF(ISNUMBER(MATCH(_xlpm.val,{"D04","C30","c40","C20"},0)), _xlpm.val, "Other")
)</f>
        <v>C40</v>
      </c>
      <c r="D2648" s="10" t="str">
        <f>IFERROR(VLOOKUP(Datadetails[[#This Row],[Taskcode]],Dashboard!A:A,1,FALSE),"00 Err Missing")</f>
        <v>0035</v>
      </c>
      <c r="E2648" s="79">
        <v>45946</v>
      </c>
      <c r="F2648" s="80" t="s">
        <v>323</v>
      </c>
      <c r="G2648" s="60" t="s">
        <v>40</v>
      </c>
      <c r="H2648" s="80" t="s">
        <v>202</v>
      </c>
      <c r="I2648" s="80" t="s">
        <v>341</v>
      </c>
      <c r="J2648" s="80" t="s">
        <v>431</v>
      </c>
      <c r="K2648" s="80" t="s">
        <v>346</v>
      </c>
      <c r="L2648" s="80" t="s">
        <v>344</v>
      </c>
      <c r="M2648" s="81">
        <v>1</v>
      </c>
      <c r="N2648" s="82">
        <v>60</v>
      </c>
    </row>
    <row r="2649" spans="1:14" x14ac:dyDescent="0.25">
      <c r="A2649" s="10" t="str">
        <f>_xlfn.IFNA(
    IF(J2649=
        "PCB-0001",
        "CSS",
        IF(
            ISNUMBER(MATCH(_xlfn.TEXTBEFORE(J2649,"-"), {"CSS","CSN","PCB","PCF","BEC","CSD","PCM"}, 0)),
            _xlfn.TEXTBEFORE(J2649,"-"),
            "Other"
        )
    ),
"Add")</f>
        <v>PCB</v>
      </c>
      <c r="B2649" s="10" t="str">
        <f t="shared" si="42"/>
        <v>0085</v>
      </c>
      <c r="C2649" s="10" t="str">
        <f>_xlfn.LET(
    _xlpm.val, IF(Datadetails[[#This Row],[Activity]]="D02","C20",Datadetails[[#This Row],[Activity]]),
    IF(ISNUMBER(MATCH(_xlpm.val,{"D04","C30","c40","C20"},0)), _xlpm.val, "Other")
)</f>
        <v>C20</v>
      </c>
      <c r="D2649" s="10" t="str">
        <f>IFERROR(VLOOKUP(Datadetails[[#This Row],[Taskcode]],Dashboard!A:A,1,FALSE),"00 Err Missing")</f>
        <v>0085</v>
      </c>
      <c r="E2649" s="79">
        <v>45946</v>
      </c>
      <c r="F2649" s="80" t="s">
        <v>330</v>
      </c>
      <c r="G2649" s="60" t="s">
        <v>40</v>
      </c>
      <c r="H2649" s="80" t="s">
        <v>252</v>
      </c>
      <c r="I2649" s="80" t="s">
        <v>36</v>
      </c>
      <c r="J2649" s="80" t="s">
        <v>416</v>
      </c>
      <c r="K2649" s="80" t="s">
        <v>347</v>
      </c>
      <c r="L2649" s="80" t="s">
        <v>342</v>
      </c>
      <c r="M2649" s="81">
        <v>2</v>
      </c>
      <c r="N2649" s="82">
        <v>120</v>
      </c>
    </row>
    <row r="2650" spans="1:14" x14ac:dyDescent="0.25">
      <c r="A2650" s="10" t="str">
        <f>_xlfn.IFNA(
    IF(J2650=
        "PCB-0001",
        "CSS",
        IF(
            ISNUMBER(MATCH(_xlfn.TEXTBEFORE(J2650,"-"), {"CSS","CSN","PCB","PCF","BEC","CSD","PCM"}, 0)),
            _xlfn.TEXTBEFORE(J2650,"-"),
            "Other"
        )
    ),
"Add")</f>
        <v>PCB</v>
      </c>
      <c r="B2650" s="10" t="str">
        <f t="shared" si="42"/>
        <v>0013</v>
      </c>
      <c r="C2650" s="10" t="str">
        <f>_xlfn.LET(
    _xlpm.val, IF(Datadetails[[#This Row],[Activity]]="D02","C20",Datadetails[[#This Row],[Activity]]),
    IF(ISNUMBER(MATCH(_xlpm.val,{"D04","C30","c40","C20"},0)), _xlpm.val, "Other")
)</f>
        <v>C30</v>
      </c>
      <c r="D2650" s="10" t="str">
        <f>IFERROR(VLOOKUP(Datadetails[[#This Row],[Taskcode]],Dashboard!A:A,1,FALSE),"00 Err Missing")</f>
        <v>0013</v>
      </c>
      <c r="E2650" s="79">
        <v>45946</v>
      </c>
      <c r="F2650" s="80" t="s">
        <v>325</v>
      </c>
      <c r="G2650" s="60" t="s">
        <v>40</v>
      </c>
      <c r="H2650" s="80" t="s">
        <v>180</v>
      </c>
      <c r="I2650" s="80" t="s">
        <v>34</v>
      </c>
      <c r="J2650" s="80" t="s">
        <v>465</v>
      </c>
      <c r="K2650" s="80" t="s">
        <v>347</v>
      </c>
      <c r="L2650" s="80" t="s">
        <v>343</v>
      </c>
      <c r="M2650" s="81">
        <v>0.33</v>
      </c>
      <c r="N2650" s="82">
        <v>24.75</v>
      </c>
    </row>
    <row r="2651" spans="1:14" x14ac:dyDescent="0.25">
      <c r="A2651" s="10" t="str">
        <f>_xlfn.IFNA(
    IF(J2651=
        "PCB-0001",
        "CSS",
        IF(
            ISNUMBER(MATCH(_xlfn.TEXTBEFORE(J2651,"-"), {"CSS","CSN","PCB","PCF","BEC","CSD","PCM"}, 0)),
            _xlfn.TEXTBEFORE(J2651,"-"),
            "Other"
        )
    ),
"Add")</f>
        <v>PCB</v>
      </c>
      <c r="B2651" s="10" t="str">
        <f t="shared" si="42"/>
        <v>0135</v>
      </c>
      <c r="C2651" s="10" t="str">
        <f>_xlfn.LET(
    _xlpm.val, IF(Datadetails[[#This Row],[Activity]]="D02","C20",Datadetails[[#This Row],[Activity]]),
    IF(ISNUMBER(MATCH(_xlpm.val,{"D04","C30","c40","C20"},0)), _xlpm.val, "Other")
)</f>
        <v>C30</v>
      </c>
      <c r="D2651" s="10" t="str">
        <f>IFERROR(VLOOKUP(Datadetails[[#This Row],[Taskcode]],Dashboard!A:A,1,FALSE),"00 Err Missing")</f>
        <v>0135</v>
      </c>
      <c r="E2651" s="79">
        <v>45946</v>
      </c>
      <c r="F2651" s="80" t="s">
        <v>329</v>
      </c>
      <c r="G2651" s="60" t="s">
        <v>40</v>
      </c>
      <c r="H2651" s="80" t="s">
        <v>302</v>
      </c>
      <c r="I2651" s="80" t="s">
        <v>34</v>
      </c>
      <c r="J2651" s="80" t="s">
        <v>398</v>
      </c>
      <c r="K2651" s="80" t="s">
        <v>347</v>
      </c>
      <c r="L2651" s="80" t="s">
        <v>343</v>
      </c>
      <c r="M2651" s="81">
        <v>0.5</v>
      </c>
      <c r="N2651" s="82">
        <v>37.5</v>
      </c>
    </row>
    <row r="2652" spans="1:14" x14ac:dyDescent="0.25">
      <c r="A2652" s="10" t="str">
        <f>_xlfn.IFNA(
    IF(J2652=
        "PCB-0001",
        "CSS",
        IF(
            ISNUMBER(MATCH(_xlfn.TEXTBEFORE(J2652,"-"), {"CSS","CSN","PCB","PCF","BEC","CSD","PCM"}, 0)),
            _xlfn.TEXTBEFORE(J2652,"-"),
            "Other"
        )
    ),
"Add")</f>
        <v>PCB</v>
      </c>
      <c r="B2652" s="10" t="str">
        <f t="shared" si="42"/>
        <v>0023</v>
      </c>
      <c r="C2652" s="10" t="str">
        <f>_xlfn.LET(
    _xlpm.val, IF(Datadetails[[#This Row],[Activity]]="D02","C20",Datadetails[[#This Row],[Activity]]),
    IF(ISNUMBER(MATCH(_xlpm.val,{"D04","C30","c40","C20"},0)), _xlpm.val, "Other")
)</f>
        <v>C30</v>
      </c>
      <c r="D2652" s="10" t="str">
        <f>IFERROR(VLOOKUP(Datadetails[[#This Row],[Taskcode]],Dashboard!A:A,1,FALSE),"00 Err Missing")</f>
        <v>0023</v>
      </c>
      <c r="E2652" s="79">
        <v>45946</v>
      </c>
      <c r="F2652" s="80" t="s">
        <v>330</v>
      </c>
      <c r="G2652" s="60" t="s">
        <v>40</v>
      </c>
      <c r="H2652" s="80" t="s">
        <v>190</v>
      </c>
      <c r="I2652" s="80" t="s">
        <v>34</v>
      </c>
      <c r="J2652" s="80" t="s">
        <v>438</v>
      </c>
      <c r="K2652" s="80" t="s">
        <v>347</v>
      </c>
      <c r="L2652" s="80" t="s">
        <v>343</v>
      </c>
      <c r="M2652" s="81">
        <v>0.25</v>
      </c>
      <c r="N2652" s="82">
        <v>15</v>
      </c>
    </row>
    <row r="2653" spans="1:14" x14ac:dyDescent="0.25">
      <c r="A2653" s="10" t="str">
        <f>_xlfn.IFNA(
    IF(J2653=
        "PCB-0001",
        "CSS",
        IF(
            ISNUMBER(MATCH(_xlfn.TEXTBEFORE(J2653,"-"), {"CSS","CSN","PCB","PCF","BEC","CSD","PCM"}, 0)),
            _xlfn.TEXTBEFORE(J2653,"-"),
            "Other"
        )
    ),
"Add")</f>
        <v>PCB</v>
      </c>
      <c r="B2653" s="10" t="str">
        <f t="shared" si="42"/>
        <v>0074</v>
      </c>
      <c r="C2653" s="10" t="str">
        <f>_xlfn.LET(
    _xlpm.val, IF(Datadetails[[#This Row],[Activity]]="D02","C20",Datadetails[[#This Row],[Activity]]),
    IF(ISNUMBER(MATCH(_xlpm.val,{"D04","C30","c40","C20"},0)), _xlpm.val, "Other")
)</f>
        <v>C30</v>
      </c>
      <c r="D2653" s="10" t="str">
        <f>IFERROR(VLOOKUP(Datadetails[[#This Row],[Taskcode]],Dashboard!A:A,1,FALSE),"00 Err Missing")</f>
        <v>0074</v>
      </c>
      <c r="E2653" s="79">
        <v>45946</v>
      </c>
      <c r="F2653" s="80" t="s">
        <v>329</v>
      </c>
      <c r="G2653" s="60" t="s">
        <v>40</v>
      </c>
      <c r="H2653" s="80" t="s">
        <v>241</v>
      </c>
      <c r="I2653" s="80" t="s">
        <v>34</v>
      </c>
      <c r="J2653" s="80" t="s">
        <v>403</v>
      </c>
      <c r="K2653" s="80" t="s">
        <v>347</v>
      </c>
      <c r="L2653" s="80" t="s">
        <v>343</v>
      </c>
      <c r="M2653" s="81">
        <v>0.67</v>
      </c>
      <c r="N2653" s="82">
        <v>50.25</v>
      </c>
    </row>
    <row r="2654" spans="1:14" x14ac:dyDescent="0.25">
      <c r="A2654" s="10" t="str">
        <f>_xlfn.IFNA(
    IF(J2654=
        "PCB-0001",
        "CSS",
        IF(
            ISNUMBER(MATCH(_xlfn.TEXTBEFORE(J2654,"-"), {"CSS","CSN","PCB","PCF","BEC","CSD","PCM"}, 0)),
            _xlfn.TEXTBEFORE(J2654,"-"),
            "Other"
        )
    ),
"Add")</f>
        <v>PCB</v>
      </c>
      <c r="B2654" s="10" t="str">
        <f t="shared" si="42"/>
        <v>0075</v>
      </c>
      <c r="C2654" s="10" t="str">
        <f>_xlfn.LET(
    _xlpm.val, IF(Datadetails[[#This Row],[Activity]]="D02","C20",Datadetails[[#This Row],[Activity]]),
    IF(ISNUMBER(MATCH(_xlpm.val,{"D04","C30","c40","C20"},0)), _xlpm.val, "Other")
)</f>
        <v>C30</v>
      </c>
      <c r="D2654" s="10" t="str">
        <f>IFERROR(VLOOKUP(Datadetails[[#This Row],[Taskcode]],Dashboard!A:A,1,FALSE),"00 Err Missing")</f>
        <v>0075</v>
      </c>
      <c r="E2654" s="79">
        <v>45946</v>
      </c>
      <c r="F2654" s="80" t="s">
        <v>329</v>
      </c>
      <c r="G2654" s="60" t="s">
        <v>40</v>
      </c>
      <c r="H2654" s="80" t="s">
        <v>242</v>
      </c>
      <c r="I2654" s="80" t="s">
        <v>34</v>
      </c>
      <c r="J2654" s="80" t="s">
        <v>404</v>
      </c>
      <c r="K2654" s="80" t="s">
        <v>347</v>
      </c>
      <c r="L2654" s="80" t="s">
        <v>343</v>
      </c>
      <c r="M2654" s="81">
        <v>1</v>
      </c>
      <c r="N2654" s="82">
        <v>75</v>
      </c>
    </row>
    <row r="2655" spans="1:14" x14ac:dyDescent="0.25">
      <c r="A2655" s="10" t="str">
        <f>_xlfn.IFNA(
    IF(J2655=
        "PCB-0001",
        "CSS",
        IF(
            ISNUMBER(MATCH(_xlfn.TEXTBEFORE(J2655,"-"), {"CSS","CSN","PCB","PCF","BEC","CSD","PCM"}, 0)),
            _xlfn.TEXTBEFORE(J2655,"-"),
            "Other"
        )
    ),
"Add")</f>
        <v>PCB</v>
      </c>
      <c r="B2655" s="10" t="str">
        <f t="shared" si="42"/>
        <v>0129</v>
      </c>
      <c r="C2655" s="10" t="str">
        <f>_xlfn.LET(
    _xlpm.val, IF(Datadetails[[#This Row],[Activity]]="D02","C20",Datadetails[[#This Row],[Activity]]),
    IF(ISNUMBER(MATCH(_xlpm.val,{"D04","C30","c40","C20"},0)), _xlpm.val, "Other")
)</f>
        <v>C30</v>
      </c>
      <c r="D2655" s="10" t="str">
        <f>IFERROR(VLOOKUP(Datadetails[[#This Row],[Taskcode]],Dashboard!A:A,1,FALSE),"00 Err Missing")</f>
        <v>0129</v>
      </c>
      <c r="E2655" s="79">
        <v>45946</v>
      </c>
      <c r="F2655" s="80" t="s">
        <v>329</v>
      </c>
      <c r="G2655" s="60" t="s">
        <v>40</v>
      </c>
      <c r="H2655" s="80" t="s">
        <v>296</v>
      </c>
      <c r="I2655" s="80" t="s">
        <v>34</v>
      </c>
      <c r="J2655" s="80" t="s">
        <v>411</v>
      </c>
      <c r="K2655" s="80" t="s">
        <v>347</v>
      </c>
      <c r="L2655" s="80" t="s">
        <v>343</v>
      </c>
      <c r="M2655" s="81">
        <v>1</v>
      </c>
      <c r="N2655" s="82">
        <v>75</v>
      </c>
    </row>
    <row r="2656" spans="1:14" x14ac:dyDescent="0.25">
      <c r="A2656" s="10" t="str">
        <f>_xlfn.IFNA(
    IF(J2656=
        "PCB-0001",
        "CSS",
        IF(
            ISNUMBER(MATCH(_xlfn.TEXTBEFORE(J2656,"-"), {"CSS","CSN","PCB","PCF","BEC","CSD","PCM"}, 0)),
            _xlfn.TEXTBEFORE(J2656,"-"),
            "Other"
        )
    ),
"Add")</f>
        <v>PCB</v>
      </c>
      <c r="B2656" s="10" t="str">
        <f t="shared" si="42"/>
        <v>0086</v>
      </c>
      <c r="C2656" s="10" t="str">
        <f>_xlfn.LET(
    _xlpm.val, IF(Datadetails[[#This Row],[Activity]]="D02","C20",Datadetails[[#This Row],[Activity]]),
    IF(ISNUMBER(MATCH(_xlpm.val,{"D04","C30","c40","C20"},0)), _xlpm.val, "Other")
)</f>
        <v>C30</v>
      </c>
      <c r="D2656" s="10" t="str">
        <f>IFERROR(VLOOKUP(Datadetails[[#This Row],[Taskcode]],Dashboard!A:A,1,FALSE),"00 Err Missing")</f>
        <v>0086</v>
      </c>
      <c r="E2656" s="79">
        <v>45946</v>
      </c>
      <c r="F2656" s="80" t="s">
        <v>325</v>
      </c>
      <c r="G2656" s="60" t="s">
        <v>40</v>
      </c>
      <c r="H2656" s="80" t="s">
        <v>253</v>
      </c>
      <c r="I2656" s="80" t="s">
        <v>34</v>
      </c>
      <c r="J2656" s="80" t="s">
        <v>408</v>
      </c>
      <c r="K2656" s="80" t="s">
        <v>347</v>
      </c>
      <c r="L2656" s="80" t="s">
        <v>343</v>
      </c>
      <c r="M2656" s="81">
        <v>0.17</v>
      </c>
      <c r="N2656" s="82">
        <v>12.750000000000002</v>
      </c>
    </row>
    <row r="2657" spans="1:14" x14ac:dyDescent="0.25">
      <c r="A2657" s="10" t="str">
        <f>_xlfn.IFNA(
    IF(J2657=
        "PCB-0001",
        "CSS",
        IF(
            ISNUMBER(MATCH(_xlfn.TEXTBEFORE(J2657,"-"), {"CSS","CSN","PCB","PCF","BEC","CSD","PCM"}, 0)),
            _xlfn.TEXTBEFORE(J2657,"-"),
            "Other"
        )
    ),
"Add")</f>
        <v>PCB</v>
      </c>
      <c r="B2657" s="10" t="str">
        <f t="shared" si="42"/>
        <v>0110</v>
      </c>
      <c r="C2657" s="10" t="str">
        <f>_xlfn.LET(
    _xlpm.val, IF(Datadetails[[#This Row],[Activity]]="D02","C20",Datadetails[[#This Row],[Activity]]),
    IF(ISNUMBER(MATCH(_xlpm.val,{"D04","C30","c40","C20"},0)), _xlpm.val, "Other")
)</f>
        <v>C30</v>
      </c>
      <c r="D2657" s="10" t="str">
        <f>IFERROR(VLOOKUP(Datadetails[[#This Row],[Taskcode]],Dashboard!A:A,1,FALSE),"00 Err Missing")</f>
        <v>0110</v>
      </c>
      <c r="E2657" s="79">
        <v>45946</v>
      </c>
      <c r="F2657" s="80" t="s">
        <v>325</v>
      </c>
      <c r="G2657" s="60" t="s">
        <v>40</v>
      </c>
      <c r="H2657" s="80" t="s">
        <v>277</v>
      </c>
      <c r="I2657" s="80" t="s">
        <v>34</v>
      </c>
      <c r="J2657" s="80" t="s">
        <v>353</v>
      </c>
      <c r="K2657" s="80" t="s">
        <v>347</v>
      </c>
      <c r="L2657" s="80" t="s">
        <v>343</v>
      </c>
      <c r="M2657" s="81">
        <v>0.17</v>
      </c>
      <c r="N2657" s="82">
        <v>12.750000000000002</v>
      </c>
    </row>
    <row r="2658" spans="1:14" x14ac:dyDescent="0.25">
      <c r="A2658" s="10" t="str">
        <f>_xlfn.IFNA(
    IF(J2658=
        "PCB-0001",
        "CSS",
        IF(
            ISNUMBER(MATCH(_xlfn.TEXTBEFORE(J2658,"-"), {"CSS","CSN","PCB","PCF","BEC","CSD","PCM"}, 0)),
            _xlfn.TEXTBEFORE(J2658,"-"),
            "Other"
        )
    ),
"Add")</f>
        <v>PCB</v>
      </c>
      <c r="B2658" s="10" t="str">
        <f t="shared" si="42"/>
        <v>0096</v>
      </c>
      <c r="C2658" s="10" t="str">
        <f>_xlfn.LET(
    _xlpm.val, IF(Datadetails[[#This Row],[Activity]]="D02","C20",Datadetails[[#This Row],[Activity]]),
    IF(ISNUMBER(MATCH(_xlpm.val,{"D04","C30","c40","C20"},0)), _xlpm.val, "Other")
)</f>
        <v>C40</v>
      </c>
      <c r="D2658" s="10" t="str">
        <f>IFERROR(VLOOKUP(Datadetails[[#This Row],[Taskcode]],Dashboard!A:A,1,FALSE),"00 Err Missing")</f>
        <v>0096</v>
      </c>
      <c r="E2658" s="79">
        <v>45946</v>
      </c>
      <c r="F2658" s="80" t="s">
        <v>330</v>
      </c>
      <c r="G2658" s="60" t="s">
        <v>40</v>
      </c>
      <c r="H2658" s="80" t="s">
        <v>263</v>
      </c>
      <c r="I2658" s="80" t="s">
        <v>341</v>
      </c>
      <c r="J2658" s="80" t="s">
        <v>383</v>
      </c>
      <c r="K2658" s="80" t="s">
        <v>347</v>
      </c>
      <c r="L2658" s="80" t="s">
        <v>344</v>
      </c>
      <c r="M2658" s="81">
        <v>2.5</v>
      </c>
      <c r="N2658" s="82">
        <v>150</v>
      </c>
    </row>
    <row r="2659" spans="1:14" x14ac:dyDescent="0.25">
      <c r="A2659" s="10" t="str">
        <f>_xlfn.IFNA(
    IF(J2659=
        "PCB-0001",
        "CSS",
        IF(
            ISNUMBER(MATCH(_xlfn.TEXTBEFORE(J2659,"-"), {"CSS","CSN","PCB","PCF","BEC","CSD","PCM"}, 0)),
            _xlfn.TEXTBEFORE(J2659,"-"),
            "Other"
        )
    ),
"Add")</f>
        <v>PCB</v>
      </c>
      <c r="B2659" s="10" t="str">
        <f t="shared" si="42"/>
        <v>0132</v>
      </c>
      <c r="C2659" s="10" t="str">
        <f>_xlfn.LET(
    _xlpm.val, IF(Datadetails[[#This Row],[Activity]]="D02","C20",Datadetails[[#This Row],[Activity]]),
    IF(ISNUMBER(MATCH(_xlpm.val,{"D04","C30","c40","C20"},0)), _xlpm.val, "Other")
)</f>
        <v>C20</v>
      </c>
      <c r="D2659" s="10" t="str">
        <f>IFERROR(VLOOKUP(Datadetails[[#This Row],[Taskcode]],Dashboard!A:A,1,FALSE),"00 Err Missing")</f>
        <v>0132</v>
      </c>
      <c r="E2659" s="79">
        <v>45946</v>
      </c>
      <c r="F2659" s="80" t="s">
        <v>329</v>
      </c>
      <c r="G2659" s="60" t="s">
        <v>40</v>
      </c>
      <c r="H2659" s="80" t="s">
        <v>299</v>
      </c>
      <c r="I2659" s="80" t="s">
        <v>312</v>
      </c>
      <c r="J2659" s="80" t="s">
        <v>455</v>
      </c>
      <c r="K2659" s="80" t="s">
        <v>347</v>
      </c>
      <c r="L2659" s="80" t="s">
        <v>350</v>
      </c>
      <c r="M2659" s="81">
        <v>0.33</v>
      </c>
      <c r="N2659" s="82">
        <v>24.75</v>
      </c>
    </row>
    <row r="2660" spans="1:14" x14ac:dyDescent="0.25">
      <c r="A2660" s="10" t="str">
        <f>_xlfn.IFNA(
    IF(J2660=
        "PCB-0001",
        "CSS",
        IF(
            ISNUMBER(MATCH(_xlfn.TEXTBEFORE(J2660,"-"), {"CSS","CSN","PCB","PCF","BEC","CSD","PCM"}, 0)),
            _xlfn.TEXTBEFORE(J2660,"-"),
            "Other"
        )
    ),
"Add")</f>
        <v>CSN</v>
      </c>
      <c r="B2660" s="10" t="str">
        <f t="shared" si="42"/>
        <v>0001</v>
      </c>
      <c r="C2660" s="10" t="str">
        <f>_xlfn.LET(
    _xlpm.val, IF(Datadetails[[#This Row],[Activity]]="D02","C20",Datadetails[[#This Row],[Activity]]),
    IF(ISNUMBER(MATCH(_xlpm.val,{"D04","C30","c40","C20"},0)), _xlpm.val, "Other")
)</f>
        <v>D04</v>
      </c>
      <c r="D2660" s="10" t="str">
        <f>IFERROR(VLOOKUP(Datadetails[[#This Row],[Taskcode]],Dashboard!A:A,1,FALSE),"00 Err Missing")</f>
        <v>0001</v>
      </c>
      <c r="E2660" s="79">
        <v>45947</v>
      </c>
      <c r="F2660" s="80" t="s">
        <v>329</v>
      </c>
      <c r="G2660" s="60" t="s">
        <v>40</v>
      </c>
      <c r="H2660" s="80" t="s">
        <v>316</v>
      </c>
      <c r="I2660" s="80" t="s">
        <v>35</v>
      </c>
      <c r="J2660" s="80" t="s">
        <v>338</v>
      </c>
      <c r="K2660" s="80" t="s">
        <v>337</v>
      </c>
      <c r="L2660" s="80" t="s">
        <v>352</v>
      </c>
      <c r="M2660" s="81">
        <v>2.83</v>
      </c>
      <c r="N2660" s="82">
        <v>212.25</v>
      </c>
    </row>
    <row r="2661" spans="1:14" x14ac:dyDescent="0.25">
      <c r="A2661" s="10" t="str">
        <f>_xlfn.IFNA(
    IF(J2661=
        "PCB-0001",
        "CSS",
        IF(
            ISNUMBER(MATCH(_xlfn.TEXTBEFORE(J2661,"-"), {"CSS","CSN","PCB","PCF","BEC","CSD","PCM"}, 0)),
            _xlfn.TEXTBEFORE(J2661,"-"),
            "Other"
        )
    ),
"Add")</f>
        <v>PCM</v>
      </c>
      <c r="B2661" s="10" t="str">
        <f t="shared" si="42"/>
        <v>0034</v>
      </c>
      <c r="C2661" s="10" t="str">
        <f>_xlfn.LET(
    _xlpm.val, IF(Datadetails[[#This Row],[Activity]]="D02","C20",Datadetails[[#This Row],[Activity]]),
    IF(ISNUMBER(MATCH(_xlpm.val,{"D04","C30","c40","C20"},0)), _xlpm.val, "Other")
)</f>
        <v>C20</v>
      </c>
      <c r="D2661" s="10" t="str">
        <f>IFERROR(VLOOKUP(Datadetails[[#This Row],[Taskcode]],Dashboard!A:A,1,FALSE),"00 Err Missing")</f>
        <v>0034</v>
      </c>
      <c r="E2661" s="79">
        <v>45947</v>
      </c>
      <c r="F2661" s="80" t="s">
        <v>323</v>
      </c>
      <c r="G2661" s="60" t="s">
        <v>40</v>
      </c>
      <c r="H2661" s="80" t="s">
        <v>201</v>
      </c>
      <c r="I2661" s="80" t="s">
        <v>36</v>
      </c>
      <c r="J2661" s="80" t="s">
        <v>395</v>
      </c>
      <c r="K2661" s="80" t="s">
        <v>346</v>
      </c>
      <c r="L2661" s="80" t="s">
        <v>342</v>
      </c>
      <c r="M2661" s="81">
        <v>1</v>
      </c>
      <c r="N2661" s="82">
        <v>60</v>
      </c>
    </row>
    <row r="2662" spans="1:14" x14ac:dyDescent="0.25">
      <c r="A2662" s="10" t="str">
        <f>_xlfn.IFNA(
    IF(J2662=
        "PCB-0001",
        "CSS",
        IF(
            ISNUMBER(MATCH(_xlfn.TEXTBEFORE(J2662,"-"), {"CSS","CSN","PCB","PCF","BEC","CSD","PCM"}, 0)),
            _xlfn.TEXTBEFORE(J2662,"-"),
            "Other"
        )
    ),
"Add")</f>
        <v>PCM</v>
      </c>
      <c r="B2662" s="10" t="str">
        <f t="shared" si="42"/>
        <v>0035</v>
      </c>
      <c r="C2662" s="10" t="str">
        <f>_xlfn.LET(
    _xlpm.val, IF(Datadetails[[#This Row],[Activity]]="D02","C20",Datadetails[[#This Row],[Activity]]),
    IF(ISNUMBER(MATCH(_xlpm.val,{"D04","C30","c40","C20"},0)), _xlpm.val, "Other")
)</f>
        <v>C20</v>
      </c>
      <c r="D2662" s="10" t="str">
        <f>IFERROR(VLOOKUP(Datadetails[[#This Row],[Taskcode]],Dashboard!A:A,1,FALSE),"00 Err Missing")</f>
        <v>0035</v>
      </c>
      <c r="E2662" s="79">
        <v>45947</v>
      </c>
      <c r="F2662" s="80" t="s">
        <v>323</v>
      </c>
      <c r="G2662" s="60" t="s">
        <v>40</v>
      </c>
      <c r="H2662" s="80" t="s">
        <v>202</v>
      </c>
      <c r="I2662" s="80" t="s">
        <v>36</v>
      </c>
      <c r="J2662" s="80" t="s">
        <v>431</v>
      </c>
      <c r="K2662" s="80" t="s">
        <v>346</v>
      </c>
      <c r="L2662" s="80" t="s">
        <v>342</v>
      </c>
      <c r="M2662" s="81">
        <v>0.25</v>
      </c>
      <c r="N2662" s="82">
        <v>15</v>
      </c>
    </row>
    <row r="2663" spans="1:14" x14ac:dyDescent="0.25">
      <c r="A2663" s="10" t="str">
        <f>_xlfn.IFNA(
    IF(J2663=
        "PCB-0001",
        "CSS",
        IF(
            ISNUMBER(MATCH(_xlfn.TEXTBEFORE(J2663,"-"), {"CSS","CSN","PCB","PCF","BEC","CSD","PCM"}, 0)),
            _xlfn.TEXTBEFORE(J2663,"-"),
            "Other"
        )
    ),
"Add")</f>
        <v>BEC</v>
      </c>
      <c r="B2663" s="10" t="str">
        <f t="shared" si="42"/>
        <v>0001</v>
      </c>
      <c r="C2663" s="10" t="str">
        <f>_xlfn.LET(
    _xlpm.val, IF(Datadetails[[#This Row],[Activity]]="D02","C20",Datadetails[[#This Row],[Activity]]),
    IF(ISNUMBER(MATCH(_xlpm.val,{"D04","C30","c40","C20"},0)), _xlpm.val, "Other")
)</f>
        <v>D04</v>
      </c>
      <c r="D2663" s="10" t="str">
        <f>IFERROR(VLOOKUP(Datadetails[[#This Row],[Taskcode]],Dashboard!A:A,1,FALSE),"00 Err Missing")</f>
        <v>0001</v>
      </c>
      <c r="E2663" s="79">
        <v>45947</v>
      </c>
      <c r="F2663" s="80" t="s">
        <v>332</v>
      </c>
      <c r="G2663" s="60" t="s">
        <v>40</v>
      </c>
      <c r="H2663" s="80" t="s">
        <v>314</v>
      </c>
      <c r="I2663" s="80" t="s">
        <v>35</v>
      </c>
      <c r="J2663" s="80" t="s">
        <v>359</v>
      </c>
      <c r="K2663" s="80" t="s">
        <v>339</v>
      </c>
      <c r="L2663" s="80" t="s">
        <v>352</v>
      </c>
      <c r="M2663" s="81">
        <v>7.33</v>
      </c>
      <c r="N2663" s="82">
        <v>293.2</v>
      </c>
    </row>
    <row r="2664" spans="1:14" x14ac:dyDescent="0.25">
      <c r="A2664" s="10" t="str">
        <f>_xlfn.IFNA(
    IF(J2664=
        "PCB-0001",
        "CSS",
        IF(
            ISNUMBER(MATCH(_xlfn.TEXTBEFORE(J2664,"-"), {"CSS","CSN","PCB","PCF","BEC","CSD","PCM"}, 0)),
            _xlfn.TEXTBEFORE(J2664,"-"),
            "Other"
        )
    ),
"Add")</f>
        <v>BEC</v>
      </c>
      <c r="B2664" s="10" t="str">
        <f t="shared" si="42"/>
        <v>0001</v>
      </c>
      <c r="C2664" s="10" t="str">
        <f>_xlfn.LET(
    _xlpm.val, IF(Datadetails[[#This Row],[Activity]]="D02","C20",Datadetails[[#This Row],[Activity]]),
    IF(ISNUMBER(MATCH(_xlpm.val,{"D04","C30","c40","C20"},0)), _xlpm.val, "Other")
)</f>
        <v>D04</v>
      </c>
      <c r="D2664" s="10" t="str">
        <f>IFERROR(VLOOKUP(Datadetails[[#This Row],[Taskcode]],Dashboard!A:A,1,FALSE),"00 Err Missing")</f>
        <v>0001</v>
      </c>
      <c r="E2664" s="79">
        <v>45947</v>
      </c>
      <c r="F2664" s="80" t="s">
        <v>324</v>
      </c>
      <c r="G2664" s="60" t="s">
        <v>40</v>
      </c>
      <c r="H2664" s="80" t="s">
        <v>314</v>
      </c>
      <c r="I2664" s="80" t="s">
        <v>35</v>
      </c>
      <c r="J2664" s="80" t="s">
        <v>359</v>
      </c>
      <c r="K2664" s="80" t="s">
        <v>339</v>
      </c>
      <c r="L2664" s="80" t="s">
        <v>352</v>
      </c>
      <c r="M2664" s="81">
        <v>4</v>
      </c>
      <c r="N2664" s="82">
        <v>300</v>
      </c>
    </row>
    <row r="2665" spans="1:14" x14ac:dyDescent="0.25">
      <c r="A2665" s="10" t="str">
        <f>_xlfn.IFNA(
    IF(J2665=
        "PCB-0001",
        "CSS",
        IF(
            ISNUMBER(MATCH(_xlfn.TEXTBEFORE(J2665,"-"), {"CSS","CSN","PCB","PCF","BEC","CSD","PCM"}, 0)),
            _xlfn.TEXTBEFORE(J2665,"-"),
            "Other"
        )
    ),
"Add")</f>
        <v>CSD</v>
      </c>
      <c r="B2665" s="10" t="str">
        <f t="shared" si="42"/>
        <v>0001</v>
      </c>
      <c r="C2665" s="10" t="str">
        <f>_xlfn.LET(
    _xlpm.val, IF(Datadetails[[#This Row],[Activity]]="D02","C20",Datadetails[[#This Row],[Activity]]),
    IF(ISNUMBER(MATCH(_xlpm.val,{"D04","C30","c40","C20"},0)), _xlpm.val, "Other")
)</f>
        <v>D04</v>
      </c>
      <c r="D2665" s="10" t="str">
        <f>IFERROR(VLOOKUP(Datadetails[[#This Row],[Taskcode]],Dashboard!A:A,1,FALSE),"00 Err Missing")</f>
        <v>0001</v>
      </c>
      <c r="E2665" s="79">
        <v>45947</v>
      </c>
      <c r="F2665" s="80" t="s">
        <v>333</v>
      </c>
      <c r="G2665" s="60" t="s">
        <v>40</v>
      </c>
      <c r="H2665" s="80" t="s">
        <v>320</v>
      </c>
      <c r="I2665" s="80" t="s">
        <v>35</v>
      </c>
      <c r="J2665" s="80" t="s">
        <v>322</v>
      </c>
      <c r="K2665" s="80" t="s">
        <v>319</v>
      </c>
      <c r="L2665" s="80" t="s">
        <v>352</v>
      </c>
      <c r="M2665" s="81">
        <v>7.52</v>
      </c>
      <c r="N2665" s="82">
        <v>240.64</v>
      </c>
    </row>
    <row r="2666" spans="1:14" x14ac:dyDescent="0.25">
      <c r="A2666" s="10" t="str">
        <f>_xlfn.IFNA(
    IF(J2666=
        "PCB-0001",
        "CSS",
        IF(
            ISNUMBER(MATCH(_xlfn.TEXTBEFORE(J2666,"-"), {"CSS","CSN","PCB","PCF","BEC","CSD","PCM"}, 0)),
            _xlfn.TEXTBEFORE(J2666,"-"),
            "Other"
        )
    ),
"Add")</f>
        <v>CSD</v>
      </c>
      <c r="B2666" s="10" t="str">
        <f t="shared" si="42"/>
        <v>0001</v>
      </c>
      <c r="C2666" s="10" t="str">
        <f>_xlfn.LET(
    _xlpm.val, IF(Datadetails[[#This Row],[Activity]]="D02","C20",Datadetails[[#This Row],[Activity]]),
    IF(ISNUMBER(MATCH(_xlpm.val,{"D04","C30","c40","C20"},0)), _xlpm.val, "Other")
)</f>
        <v>D04</v>
      </c>
      <c r="D2666" s="10" t="str">
        <f>IFERROR(VLOOKUP(Datadetails[[#This Row],[Taskcode]],Dashboard!A:A,1,FALSE),"00 Err Missing")</f>
        <v>0001</v>
      </c>
      <c r="E2666" s="79">
        <v>45947</v>
      </c>
      <c r="F2666" s="80" t="s">
        <v>327</v>
      </c>
      <c r="G2666" s="60" t="s">
        <v>40</v>
      </c>
      <c r="H2666" s="80" t="s">
        <v>320</v>
      </c>
      <c r="I2666" s="80" t="s">
        <v>35</v>
      </c>
      <c r="J2666" s="80" t="s">
        <v>322</v>
      </c>
      <c r="K2666" s="80" t="s">
        <v>319</v>
      </c>
      <c r="L2666" s="80" t="s">
        <v>352</v>
      </c>
      <c r="M2666" s="81">
        <v>7.58</v>
      </c>
      <c r="N2666" s="82">
        <v>242.56</v>
      </c>
    </row>
    <row r="2667" spans="1:14" x14ac:dyDescent="0.25">
      <c r="A2667" s="10" t="str">
        <f>_xlfn.IFNA(
    IF(J2667=
        "PCB-0001",
        "CSS",
        IF(
            ISNUMBER(MATCH(_xlfn.TEXTBEFORE(J2667,"-"), {"CSS","CSN","PCB","PCF","BEC","CSD","PCM"}, 0)),
            _xlfn.TEXTBEFORE(J2667,"-"),
            "Other"
        )
    ),
"Add")</f>
        <v>PCM</v>
      </c>
      <c r="B2667" s="10" t="str">
        <f t="shared" si="42"/>
        <v>0064</v>
      </c>
      <c r="C2667" s="10" t="str">
        <f>_xlfn.LET(
    _xlpm.val, IF(Datadetails[[#This Row],[Activity]]="D02","C20",Datadetails[[#This Row],[Activity]]),
    IF(ISNUMBER(MATCH(_xlpm.val,{"D04","C30","c40","C20"},0)), _xlpm.val, "Other")
)</f>
        <v>C30</v>
      </c>
      <c r="D2667" s="10" t="str">
        <f>IFERROR(VLOOKUP(Datadetails[[#This Row],[Taskcode]],Dashboard!A:A,1,FALSE),"00 Err Missing")</f>
        <v>0064</v>
      </c>
      <c r="E2667" s="79">
        <v>45947</v>
      </c>
      <c r="F2667" s="80" t="s">
        <v>323</v>
      </c>
      <c r="G2667" s="60" t="s">
        <v>40</v>
      </c>
      <c r="H2667" s="80" t="s">
        <v>231</v>
      </c>
      <c r="I2667" s="80" t="s">
        <v>34</v>
      </c>
      <c r="J2667" s="80" t="s">
        <v>420</v>
      </c>
      <c r="K2667" s="80" t="s">
        <v>346</v>
      </c>
      <c r="L2667" s="80" t="s">
        <v>343</v>
      </c>
      <c r="M2667" s="81">
        <v>0.25</v>
      </c>
      <c r="N2667" s="82">
        <v>15</v>
      </c>
    </row>
    <row r="2668" spans="1:14" x14ac:dyDescent="0.25">
      <c r="A2668" s="10" t="str">
        <f>_xlfn.IFNA(
    IF(J2668=
        "PCB-0001",
        "CSS",
        IF(
            ISNUMBER(MATCH(_xlfn.TEXTBEFORE(J2668,"-"), {"CSS","CSN","PCB","PCF","BEC","CSD","PCM"}, 0)),
            _xlfn.TEXTBEFORE(J2668,"-"),
            "Other"
        )
    ),
"Add")</f>
        <v>PCM</v>
      </c>
      <c r="B2668" s="10" t="str">
        <f t="shared" si="42"/>
        <v>0033</v>
      </c>
      <c r="C2668" s="10" t="str">
        <f>_xlfn.LET(
    _xlpm.val, IF(Datadetails[[#This Row],[Activity]]="D02","C20",Datadetails[[#This Row],[Activity]]),
    IF(ISNUMBER(MATCH(_xlpm.val,{"D04","C30","c40","C20"},0)), _xlpm.val, "Other")
)</f>
        <v>C30</v>
      </c>
      <c r="D2668" s="10" t="str">
        <f>IFERROR(VLOOKUP(Datadetails[[#This Row],[Taskcode]],Dashboard!A:A,1,FALSE),"00 Err Missing")</f>
        <v>0033</v>
      </c>
      <c r="E2668" s="79">
        <v>45947</v>
      </c>
      <c r="F2668" s="80" t="s">
        <v>323</v>
      </c>
      <c r="G2668" s="60" t="s">
        <v>40</v>
      </c>
      <c r="H2668" s="80" t="s">
        <v>200</v>
      </c>
      <c r="I2668" s="80" t="s">
        <v>34</v>
      </c>
      <c r="J2668" s="80" t="s">
        <v>391</v>
      </c>
      <c r="K2668" s="80" t="s">
        <v>346</v>
      </c>
      <c r="L2668" s="80" t="s">
        <v>343</v>
      </c>
      <c r="M2668" s="81">
        <v>0.33</v>
      </c>
      <c r="N2668" s="82">
        <v>19.8</v>
      </c>
    </row>
    <row r="2669" spans="1:14" x14ac:dyDescent="0.25">
      <c r="A2669" s="10" t="str">
        <f>_xlfn.IFNA(
    IF(J2669=
        "PCB-0001",
        "CSS",
        IF(
            ISNUMBER(MATCH(_xlfn.TEXTBEFORE(J2669,"-"), {"CSS","CSN","PCB","PCF","BEC","CSD","PCM"}, 0)),
            _xlfn.TEXTBEFORE(J2669,"-"),
            "Other"
        )
    ),
"Add")</f>
        <v>PCB</v>
      </c>
      <c r="B2669" s="10" t="str">
        <f t="shared" si="42"/>
        <v>0039</v>
      </c>
      <c r="C2669" s="10" t="str">
        <f>_xlfn.LET(
    _xlpm.val, IF(Datadetails[[#This Row],[Activity]]="D02","C20",Datadetails[[#This Row],[Activity]]),
    IF(ISNUMBER(MATCH(_xlpm.val,{"D04","C30","c40","C20"},0)), _xlpm.val, "Other")
)</f>
        <v>C30</v>
      </c>
      <c r="D2669" s="10" t="str">
        <f>IFERROR(VLOOKUP(Datadetails[[#This Row],[Taskcode]],Dashboard!A:A,1,FALSE),"00 Err Missing")</f>
        <v>0039</v>
      </c>
      <c r="E2669" s="79">
        <v>45947</v>
      </c>
      <c r="F2669" s="80" t="s">
        <v>329</v>
      </c>
      <c r="G2669" s="60" t="s">
        <v>40</v>
      </c>
      <c r="H2669" s="80" t="s">
        <v>206</v>
      </c>
      <c r="I2669" s="80" t="s">
        <v>34</v>
      </c>
      <c r="J2669" s="80" t="s">
        <v>367</v>
      </c>
      <c r="K2669" s="80" t="s">
        <v>347</v>
      </c>
      <c r="L2669" s="80" t="s">
        <v>343</v>
      </c>
      <c r="M2669" s="81">
        <v>0.08</v>
      </c>
      <c r="N2669" s="82">
        <v>6</v>
      </c>
    </row>
    <row r="2670" spans="1:14" x14ac:dyDescent="0.25">
      <c r="A2670" s="10" t="str">
        <f>_xlfn.IFNA(
    IF(J2670=
        "PCB-0001",
        "CSS",
        IF(
            ISNUMBER(MATCH(_xlfn.TEXTBEFORE(J2670,"-"), {"CSS","CSN","PCB","PCF","BEC","CSD","PCM"}, 0)),
            _xlfn.TEXTBEFORE(J2670,"-"),
            "Other"
        )
    ),
"Add")</f>
        <v>PCB</v>
      </c>
      <c r="B2670" s="10" t="str">
        <f t="shared" si="42"/>
        <v>0135</v>
      </c>
      <c r="C2670" s="10" t="str">
        <f>_xlfn.LET(
    _xlpm.val, IF(Datadetails[[#This Row],[Activity]]="D02","C20",Datadetails[[#This Row],[Activity]]),
    IF(ISNUMBER(MATCH(_xlpm.val,{"D04","C30","c40","C20"},0)), _xlpm.val, "Other")
)</f>
        <v>C30</v>
      </c>
      <c r="D2670" s="10" t="str">
        <f>IFERROR(VLOOKUP(Datadetails[[#This Row],[Taskcode]],Dashboard!A:A,1,FALSE),"00 Err Missing")</f>
        <v>0135</v>
      </c>
      <c r="E2670" s="79">
        <v>45947</v>
      </c>
      <c r="F2670" s="80" t="s">
        <v>329</v>
      </c>
      <c r="G2670" s="60" t="s">
        <v>40</v>
      </c>
      <c r="H2670" s="80" t="s">
        <v>302</v>
      </c>
      <c r="I2670" s="80" t="s">
        <v>34</v>
      </c>
      <c r="J2670" s="80" t="s">
        <v>398</v>
      </c>
      <c r="K2670" s="80" t="s">
        <v>347</v>
      </c>
      <c r="L2670" s="80" t="s">
        <v>343</v>
      </c>
      <c r="M2670" s="81">
        <v>0.08</v>
      </c>
      <c r="N2670" s="82">
        <v>6</v>
      </c>
    </row>
    <row r="2671" spans="1:14" x14ac:dyDescent="0.25">
      <c r="A2671" s="10" t="str">
        <f>_xlfn.IFNA(
    IF(J2671=
        "PCB-0001",
        "CSS",
        IF(
            ISNUMBER(MATCH(_xlfn.TEXTBEFORE(J2671,"-"), {"CSS","CSN","PCB","PCF","BEC","CSD","PCM"}, 0)),
            _xlfn.TEXTBEFORE(J2671,"-"),
            "Other"
        )
    ),
"Add")</f>
        <v>PCB</v>
      </c>
      <c r="B2671" s="10" t="str">
        <f t="shared" si="42"/>
        <v>0134</v>
      </c>
      <c r="C2671" s="10" t="str">
        <f>_xlfn.LET(
    _xlpm.val, IF(Datadetails[[#This Row],[Activity]]="D02","C20",Datadetails[[#This Row],[Activity]]),
    IF(ISNUMBER(MATCH(_xlpm.val,{"D04","C30","c40","C20"},0)), _xlpm.val, "Other")
)</f>
        <v>C30</v>
      </c>
      <c r="D2671" s="10" t="str">
        <f>IFERROR(VLOOKUP(Datadetails[[#This Row],[Taskcode]],Dashboard!A:A,1,FALSE),"00 Err Missing")</f>
        <v>0134</v>
      </c>
      <c r="E2671" s="79">
        <v>45947</v>
      </c>
      <c r="F2671" s="80" t="s">
        <v>329</v>
      </c>
      <c r="G2671" s="60" t="s">
        <v>40</v>
      </c>
      <c r="H2671" s="80" t="s">
        <v>301</v>
      </c>
      <c r="I2671" s="80" t="s">
        <v>34</v>
      </c>
      <c r="J2671" s="80" t="s">
        <v>371</v>
      </c>
      <c r="K2671" s="80" t="s">
        <v>347</v>
      </c>
      <c r="L2671" s="80" t="s">
        <v>343</v>
      </c>
      <c r="M2671" s="81">
        <v>0.25</v>
      </c>
      <c r="N2671" s="82">
        <v>18.75</v>
      </c>
    </row>
    <row r="2672" spans="1:14" x14ac:dyDescent="0.25">
      <c r="A2672" s="10" t="str">
        <f>_xlfn.IFNA(
    IF(J2672=
        "PCB-0001",
        "CSS",
        IF(
            ISNUMBER(MATCH(_xlfn.TEXTBEFORE(J2672,"-"), {"CSS","CSN","PCB","PCF","BEC","CSD","PCM"}, 0)),
            _xlfn.TEXTBEFORE(J2672,"-"),
            "Other"
        )
    ),
"Add")</f>
        <v>PCB</v>
      </c>
      <c r="B2672" s="10" t="str">
        <f t="shared" si="42"/>
        <v>0059</v>
      </c>
      <c r="C2672" s="10" t="str">
        <f>_xlfn.LET(
    _xlpm.val, IF(Datadetails[[#This Row],[Activity]]="D02","C20",Datadetails[[#This Row],[Activity]]),
    IF(ISNUMBER(MATCH(_xlpm.val,{"D04","C30","c40","C20"},0)), _xlpm.val, "Other")
)</f>
        <v>C30</v>
      </c>
      <c r="D2672" s="10" t="str">
        <f>IFERROR(VLOOKUP(Datadetails[[#This Row],[Taskcode]],Dashboard!A:A,1,FALSE),"00 Err Missing")</f>
        <v>0059</v>
      </c>
      <c r="E2672" s="79">
        <v>45947</v>
      </c>
      <c r="F2672" s="80" t="s">
        <v>325</v>
      </c>
      <c r="G2672" s="60" t="s">
        <v>40</v>
      </c>
      <c r="H2672" s="80" t="s">
        <v>226</v>
      </c>
      <c r="I2672" s="80" t="s">
        <v>34</v>
      </c>
      <c r="J2672" s="80" t="s">
        <v>401</v>
      </c>
      <c r="K2672" s="80" t="s">
        <v>347</v>
      </c>
      <c r="L2672" s="80" t="s">
        <v>343</v>
      </c>
      <c r="M2672" s="81">
        <v>0.25</v>
      </c>
      <c r="N2672" s="82">
        <v>18.75</v>
      </c>
    </row>
    <row r="2673" spans="1:14" x14ac:dyDescent="0.25">
      <c r="A2673" s="10" t="str">
        <f>_xlfn.IFNA(
    IF(J2673=
        "PCB-0001",
        "CSS",
        IF(
            ISNUMBER(MATCH(_xlfn.TEXTBEFORE(J2673,"-"), {"CSS","CSN","PCB","PCF","BEC","CSD","PCM"}, 0)),
            _xlfn.TEXTBEFORE(J2673,"-"),
            "Other"
        )
    ),
"Add")</f>
        <v>PCB</v>
      </c>
      <c r="B2673" s="10" t="str">
        <f t="shared" si="42"/>
        <v>0073</v>
      </c>
      <c r="C2673" s="10" t="str">
        <f>_xlfn.LET(
    _xlpm.val, IF(Datadetails[[#This Row],[Activity]]="D02","C20",Datadetails[[#This Row],[Activity]]),
    IF(ISNUMBER(MATCH(_xlpm.val,{"D04","C30","c40","C20"},0)), _xlpm.val, "Other")
)</f>
        <v>C30</v>
      </c>
      <c r="D2673" s="10" t="str">
        <f>IFERROR(VLOOKUP(Datadetails[[#This Row],[Taskcode]],Dashboard!A:A,1,FALSE),"00 Err Missing")</f>
        <v>0073</v>
      </c>
      <c r="E2673" s="79">
        <v>45947</v>
      </c>
      <c r="F2673" s="80" t="s">
        <v>329</v>
      </c>
      <c r="G2673" s="60" t="s">
        <v>40</v>
      </c>
      <c r="H2673" s="80" t="s">
        <v>240</v>
      </c>
      <c r="I2673" s="80" t="s">
        <v>34</v>
      </c>
      <c r="J2673" s="80" t="s">
        <v>402</v>
      </c>
      <c r="K2673" s="80" t="s">
        <v>347</v>
      </c>
      <c r="L2673" s="80" t="s">
        <v>343</v>
      </c>
      <c r="M2673" s="81">
        <v>0.17</v>
      </c>
      <c r="N2673" s="82">
        <v>12.750000000000002</v>
      </c>
    </row>
    <row r="2674" spans="1:14" x14ac:dyDescent="0.25">
      <c r="A2674" s="10" t="str">
        <f>_xlfn.IFNA(
    IF(J2674=
        "PCB-0001",
        "CSS",
        IF(
            ISNUMBER(MATCH(_xlfn.TEXTBEFORE(J2674,"-"), {"CSS","CSN","PCB","PCF","BEC","CSD","PCM"}, 0)),
            _xlfn.TEXTBEFORE(J2674,"-"),
            "Other"
        )
    ),
"Add")</f>
        <v>PCB</v>
      </c>
      <c r="B2674" s="10" t="str">
        <f t="shared" si="42"/>
        <v>0074</v>
      </c>
      <c r="C2674" s="10" t="str">
        <f>_xlfn.LET(
    _xlpm.val, IF(Datadetails[[#This Row],[Activity]]="D02","C20",Datadetails[[#This Row],[Activity]]),
    IF(ISNUMBER(MATCH(_xlpm.val,{"D04","C30","c40","C20"},0)), _xlpm.val, "Other")
)</f>
        <v>C30</v>
      </c>
      <c r="D2674" s="10" t="str">
        <f>IFERROR(VLOOKUP(Datadetails[[#This Row],[Taskcode]],Dashboard!A:A,1,FALSE),"00 Err Missing")</f>
        <v>0074</v>
      </c>
      <c r="E2674" s="79">
        <v>45947</v>
      </c>
      <c r="F2674" s="80" t="s">
        <v>329</v>
      </c>
      <c r="G2674" s="60" t="s">
        <v>40</v>
      </c>
      <c r="H2674" s="80" t="s">
        <v>241</v>
      </c>
      <c r="I2674" s="80" t="s">
        <v>34</v>
      </c>
      <c r="J2674" s="80" t="s">
        <v>403</v>
      </c>
      <c r="K2674" s="80" t="s">
        <v>347</v>
      </c>
      <c r="L2674" s="80" t="s">
        <v>343</v>
      </c>
      <c r="M2674" s="81">
        <v>0.17</v>
      </c>
      <c r="N2674" s="82">
        <v>12.750000000000002</v>
      </c>
    </row>
    <row r="2675" spans="1:14" x14ac:dyDescent="0.25">
      <c r="A2675" s="10" t="str">
        <f>_xlfn.IFNA(
    IF(J2675=
        "PCB-0001",
        "CSS",
        IF(
            ISNUMBER(MATCH(_xlfn.TEXTBEFORE(J2675,"-"), {"CSS","CSN","PCB","PCF","BEC","CSD","PCM"}, 0)),
            _xlfn.TEXTBEFORE(J2675,"-"),
            "Other"
        )
    ),
"Add")</f>
        <v>PCB</v>
      </c>
      <c r="B2675" s="10" t="str">
        <f t="shared" si="42"/>
        <v>0075</v>
      </c>
      <c r="C2675" s="10" t="str">
        <f>_xlfn.LET(
    _xlpm.val, IF(Datadetails[[#This Row],[Activity]]="D02","C20",Datadetails[[#This Row],[Activity]]),
    IF(ISNUMBER(MATCH(_xlpm.val,{"D04","C30","c40","C20"},0)), _xlpm.val, "Other")
)</f>
        <v>C30</v>
      </c>
      <c r="D2675" s="10" t="str">
        <f>IFERROR(VLOOKUP(Datadetails[[#This Row],[Taskcode]],Dashboard!A:A,1,FALSE),"00 Err Missing")</f>
        <v>0075</v>
      </c>
      <c r="E2675" s="79">
        <v>45947</v>
      </c>
      <c r="F2675" s="80" t="s">
        <v>329</v>
      </c>
      <c r="G2675" s="60" t="s">
        <v>40</v>
      </c>
      <c r="H2675" s="80" t="s">
        <v>242</v>
      </c>
      <c r="I2675" s="80" t="s">
        <v>34</v>
      </c>
      <c r="J2675" s="80" t="s">
        <v>404</v>
      </c>
      <c r="K2675" s="80" t="s">
        <v>347</v>
      </c>
      <c r="L2675" s="80" t="s">
        <v>343</v>
      </c>
      <c r="M2675" s="81">
        <v>0.17</v>
      </c>
      <c r="N2675" s="82">
        <v>12.750000000000002</v>
      </c>
    </row>
    <row r="2676" spans="1:14" x14ac:dyDescent="0.25">
      <c r="A2676" s="10" t="str">
        <f>_xlfn.IFNA(
    IF(J2676=
        "PCB-0001",
        "CSS",
        IF(
            ISNUMBER(MATCH(_xlfn.TEXTBEFORE(J2676,"-"), {"CSS","CSN","PCB","PCF","BEC","CSD","PCM"}, 0)),
            _xlfn.TEXTBEFORE(J2676,"-"),
            "Other"
        )
    ),
"Add")</f>
        <v>PCB</v>
      </c>
      <c r="B2676" s="10" t="str">
        <f t="shared" si="42"/>
        <v>0011</v>
      </c>
      <c r="C2676" s="10" t="str">
        <f>_xlfn.LET(
    _xlpm.val, IF(Datadetails[[#This Row],[Activity]]="D02","C20",Datadetails[[#This Row],[Activity]]),
    IF(ISNUMBER(MATCH(_xlpm.val,{"D04","C30","c40","C20"},0)), _xlpm.val, "Other")
)</f>
        <v>C30</v>
      </c>
      <c r="D2676" s="10" t="str">
        <f>IFERROR(VLOOKUP(Datadetails[[#This Row],[Taskcode]],Dashboard!A:A,1,FALSE),"00 Err Missing")</f>
        <v>0011</v>
      </c>
      <c r="E2676" s="79">
        <v>45947</v>
      </c>
      <c r="F2676" s="80" t="s">
        <v>330</v>
      </c>
      <c r="G2676" s="60" t="s">
        <v>40</v>
      </c>
      <c r="H2676" s="80" t="s">
        <v>178</v>
      </c>
      <c r="I2676" s="80" t="s">
        <v>34</v>
      </c>
      <c r="J2676" s="80" t="s">
        <v>460</v>
      </c>
      <c r="K2676" s="80" t="s">
        <v>347</v>
      </c>
      <c r="L2676" s="80" t="s">
        <v>343</v>
      </c>
      <c r="M2676" s="81">
        <v>0.25</v>
      </c>
      <c r="N2676" s="82">
        <v>15</v>
      </c>
    </row>
    <row r="2677" spans="1:14" x14ac:dyDescent="0.25">
      <c r="A2677" s="10" t="str">
        <f>_xlfn.IFNA(
    IF(J2677=
        "PCB-0001",
        "CSS",
        IF(
            ISNUMBER(MATCH(_xlfn.TEXTBEFORE(J2677,"-"), {"CSS","CSN","PCB","PCF","BEC","CSD","PCM"}, 0)),
            _xlfn.TEXTBEFORE(J2677,"-"),
            "Other"
        )
    ),
"Add")</f>
        <v>PCB</v>
      </c>
      <c r="B2677" s="10" t="str">
        <f t="shared" si="42"/>
        <v>0121</v>
      </c>
      <c r="C2677" s="10" t="str">
        <f>_xlfn.LET(
    _xlpm.val, IF(Datadetails[[#This Row],[Activity]]="D02","C20",Datadetails[[#This Row],[Activity]]),
    IF(ISNUMBER(MATCH(_xlpm.val,{"D04","C30","c40","C20"},0)), _xlpm.val, "Other")
)</f>
        <v>C30</v>
      </c>
      <c r="D2677" s="10" t="str">
        <f>IFERROR(VLOOKUP(Datadetails[[#This Row],[Taskcode]],Dashboard!A:A,1,FALSE),"00 Err Missing")</f>
        <v>0121</v>
      </c>
      <c r="E2677" s="79">
        <v>45947</v>
      </c>
      <c r="F2677" s="80" t="s">
        <v>329</v>
      </c>
      <c r="G2677" s="60" t="s">
        <v>40</v>
      </c>
      <c r="H2677" s="80" t="s">
        <v>288</v>
      </c>
      <c r="I2677" s="80" t="s">
        <v>34</v>
      </c>
      <c r="J2677" s="80" t="s">
        <v>405</v>
      </c>
      <c r="K2677" s="80" t="s">
        <v>347</v>
      </c>
      <c r="L2677" s="80" t="s">
        <v>343</v>
      </c>
      <c r="M2677" s="81">
        <v>1</v>
      </c>
      <c r="N2677" s="82">
        <v>75</v>
      </c>
    </row>
    <row r="2678" spans="1:14" x14ac:dyDescent="0.25">
      <c r="A2678" s="10" t="str">
        <f>_xlfn.IFNA(
    IF(J2678=
        "PCB-0001",
        "CSS",
        IF(
            ISNUMBER(MATCH(_xlfn.TEXTBEFORE(J2678,"-"), {"CSS","CSN","PCB","PCF","BEC","CSD","PCM"}, 0)),
            _xlfn.TEXTBEFORE(J2678,"-"),
            "Other"
        )
    ),
"Add")</f>
        <v>PCB</v>
      </c>
      <c r="B2678" s="10" t="str">
        <f t="shared" si="42"/>
        <v>0131</v>
      </c>
      <c r="C2678" s="10" t="str">
        <f>_xlfn.LET(
    _xlpm.val, IF(Datadetails[[#This Row],[Activity]]="D02","C20",Datadetails[[#This Row],[Activity]]),
    IF(ISNUMBER(MATCH(_xlpm.val,{"D04","C30","c40","C20"},0)), _xlpm.val, "Other")
)</f>
        <v>C30</v>
      </c>
      <c r="D2678" s="10" t="str">
        <f>IFERROR(VLOOKUP(Datadetails[[#This Row],[Taskcode]],Dashboard!A:A,1,FALSE),"00 Err Missing")</f>
        <v>0131</v>
      </c>
      <c r="E2678" s="79">
        <v>45947</v>
      </c>
      <c r="F2678" s="80" t="s">
        <v>325</v>
      </c>
      <c r="G2678" s="60" t="s">
        <v>40</v>
      </c>
      <c r="H2678" s="80" t="s">
        <v>298</v>
      </c>
      <c r="I2678" s="80" t="s">
        <v>34</v>
      </c>
      <c r="J2678" s="80" t="s">
        <v>406</v>
      </c>
      <c r="K2678" s="80" t="s">
        <v>347</v>
      </c>
      <c r="L2678" s="80" t="s">
        <v>343</v>
      </c>
      <c r="M2678" s="81">
        <v>0.25</v>
      </c>
      <c r="N2678" s="82">
        <v>18.75</v>
      </c>
    </row>
    <row r="2679" spans="1:14" x14ac:dyDescent="0.25">
      <c r="A2679" s="10" t="str">
        <f>_xlfn.IFNA(
    IF(J2679=
        "PCB-0001",
        "CSS",
        IF(
            ISNUMBER(MATCH(_xlfn.TEXTBEFORE(J2679,"-"), {"CSS","CSN","PCB","PCF","BEC","CSD","PCM"}, 0)),
            _xlfn.TEXTBEFORE(J2679,"-"),
            "Other"
        )
    ),
"Add")</f>
        <v>PCB</v>
      </c>
      <c r="B2679" s="10" t="str">
        <f t="shared" si="42"/>
        <v>0094</v>
      </c>
      <c r="C2679" s="10" t="str">
        <f>_xlfn.LET(
    _xlpm.val, IF(Datadetails[[#This Row],[Activity]]="D02","C20",Datadetails[[#This Row],[Activity]]),
    IF(ISNUMBER(MATCH(_xlpm.val,{"D04","C30","c40","C20"},0)), _xlpm.val, "Other")
)</f>
        <v>C30</v>
      </c>
      <c r="D2679" s="10" t="str">
        <f>IFERROR(VLOOKUP(Datadetails[[#This Row],[Taskcode]],Dashboard!A:A,1,FALSE),"00 Err Missing")</f>
        <v>0094</v>
      </c>
      <c r="E2679" s="79">
        <v>45947</v>
      </c>
      <c r="F2679" s="80" t="s">
        <v>330</v>
      </c>
      <c r="G2679" s="60" t="s">
        <v>40</v>
      </c>
      <c r="H2679" s="80" t="s">
        <v>261</v>
      </c>
      <c r="I2679" s="80" t="s">
        <v>34</v>
      </c>
      <c r="J2679" s="80" t="s">
        <v>444</v>
      </c>
      <c r="K2679" s="80" t="s">
        <v>347</v>
      </c>
      <c r="L2679" s="80" t="s">
        <v>343</v>
      </c>
      <c r="M2679" s="81">
        <v>0.92</v>
      </c>
      <c r="N2679" s="82">
        <v>55.2</v>
      </c>
    </row>
    <row r="2680" spans="1:14" x14ac:dyDescent="0.25">
      <c r="A2680" s="10" t="str">
        <f>_xlfn.IFNA(
    IF(J2680=
        "PCB-0001",
        "CSS",
        IF(
            ISNUMBER(MATCH(_xlfn.TEXTBEFORE(J2680,"-"), {"CSS","CSN","PCB","PCF","BEC","CSD","PCM"}, 0)),
            _xlfn.TEXTBEFORE(J2680,"-"),
            "Other"
        )
    ),
"Add")</f>
        <v>PCB</v>
      </c>
      <c r="B2680" s="10" t="str">
        <f t="shared" si="42"/>
        <v>0096</v>
      </c>
      <c r="C2680" s="10" t="str">
        <f>_xlfn.LET(
    _xlpm.val, IF(Datadetails[[#This Row],[Activity]]="D02","C20",Datadetails[[#This Row],[Activity]]),
    IF(ISNUMBER(MATCH(_xlpm.val,{"D04","C30","c40","C20"},0)), _xlpm.val, "Other")
)</f>
        <v>C30</v>
      </c>
      <c r="D2680" s="10" t="str">
        <f>IFERROR(VLOOKUP(Datadetails[[#This Row],[Taskcode]],Dashboard!A:A,1,FALSE),"00 Err Missing")</f>
        <v>0096</v>
      </c>
      <c r="E2680" s="79">
        <v>45947</v>
      </c>
      <c r="F2680" s="80" t="s">
        <v>330</v>
      </c>
      <c r="G2680" s="60" t="s">
        <v>40</v>
      </c>
      <c r="H2680" s="80" t="s">
        <v>263</v>
      </c>
      <c r="I2680" s="80" t="s">
        <v>34</v>
      </c>
      <c r="J2680" s="80" t="s">
        <v>383</v>
      </c>
      <c r="K2680" s="80" t="s">
        <v>347</v>
      </c>
      <c r="L2680" s="80" t="s">
        <v>343</v>
      </c>
      <c r="M2680" s="81">
        <v>1.5</v>
      </c>
      <c r="N2680" s="82">
        <v>90</v>
      </c>
    </row>
    <row r="2681" spans="1:14" x14ac:dyDescent="0.25">
      <c r="A2681" s="10" t="str">
        <f>_xlfn.IFNA(
    IF(J2681=
        "PCB-0001",
        "CSS",
        IF(
            ISNUMBER(MATCH(_xlfn.TEXTBEFORE(J2681,"-"), {"CSS","CSN","PCB","PCF","BEC","CSD","PCM"}, 0)),
            _xlfn.TEXTBEFORE(J2681,"-"),
            "Other"
        )
    ),
"Add")</f>
        <v>PCB</v>
      </c>
      <c r="B2681" s="10" t="str">
        <f t="shared" si="42"/>
        <v>0094</v>
      </c>
      <c r="C2681" s="10" t="str">
        <f>_xlfn.LET(
    _xlpm.val, IF(Datadetails[[#This Row],[Activity]]="D02","C20",Datadetails[[#This Row],[Activity]]),
    IF(ISNUMBER(MATCH(_xlpm.val,{"D04","C30","c40","C20"},0)), _xlpm.val, "Other")
)</f>
        <v>C40</v>
      </c>
      <c r="D2681" s="10" t="str">
        <f>IFERROR(VLOOKUP(Datadetails[[#This Row],[Taskcode]],Dashboard!A:A,1,FALSE),"00 Err Missing")</f>
        <v>0094</v>
      </c>
      <c r="E2681" s="79">
        <v>45947</v>
      </c>
      <c r="F2681" s="80" t="s">
        <v>330</v>
      </c>
      <c r="G2681" s="60" t="s">
        <v>40</v>
      </c>
      <c r="H2681" s="80" t="s">
        <v>261</v>
      </c>
      <c r="I2681" s="80" t="s">
        <v>341</v>
      </c>
      <c r="J2681" s="80" t="s">
        <v>444</v>
      </c>
      <c r="K2681" s="80" t="s">
        <v>347</v>
      </c>
      <c r="L2681" s="80" t="s">
        <v>344</v>
      </c>
      <c r="M2681" s="81">
        <v>1</v>
      </c>
      <c r="N2681" s="82">
        <v>60</v>
      </c>
    </row>
    <row r="2682" spans="1:14" x14ac:dyDescent="0.25">
      <c r="A2682" s="10" t="str">
        <f>_xlfn.IFNA(
    IF(J2682=
        "PCB-0001",
        "CSS",
        IF(
            ISNUMBER(MATCH(_xlfn.TEXTBEFORE(J2682,"-"), {"CSS","CSN","PCB","PCF","BEC","CSD","PCM"}, 0)),
            _xlfn.TEXTBEFORE(J2682,"-"),
            "Other"
        )
    ),
"Add")</f>
        <v>PCB</v>
      </c>
      <c r="B2682" s="10" t="str">
        <f t="shared" si="42"/>
        <v>0131</v>
      </c>
      <c r="C2682" s="10" t="str">
        <f>_xlfn.LET(
    _xlpm.val, IF(Datadetails[[#This Row],[Activity]]="D02","C20",Datadetails[[#This Row],[Activity]]),
    IF(ISNUMBER(MATCH(_xlpm.val,{"D04","C30","c40","C20"},0)), _xlpm.val, "Other")
)</f>
        <v>C40</v>
      </c>
      <c r="D2682" s="10" t="str">
        <f>IFERROR(VLOOKUP(Datadetails[[#This Row],[Taskcode]],Dashboard!A:A,1,FALSE),"00 Err Missing")</f>
        <v>0131</v>
      </c>
      <c r="E2682" s="79">
        <v>45947</v>
      </c>
      <c r="F2682" s="80" t="s">
        <v>325</v>
      </c>
      <c r="G2682" s="60" t="s">
        <v>40</v>
      </c>
      <c r="H2682" s="80" t="s">
        <v>298</v>
      </c>
      <c r="I2682" s="80" t="s">
        <v>341</v>
      </c>
      <c r="J2682" s="80" t="s">
        <v>406</v>
      </c>
      <c r="K2682" s="80" t="s">
        <v>347</v>
      </c>
      <c r="L2682" s="80" t="s">
        <v>344</v>
      </c>
      <c r="M2682" s="81">
        <v>2</v>
      </c>
      <c r="N2682" s="82">
        <v>150</v>
      </c>
    </row>
    <row r="2683" spans="1:14" x14ac:dyDescent="0.25">
      <c r="A2683" s="10" t="str">
        <f>_xlfn.IFNA(
    IF(J2683=
        "PCB-0001",
        "CSS",
        IF(
            ISNUMBER(MATCH(_xlfn.TEXTBEFORE(J2683,"-"), {"CSS","CSN","PCB","PCF","BEC","CSD","PCM"}, 0)),
            _xlfn.TEXTBEFORE(J2683,"-"),
            "Other"
        )
    ),
"Add")</f>
        <v>PCB</v>
      </c>
      <c r="B2683" s="10" t="str">
        <f t="shared" si="42"/>
        <v>0121</v>
      </c>
      <c r="C2683" s="10" t="str">
        <f>_xlfn.LET(
    _xlpm.val, IF(Datadetails[[#This Row],[Activity]]="D02","C20",Datadetails[[#This Row],[Activity]]),
    IF(ISNUMBER(MATCH(_xlpm.val,{"D04","C30","c40","C20"},0)), _xlpm.val, "Other")
)</f>
        <v>C40</v>
      </c>
      <c r="D2683" s="10" t="str">
        <f>IFERROR(VLOOKUP(Datadetails[[#This Row],[Taskcode]],Dashboard!A:A,1,FALSE),"00 Err Missing")</f>
        <v>0121</v>
      </c>
      <c r="E2683" s="79">
        <v>45947</v>
      </c>
      <c r="F2683" s="80" t="s">
        <v>329</v>
      </c>
      <c r="G2683" s="60" t="s">
        <v>40</v>
      </c>
      <c r="H2683" s="80" t="s">
        <v>288</v>
      </c>
      <c r="I2683" s="80" t="s">
        <v>341</v>
      </c>
      <c r="J2683" s="80" t="s">
        <v>405</v>
      </c>
      <c r="K2683" s="80" t="s">
        <v>347</v>
      </c>
      <c r="L2683" s="80" t="s">
        <v>344</v>
      </c>
      <c r="M2683" s="81">
        <v>2</v>
      </c>
      <c r="N2683" s="82">
        <v>150</v>
      </c>
    </row>
    <row r="2684" spans="1:14" x14ac:dyDescent="0.25">
      <c r="A2684" s="10" t="str">
        <f>_xlfn.IFNA(
    IF(J2684=
        "PCB-0001",
        "CSS",
        IF(
            ISNUMBER(MATCH(_xlfn.TEXTBEFORE(J2684,"-"), {"CSS","CSN","PCB","PCF","BEC","CSD","PCM"}, 0)),
            _xlfn.TEXTBEFORE(J2684,"-"),
            "Other"
        )
    ),
"Add")</f>
        <v>PCF</v>
      </c>
      <c r="B2684" s="10" t="str">
        <f t="shared" si="42"/>
        <v>0040</v>
      </c>
      <c r="C2684" s="10" t="str">
        <f>_xlfn.LET(
    _xlpm.val, IF(Datadetails[[#This Row],[Activity]]="D02","C20",Datadetails[[#This Row],[Activity]]),
    IF(ISNUMBER(MATCH(_xlpm.val,{"D04","C30","c40","C20"},0)), _xlpm.val, "Other")
)</f>
        <v>C30</v>
      </c>
      <c r="D2684" s="10" t="str">
        <f>IFERROR(VLOOKUP(Datadetails[[#This Row],[Taskcode]],Dashboard!A:A,1,FALSE),"00 Err Missing")</f>
        <v>0040</v>
      </c>
      <c r="E2684" s="79">
        <v>45947</v>
      </c>
      <c r="F2684" s="80" t="s">
        <v>326</v>
      </c>
      <c r="G2684" s="60" t="s">
        <v>40</v>
      </c>
      <c r="H2684" s="80" t="s">
        <v>207</v>
      </c>
      <c r="I2684" s="80" t="s">
        <v>34</v>
      </c>
      <c r="J2684" s="80" t="s">
        <v>417</v>
      </c>
      <c r="K2684" s="80" t="s">
        <v>348</v>
      </c>
      <c r="L2684" s="80" t="s">
        <v>343</v>
      </c>
      <c r="M2684" s="81">
        <v>0.57999999999999996</v>
      </c>
      <c r="N2684" s="82">
        <v>34.799999999999997</v>
      </c>
    </row>
    <row r="2685" spans="1:14" x14ac:dyDescent="0.25">
      <c r="A2685" s="10" t="str">
        <f>_xlfn.IFNA(
    IF(J2685=
        "PCB-0001",
        "CSS",
        IF(
            ISNUMBER(MATCH(_xlfn.TEXTBEFORE(J2685,"-"), {"CSS","CSN","PCB","PCF","BEC","CSD","PCM"}, 0)),
            _xlfn.TEXTBEFORE(J2685,"-"),
            "Other"
        )
    ),
"Add")</f>
        <v>PCF</v>
      </c>
      <c r="B2685" s="10" t="str">
        <f t="shared" si="42"/>
        <v>0068</v>
      </c>
      <c r="C2685" s="10" t="str">
        <f>_xlfn.LET(
    _xlpm.val, IF(Datadetails[[#This Row],[Activity]]="D02","C20",Datadetails[[#This Row],[Activity]]),
    IF(ISNUMBER(MATCH(_xlpm.val,{"D04","C30","c40","C20"},0)), _xlpm.val, "Other")
)</f>
        <v>C30</v>
      </c>
      <c r="D2685" s="10" t="str">
        <f>IFERROR(VLOOKUP(Datadetails[[#This Row],[Taskcode]],Dashboard!A:A,1,FALSE),"00 Err Missing")</f>
        <v>0068</v>
      </c>
      <c r="E2685" s="79">
        <v>45947</v>
      </c>
      <c r="F2685" s="80" t="s">
        <v>326</v>
      </c>
      <c r="G2685" s="60" t="s">
        <v>40</v>
      </c>
      <c r="H2685" s="80" t="s">
        <v>235</v>
      </c>
      <c r="I2685" s="80" t="s">
        <v>34</v>
      </c>
      <c r="J2685" s="80" t="s">
        <v>355</v>
      </c>
      <c r="K2685" s="80" t="s">
        <v>348</v>
      </c>
      <c r="L2685" s="80" t="s">
        <v>343</v>
      </c>
      <c r="M2685" s="81">
        <v>0.75</v>
      </c>
      <c r="N2685" s="82">
        <v>45</v>
      </c>
    </row>
    <row r="2686" spans="1:14" x14ac:dyDescent="0.25">
      <c r="A2686" s="10" t="str">
        <f>_xlfn.IFNA(
    IF(J2686=
        "PCB-0001",
        "CSS",
        IF(
            ISNUMBER(MATCH(_xlfn.TEXTBEFORE(J2686,"-"), {"CSS","CSN","PCB","PCF","BEC","CSD","PCM"}, 0)),
            _xlfn.TEXTBEFORE(J2686,"-"),
            "Other"
        )
    ),
"Add")</f>
        <v>PCF</v>
      </c>
      <c r="B2686" s="10" t="str">
        <f t="shared" si="42"/>
        <v>0021</v>
      </c>
      <c r="C2686" s="10" t="str">
        <f>_xlfn.LET(
    _xlpm.val, IF(Datadetails[[#This Row],[Activity]]="D02","C20",Datadetails[[#This Row],[Activity]]),
    IF(ISNUMBER(MATCH(_xlpm.val,{"D04","C30","c40","C20"},0)), _xlpm.val, "Other")
)</f>
        <v>C30</v>
      </c>
      <c r="D2686" s="10" t="str">
        <f>IFERROR(VLOOKUP(Datadetails[[#This Row],[Taskcode]],Dashboard!A:A,1,FALSE),"00 Err Missing")</f>
        <v>0021</v>
      </c>
      <c r="E2686" s="79">
        <v>45947</v>
      </c>
      <c r="F2686" s="80" t="s">
        <v>326</v>
      </c>
      <c r="G2686" s="60" t="s">
        <v>40</v>
      </c>
      <c r="H2686" s="80" t="s">
        <v>188</v>
      </c>
      <c r="I2686" s="80" t="s">
        <v>34</v>
      </c>
      <c r="J2686" s="80" t="s">
        <v>356</v>
      </c>
      <c r="K2686" s="80" t="s">
        <v>348</v>
      </c>
      <c r="L2686" s="80" t="s">
        <v>343</v>
      </c>
      <c r="M2686" s="81">
        <v>0.57999999999999996</v>
      </c>
      <c r="N2686" s="82">
        <v>34.799999999999997</v>
      </c>
    </row>
    <row r="2687" spans="1:14" x14ac:dyDescent="0.25">
      <c r="A2687" s="10" t="str">
        <f>_xlfn.IFNA(
    IF(J2687=
        "PCB-0001",
        "CSS",
        IF(
            ISNUMBER(MATCH(_xlfn.TEXTBEFORE(J2687,"-"), {"CSS","CSN","PCB","PCF","BEC","CSD","PCM"}, 0)),
            _xlfn.TEXTBEFORE(J2687,"-"),
            "Other"
        )
    ),
"Add")</f>
        <v>BEC</v>
      </c>
      <c r="B2687" s="10" t="str">
        <f t="shared" si="42"/>
        <v>0001</v>
      </c>
      <c r="C2687" s="10" t="str">
        <f>_xlfn.LET(
    _xlpm.val, IF(Datadetails[[#This Row],[Activity]]="D02","C20",Datadetails[[#This Row],[Activity]]),
    IF(ISNUMBER(MATCH(_xlpm.val,{"D04","C30","c40","C20"},0)), _xlpm.val, "Other")
)</f>
        <v>D04</v>
      </c>
      <c r="D2687" s="10" t="str">
        <f>IFERROR(VLOOKUP(Datadetails[[#This Row],[Taskcode]],Dashboard!A:A,1,FALSE),"00 Err Missing")</f>
        <v>0001</v>
      </c>
      <c r="E2687" s="79">
        <v>45948</v>
      </c>
      <c r="F2687" s="80" t="s">
        <v>332</v>
      </c>
      <c r="G2687" s="60" t="s">
        <v>40</v>
      </c>
      <c r="H2687" s="80" t="s">
        <v>314</v>
      </c>
      <c r="I2687" s="80" t="s">
        <v>35</v>
      </c>
      <c r="J2687" s="80" t="s">
        <v>359</v>
      </c>
      <c r="K2687" s="80" t="s">
        <v>339</v>
      </c>
      <c r="L2687" s="80" t="s">
        <v>352</v>
      </c>
      <c r="M2687" s="81">
        <v>5</v>
      </c>
      <c r="N2687" s="82">
        <v>200</v>
      </c>
    </row>
    <row r="2688" spans="1:14" x14ac:dyDescent="0.25">
      <c r="A2688" s="10" t="str">
        <f>_xlfn.IFNA(
    IF(J2688=
        "PCB-0001",
        "CSS",
        IF(
            ISNUMBER(MATCH(_xlfn.TEXTBEFORE(J2688,"-"), {"CSS","CSN","PCB","PCF","BEC","CSD","PCM"}, 0)),
            _xlfn.TEXTBEFORE(J2688,"-"),
            "Other"
        )
    ),
"Add")</f>
        <v>PCM</v>
      </c>
      <c r="B2688" s="10" t="str">
        <f t="shared" si="42"/>
        <v>0002</v>
      </c>
      <c r="C2688" s="10" t="str">
        <f>_xlfn.LET(
    _xlpm.val, IF(Datadetails[[#This Row],[Activity]]="D02","C20",Datadetails[[#This Row],[Activity]]),
    IF(ISNUMBER(MATCH(_xlpm.val,{"D04","C30","c40","C20"},0)), _xlpm.val, "Other")
)</f>
        <v>C20</v>
      </c>
      <c r="D2688" s="10" t="str">
        <f>IFERROR(VLOOKUP(Datadetails[[#This Row],[Taskcode]],Dashboard!A:A,1,FALSE),"00 Err Missing")</f>
        <v>0002</v>
      </c>
      <c r="E2688" s="79">
        <v>45950</v>
      </c>
      <c r="F2688" s="80" t="s">
        <v>323</v>
      </c>
      <c r="G2688" s="60" t="s">
        <v>40</v>
      </c>
      <c r="H2688" s="80" t="s">
        <v>169</v>
      </c>
      <c r="I2688" s="80" t="s">
        <v>36</v>
      </c>
      <c r="J2688" s="80" t="s">
        <v>433</v>
      </c>
      <c r="K2688" s="80" t="s">
        <v>346</v>
      </c>
      <c r="L2688" s="80" t="s">
        <v>342</v>
      </c>
      <c r="M2688" s="81">
        <v>0.25</v>
      </c>
      <c r="N2688" s="82">
        <v>15</v>
      </c>
    </row>
    <row r="2689" spans="1:14" x14ac:dyDescent="0.25">
      <c r="A2689" s="10" t="str">
        <f>_xlfn.IFNA(
    IF(J2689=
        "PCB-0001",
        "CSS",
        IF(
            ISNUMBER(MATCH(_xlfn.TEXTBEFORE(J2689,"-"), {"CSS","CSN","PCB","PCF","BEC","CSD","PCM"}, 0)),
            _xlfn.TEXTBEFORE(J2689,"-"),
            "Other"
        )
    ),
"Add")</f>
        <v>PCM</v>
      </c>
      <c r="B2689" s="10" t="str">
        <f t="shared" si="42"/>
        <v>0033</v>
      </c>
      <c r="C2689" s="10" t="str">
        <f>_xlfn.LET(
    _xlpm.val, IF(Datadetails[[#This Row],[Activity]]="D02","C20",Datadetails[[#This Row],[Activity]]),
    IF(ISNUMBER(MATCH(_xlpm.val,{"D04","C30","c40","C20"},0)), _xlpm.val, "Other")
)</f>
        <v>C20</v>
      </c>
      <c r="D2689" s="10" t="str">
        <f>IFERROR(VLOOKUP(Datadetails[[#This Row],[Taskcode]],Dashboard!A:A,1,FALSE),"00 Err Missing")</f>
        <v>0033</v>
      </c>
      <c r="E2689" s="79">
        <v>45950</v>
      </c>
      <c r="F2689" s="80" t="s">
        <v>323</v>
      </c>
      <c r="G2689" s="60" t="s">
        <v>40</v>
      </c>
      <c r="H2689" s="80" t="s">
        <v>200</v>
      </c>
      <c r="I2689" s="80" t="s">
        <v>36</v>
      </c>
      <c r="J2689" s="80" t="s">
        <v>391</v>
      </c>
      <c r="K2689" s="80" t="s">
        <v>346</v>
      </c>
      <c r="L2689" s="80" t="s">
        <v>342</v>
      </c>
      <c r="M2689" s="81">
        <v>0.25</v>
      </c>
      <c r="N2689" s="82">
        <v>15</v>
      </c>
    </row>
    <row r="2690" spans="1:14" x14ac:dyDescent="0.25">
      <c r="A2690" s="10" t="str">
        <f>_xlfn.IFNA(
    IF(J2690=
        "PCB-0001",
        "CSS",
        IF(
            ISNUMBER(MATCH(_xlfn.TEXTBEFORE(J2690,"-"), {"CSS","CSN","PCB","PCF","BEC","CSD","PCM"}, 0)),
            _xlfn.TEXTBEFORE(J2690,"-"),
            "Other"
        )
    ),
"Add")</f>
        <v>PCM</v>
      </c>
      <c r="B2690" s="10" t="str">
        <f t="shared" si="42"/>
        <v>0045</v>
      </c>
      <c r="C2690" s="10" t="str">
        <f>_xlfn.LET(
    _xlpm.val, IF(Datadetails[[#This Row],[Activity]]="D02","C20",Datadetails[[#This Row],[Activity]]),
    IF(ISNUMBER(MATCH(_xlpm.val,{"D04","C30","c40","C20"},0)), _xlpm.val, "Other")
)</f>
        <v>C20</v>
      </c>
      <c r="D2690" s="10" t="str">
        <f>IFERROR(VLOOKUP(Datadetails[[#This Row],[Taskcode]],Dashboard!A:A,1,FALSE),"00 Err Missing")</f>
        <v>0045</v>
      </c>
      <c r="E2690" s="79">
        <v>45950</v>
      </c>
      <c r="F2690" s="80" t="s">
        <v>323</v>
      </c>
      <c r="G2690" s="60" t="s">
        <v>40</v>
      </c>
      <c r="H2690" s="80" t="s">
        <v>212</v>
      </c>
      <c r="I2690" s="80" t="s">
        <v>36</v>
      </c>
      <c r="J2690" s="80" t="s">
        <v>392</v>
      </c>
      <c r="K2690" s="80" t="s">
        <v>346</v>
      </c>
      <c r="L2690" s="80" t="s">
        <v>342</v>
      </c>
      <c r="M2690" s="81">
        <v>0.25</v>
      </c>
      <c r="N2690" s="82">
        <v>15</v>
      </c>
    </row>
    <row r="2691" spans="1:14" x14ac:dyDescent="0.25">
      <c r="A2691" s="10" t="str">
        <f>_xlfn.IFNA(
    IF(J2691=
        "PCB-0001",
        "CSS",
        IF(
            ISNUMBER(MATCH(_xlfn.TEXTBEFORE(J2691,"-"), {"CSS","CSN","PCB","PCF","BEC","CSD","PCM"}, 0)),
            _xlfn.TEXTBEFORE(J2691,"-"),
            "Other"
        )
    ),
"Add")</f>
        <v>PCM</v>
      </c>
      <c r="B2691" s="10" t="str">
        <f t="shared" si="42"/>
        <v>0052</v>
      </c>
      <c r="C2691" s="10" t="str">
        <f>_xlfn.LET(
    _xlpm.val, IF(Datadetails[[#This Row],[Activity]]="D02","C20",Datadetails[[#This Row],[Activity]]),
    IF(ISNUMBER(MATCH(_xlpm.val,{"D04","C30","c40","C20"},0)), _xlpm.val, "Other")
)</f>
        <v>C20</v>
      </c>
      <c r="D2691" s="10" t="str">
        <f>IFERROR(VLOOKUP(Datadetails[[#This Row],[Taskcode]],Dashboard!A:A,1,FALSE),"00 Err Missing")</f>
        <v>0052</v>
      </c>
      <c r="E2691" s="79">
        <v>45950</v>
      </c>
      <c r="F2691" s="80" t="s">
        <v>323</v>
      </c>
      <c r="G2691" s="60" t="s">
        <v>40</v>
      </c>
      <c r="H2691" s="80" t="s">
        <v>219</v>
      </c>
      <c r="I2691" s="80" t="s">
        <v>36</v>
      </c>
      <c r="J2691" s="80" t="s">
        <v>432</v>
      </c>
      <c r="K2691" s="80" t="s">
        <v>346</v>
      </c>
      <c r="L2691" s="80" t="s">
        <v>342</v>
      </c>
      <c r="M2691" s="81">
        <v>0.25</v>
      </c>
      <c r="N2691" s="82">
        <v>15</v>
      </c>
    </row>
    <row r="2692" spans="1:14" x14ac:dyDescent="0.25">
      <c r="A2692" s="10" t="str">
        <f>_xlfn.IFNA(
    IF(J2692=
        "PCB-0001",
        "CSS",
        IF(
            ISNUMBER(MATCH(_xlfn.TEXTBEFORE(J2692,"-"), {"CSS","CSN","PCB","PCF","BEC","CSD","PCM"}, 0)),
            _xlfn.TEXTBEFORE(J2692,"-"),
            "Other"
        )
    ),
"Add")</f>
        <v>BEC</v>
      </c>
      <c r="B2692" s="10" t="str">
        <f t="shared" ref="B2692:B2755" si="43">_xlfn.IFNA(_xlfn.TEXTAFTER(J2692,"-"),"Data to C2")</f>
        <v>0001</v>
      </c>
      <c r="C2692" s="10" t="str">
        <f>_xlfn.LET(
    _xlpm.val, IF(Datadetails[[#This Row],[Activity]]="D02","C20",Datadetails[[#This Row],[Activity]]),
    IF(ISNUMBER(MATCH(_xlpm.val,{"D04","C30","c40","C20"},0)), _xlpm.val, "Other")
)</f>
        <v>D04</v>
      </c>
      <c r="D2692" s="10" t="str">
        <f>IFERROR(VLOOKUP(Datadetails[[#This Row],[Taskcode]],Dashboard!A:A,1,FALSE),"00 Err Missing")</f>
        <v>0001</v>
      </c>
      <c r="E2692" s="79">
        <v>45950</v>
      </c>
      <c r="F2692" s="80" t="s">
        <v>332</v>
      </c>
      <c r="G2692" s="60" t="s">
        <v>40</v>
      </c>
      <c r="H2692" s="80" t="s">
        <v>314</v>
      </c>
      <c r="I2692" s="80" t="s">
        <v>35</v>
      </c>
      <c r="J2692" s="80" t="s">
        <v>359</v>
      </c>
      <c r="K2692" s="80" t="s">
        <v>339</v>
      </c>
      <c r="L2692" s="80" t="s">
        <v>352</v>
      </c>
      <c r="M2692" s="81">
        <v>9.33</v>
      </c>
      <c r="N2692" s="82">
        <v>373.2</v>
      </c>
    </row>
    <row r="2693" spans="1:14" x14ac:dyDescent="0.25">
      <c r="A2693" s="10" t="str">
        <f>_xlfn.IFNA(
    IF(J2693=
        "PCB-0001",
        "CSS",
        IF(
            ISNUMBER(MATCH(_xlfn.TEXTBEFORE(J2693,"-"), {"CSS","CSN","PCB","PCF","BEC","CSD","PCM"}, 0)),
            _xlfn.TEXTBEFORE(J2693,"-"),
            "Other"
        )
    ),
"Add")</f>
        <v>BEC</v>
      </c>
      <c r="B2693" s="10" t="str">
        <f t="shared" si="43"/>
        <v>0001</v>
      </c>
      <c r="C2693" s="10" t="str">
        <f>_xlfn.LET(
    _xlpm.val, IF(Datadetails[[#This Row],[Activity]]="D02","C20",Datadetails[[#This Row],[Activity]]),
    IF(ISNUMBER(MATCH(_xlpm.val,{"D04","C30","c40","C20"},0)), _xlpm.val, "Other")
)</f>
        <v>D04</v>
      </c>
      <c r="D2693" s="10" t="str">
        <f>IFERROR(VLOOKUP(Datadetails[[#This Row],[Taskcode]],Dashboard!A:A,1,FALSE),"00 Err Missing")</f>
        <v>0001</v>
      </c>
      <c r="E2693" s="79">
        <v>45950</v>
      </c>
      <c r="F2693" s="80" t="s">
        <v>324</v>
      </c>
      <c r="G2693" s="60" t="s">
        <v>40</v>
      </c>
      <c r="H2693" s="80" t="s">
        <v>314</v>
      </c>
      <c r="I2693" s="80" t="s">
        <v>35</v>
      </c>
      <c r="J2693" s="80" t="s">
        <v>359</v>
      </c>
      <c r="K2693" s="80" t="s">
        <v>339</v>
      </c>
      <c r="L2693" s="80" t="s">
        <v>352</v>
      </c>
      <c r="M2693" s="81">
        <v>4</v>
      </c>
      <c r="N2693" s="82">
        <v>300</v>
      </c>
    </row>
    <row r="2694" spans="1:14" x14ac:dyDescent="0.25">
      <c r="A2694" s="10" t="str">
        <f>_xlfn.IFNA(
    IF(J2694=
        "PCB-0001",
        "CSS",
        IF(
            ISNUMBER(MATCH(_xlfn.TEXTBEFORE(J2694,"-"), {"CSS","CSN","PCB","PCF","BEC","CSD","PCM"}, 0)),
            _xlfn.TEXTBEFORE(J2694,"-"),
            "Other"
        )
    ),
"Add")</f>
        <v>CSD</v>
      </c>
      <c r="B2694" s="10" t="str">
        <f t="shared" si="43"/>
        <v>0001</v>
      </c>
      <c r="C2694" s="10" t="str">
        <f>_xlfn.LET(
    _xlpm.val, IF(Datadetails[[#This Row],[Activity]]="D02","C20",Datadetails[[#This Row],[Activity]]),
    IF(ISNUMBER(MATCH(_xlpm.val,{"D04","C30","c40","C20"},0)), _xlpm.val, "Other")
)</f>
        <v>D04</v>
      </c>
      <c r="D2694" s="10" t="str">
        <f>IFERROR(VLOOKUP(Datadetails[[#This Row],[Taskcode]],Dashboard!A:A,1,FALSE),"00 Err Missing")</f>
        <v>0001</v>
      </c>
      <c r="E2694" s="79">
        <v>45950</v>
      </c>
      <c r="F2694" s="80" t="s">
        <v>333</v>
      </c>
      <c r="G2694" s="60" t="s">
        <v>40</v>
      </c>
      <c r="H2694" s="80" t="s">
        <v>320</v>
      </c>
      <c r="I2694" s="80" t="s">
        <v>35</v>
      </c>
      <c r="J2694" s="80" t="s">
        <v>322</v>
      </c>
      <c r="K2694" s="80" t="s">
        <v>319</v>
      </c>
      <c r="L2694" s="80" t="s">
        <v>352</v>
      </c>
      <c r="M2694" s="81">
        <v>7.58</v>
      </c>
      <c r="N2694" s="82">
        <v>242.56</v>
      </c>
    </row>
    <row r="2695" spans="1:14" x14ac:dyDescent="0.25">
      <c r="A2695" s="10" t="str">
        <f>_xlfn.IFNA(
    IF(J2695=
        "PCB-0001",
        "CSS",
        IF(
            ISNUMBER(MATCH(_xlfn.TEXTBEFORE(J2695,"-"), {"CSS","CSN","PCB","PCF","BEC","CSD","PCM"}, 0)),
            _xlfn.TEXTBEFORE(J2695,"-"),
            "Other"
        )
    ),
"Add")</f>
        <v>CSD</v>
      </c>
      <c r="B2695" s="10" t="str">
        <f t="shared" si="43"/>
        <v>0001</v>
      </c>
      <c r="C2695" s="10" t="str">
        <f>_xlfn.LET(
    _xlpm.val, IF(Datadetails[[#This Row],[Activity]]="D02","C20",Datadetails[[#This Row],[Activity]]),
    IF(ISNUMBER(MATCH(_xlpm.val,{"D04","C30","c40","C20"},0)), _xlpm.val, "Other")
)</f>
        <v>D04</v>
      </c>
      <c r="D2695" s="10" t="str">
        <f>IFERROR(VLOOKUP(Datadetails[[#This Row],[Taskcode]],Dashboard!A:A,1,FALSE),"00 Err Missing")</f>
        <v>0001</v>
      </c>
      <c r="E2695" s="79">
        <v>45950</v>
      </c>
      <c r="F2695" s="80" t="s">
        <v>327</v>
      </c>
      <c r="G2695" s="60" t="s">
        <v>40</v>
      </c>
      <c r="H2695" s="80" t="s">
        <v>320</v>
      </c>
      <c r="I2695" s="80" t="s">
        <v>35</v>
      </c>
      <c r="J2695" s="80" t="s">
        <v>322</v>
      </c>
      <c r="K2695" s="80" t="s">
        <v>319</v>
      </c>
      <c r="L2695" s="80" t="s">
        <v>352</v>
      </c>
      <c r="M2695" s="81">
        <v>7.5</v>
      </c>
      <c r="N2695" s="82">
        <v>240</v>
      </c>
    </row>
    <row r="2696" spans="1:14" x14ac:dyDescent="0.25">
      <c r="A2696" s="10" t="str">
        <f>_xlfn.IFNA(
    IF(J2696=
        "PCB-0001",
        "CSS",
        IF(
            ISNUMBER(MATCH(_xlfn.TEXTBEFORE(J2696,"-"), {"CSS","CSN","PCB","PCF","BEC","CSD","PCM"}, 0)),
            _xlfn.TEXTBEFORE(J2696,"-"),
            "Other"
        )
    ),
"Add")</f>
        <v>PCB</v>
      </c>
      <c r="B2696" s="10" t="str">
        <f t="shared" si="43"/>
        <v>0029</v>
      </c>
      <c r="C2696" s="10" t="str">
        <f>_xlfn.LET(
    _xlpm.val, IF(Datadetails[[#This Row],[Activity]]="D02","C20",Datadetails[[#This Row],[Activity]]),
    IF(ISNUMBER(MATCH(_xlpm.val,{"D04","C30","c40","C20"},0)), _xlpm.val, "Other")
)</f>
        <v>C30</v>
      </c>
      <c r="D2696" s="10" t="str">
        <f>IFERROR(VLOOKUP(Datadetails[[#This Row],[Taskcode]],Dashboard!A:A,1,FALSE),"00 Err Missing")</f>
        <v>0029</v>
      </c>
      <c r="E2696" s="79">
        <v>45950</v>
      </c>
      <c r="F2696" s="80" t="s">
        <v>330</v>
      </c>
      <c r="G2696" s="60" t="s">
        <v>40</v>
      </c>
      <c r="H2696" s="80" t="s">
        <v>196</v>
      </c>
      <c r="I2696" s="80" t="s">
        <v>34</v>
      </c>
      <c r="J2696" s="80" t="s">
        <v>446</v>
      </c>
      <c r="K2696" s="80" t="s">
        <v>347</v>
      </c>
      <c r="L2696" s="80" t="s">
        <v>343</v>
      </c>
      <c r="M2696" s="81">
        <v>0.5</v>
      </c>
      <c r="N2696" s="82">
        <v>30</v>
      </c>
    </row>
    <row r="2697" spans="1:14" x14ac:dyDescent="0.25">
      <c r="A2697" s="10" t="str">
        <f>_xlfn.IFNA(
    IF(J2697=
        "PCB-0001",
        "CSS",
        IF(
            ISNUMBER(MATCH(_xlfn.TEXTBEFORE(J2697,"-"), {"CSS","CSN","PCB","PCF","BEC","CSD","PCM"}, 0)),
            _xlfn.TEXTBEFORE(J2697,"-"),
            "Other"
        )
    ),
"Add")</f>
        <v>PCB</v>
      </c>
      <c r="B2697" s="10" t="str">
        <f t="shared" si="43"/>
        <v>0038</v>
      </c>
      <c r="C2697" s="10" t="str">
        <f>_xlfn.LET(
    _xlpm.val, IF(Datadetails[[#This Row],[Activity]]="D02","C20",Datadetails[[#This Row],[Activity]]),
    IF(ISNUMBER(MATCH(_xlpm.val,{"D04","C30","c40","C20"},0)), _xlpm.val, "Other")
)</f>
        <v>C30</v>
      </c>
      <c r="D2697" s="10" t="str">
        <f>IFERROR(VLOOKUP(Datadetails[[#This Row],[Taskcode]],Dashboard!A:A,1,FALSE),"00 Err Missing")</f>
        <v>0038</v>
      </c>
      <c r="E2697" s="79">
        <v>45950</v>
      </c>
      <c r="F2697" s="80" t="s">
        <v>325</v>
      </c>
      <c r="G2697" s="60" t="s">
        <v>40</v>
      </c>
      <c r="H2697" s="80" t="s">
        <v>205</v>
      </c>
      <c r="I2697" s="80" t="s">
        <v>34</v>
      </c>
      <c r="J2697" s="80" t="s">
        <v>470</v>
      </c>
      <c r="K2697" s="80" t="s">
        <v>347</v>
      </c>
      <c r="L2697" s="80" t="s">
        <v>343</v>
      </c>
      <c r="M2697" s="81">
        <v>0.17</v>
      </c>
      <c r="N2697" s="82">
        <v>12.750000000000002</v>
      </c>
    </row>
    <row r="2698" spans="1:14" x14ac:dyDescent="0.25">
      <c r="A2698" s="10" t="str">
        <f>_xlfn.IFNA(
    IF(J2698=
        "PCB-0001",
        "CSS",
        IF(
            ISNUMBER(MATCH(_xlfn.TEXTBEFORE(J2698,"-"), {"CSS","CSN","PCB","PCF","BEC","CSD","PCM"}, 0)),
            _xlfn.TEXTBEFORE(J2698,"-"),
            "Other"
        )
    ),
"Add")</f>
        <v>PCB</v>
      </c>
      <c r="B2698" s="10" t="str">
        <f t="shared" si="43"/>
        <v>0077</v>
      </c>
      <c r="C2698" s="10" t="str">
        <f>_xlfn.LET(
    _xlpm.val, IF(Datadetails[[#This Row],[Activity]]="D02","C20",Datadetails[[#This Row],[Activity]]),
    IF(ISNUMBER(MATCH(_xlpm.val,{"D04","C30","c40","C20"},0)), _xlpm.val, "Other")
)</f>
        <v>C30</v>
      </c>
      <c r="D2698" s="10" t="str">
        <f>IFERROR(VLOOKUP(Datadetails[[#This Row],[Taskcode]],Dashboard!A:A,1,FALSE),"00 Err Missing")</f>
        <v>0077</v>
      </c>
      <c r="E2698" s="79">
        <v>45950</v>
      </c>
      <c r="F2698" s="80" t="s">
        <v>330</v>
      </c>
      <c r="G2698" s="60" t="s">
        <v>40</v>
      </c>
      <c r="H2698" s="80" t="s">
        <v>244</v>
      </c>
      <c r="I2698" s="80" t="s">
        <v>34</v>
      </c>
      <c r="J2698" s="80" t="s">
        <v>457</v>
      </c>
      <c r="K2698" s="80" t="s">
        <v>347</v>
      </c>
      <c r="L2698" s="80" t="s">
        <v>343</v>
      </c>
      <c r="M2698" s="81">
        <v>0.5</v>
      </c>
      <c r="N2698" s="82">
        <v>30</v>
      </c>
    </row>
    <row r="2699" spans="1:14" x14ac:dyDescent="0.25">
      <c r="A2699" s="10" t="str">
        <f>_xlfn.IFNA(
    IF(J2699=
        "PCB-0001",
        "CSS",
        IF(
            ISNUMBER(MATCH(_xlfn.TEXTBEFORE(J2699,"-"), {"CSS","CSN","PCB","PCF","BEC","CSD","PCM"}, 0)),
            _xlfn.TEXTBEFORE(J2699,"-"),
            "Other"
        )
    ),
"Add")</f>
        <v>PCB</v>
      </c>
      <c r="B2699" s="10" t="str">
        <f t="shared" si="43"/>
        <v>0140</v>
      </c>
      <c r="C2699" s="10" t="str">
        <f>_xlfn.LET(
    _xlpm.val, IF(Datadetails[[#This Row],[Activity]]="D02","C20",Datadetails[[#This Row],[Activity]]),
    IF(ISNUMBER(MATCH(_xlpm.val,{"D04","C30","c40","C20"},0)), _xlpm.val, "Other")
)</f>
        <v>C30</v>
      </c>
      <c r="D2699" s="10" t="str">
        <f>IFERROR(VLOOKUP(Datadetails[[#This Row],[Taskcode]],Dashboard!A:A,1,FALSE),"00 Err Missing")</f>
        <v>0140</v>
      </c>
      <c r="E2699" s="79">
        <v>45950</v>
      </c>
      <c r="F2699" s="80" t="s">
        <v>325</v>
      </c>
      <c r="G2699" s="60" t="s">
        <v>40</v>
      </c>
      <c r="H2699" s="80" t="s">
        <v>307</v>
      </c>
      <c r="I2699" s="80" t="s">
        <v>34</v>
      </c>
      <c r="J2699" s="80" t="s">
        <v>472</v>
      </c>
      <c r="K2699" s="80" t="s">
        <v>347</v>
      </c>
      <c r="L2699" s="80" t="s">
        <v>343</v>
      </c>
      <c r="M2699" s="81">
        <v>0.17</v>
      </c>
      <c r="N2699" s="82">
        <v>12.750000000000002</v>
      </c>
    </row>
    <row r="2700" spans="1:14" x14ac:dyDescent="0.25">
      <c r="A2700" s="10" t="str">
        <f>_xlfn.IFNA(
    IF(J2700=
        "PCB-0001",
        "CSS",
        IF(
            ISNUMBER(MATCH(_xlfn.TEXTBEFORE(J2700,"-"), {"CSS","CSN","PCB","PCF","BEC","CSD","PCM"}, 0)),
            _xlfn.TEXTBEFORE(J2700,"-"),
            "Other"
        )
    ),
"Add")</f>
        <v>PCB</v>
      </c>
      <c r="B2700" s="10" t="str">
        <f t="shared" si="43"/>
        <v>0131</v>
      </c>
      <c r="C2700" s="10" t="str">
        <f>_xlfn.LET(
    _xlpm.val, IF(Datadetails[[#This Row],[Activity]]="D02","C20",Datadetails[[#This Row],[Activity]]),
    IF(ISNUMBER(MATCH(_xlpm.val,{"D04","C30","c40","C20"},0)), _xlpm.val, "Other")
)</f>
        <v>C30</v>
      </c>
      <c r="D2700" s="10" t="str">
        <f>IFERROR(VLOOKUP(Datadetails[[#This Row],[Taskcode]],Dashboard!A:A,1,FALSE),"00 Err Missing")</f>
        <v>0131</v>
      </c>
      <c r="E2700" s="79">
        <v>45950</v>
      </c>
      <c r="F2700" s="80" t="s">
        <v>325</v>
      </c>
      <c r="G2700" s="60" t="s">
        <v>40</v>
      </c>
      <c r="H2700" s="80" t="s">
        <v>298</v>
      </c>
      <c r="I2700" s="80" t="s">
        <v>34</v>
      </c>
      <c r="J2700" s="80" t="s">
        <v>406</v>
      </c>
      <c r="K2700" s="80" t="s">
        <v>347</v>
      </c>
      <c r="L2700" s="80" t="s">
        <v>343</v>
      </c>
      <c r="M2700" s="81">
        <v>0.17</v>
      </c>
      <c r="N2700" s="82">
        <v>12.750000000000002</v>
      </c>
    </row>
    <row r="2701" spans="1:14" x14ac:dyDescent="0.25">
      <c r="A2701" s="10" t="str">
        <f>_xlfn.IFNA(
    IF(J2701=
        "PCB-0001",
        "CSS",
        IF(
            ISNUMBER(MATCH(_xlfn.TEXTBEFORE(J2701,"-"), {"CSS","CSN","PCB","PCF","BEC","CSD","PCM"}, 0)),
            _xlfn.TEXTBEFORE(J2701,"-"),
            "Other"
        )
    ),
"Add")</f>
        <v>PCB</v>
      </c>
      <c r="B2701" s="10" t="str">
        <f t="shared" si="43"/>
        <v>0086</v>
      </c>
      <c r="C2701" s="10" t="str">
        <f>_xlfn.LET(
    _xlpm.val, IF(Datadetails[[#This Row],[Activity]]="D02","C20",Datadetails[[#This Row],[Activity]]),
    IF(ISNUMBER(MATCH(_xlpm.val,{"D04","C30","c40","C20"},0)), _xlpm.val, "Other")
)</f>
        <v>C30</v>
      </c>
      <c r="D2701" s="10" t="str">
        <f>IFERROR(VLOOKUP(Datadetails[[#This Row],[Taskcode]],Dashboard!A:A,1,FALSE),"00 Err Missing")</f>
        <v>0086</v>
      </c>
      <c r="E2701" s="79">
        <v>45950</v>
      </c>
      <c r="F2701" s="80" t="s">
        <v>325</v>
      </c>
      <c r="G2701" s="60" t="s">
        <v>40</v>
      </c>
      <c r="H2701" s="80" t="s">
        <v>253</v>
      </c>
      <c r="I2701" s="80" t="s">
        <v>34</v>
      </c>
      <c r="J2701" s="80" t="s">
        <v>408</v>
      </c>
      <c r="K2701" s="80" t="s">
        <v>347</v>
      </c>
      <c r="L2701" s="80" t="s">
        <v>343</v>
      </c>
      <c r="M2701" s="81">
        <v>0.33</v>
      </c>
      <c r="N2701" s="82">
        <v>24.75</v>
      </c>
    </row>
    <row r="2702" spans="1:14" x14ac:dyDescent="0.25">
      <c r="A2702" s="10" t="str">
        <f>_xlfn.IFNA(
    IF(J2702=
        "PCB-0001",
        "CSS",
        IF(
            ISNUMBER(MATCH(_xlfn.TEXTBEFORE(J2702,"-"), {"CSS","CSN","PCB","PCF","BEC","CSD","PCM"}, 0)),
            _xlfn.TEXTBEFORE(J2702,"-"),
            "Other"
        )
    ),
"Add")</f>
        <v>CSN</v>
      </c>
      <c r="B2702" s="10" t="str">
        <f t="shared" si="43"/>
        <v>0001</v>
      </c>
      <c r="C2702" s="10" t="str">
        <f>_xlfn.LET(
    _xlpm.val, IF(Datadetails[[#This Row],[Activity]]="D02","C20",Datadetails[[#This Row],[Activity]]),
    IF(ISNUMBER(MATCH(_xlpm.val,{"D04","C30","c40","C20"},0)), _xlpm.val, "Other")
)</f>
        <v>D04</v>
      </c>
      <c r="D2702" s="10" t="str">
        <f>IFERROR(VLOOKUP(Datadetails[[#This Row],[Taskcode]],Dashboard!A:A,1,FALSE),"00 Err Missing")</f>
        <v>0001</v>
      </c>
      <c r="E2702" s="79">
        <v>45951</v>
      </c>
      <c r="F2702" s="80" t="s">
        <v>329</v>
      </c>
      <c r="G2702" s="60" t="s">
        <v>40</v>
      </c>
      <c r="H2702" s="80" t="s">
        <v>316</v>
      </c>
      <c r="I2702" s="80" t="s">
        <v>35</v>
      </c>
      <c r="J2702" s="80" t="s">
        <v>338</v>
      </c>
      <c r="K2702" s="80" t="s">
        <v>337</v>
      </c>
      <c r="L2702" s="80" t="s">
        <v>352</v>
      </c>
      <c r="M2702" s="81">
        <v>1.08</v>
      </c>
      <c r="N2702" s="82">
        <v>81</v>
      </c>
    </row>
    <row r="2703" spans="1:14" x14ac:dyDescent="0.25">
      <c r="A2703" s="10" t="str">
        <f>_xlfn.IFNA(
    IF(J2703=
        "PCB-0001",
        "CSS",
        IF(
            ISNUMBER(MATCH(_xlfn.TEXTBEFORE(J2703,"-"), {"CSS","CSN","PCB","PCF","BEC","CSD","PCM"}, 0)),
            _xlfn.TEXTBEFORE(J2703,"-"),
            "Other"
        )
    ),
"Add")</f>
        <v>PCB</v>
      </c>
      <c r="B2703" s="10" t="str">
        <f t="shared" si="43"/>
        <v>0038</v>
      </c>
      <c r="C2703" s="10" t="str">
        <f>_xlfn.LET(
    _xlpm.val, IF(Datadetails[[#This Row],[Activity]]="D02","C20",Datadetails[[#This Row],[Activity]]),
    IF(ISNUMBER(MATCH(_xlpm.val,{"D04","C30","c40","C20"},0)), _xlpm.val, "Other")
)</f>
        <v>C40</v>
      </c>
      <c r="D2703" s="10" t="str">
        <f>IFERROR(VLOOKUP(Datadetails[[#This Row],[Taskcode]],Dashboard!A:A,1,FALSE),"00 Err Missing")</f>
        <v>0038</v>
      </c>
      <c r="E2703" s="79">
        <v>45951</v>
      </c>
      <c r="F2703" s="80" t="s">
        <v>325</v>
      </c>
      <c r="G2703" s="60" t="s">
        <v>40</v>
      </c>
      <c r="H2703" s="80" t="s">
        <v>205</v>
      </c>
      <c r="I2703" s="80" t="s">
        <v>341</v>
      </c>
      <c r="J2703" s="80" t="s">
        <v>470</v>
      </c>
      <c r="K2703" s="80" t="s">
        <v>347</v>
      </c>
      <c r="L2703" s="80" t="s">
        <v>344</v>
      </c>
      <c r="M2703" s="81">
        <v>1.92</v>
      </c>
      <c r="N2703" s="82">
        <v>144</v>
      </c>
    </row>
    <row r="2704" spans="1:14" x14ac:dyDescent="0.25">
      <c r="A2704" s="10" t="str">
        <f>_xlfn.IFNA(
    IF(J2704=
        "PCB-0001",
        "CSS",
        IF(
            ISNUMBER(MATCH(_xlfn.TEXTBEFORE(J2704,"-"), {"CSS","CSN","PCB","PCF","BEC","CSD","PCM"}, 0)),
            _xlfn.TEXTBEFORE(J2704,"-"),
            "Other"
        )
    ),
"Add")</f>
        <v>PCM</v>
      </c>
      <c r="B2704" s="10" t="str">
        <f t="shared" si="43"/>
        <v>0001</v>
      </c>
      <c r="C2704" s="10" t="str">
        <f>_xlfn.LET(
    _xlpm.val, IF(Datadetails[[#This Row],[Activity]]="D02","C20",Datadetails[[#This Row],[Activity]]),
    IF(ISNUMBER(MATCH(_xlpm.val,{"D04","C30","c40","C20"},0)), _xlpm.val, "Other")
)</f>
        <v>C20</v>
      </c>
      <c r="D2704" s="10" t="str">
        <f>IFERROR(VLOOKUP(Datadetails[[#This Row],[Taskcode]],Dashboard!A:A,1,FALSE),"00 Err Missing")</f>
        <v>0001</v>
      </c>
      <c r="E2704" s="79">
        <v>45951</v>
      </c>
      <c r="F2704" s="80" t="s">
        <v>323</v>
      </c>
      <c r="G2704" s="60" t="s">
        <v>40</v>
      </c>
      <c r="H2704" s="80" t="s">
        <v>168</v>
      </c>
      <c r="I2704" s="80" t="s">
        <v>36</v>
      </c>
      <c r="J2704" s="80" t="s">
        <v>419</v>
      </c>
      <c r="K2704" s="80" t="s">
        <v>346</v>
      </c>
      <c r="L2704" s="80" t="s">
        <v>342</v>
      </c>
      <c r="M2704" s="81">
        <v>0.25</v>
      </c>
      <c r="N2704" s="82">
        <v>15</v>
      </c>
    </row>
    <row r="2705" spans="1:14" x14ac:dyDescent="0.25">
      <c r="A2705" s="10" t="str">
        <f>_xlfn.IFNA(
    IF(J2705=
        "PCB-0001",
        "CSS",
        IF(
            ISNUMBER(MATCH(_xlfn.TEXTBEFORE(J2705,"-"), {"CSS","CSN","PCB","PCF","BEC","CSD","PCM"}, 0)),
            _xlfn.TEXTBEFORE(J2705,"-"),
            "Other"
        )
    ),
"Add")</f>
        <v>PCM</v>
      </c>
      <c r="B2705" s="10" t="str">
        <f t="shared" si="43"/>
        <v>0005</v>
      </c>
      <c r="C2705" s="10" t="str">
        <f>_xlfn.LET(
    _xlpm.val, IF(Datadetails[[#This Row],[Activity]]="D02","C20",Datadetails[[#This Row],[Activity]]),
    IF(ISNUMBER(MATCH(_xlpm.val,{"D04","C30","c40","C20"},0)), _xlpm.val, "Other")
)</f>
        <v>C20</v>
      </c>
      <c r="D2705" s="10" t="str">
        <f>IFERROR(VLOOKUP(Datadetails[[#This Row],[Taskcode]],Dashboard!A:A,1,FALSE),"00 Err Missing")</f>
        <v>0005</v>
      </c>
      <c r="E2705" s="79">
        <v>45951</v>
      </c>
      <c r="F2705" s="80" t="s">
        <v>323</v>
      </c>
      <c r="G2705" s="60" t="s">
        <v>40</v>
      </c>
      <c r="H2705" s="80" t="s">
        <v>172</v>
      </c>
      <c r="I2705" s="80" t="s">
        <v>36</v>
      </c>
      <c r="J2705" s="80" t="s">
        <v>426</v>
      </c>
      <c r="K2705" s="80" t="s">
        <v>346</v>
      </c>
      <c r="L2705" s="80" t="s">
        <v>342</v>
      </c>
      <c r="M2705" s="81">
        <v>0.25</v>
      </c>
      <c r="N2705" s="82">
        <v>15</v>
      </c>
    </row>
    <row r="2706" spans="1:14" x14ac:dyDescent="0.25">
      <c r="A2706" s="10" t="str">
        <f>_xlfn.IFNA(
    IF(J2706=
        "PCB-0001",
        "CSS",
        IF(
            ISNUMBER(MATCH(_xlfn.TEXTBEFORE(J2706,"-"), {"CSS","CSN","PCB","PCF","BEC","CSD","PCM"}, 0)),
            _xlfn.TEXTBEFORE(J2706,"-"),
            "Other"
        )
    ),
"Add")</f>
        <v>PCM</v>
      </c>
      <c r="B2706" s="10" t="str">
        <f t="shared" si="43"/>
        <v>0034</v>
      </c>
      <c r="C2706" s="10" t="str">
        <f>_xlfn.LET(
    _xlpm.val, IF(Datadetails[[#This Row],[Activity]]="D02","C20",Datadetails[[#This Row],[Activity]]),
    IF(ISNUMBER(MATCH(_xlpm.val,{"D04","C30","c40","C20"},0)), _xlpm.val, "Other")
)</f>
        <v>C20</v>
      </c>
      <c r="D2706" s="10" t="str">
        <f>IFERROR(VLOOKUP(Datadetails[[#This Row],[Taskcode]],Dashboard!A:A,1,FALSE),"00 Err Missing")</f>
        <v>0034</v>
      </c>
      <c r="E2706" s="79">
        <v>45951</v>
      </c>
      <c r="F2706" s="80" t="s">
        <v>323</v>
      </c>
      <c r="G2706" s="60" t="s">
        <v>40</v>
      </c>
      <c r="H2706" s="80" t="s">
        <v>201</v>
      </c>
      <c r="I2706" s="80" t="s">
        <v>36</v>
      </c>
      <c r="J2706" s="80" t="s">
        <v>395</v>
      </c>
      <c r="K2706" s="80" t="s">
        <v>346</v>
      </c>
      <c r="L2706" s="80" t="s">
        <v>342</v>
      </c>
      <c r="M2706" s="81">
        <v>0.25</v>
      </c>
      <c r="N2706" s="82">
        <v>15</v>
      </c>
    </row>
    <row r="2707" spans="1:14" x14ac:dyDescent="0.25">
      <c r="A2707" s="10" t="str">
        <f>_xlfn.IFNA(
    IF(J2707=
        "PCB-0001",
        "CSS",
        IF(
            ISNUMBER(MATCH(_xlfn.TEXTBEFORE(J2707,"-"), {"CSS","CSN","PCB","PCF","BEC","CSD","PCM"}, 0)),
            _xlfn.TEXTBEFORE(J2707,"-"),
            "Other"
        )
    ),
"Add")</f>
        <v>PCM</v>
      </c>
      <c r="B2707" s="10" t="str">
        <f t="shared" si="43"/>
        <v>0035</v>
      </c>
      <c r="C2707" s="10" t="str">
        <f>_xlfn.LET(
    _xlpm.val, IF(Datadetails[[#This Row],[Activity]]="D02","C20",Datadetails[[#This Row],[Activity]]),
    IF(ISNUMBER(MATCH(_xlpm.val,{"D04","C30","c40","C20"},0)), _xlpm.val, "Other")
)</f>
        <v>C20</v>
      </c>
      <c r="D2707" s="10" t="str">
        <f>IFERROR(VLOOKUP(Datadetails[[#This Row],[Taskcode]],Dashboard!A:A,1,FALSE),"00 Err Missing")</f>
        <v>0035</v>
      </c>
      <c r="E2707" s="79">
        <v>45951</v>
      </c>
      <c r="F2707" s="80" t="s">
        <v>323</v>
      </c>
      <c r="G2707" s="60" t="s">
        <v>40</v>
      </c>
      <c r="H2707" s="80" t="s">
        <v>202</v>
      </c>
      <c r="I2707" s="80" t="s">
        <v>36</v>
      </c>
      <c r="J2707" s="80" t="s">
        <v>431</v>
      </c>
      <c r="K2707" s="80" t="s">
        <v>346</v>
      </c>
      <c r="L2707" s="80" t="s">
        <v>342</v>
      </c>
      <c r="M2707" s="81">
        <v>0.25</v>
      </c>
      <c r="N2707" s="82">
        <v>15</v>
      </c>
    </row>
    <row r="2708" spans="1:14" x14ac:dyDescent="0.25">
      <c r="A2708" s="10" t="str">
        <f>_xlfn.IFNA(
    IF(J2708=
        "PCB-0001",
        "CSS",
        IF(
            ISNUMBER(MATCH(_xlfn.TEXTBEFORE(J2708,"-"), {"CSS","CSN","PCB","PCF","BEC","CSD","PCM"}, 0)),
            _xlfn.TEXTBEFORE(J2708,"-"),
            "Other"
        )
    ),
"Add")</f>
        <v>PCM</v>
      </c>
      <c r="B2708" s="10" t="str">
        <f t="shared" si="43"/>
        <v>0049</v>
      </c>
      <c r="C2708" s="10" t="str">
        <f>_xlfn.LET(
    _xlpm.val, IF(Datadetails[[#This Row],[Activity]]="D02","C20",Datadetails[[#This Row],[Activity]]),
    IF(ISNUMBER(MATCH(_xlpm.val,{"D04","C30","c40","C20"},0)), _xlpm.val, "Other")
)</f>
        <v>C20</v>
      </c>
      <c r="D2708" s="10" t="str">
        <f>IFERROR(VLOOKUP(Datadetails[[#This Row],[Taskcode]],Dashboard!A:A,1,FALSE),"00 Err Missing")</f>
        <v>0049</v>
      </c>
      <c r="E2708" s="79">
        <v>45951</v>
      </c>
      <c r="F2708" s="80" t="s">
        <v>323</v>
      </c>
      <c r="G2708" s="60" t="s">
        <v>40</v>
      </c>
      <c r="H2708" s="80" t="s">
        <v>216</v>
      </c>
      <c r="I2708" s="80" t="s">
        <v>36</v>
      </c>
      <c r="J2708" s="80" t="s">
        <v>473</v>
      </c>
      <c r="K2708" s="80" t="s">
        <v>346</v>
      </c>
      <c r="L2708" s="80" t="s">
        <v>342</v>
      </c>
      <c r="M2708" s="81">
        <v>0.25</v>
      </c>
      <c r="N2708" s="82">
        <v>15</v>
      </c>
    </row>
    <row r="2709" spans="1:14" x14ac:dyDescent="0.25">
      <c r="A2709" s="10" t="str">
        <f>_xlfn.IFNA(
    IF(J2709=
        "PCB-0001",
        "CSS",
        IF(
            ISNUMBER(MATCH(_xlfn.TEXTBEFORE(J2709,"-"), {"CSS","CSN","PCB","PCF","BEC","CSD","PCM"}, 0)),
            _xlfn.TEXTBEFORE(J2709,"-"),
            "Other"
        )
    ),
"Add")</f>
        <v>PCM</v>
      </c>
      <c r="B2709" s="10" t="str">
        <f t="shared" si="43"/>
        <v>0052</v>
      </c>
      <c r="C2709" s="10" t="str">
        <f>_xlfn.LET(
    _xlpm.val, IF(Datadetails[[#This Row],[Activity]]="D02","C20",Datadetails[[#This Row],[Activity]]),
    IF(ISNUMBER(MATCH(_xlpm.val,{"D04","C30","c40","C20"},0)), _xlpm.val, "Other")
)</f>
        <v>C20</v>
      </c>
      <c r="D2709" s="10" t="str">
        <f>IFERROR(VLOOKUP(Datadetails[[#This Row],[Taskcode]],Dashboard!A:A,1,FALSE),"00 Err Missing")</f>
        <v>0052</v>
      </c>
      <c r="E2709" s="79">
        <v>45951</v>
      </c>
      <c r="F2709" s="80" t="s">
        <v>323</v>
      </c>
      <c r="G2709" s="60" t="s">
        <v>40</v>
      </c>
      <c r="H2709" s="80" t="s">
        <v>219</v>
      </c>
      <c r="I2709" s="80" t="s">
        <v>36</v>
      </c>
      <c r="J2709" s="80" t="s">
        <v>432</v>
      </c>
      <c r="K2709" s="80" t="s">
        <v>346</v>
      </c>
      <c r="L2709" s="80" t="s">
        <v>342</v>
      </c>
      <c r="M2709" s="81">
        <v>0.25</v>
      </c>
      <c r="N2709" s="82">
        <v>15</v>
      </c>
    </row>
    <row r="2710" spans="1:14" x14ac:dyDescent="0.25">
      <c r="A2710" s="10" t="str">
        <f>_xlfn.IFNA(
    IF(J2710=
        "PCB-0001",
        "CSS",
        IF(
            ISNUMBER(MATCH(_xlfn.TEXTBEFORE(J2710,"-"), {"CSS","CSN","PCB","PCF","BEC","CSD","PCM"}, 0)),
            _xlfn.TEXTBEFORE(J2710,"-"),
            "Other"
        )
    ),
"Add")</f>
        <v>BEC</v>
      </c>
      <c r="B2710" s="10" t="str">
        <f t="shared" si="43"/>
        <v>0001</v>
      </c>
      <c r="C2710" s="10" t="str">
        <f>_xlfn.LET(
    _xlpm.val, IF(Datadetails[[#This Row],[Activity]]="D02","C20",Datadetails[[#This Row],[Activity]]),
    IF(ISNUMBER(MATCH(_xlpm.val,{"D04","C30","c40","C20"},0)), _xlpm.val, "Other")
)</f>
        <v>D04</v>
      </c>
      <c r="D2710" s="10" t="str">
        <f>IFERROR(VLOOKUP(Datadetails[[#This Row],[Taskcode]],Dashboard!A:A,1,FALSE),"00 Err Missing")</f>
        <v>0001</v>
      </c>
      <c r="E2710" s="79">
        <v>45951</v>
      </c>
      <c r="F2710" s="80" t="s">
        <v>332</v>
      </c>
      <c r="G2710" s="60" t="s">
        <v>40</v>
      </c>
      <c r="H2710" s="80" t="s">
        <v>314</v>
      </c>
      <c r="I2710" s="80" t="s">
        <v>35</v>
      </c>
      <c r="J2710" s="80" t="s">
        <v>359</v>
      </c>
      <c r="K2710" s="80" t="s">
        <v>339</v>
      </c>
      <c r="L2710" s="80" t="s">
        <v>352</v>
      </c>
      <c r="M2710" s="81">
        <v>8.17</v>
      </c>
      <c r="N2710" s="82">
        <v>326.8</v>
      </c>
    </row>
    <row r="2711" spans="1:14" x14ac:dyDescent="0.25">
      <c r="A2711" s="10" t="str">
        <f>_xlfn.IFNA(
    IF(J2711=
        "PCB-0001",
        "CSS",
        IF(
            ISNUMBER(MATCH(_xlfn.TEXTBEFORE(J2711,"-"), {"CSS","CSN","PCB","PCF","BEC","CSD","PCM"}, 0)),
            _xlfn.TEXTBEFORE(J2711,"-"),
            "Other"
        )
    ),
"Add")</f>
        <v>BEC</v>
      </c>
      <c r="B2711" s="10" t="str">
        <f t="shared" si="43"/>
        <v>0001</v>
      </c>
      <c r="C2711" s="10" t="str">
        <f>_xlfn.LET(
    _xlpm.val, IF(Datadetails[[#This Row],[Activity]]="D02","C20",Datadetails[[#This Row],[Activity]]),
    IF(ISNUMBER(MATCH(_xlpm.val,{"D04","C30","c40","C20"},0)), _xlpm.val, "Other")
)</f>
        <v>D04</v>
      </c>
      <c r="D2711" s="10" t="str">
        <f>IFERROR(VLOOKUP(Datadetails[[#This Row],[Taskcode]],Dashboard!A:A,1,FALSE),"00 Err Missing")</f>
        <v>0001</v>
      </c>
      <c r="E2711" s="79">
        <v>45951</v>
      </c>
      <c r="F2711" s="80" t="s">
        <v>324</v>
      </c>
      <c r="G2711" s="60" t="s">
        <v>40</v>
      </c>
      <c r="H2711" s="80" t="s">
        <v>314</v>
      </c>
      <c r="I2711" s="80" t="s">
        <v>35</v>
      </c>
      <c r="J2711" s="80" t="s">
        <v>359</v>
      </c>
      <c r="K2711" s="80" t="s">
        <v>339</v>
      </c>
      <c r="L2711" s="80" t="s">
        <v>352</v>
      </c>
      <c r="M2711" s="81">
        <v>7</v>
      </c>
      <c r="N2711" s="82">
        <v>525</v>
      </c>
    </row>
    <row r="2712" spans="1:14" x14ac:dyDescent="0.25">
      <c r="A2712" s="10" t="str">
        <f>_xlfn.IFNA(
    IF(J2712=
        "PCB-0001",
        "CSS",
        IF(
            ISNUMBER(MATCH(_xlfn.TEXTBEFORE(J2712,"-"), {"CSS","CSN","PCB","PCF","BEC","CSD","PCM"}, 0)),
            _xlfn.TEXTBEFORE(J2712,"-"),
            "Other"
        )
    ),
"Add")</f>
        <v>CSD</v>
      </c>
      <c r="B2712" s="10" t="str">
        <f t="shared" si="43"/>
        <v>0001</v>
      </c>
      <c r="C2712" s="10" t="str">
        <f>_xlfn.LET(
    _xlpm.val, IF(Datadetails[[#This Row],[Activity]]="D02","C20",Datadetails[[#This Row],[Activity]]),
    IF(ISNUMBER(MATCH(_xlpm.val,{"D04","C30","c40","C20"},0)), _xlpm.val, "Other")
)</f>
        <v>D04</v>
      </c>
      <c r="D2712" s="10" t="str">
        <f>IFERROR(VLOOKUP(Datadetails[[#This Row],[Taskcode]],Dashboard!A:A,1,FALSE),"00 Err Missing")</f>
        <v>0001</v>
      </c>
      <c r="E2712" s="79">
        <v>45951</v>
      </c>
      <c r="F2712" s="80" t="s">
        <v>333</v>
      </c>
      <c r="G2712" s="60" t="s">
        <v>40</v>
      </c>
      <c r="H2712" s="80" t="s">
        <v>320</v>
      </c>
      <c r="I2712" s="80" t="s">
        <v>35</v>
      </c>
      <c r="J2712" s="80" t="s">
        <v>322</v>
      </c>
      <c r="K2712" s="80" t="s">
        <v>319</v>
      </c>
      <c r="L2712" s="80" t="s">
        <v>352</v>
      </c>
      <c r="M2712" s="81">
        <v>7.83</v>
      </c>
      <c r="N2712" s="82">
        <v>250.56</v>
      </c>
    </row>
    <row r="2713" spans="1:14" x14ac:dyDescent="0.25">
      <c r="A2713" s="10" t="str">
        <f>_xlfn.IFNA(
    IF(J2713=
        "PCB-0001",
        "CSS",
        IF(
            ISNUMBER(MATCH(_xlfn.TEXTBEFORE(J2713,"-"), {"CSS","CSN","PCB","PCF","BEC","CSD","PCM"}, 0)),
            _xlfn.TEXTBEFORE(J2713,"-"),
            "Other"
        )
    ),
"Add")</f>
        <v>CSD</v>
      </c>
      <c r="B2713" s="10" t="str">
        <f t="shared" si="43"/>
        <v>0001</v>
      </c>
      <c r="C2713" s="10" t="str">
        <f>_xlfn.LET(
    _xlpm.val, IF(Datadetails[[#This Row],[Activity]]="D02","C20",Datadetails[[#This Row],[Activity]]),
    IF(ISNUMBER(MATCH(_xlpm.val,{"D04","C30","c40","C20"},0)), _xlpm.val, "Other")
)</f>
        <v>D04</v>
      </c>
      <c r="D2713" s="10" t="str">
        <f>IFERROR(VLOOKUP(Datadetails[[#This Row],[Taskcode]],Dashboard!A:A,1,FALSE),"00 Err Missing")</f>
        <v>0001</v>
      </c>
      <c r="E2713" s="79">
        <v>45951</v>
      </c>
      <c r="F2713" s="80" t="s">
        <v>327</v>
      </c>
      <c r="G2713" s="60" t="s">
        <v>40</v>
      </c>
      <c r="H2713" s="80" t="s">
        <v>320</v>
      </c>
      <c r="I2713" s="80" t="s">
        <v>35</v>
      </c>
      <c r="J2713" s="80" t="s">
        <v>322</v>
      </c>
      <c r="K2713" s="80" t="s">
        <v>319</v>
      </c>
      <c r="L2713" s="80" t="s">
        <v>352</v>
      </c>
      <c r="M2713" s="81">
        <v>4</v>
      </c>
      <c r="N2713" s="82">
        <v>128</v>
      </c>
    </row>
    <row r="2714" spans="1:14" x14ac:dyDescent="0.25">
      <c r="A2714" s="10" t="str">
        <f>_xlfn.IFNA(
    IF(J2714=
        "PCB-0001",
        "CSS",
        IF(
            ISNUMBER(MATCH(_xlfn.TEXTBEFORE(J2714,"-"), {"CSS","CSN","PCB","PCF","BEC","CSD","PCM"}, 0)),
            _xlfn.TEXTBEFORE(J2714,"-"),
            "Other"
        )
    ),
"Add")</f>
        <v>PCM</v>
      </c>
      <c r="B2714" s="10" t="str">
        <f t="shared" si="43"/>
        <v>0065</v>
      </c>
      <c r="C2714" s="10" t="str">
        <f>_xlfn.LET(
    _xlpm.val, IF(Datadetails[[#This Row],[Activity]]="D02","C20",Datadetails[[#This Row],[Activity]]),
    IF(ISNUMBER(MATCH(_xlpm.val,{"D04","C30","c40","C20"},0)), _xlpm.val, "Other")
)</f>
        <v>C20</v>
      </c>
      <c r="D2714" s="10" t="str">
        <f>IFERROR(VLOOKUP(Datadetails[[#This Row],[Taskcode]],Dashboard!A:A,1,FALSE),"00 Err Missing")</f>
        <v>0065</v>
      </c>
      <c r="E2714" s="79">
        <v>45951</v>
      </c>
      <c r="F2714" s="80" t="s">
        <v>323</v>
      </c>
      <c r="G2714" s="60" t="s">
        <v>40</v>
      </c>
      <c r="H2714" s="80" t="s">
        <v>232</v>
      </c>
      <c r="I2714" s="80" t="s">
        <v>36</v>
      </c>
      <c r="J2714" s="80" t="s">
        <v>393</v>
      </c>
      <c r="K2714" s="80" t="s">
        <v>346</v>
      </c>
      <c r="L2714" s="80" t="s">
        <v>342</v>
      </c>
      <c r="M2714" s="81">
        <v>0.25</v>
      </c>
      <c r="N2714" s="82">
        <v>15</v>
      </c>
    </row>
    <row r="2715" spans="1:14" x14ac:dyDescent="0.25">
      <c r="A2715" s="10" t="str">
        <f>_xlfn.IFNA(
    IF(J2715=
        "PCB-0001",
        "CSS",
        IF(
            ISNUMBER(MATCH(_xlfn.TEXTBEFORE(J2715,"-"), {"CSS","CSN","PCB","PCF","BEC","CSD","PCM"}, 0)),
            _xlfn.TEXTBEFORE(J2715,"-"),
            "Other"
        )
    ),
"Add")</f>
        <v>PCM</v>
      </c>
      <c r="B2715" s="10" t="str">
        <f t="shared" si="43"/>
        <v>0078</v>
      </c>
      <c r="C2715" s="10" t="str">
        <f>_xlfn.LET(
    _xlpm.val, IF(Datadetails[[#This Row],[Activity]]="D02","C20",Datadetails[[#This Row],[Activity]]),
    IF(ISNUMBER(MATCH(_xlpm.val,{"D04","C30","c40","C20"},0)), _xlpm.val, "Other")
)</f>
        <v>C20</v>
      </c>
      <c r="D2715" s="10" t="str">
        <f>IFERROR(VLOOKUP(Datadetails[[#This Row],[Taskcode]],Dashboard!A:A,1,FALSE),"00 Err Missing")</f>
        <v>0078</v>
      </c>
      <c r="E2715" s="79">
        <v>45951</v>
      </c>
      <c r="F2715" s="80" t="s">
        <v>323</v>
      </c>
      <c r="G2715" s="60" t="s">
        <v>40</v>
      </c>
      <c r="H2715" s="80" t="s">
        <v>245</v>
      </c>
      <c r="I2715" s="80" t="s">
        <v>36</v>
      </c>
      <c r="J2715" s="80" t="s">
        <v>435</v>
      </c>
      <c r="K2715" s="80" t="s">
        <v>346</v>
      </c>
      <c r="L2715" s="80" t="s">
        <v>342</v>
      </c>
      <c r="M2715" s="81">
        <v>0.25</v>
      </c>
      <c r="N2715" s="82">
        <v>15</v>
      </c>
    </row>
    <row r="2716" spans="1:14" x14ac:dyDescent="0.25">
      <c r="A2716" s="10" t="str">
        <f>_xlfn.IFNA(
    IF(J2716=
        "PCB-0001",
        "CSS",
        IF(
            ISNUMBER(MATCH(_xlfn.TEXTBEFORE(J2716,"-"), {"CSS","CSN","PCB","PCF","BEC","CSD","PCM"}, 0)),
            _xlfn.TEXTBEFORE(J2716,"-"),
            "Other"
        )
    ),
"Add")</f>
        <v>PCM</v>
      </c>
      <c r="B2716" s="10" t="str">
        <f t="shared" si="43"/>
        <v>0119</v>
      </c>
      <c r="C2716" s="10" t="str">
        <f>_xlfn.LET(
    _xlpm.val, IF(Datadetails[[#This Row],[Activity]]="D02","C20",Datadetails[[#This Row],[Activity]]),
    IF(ISNUMBER(MATCH(_xlpm.val,{"D04","C30","c40","C20"},0)), _xlpm.val, "Other")
)</f>
        <v>C20</v>
      </c>
      <c r="D2716" s="10" t="str">
        <f>IFERROR(VLOOKUP(Datadetails[[#This Row],[Taskcode]],Dashboard!A:A,1,FALSE),"00 Err Missing")</f>
        <v>0119</v>
      </c>
      <c r="E2716" s="79">
        <v>45951</v>
      </c>
      <c r="F2716" s="80" t="s">
        <v>323</v>
      </c>
      <c r="G2716" s="60" t="s">
        <v>40</v>
      </c>
      <c r="H2716" s="80" t="s">
        <v>286</v>
      </c>
      <c r="I2716" s="80" t="s">
        <v>36</v>
      </c>
      <c r="J2716" s="80" t="s">
        <v>434</v>
      </c>
      <c r="K2716" s="80" t="s">
        <v>346</v>
      </c>
      <c r="L2716" s="80" t="s">
        <v>342</v>
      </c>
      <c r="M2716" s="81">
        <v>0.25</v>
      </c>
      <c r="N2716" s="82">
        <v>15</v>
      </c>
    </row>
    <row r="2717" spans="1:14" x14ac:dyDescent="0.25">
      <c r="A2717" s="10" t="str">
        <f>_xlfn.IFNA(
    IF(J2717=
        "PCB-0001",
        "CSS",
        IF(
            ISNUMBER(MATCH(_xlfn.TEXTBEFORE(J2717,"-"), {"CSS","CSN","PCB","PCF","BEC","CSD","PCM"}, 0)),
            _xlfn.TEXTBEFORE(J2717,"-"),
            "Other"
        )
    ),
"Add")</f>
        <v>PCM</v>
      </c>
      <c r="B2717" s="10" t="str">
        <f t="shared" si="43"/>
        <v>0099</v>
      </c>
      <c r="C2717" s="10" t="str">
        <f>_xlfn.LET(
    _xlpm.val, IF(Datadetails[[#This Row],[Activity]]="D02","C20",Datadetails[[#This Row],[Activity]]),
    IF(ISNUMBER(MATCH(_xlpm.val,{"D04","C30","c40","C20"},0)), _xlpm.val, "Other")
)</f>
        <v>C20</v>
      </c>
      <c r="D2717" s="10" t="str">
        <f>IFERROR(VLOOKUP(Datadetails[[#This Row],[Taskcode]],Dashboard!A:A,1,FALSE),"00 Err Missing")</f>
        <v>0099</v>
      </c>
      <c r="E2717" s="79">
        <v>45951</v>
      </c>
      <c r="F2717" s="80" t="s">
        <v>323</v>
      </c>
      <c r="G2717" s="60" t="s">
        <v>40</v>
      </c>
      <c r="H2717" s="80" t="s">
        <v>266</v>
      </c>
      <c r="I2717" s="80" t="s">
        <v>36</v>
      </c>
      <c r="J2717" s="80" t="s">
        <v>394</v>
      </c>
      <c r="K2717" s="80" t="s">
        <v>346</v>
      </c>
      <c r="L2717" s="80" t="s">
        <v>342</v>
      </c>
      <c r="M2717" s="81">
        <v>0.25</v>
      </c>
      <c r="N2717" s="82">
        <v>15</v>
      </c>
    </row>
    <row r="2718" spans="1:14" x14ac:dyDescent="0.25">
      <c r="A2718" s="10" t="str">
        <f>_xlfn.IFNA(
    IF(J2718=
        "PCB-0001",
        "CSS",
        IF(
            ISNUMBER(MATCH(_xlfn.TEXTBEFORE(J2718,"-"), {"CSS","CSN","PCB","PCF","BEC","CSD","PCM"}, 0)),
            _xlfn.TEXTBEFORE(J2718,"-"),
            "Other"
        )
    ),
"Add")</f>
        <v>PCM</v>
      </c>
      <c r="B2718" s="10" t="str">
        <f t="shared" si="43"/>
        <v>0100</v>
      </c>
      <c r="C2718" s="10" t="str">
        <f>_xlfn.LET(
    _xlpm.val, IF(Datadetails[[#This Row],[Activity]]="D02","C20",Datadetails[[#This Row],[Activity]]),
    IF(ISNUMBER(MATCH(_xlpm.val,{"D04","C30","c40","C20"},0)), _xlpm.val, "Other")
)</f>
        <v>C20</v>
      </c>
      <c r="D2718" s="10" t="str">
        <f>IFERROR(VLOOKUP(Datadetails[[#This Row],[Taskcode]],Dashboard!A:A,1,FALSE),"00 Err Missing")</f>
        <v>0100</v>
      </c>
      <c r="E2718" s="79">
        <v>45951</v>
      </c>
      <c r="F2718" s="80" t="s">
        <v>323</v>
      </c>
      <c r="G2718" s="60" t="s">
        <v>40</v>
      </c>
      <c r="H2718" s="80" t="s">
        <v>267</v>
      </c>
      <c r="I2718" s="80" t="s">
        <v>36</v>
      </c>
      <c r="J2718" s="80" t="s">
        <v>436</v>
      </c>
      <c r="K2718" s="80" t="s">
        <v>346</v>
      </c>
      <c r="L2718" s="80" t="s">
        <v>342</v>
      </c>
      <c r="M2718" s="81">
        <v>0.25</v>
      </c>
      <c r="N2718" s="82">
        <v>15</v>
      </c>
    </row>
    <row r="2719" spans="1:14" x14ac:dyDescent="0.25">
      <c r="A2719" s="10" t="str">
        <f>_xlfn.IFNA(
    IF(J2719=
        "PCB-0001",
        "CSS",
        IF(
            ISNUMBER(MATCH(_xlfn.TEXTBEFORE(J2719,"-"), {"CSS","CSN","PCB","PCF","BEC","CSD","PCM"}, 0)),
            _xlfn.TEXTBEFORE(J2719,"-"),
            "Other"
        )
    ),
"Add")</f>
        <v>PCB</v>
      </c>
      <c r="B2719" s="10" t="str">
        <f t="shared" si="43"/>
        <v>0029</v>
      </c>
      <c r="C2719" s="10" t="str">
        <f>_xlfn.LET(
    _xlpm.val, IF(Datadetails[[#This Row],[Activity]]="D02","C20",Datadetails[[#This Row],[Activity]]),
    IF(ISNUMBER(MATCH(_xlpm.val,{"D04","C30","c40","C20"},0)), _xlpm.val, "Other")
)</f>
        <v>C30</v>
      </c>
      <c r="D2719" s="10" t="str">
        <f>IFERROR(VLOOKUP(Datadetails[[#This Row],[Taskcode]],Dashboard!A:A,1,FALSE),"00 Err Missing")</f>
        <v>0029</v>
      </c>
      <c r="E2719" s="79">
        <v>45951</v>
      </c>
      <c r="F2719" s="80" t="s">
        <v>330</v>
      </c>
      <c r="G2719" s="60" t="s">
        <v>40</v>
      </c>
      <c r="H2719" s="80" t="s">
        <v>196</v>
      </c>
      <c r="I2719" s="80" t="s">
        <v>34</v>
      </c>
      <c r="J2719" s="80" t="s">
        <v>446</v>
      </c>
      <c r="K2719" s="80" t="s">
        <v>347</v>
      </c>
      <c r="L2719" s="80" t="s">
        <v>343</v>
      </c>
      <c r="M2719" s="81">
        <v>0.5</v>
      </c>
      <c r="N2719" s="82">
        <v>30</v>
      </c>
    </row>
    <row r="2720" spans="1:14" x14ac:dyDescent="0.25">
      <c r="A2720" s="10" t="str">
        <f>_xlfn.IFNA(
    IF(J2720=
        "PCB-0001",
        "CSS",
        IF(
            ISNUMBER(MATCH(_xlfn.TEXTBEFORE(J2720,"-"), {"CSS","CSN","PCB","PCF","BEC","CSD","PCM"}, 0)),
            _xlfn.TEXTBEFORE(J2720,"-"),
            "Other"
        )
    ),
"Add")</f>
        <v>PCB</v>
      </c>
      <c r="B2720" s="10" t="str">
        <f t="shared" si="43"/>
        <v>0015</v>
      </c>
      <c r="C2720" s="10" t="str">
        <f>_xlfn.LET(
    _xlpm.val, IF(Datadetails[[#This Row],[Activity]]="D02","C20",Datadetails[[#This Row],[Activity]]),
    IF(ISNUMBER(MATCH(_xlpm.val,{"D04","C30","c40","C20"},0)), _xlpm.val, "Other")
)</f>
        <v>C30</v>
      </c>
      <c r="D2720" s="10" t="str">
        <f>IFERROR(VLOOKUP(Datadetails[[#This Row],[Taskcode]],Dashboard!A:A,1,FALSE),"00 Err Missing")</f>
        <v>0015</v>
      </c>
      <c r="E2720" s="79">
        <v>45951</v>
      </c>
      <c r="F2720" s="80" t="s">
        <v>325</v>
      </c>
      <c r="G2720" s="60" t="s">
        <v>40</v>
      </c>
      <c r="H2720" s="80" t="s">
        <v>182</v>
      </c>
      <c r="I2720" s="80" t="s">
        <v>34</v>
      </c>
      <c r="J2720" s="80" t="s">
        <v>467</v>
      </c>
      <c r="K2720" s="80" t="s">
        <v>347</v>
      </c>
      <c r="L2720" s="80" t="s">
        <v>343</v>
      </c>
      <c r="M2720" s="81">
        <v>0.25</v>
      </c>
      <c r="N2720" s="82">
        <v>18.75</v>
      </c>
    </row>
    <row r="2721" spans="1:14" x14ac:dyDescent="0.25">
      <c r="A2721" s="10" t="str">
        <f>_xlfn.IFNA(
    IF(J2721=
        "PCB-0001",
        "CSS",
        IF(
            ISNUMBER(MATCH(_xlfn.TEXTBEFORE(J2721,"-"), {"CSS","CSN","PCB","PCF","BEC","CSD","PCM"}, 0)),
            _xlfn.TEXTBEFORE(J2721,"-"),
            "Other"
        )
    ),
"Add")</f>
        <v>PCB</v>
      </c>
      <c r="B2721" s="10" t="str">
        <f t="shared" si="43"/>
        <v>0012</v>
      </c>
      <c r="C2721" s="10" t="str">
        <f>_xlfn.LET(
    _xlpm.val, IF(Datadetails[[#This Row],[Activity]]="D02","C20",Datadetails[[#This Row],[Activity]]),
    IF(ISNUMBER(MATCH(_xlpm.val,{"D04","C30","c40","C20"},0)), _xlpm.val, "Other")
)</f>
        <v>C30</v>
      </c>
      <c r="D2721" s="10" t="str">
        <f>IFERROR(VLOOKUP(Datadetails[[#This Row],[Taskcode]],Dashboard!A:A,1,FALSE),"00 Err Missing")</f>
        <v>0012</v>
      </c>
      <c r="E2721" s="79">
        <v>45951</v>
      </c>
      <c r="F2721" s="80" t="s">
        <v>325</v>
      </c>
      <c r="G2721" s="60" t="s">
        <v>40</v>
      </c>
      <c r="H2721" s="80" t="s">
        <v>179</v>
      </c>
      <c r="I2721" s="80" t="s">
        <v>34</v>
      </c>
      <c r="J2721" s="80" t="s">
        <v>422</v>
      </c>
      <c r="K2721" s="80" t="s">
        <v>347</v>
      </c>
      <c r="L2721" s="80" t="s">
        <v>343</v>
      </c>
      <c r="M2721" s="81">
        <v>0.75</v>
      </c>
      <c r="N2721" s="82">
        <v>56.25</v>
      </c>
    </row>
    <row r="2722" spans="1:14" x14ac:dyDescent="0.25">
      <c r="A2722" s="10" t="str">
        <f>_xlfn.IFNA(
    IF(J2722=
        "PCB-0001",
        "CSS",
        IF(
            ISNUMBER(MATCH(_xlfn.TEXTBEFORE(J2722,"-"), {"CSS","CSN","PCB","PCF","BEC","CSD","PCM"}, 0)),
            _xlfn.TEXTBEFORE(J2722,"-"),
            "Other"
        )
    ),
"Add")</f>
        <v>PCB</v>
      </c>
      <c r="B2722" s="10" t="str">
        <f t="shared" si="43"/>
        <v>0039</v>
      </c>
      <c r="C2722" s="10" t="str">
        <f>_xlfn.LET(
    _xlpm.val, IF(Datadetails[[#This Row],[Activity]]="D02","C20",Datadetails[[#This Row],[Activity]]),
    IF(ISNUMBER(MATCH(_xlpm.val,{"D04","C30","c40","C20"},0)), _xlpm.val, "Other")
)</f>
        <v>C30</v>
      </c>
      <c r="D2722" s="10" t="str">
        <f>IFERROR(VLOOKUP(Datadetails[[#This Row],[Taskcode]],Dashboard!A:A,1,FALSE),"00 Err Missing")</f>
        <v>0039</v>
      </c>
      <c r="E2722" s="79">
        <v>45951</v>
      </c>
      <c r="F2722" s="80" t="s">
        <v>329</v>
      </c>
      <c r="G2722" s="60" t="s">
        <v>40</v>
      </c>
      <c r="H2722" s="80" t="s">
        <v>206</v>
      </c>
      <c r="I2722" s="80" t="s">
        <v>34</v>
      </c>
      <c r="J2722" s="80" t="s">
        <v>367</v>
      </c>
      <c r="K2722" s="80" t="s">
        <v>347</v>
      </c>
      <c r="L2722" s="80" t="s">
        <v>343</v>
      </c>
      <c r="M2722" s="81">
        <v>0.17</v>
      </c>
      <c r="N2722" s="82">
        <v>12.750000000000002</v>
      </c>
    </row>
    <row r="2723" spans="1:14" x14ac:dyDescent="0.25">
      <c r="A2723" s="10" t="str">
        <f>_xlfn.IFNA(
    IF(J2723=
        "PCB-0001",
        "CSS",
        IF(
            ISNUMBER(MATCH(_xlfn.TEXTBEFORE(J2723,"-"), {"CSS","CSN","PCB","PCF","BEC","CSD","PCM"}, 0)),
            _xlfn.TEXTBEFORE(J2723,"-"),
            "Other"
        )
    ),
"Add")</f>
        <v>PCB</v>
      </c>
      <c r="B2723" s="10" t="str">
        <f t="shared" si="43"/>
        <v>0134</v>
      </c>
      <c r="C2723" s="10" t="str">
        <f>_xlfn.LET(
    _xlpm.val, IF(Datadetails[[#This Row],[Activity]]="D02","C20",Datadetails[[#This Row],[Activity]]),
    IF(ISNUMBER(MATCH(_xlpm.val,{"D04","C30","c40","C20"},0)), _xlpm.val, "Other")
)</f>
        <v>C30</v>
      </c>
      <c r="D2723" s="10" t="str">
        <f>IFERROR(VLOOKUP(Datadetails[[#This Row],[Taskcode]],Dashboard!A:A,1,FALSE),"00 Err Missing")</f>
        <v>0134</v>
      </c>
      <c r="E2723" s="79">
        <v>45951</v>
      </c>
      <c r="F2723" s="80" t="s">
        <v>329</v>
      </c>
      <c r="G2723" s="60" t="s">
        <v>40</v>
      </c>
      <c r="H2723" s="80" t="s">
        <v>301</v>
      </c>
      <c r="I2723" s="80" t="s">
        <v>34</v>
      </c>
      <c r="J2723" s="80" t="s">
        <v>371</v>
      </c>
      <c r="K2723" s="80" t="s">
        <v>347</v>
      </c>
      <c r="L2723" s="80" t="s">
        <v>343</v>
      </c>
      <c r="M2723" s="81">
        <v>0.5</v>
      </c>
      <c r="N2723" s="82">
        <v>37.5</v>
      </c>
    </row>
    <row r="2724" spans="1:14" x14ac:dyDescent="0.25">
      <c r="A2724" s="10" t="str">
        <f>_xlfn.IFNA(
    IF(J2724=
        "PCB-0001",
        "CSS",
        IF(
            ISNUMBER(MATCH(_xlfn.TEXTBEFORE(J2724,"-"), {"CSS","CSN","PCB","PCF","BEC","CSD","PCM"}, 0)),
            _xlfn.TEXTBEFORE(J2724,"-"),
            "Other"
        )
    ),
"Add")</f>
        <v>PCB</v>
      </c>
      <c r="B2724" s="10" t="str">
        <f t="shared" si="43"/>
        <v>0057</v>
      </c>
      <c r="C2724" s="10" t="str">
        <f>_xlfn.LET(
    _xlpm.val, IF(Datadetails[[#This Row],[Activity]]="D02","C20",Datadetails[[#This Row],[Activity]]),
    IF(ISNUMBER(MATCH(_xlpm.val,{"D04","C30","c40","C20"},0)), _xlpm.val, "Other")
)</f>
        <v>C30</v>
      </c>
      <c r="D2724" s="10" t="str">
        <f>IFERROR(VLOOKUP(Datadetails[[#This Row],[Taskcode]],Dashboard!A:A,1,FALSE),"00 Err Missing")</f>
        <v>0057</v>
      </c>
      <c r="E2724" s="79">
        <v>45951</v>
      </c>
      <c r="F2724" s="80" t="s">
        <v>325</v>
      </c>
      <c r="G2724" s="60" t="s">
        <v>40</v>
      </c>
      <c r="H2724" s="80" t="s">
        <v>224</v>
      </c>
      <c r="I2724" s="80" t="s">
        <v>34</v>
      </c>
      <c r="J2724" s="80" t="s">
        <v>423</v>
      </c>
      <c r="K2724" s="80" t="s">
        <v>347</v>
      </c>
      <c r="L2724" s="80" t="s">
        <v>343</v>
      </c>
      <c r="M2724" s="81">
        <v>0.42</v>
      </c>
      <c r="N2724" s="82">
        <v>31.5</v>
      </c>
    </row>
    <row r="2725" spans="1:14" x14ac:dyDescent="0.25">
      <c r="A2725" s="10" t="str">
        <f>_xlfn.IFNA(
    IF(J2725=
        "PCB-0001",
        "CSS",
        IF(
            ISNUMBER(MATCH(_xlfn.TEXTBEFORE(J2725,"-"), {"CSS","CSN","PCB","PCF","BEC","CSD","PCM"}, 0)),
            _xlfn.TEXTBEFORE(J2725,"-"),
            "Other"
        )
    ),
"Add")</f>
        <v>PCB</v>
      </c>
      <c r="B2725" s="10" t="str">
        <f t="shared" si="43"/>
        <v>0136</v>
      </c>
      <c r="C2725" s="10" t="str">
        <f>_xlfn.LET(
    _xlpm.val, IF(Datadetails[[#This Row],[Activity]]="D02","C20",Datadetails[[#This Row],[Activity]]),
    IF(ISNUMBER(MATCH(_xlpm.val,{"D04","C30","c40","C20"},0)), _xlpm.val, "Other")
)</f>
        <v>C30</v>
      </c>
      <c r="D2725" s="10" t="str">
        <f>IFERROR(VLOOKUP(Datadetails[[#This Row],[Taskcode]],Dashboard!A:A,1,FALSE),"00 Err Missing")</f>
        <v>0136</v>
      </c>
      <c r="E2725" s="79">
        <v>45951</v>
      </c>
      <c r="F2725" s="80" t="s">
        <v>329</v>
      </c>
      <c r="G2725" s="60" t="s">
        <v>40</v>
      </c>
      <c r="H2725" s="80" t="s">
        <v>303</v>
      </c>
      <c r="I2725" s="80" t="s">
        <v>34</v>
      </c>
      <c r="J2725" s="80" t="s">
        <v>400</v>
      </c>
      <c r="K2725" s="80" t="s">
        <v>347</v>
      </c>
      <c r="L2725" s="80" t="s">
        <v>343</v>
      </c>
      <c r="M2725" s="81">
        <v>0.25</v>
      </c>
      <c r="N2725" s="82">
        <v>18.75</v>
      </c>
    </row>
    <row r="2726" spans="1:14" x14ac:dyDescent="0.25">
      <c r="A2726" s="10" t="str">
        <f>_xlfn.IFNA(
    IF(J2726=
        "PCB-0001",
        "CSS",
        IF(
            ISNUMBER(MATCH(_xlfn.TEXTBEFORE(J2726,"-"), {"CSS","CSN","PCB","PCF","BEC","CSD","PCM"}, 0)),
            _xlfn.TEXTBEFORE(J2726,"-"),
            "Other"
        )
    ),
"Add")</f>
        <v>PCB</v>
      </c>
      <c r="B2726" s="10" t="str">
        <f t="shared" si="43"/>
        <v>0059</v>
      </c>
      <c r="C2726" s="10" t="str">
        <f>_xlfn.LET(
    _xlpm.val, IF(Datadetails[[#This Row],[Activity]]="D02","C20",Datadetails[[#This Row],[Activity]]),
    IF(ISNUMBER(MATCH(_xlpm.val,{"D04","C30","c40","C20"},0)), _xlpm.val, "Other")
)</f>
        <v>C30</v>
      </c>
      <c r="D2726" s="10" t="str">
        <f>IFERROR(VLOOKUP(Datadetails[[#This Row],[Taskcode]],Dashboard!A:A,1,FALSE),"00 Err Missing")</f>
        <v>0059</v>
      </c>
      <c r="E2726" s="79">
        <v>45951</v>
      </c>
      <c r="F2726" s="80" t="s">
        <v>325</v>
      </c>
      <c r="G2726" s="60" t="s">
        <v>40</v>
      </c>
      <c r="H2726" s="80" t="s">
        <v>226</v>
      </c>
      <c r="I2726" s="80" t="s">
        <v>34</v>
      </c>
      <c r="J2726" s="80" t="s">
        <v>401</v>
      </c>
      <c r="K2726" s="80" t="s">
        <v>347</v>
      </c>
      <c r="L2726" s="80" t="s">
        <v>343</v>
      </c>
      <c r="M2726" s="81">
        <v>0.17</v>
      </c>
      <c r="N2726" s="82">
        <v>12.750000000000002</v>
      </c>
    </row>
    <row r="2727" spans="1:14" x14ac:dyDescent="0.25">
      <c r="A2727" s="10" t="str">
        <f>_xlfn.IFNA(
    IF(J2727=
        "PCB-0001",
        "CSS",
        IF(
            ISNUMBER(MATCH(_xlfn.TEXTBEFORE(J2727,"-"), {"CSS","CSN","PCB","PCF","BEC","CSD","PCM"}, 0)),
            _xlfn.TEXTBEFORE(J2727,"-"),
            "Other"
        )
    ),
"Add")</f>
        <v>PCB</v>
      </c>
      <c r="B2727" s="10" t="str">
        <f t="shared" si="43"/>
        <v>0075</v>
      </c>
      <c r="C2727" s="10" t="str">
        <f>_xlfn.LET(
    _xlpm.val, IF(Datadetails[[#This Row],[Activity]]="D02","C20",Datadetails[[#This Row],[Activity]]),
    IF(ISNUMBER(MATCH(_xlpm.val,{"D04","C30","c40","C20"},0)), _xlpm.val, "Other")
)</f>
        <v>C30</v>
      </c>
      <c r="D2727" s="10" t="str">
        <f>IFERROR(VLOOKUP(Datadetails[[#This Row],[Taskcode]],Dashboard!A:A,1,FALSE),"00 Err Missing")</f>
        <v>0075</v>
      </c>
      <c r="E2727" s="79">
        <v>45951</v>
      </c>
      <c r="F2727" s="80" t="s">
        <v>329</v>
      </c>
      <c r="G2727" s="60" t="s">
        <v>40</v>
      </c>
      <c r="H2727" s="80" t="s">
        <v>242</v>
      </c>
      <c r="I2727" s="80" t="s">
        <v>34</v>
      </c>
      <c r="J2727" s="80" t="s">
        <v>404</v>
      </c>
      <c r="K2727" s="80" t="s">
        <v>347</v>
      </c>
      <c r="L2727" s="80" t="s">
        <v>343</v>
      </c>
      <c r="M2727" s="81">
        <v>0.17</v>
      </c>
      <c r="N2727" s="82">
        <v>12.750000000000002</v>
      </c>
    </row>
    <row r="2728" spans="1:14" x14ac:dyDescent="0.25">
      <c r="A2728" s="10" t="str">
        <f>_xlfn.IFNA(
    IF(J2728=
        "PCB-0001",
        "CSS",
        IF(
            ISNUMBER(MATCH(_xlfn.TEXTBEFORE(J2728,"-"), {"CSS","CSN","PCB","PCF","BEC","CSD","PCM"}, 0)),
            _xlfn.TEXTBEFORE(J2728,"-"),
            "Other"
        )
    ),
"Add")</f>
        <v>PCB</v>
      </c>
      <c r="B2728" s="10" t="str">
        <f t="shared" si="43"/>
        <v>0123</v>
      </c>
      <c r="C2728" s="10" t="str">
        <f>_xlfn.LET(
    _xlpm.val, IF(Datadetails[[#This Row],[Activity]]="D02","C20",Datadetails[[#This Row],[Activity]]),
    IF(ISNUMBER(MATCH(_xlpm.val,{"D04","C30","c40","C20"},0)), _xlpm.val, "Other")
)</f>
        <v>C30</v>
      </c>
      <c r="D2728" s="10" t="str">
        <f>IFERROR(VLOOKUP(Datadetails[[#This Row],[Taskcode]],Dashboard!A:A,1,FALSE),"00 Err Missing")</f>
        <v>0123</v>
      </c>
      <c r="E2728" s="79">
        <v>45951</v>
      </c>
      <c r="F2728" s="80" t="s">
        <v>325</v>
      </c>
      <c r="G2728" s="60" t="s">
        <v>40</v>
      </c>
      <c r="H2728" s="80" t="s">
        <v>290</v>
      </c>
      <c r="I2728" s="80" t="s">
        <v>34</v>
      </c>
      <c r="J2728" s="80" t="s">
        <v>428</v>
      </c>
      <c r="K2728" s="80" t="s">
        <v>347</v>
      </c>
      <c r="L2728" s="80" t="s">
        <v>343</v>
      </c>
      <c r="M2728" s="81">
        <v>0.17</v>
      </c>
      <c r="N2728" s="82">
        <v>12.750000000000002</v>
      </c>
    </row>
    <row r="2729" spans="1:14" x14ac:dyDescent="0.25">
      <c r="A2729" s="10" t="str">
        <f>_xlfn.IFNA(
    IF(J2729=
        "PCB-0001",
        "CSS",
        IF(
            ISNUMBER(MATCH(_xlfn.TEXTBEFORE(J2729,"-"), {"CSS","CSN","PCB","PCF","BEC","CSD","PCM"}, 0)),
            _xlfn.TEXTBEFORE(J2729,"-"),
            "Other"
        )
    ),
"Add")</f>
        <v>PCB</v>
      </c>
      <c r="B2729" s="10" t="str">
        <f t="shared" si="43"/>
        <v>0121</v>
      </c>
      <c r="C2729" s="10" t="str">
        <f>_xlfn.LET(
    _xlpm.val, IF(Datadetails[[#This Row],[Activity]]="D02","C20",Datadetails[[#This Row],[Activity]]),
    IF(ISNUMBER(MATCH(_xlpm.val,{"D04","C30","c40","C20"},0)), _xlpm.val, "Other")
)</f>
        <v>C30</v>
      </c>
      <c r="D2729" s="10" t="str">
        <f>IFERROR(VLOOKUP(Datadetails[[#This Row],[Taskcode]],Dashboard!A:A,1,FALSE),"00 Err Missing")</f>
        <v>0121</v>
      </c>
      <c r="E2729" s="79">
        <v>45951</v>
      </c>
      <c r="F2729" s="80" t="s">
        <v>329</v>
      </c>
      <c r="G2729" s="60" t="s">
        <v>40</v>
      </c>
      <c r="H2729" s="80" t="s">
        <v>288</v>
      </c>
      <c r="I2729" s="80" t="s">
        <v>34</v>
      </c>
      <c r="J2729" s="80" t="s">
        <v>405</v>
      </c>
      <c r="K2729" s="80" t="s">
        <v>347</v>
      </c>
      <c r="L2729" s="80" t="s">
        <v>343</v>
      </c>
      <c r="M2729" s="81">
        <v>0.5</v>
      </c>
      <c r="N2729" s="82">
        <v>37.5</v>
      </c>
    </row>
    <row r="2730" spans="1:14" x14ac:dyDescent="0.25">
      <c r="A2730" s="10" t="str">
        <f>_xlfn.IFNA(
    IF(J2730=
        "PCB-0001",
        "CSS",
        IF(
            ISNUMBER(MATCH(_xlfn.TEXTBEFORE(J2730,"-"), {"CSS","CSN","PCB","PCF","BEC","CSD","PCM"}, 0)),
            _xlfn.TEXTBEFORE(J2730,"-"),
            "Other"
        )
    ),
"Add")</f>
        <v>PCB</v>
      </c>
      <c r="B2730" s="10" t="str">
        <f t="shared" si="43"/>
        <v>0124</v>
      </c>
      <c r="C2730" s="10" t="str">
        <f>_xlfn.LET(
    _xlpm.val, IF(Datadetails[[#This Row],[Activity]]="D02","C20",Datadetails[[#This Row],[Activity]]),
    IF(ISNUMBER(MATCH(_xlpm.val,{"D04","C30","c40","C20"},0)), _xlpm.val, "Other")
)</f>
        <v>C30</v>
      </c>
      <c r="D2730" s="10" t="str">
        <f>IFERROR(VLOOKUP(Datadetails[[#This Row],[Taskcode]],Dashboard!A:A,1,FALSE),"00 Err Missing")</f>
        <v>0124</v>
      </c>
      <c r="E2730" s="79">
        <v>45951</v>
      </c>
      <c r="F2730" s="80" t="s">
        <v>325</v>
      </c>
      <c r="G2730" s="60" t="s">
        <v>40</v>
      </c>
      <c r="H2730" s="80" t="s">
        <v>291</v>
      </c>
      <c r="I2730" s="80" t="s">
        <v>34</v>
      </c>
      <c r="J2730" s="80" t="s">
        <v>412</v>
      </c>
      <c r="K2730" s="80" t="s">
        <v>347</v>
      </c>
      <c r="L2730" s="80" t="s">
        <v>343</v>
      </c>
      <c r="M2730" s="81">
        <v>0.17</v>
      </c>
      <c r="N2730" s="82">
        <v>12.750000000000002</v>
      </c>
    </row>
    <row r="2731" spans="1:14" x14ac:dyDescent="0.25">
      <c r="A2731" s="10" t="str">
        <f>_xlfn.IFNA(
    IF(J2731=
        "PCB-0001",
        "CSS",
        IF(
            ISNUMBER(MATCH(_xlfn.TEXTBEFORE(J2731,"-"), {"CSS","CSN","PCB","PCF","BEC","CSD","PCM"}, 0)),
            _xlfn.TEXTBEFORE(J2731,"-"),
            "Other"
        )
    ),
"Add")</f>
        <v>PCB</v>
      </c>
      <c r="B2731" s="10" t="str">
        <f t="shared" si="43"/>
        <v>0140</v>
      </c>
      <c r="C2731" s="10" t="str">
        <f>_xlfn.LET(
    _xlpm.val, IF(Datadetails[[#This Row],[Activity]]="D02","C20",Datadetails[[#This Row],[Activity]]),
    IF(ISNUMBER(MATCH(_xlpm.val,{"D04","C30","c40","C20"},0)), _xlpm.val, "Other")
)</f>
        <v>C30</v>
      </c>
      <c r="D2731" s="10" t="str">
        <f>IFERROR(VLOOKUP(Datadetails[[#This Row],[Taskcode]],Dashboard!A:A,1,FALSE),"00 Err Missing")</f>
        <v>0140</v>
      </c>
      <c r="E2731" s="79">
        <v>45951</v>
      </c>
      <c r="F2731" s="80" t="s">
        <v>325</v>
      </c>
      <c r="G2731" s="60" t="s">
        <v>40</v>
      </c>
      <c r="H2731" s="80" t="s">
        <v>307</v>
      </c>
      <c r="I2731" s="80" t="s">
        <v>34</v>
      </c>
      <c r="J2731" s="80" t="s">
        <v>472</v>
      </c>
      <c r="K2731" s="80" t="s">
        <v>347</v>
      </c>
      <c r="L2731" s="80" t="s">
        <v>343</v>
      </c>
      <c r="M2731" s="81">
        <v>0.33</v>
      </c>
      <c r="N2731" s="82">
        <v>24.75</v>
      </c>
    </row>
    <row r="2732" spans="1:14" x14ac:dyDescent="0.25">
      <c r="A2732" s="10" t="str">
        <f>_xlfn.IFNA(
    IF(J2732=
        "PCB-0001",
        "CSS",
        IF(
            ISNUMBER(MATCH(_xlfn.TEXTBEFORE(J2732,"-"), {"CSS","CSN","PCB","PCF","BEC","CSD","PCM"}, 0)),
            _xlfn.TEXTBEFORE(J2732,"-"),
            "Other"
        )
    ),
"Add")</f>
        <v>PCB</v>
      </c>
      <c r="B2732" s="10" t="str">
        <f t="shared" si="43"/>
        <v>0129</v>
      </c>
      <c r="C2732" s="10" t="str">
        <f>_xlfn.LET(
    _xlpm.val, IF(Datadetails[[#This Row],[Activity]]="D02","C20",Datadetails[[#This Row],[Activity]]),
    IF(ISNUMBER(MATCH(_xlpm.val,{"D04","C30","c40","C20"},0)), _xlpm.val, "Other")
)</f>
        <v>C30</v>
      </c>
      <c r="D2732" s="10" t="str">
        <f>IFERROR(VLOOKUP(Datadetails[[#This Row],[Taskcode]],Dashboard!A:A,1,FALSE),"00 Err Missing")</f>
        <v>0129</v>
      </c>
      <c r="E2732" s="79">
        <v>45951</v>
      </c>
      <c r="F2732" s="80" t="s">
        <v>329</v>
      </c>
      <c r="G2732" s="60" t="s">
        <v>40</v>
      </c>
      <c r="H2732" s="80" t="s">
        <v>296</v>
      </c>
      <c r="I2732" s="80" t="s">
        <v>34</v>
      </c>
      <c r="J2732" s="80" t="s">
        <v>411</v>
      </c>
      <c r="K2732" s="80" t="s">
        <v>347</v>
      </c>
      <c r="L2732" s="80" t="s">
        <v>343</v>
      </c>
      <c r="M2732" s="81">
        <v>0.25</v>
      </c>
      <c r="N2732" s="82">
        <v>18.75</v>
      </c>
    </row>
    <row r="2733" spans="1:14" x14ac:dyDescent="0.25">
      <c r="A2733" s="10" t="str">
        <f>_xlfn.IFNA(
    IF(J2733=
        "PCB-0001",
        "CSS",
        IF(
            ISNUMBER(MATCH(_xlfn.TEXTBEFORE(J2733,"-"), {"CSS","CSN","PCB","PCF","BEC","CSD","PCM"}, 0)),
            _xlfn.TEXTBEFORE(J2733,"-"),
            "Other"
        )
    ),
"Add")</f>
        <v>PCB</v>
      </c>
      <c r="B2733" s="10" t="str">
        <f t="shared" si="43"/>
        <v>0128</v>
      </c>
      <c r="C2733" s="10" t="str">
        <f>_xlfn.LET(
    _xlpm.val, IF(Datadetails[[#This Row],[Activity]]="D02","C20",Datadetails[[#This Row],[Activity]]),
    IF(ISNUMBER(MATCH(_xlpm.val,{"D04","C30","c40","C20"},0)), _xlpm.val, "Other")
)</f>
        <v>C30</v>
      </c>
      <c r="D2733" s="10" t="str">
        <f>IFERROR(VLOOKUP(Datadetails[[#This Row],[Taskcode]],Dashboard!A:A,1,FALSE),"00 Err Missing")</f>
        <v>0128</v>
      </c>
      <c r="E2733" s="79">
        <v>45951</v>
      </c>
      <c r="F2733" s="80" t="s">
        <v>329</v>
      </c>
      <c r="G2733" s="60" t="s">
        <v>40</v>
      </c>
      <c r="H2733" s="80" t="s">
        <v>295</v>
      </c>
      <c r="I2733" s="80" t="s">
        <v>34</v>
      </c>
      <c r="J2733" s="80" t="s">
        <v>379</v>
      </c>
      <c r="K2733" s="80" t="s">
        <v>347</v>
      </c>
      <c r="L2733" s="80" t="s">
        <v>343</v>
      </c>
      <c r="M2733" s="81">
        <v>0.17</v>
      </c>
      <c r="N2733" s="82">
        <v>12.750000000000002</v>
      </c>
    </row>
    <row r="2734" spans="1:14" x14ac:dyDescent="0.25">
      <c r="A2734" s="10" t="str">
        <f>_xlfn.IFNA(
    IF(J2734=
        "PCB-0001",
        "CSS",
        IF(
            ISNUMBER(MATCH(_xlfn.TEXTBEFORE(J2734,"-"), {"CSS","CSN","PCB","PCF","BEC","CSD","PCM"}, 0)),
            _xlfn.TEXTBEFORE(J2734,"-"),
            "Other"
        )
    ),
"Add")</f>
        <v>PCB</v>
      </c>
      <c r="B2734" s="10" t="str">
        <f t="shared" si="43"/>
        <v>0085</v>
      </c>
      <c r="C2734" s="10" t="str">
        <f>_xlfn.LET(
    _xlpm.val, IF(Datadetails[[#This Row],[Activity]]="D02","C20",Datadetails[[#This Row],[Activity]]),
    IF(ISNUMBER(MATCH(_xlpm.val,{"D04","C30","c40","C20"},0)), _xlpm.val, "Other")
)</f>
        <v>C30</v>
      </c>
      <c r="D2734" s="10" t="str">
        <f>IFERROR(VLOOKUP(Datadetails[[#This Row],[Taskcode]],Dashboard!A:A,1,FALSE),"00 Err Missing")</f>
        <v>0085</v>
      </c>
      <c r="E2734" s="79">
        <v>45951</v>
      </c>
      <c r="F2734" s="80" t="s">
        <v>329</v>
      </c>
      <c r="G2734" s="60" t="s">
        <v>40</v>
      </c>
      <c r="H2734" s="80" t="s">
        <v>252</v>
      </c>
      <c r="I2734" s="80" t="s">
        <v>34</v>
      </c>
      <c r="J2734" s="80" t="s">
        <v>416</v>
      </c>
      <c r="K2734" s="80" t="s">
        <v>347</v>
      </c>
      <c r="L2734" s="80" t="s">
        <v>343</v>
      </c>
      <c r="M2734" s="81">
        <v>0.17</v>
      </c>
      <c r="N2734" s="82">
        <v>12.750000000000002</v>
      </c>
    </row>
    <row r="2735" spans="1:14" x14ac:dyDescent="0.25">
      <c r="A2735" s="10" t="str">
        <f>_xlfn.IFNA(
    IF(J2735=
        "PCB-0001",
        "CSS",
        IF(
            ISNUMBER(MATCH(_xlfn.TEXTBEFORE(J2735,"-"), {"CSS","CSN","PCB","PCF","BEC","CSD","PCM"}, 0)),
            _xlfn.TEXTBEFORE(J2735,"-"),
            "Other"
        )
    ),
"Add")</f>
        <v>PCB</v>
      </c>
      <c r="B2735" s="10" t="str">
        <f t="shared" si="43"/>
        <v>0080</v>
      </c>
      <c r="C2735" s="10" t="str">
        <f>_xlfn.LET(
    _xlpm.val, IF(Datadetails[[#This Row],[Activity]]="D02","C20",Datadetails[[#This Row],[Activity]]),
    IF(ISNUMBER(MATCH(_xlpm.val,{"D04","C30","c40","C20"},0)), _xlpm.val, "Other")
)</f>
        <v>C30</v>
      </c>
      <c r="D2735" s="10" t="str">
        <f>IFERROR(VLOOKUP(Datadetails[[#This Row],[Taskcode]],Dashboard!A:A,1,FALSE),"00 Err Missing")</f>
        <v>0080</v>
      </c>
      <c r="E2735" s="79">
        <v>45951</v>
      </c>
      <c r="F2735" s="80" t="s">
        <v>329</v>
      </c>
      <c r="G2735" s="60" t="s">
        <v>40</v>
      </c>
      <c r="H2735" s="80" t="s">
        <v>247</v>
      </c>
      <c r="I2735" s="80" t="s">
        <v>34</v>
      </c>
      <c r="J2735" s="80" t="s">
        <v>375</v>
      </c>
      <c r="K2735" s="80" t="s">
        <v>347</v>
      </c>
      <c r="L2735" s="80" t="s">
        <v>343</v>
      </c>
      <c r="M2735" s="81">
        <v>0.5</v>
      </c>
      <c r="N2735" s="82">
        <v>37.5</v>
      </c>
    </row>
    <row r="2736" spans="1:14" x14ac:dyDescent="0.25">
      <c r="A2736" s="10" t="str">
        <f>_xlfn.IFNA(
    IF(J2736=
        "PCB-0001",
        "CSS",
        IF(
            ISNUMBER(MATCH(_xlfn.TEXTBEFORE(J2736,"-"), {"CSS","CSN","PCB","PCF","BEC","CSD","PCM"}, 0)),
            _xlfn.TEXTBEFORE(J2736,"-"),
            "Other"
        )
    ),
"Add")</f>
        <v>PCF</v>
      </c>
      <c r="B2736" s="10" t="str">
        <f t="shared" si="43"/>
        <v>0133</v>
      </c>
      <c r="C2736" s="10" t="str">
        <f>_xlfn.LET(
    _xlpm.val, IF(Datadetails[[#This Row],[Activity]]="D02","C20",Datadetails[[#This Row],[Activity]]),
    IF(ISNUMBER(MATCH(_xlpm.val,{"D04","C30","c40","C20"},0)), _xlpm.val, "Other")
)</f>
        <v>C20</v>
      </c>
      <c r="D2736" s="10" t="str">
        <f>IFERROR(VLOOKUP(Datadetails[[#This Row],[Taskcode]],Dashboard!A:A,1,FALSE),"00 Err Missing")</f>
        <v>0133</v>
      </c>
      <c r="E2736" s="79">
        <v>45951</v>
      </c>
      <c r="F2736" s="80" t="s">
        <v>326</v>
      </c>
      <c r="G2736" s="60" t="s">
        <v>40</v>
      </c>
      <c r="H2736" s="80" t="s">
        <v>300</v>
      </c>
      <c r="I2736" s="80" t="s">
        <v>36</v>
      </c>
      <c r="J2736" s="80" t="s">
        <v>464</v>
      </c>
      <c r="K2736" s="80" t="s">
        <v>348</v>
      </c>
      <c r="L2736" s="80" t="s">
        <v>342</v>
      </c>
      <c r="M2736" s="81">
        <v>0.57999999999999996</v>
      </c>
      <c r="N2736" s="82">
        <v>34.799999999999997</v>
      </c>
    </row>
    <row r="2737" spans="1:14" x14ac:dyDescent="0.25">
      <c r="A2737" s="10" t="str">
        <f>_xlfn.IFNA(
    IF(J2737=
        "PCB-0001",
        "CSS",
        IF(
            ISNUMBER(MATCH(_xlfn.TEXTBEFORE(J2737,"-"), {"CSS","CSN","PCB","PCF","BEC","CSD","PCM"}, 0)),
            _xlfn.TEXTBEFORE(J2737,"-"),
            "Other"
        )
    ),
"Add")</f>
        <v>PCF</v>
      </c>
      <c r="B2737" s="10" t="str">
        <f t="shared" si="43"/>
        <v>0040</v>
      </c>
      <c r="C2737" s="10" t="str">
        <f>_xlfn.LET(
    _xlpm.val, IF(Datadetails[[#This Row],[Activity]]="D02","C20",Datadetails[[#This Row],[Activity]]),
    IF(ISNUMBER(MATCH(_xlpm.val,{"D04","C30","c40","C20"},0)), _xlpm.val, "Other")
)</f>
        <v>C30</v>
      </c>
      <c r="D2737" s="10" t="str">
        <f>IFERROR(VLOOKUP(Datadetails[[#This Row],[Taskcode]],Dashboard!A:A,1,FALSE),"00 Err Missing")</f>
        <v>0040</v>
      </c>
      <c r="E2737" s="79">
        <v>45951</v>
      </c>
      <c r="F2737" s="80" t="s">
        <v>326</v>
      </c>
      <c r="G2737" s="60" t="s">
        <v>40</v>
      </c>
      <c r="H2737" s="80" t="s">
        <v>207</v>
      </c>
      <c r="I2737" s="80" t="s">
        <v>34</v>
      </c>
      <c r="J2737" s="80" t="s">
        <v>417</v>
      </c>
      <c r="K2737" s="80" t="s">
        <v>348</v>
      </c>
      <c r="L2737" s="80" t="s">
        <v>343</v>
      </c>
      <c r="M2737" s="81">
        <v>0.75</v>
      </c>
      <c r="N2737" s="82">
        <v>45</v>
      </c>
    </row>
    <row r="2738" spans="1:14" x14ac:dyDescent="0.25">
      <c r="A2738" s="10" t="str">
        <f>_xlfn.IFNA(
    IF(J2738=
        "PCB-0001",
        "CSS",
        IF(
            ISNUMBER(MATCH(_xlfn.TEXTBEFORE(J2738,"-"), {"CSS","CSN","PCB","PCF","BEC","CSD","PCM"}, 0)),
            _xlfn.TEXTBEFORE(J2738,"-"),
            "Other"
        )
    ),
"Add")</f>
        <v>PCF</v>
      </c>
      <c r="B2738" s="10" t="str">
        <f t="shared" si="43"/>
        <v>0068</v>
      </c>
      <c r="C2738" s="10" t="str">
        <f>_xlfn.LET(
    _xlpm.val, IF(Datadetails[[#This Row],[Activity]]="D02","C20",Datadetails[[#This Row],[Activity]]),
    IF(ISNUMBER(MATCH(_xlpm.val,{"D04","C30","c40","C20"},0)), _xlpm.val, "Other")
)</f>
        <v>C30</v>
      </c>
      <c r="D2738" s="10" t="str">
        <f>IFERROR(VLOOKUP(Datadetails[[#This Row],[Taskcode]],Dashboard!A:A,1,FALSE),"00 Err Missing")</f>
        <v>0068</v>
      </c>
      <c r="E2738" s="79">
        <v>45951</v>
      </c>
      <c r="F2738" s="80" t="s">
        <v>326</v>
      </c>
      <c r="G2738" s="60" t="s">
        <v>40</v>
      </c>
      <c r="H2738" s="80" t="s">
        <v>235</v>
      </c>
      <c r="I2738" s="80" t="s">
        <v>34</v>
      </c>
      <c r="J2738" s="80" t="s">
        <v>355</v>
      </c>
      <c r="K2738" s="80" t="s">
        <v>348</v>
      </c>
      <c r="L2738" s="80" t="s">
        <v>343</v>
      </c>
      <c r="M2738" s="81">
        <v>0.57999999999999996</v>
      </c>
      <c r="N2738" s="82">
        <v>34.799999999999997</v>
      </c>
    </row>
    <row r="2739" spans="1:14" x14ac:dyDescent="0.25">
      <c r="A2739" s="10" t="str">
        <f>_xlfn.IFNA(
    IF(J2739=
        "PCB-0001",
        "CSS",
        IF(
            ISNUMBER(MATCH(_xlfn.TEXTBEFORE(J2739,"-"), {"CSS","CSN","PCB","PCF","BEC","CSD","PCM"}, 0)),
            _xlfn.TEXTBEFORE(J2739,"-"),
            "Other"
        )
    ),
"Add")</f>
        <v>PCF</v>
      </c>
      <c r="B2739" s="10" t="str">
        <f t="shared" si="43"/>
        <v>0008</v>
      </c>
      <c r="C2739" s="10" t="str">
        <f>_xlfn.LET(
    _xlpm.val, IF(Datadetails[[#This Row],[Activity]]="D02","C20",Datadetails[[#This Row],[Activity]]),
    IF(ISNUMBER(MATCH(_xlpm.val,{"D04","C30","c40","C20"},0)), _xlpm.val, "Other")
)</f>
        <v>C30</v>
      </c>
      <c r="D2739" s="10" t="str">
        <f>IFERROR(VLOOKUP(Datadetails[[#This Row],[Taskcode]],Dashboard!A:A,1,FALSE),"00 Err Missing")</f>
        <v>0008</v>
      </c>
      <c r="E2739" s="79">
        <v>45951</v>
      </c>
      <c r="F2739" s="80" t="s">
        <v>326</v>
      </c>
      <c r="G2739" s="60" t="s">
        <v>40</v>
      </c>
      <c r="H2739" s="80" t="s">
        <v>175</v>
      </c>
      <c r="I2739" s="80" t="s">
        <v>34</v>
      </c>
      <c r="J2739" s="80" t="s">
        <v>388</v>
      </c>
      <c r="K2739" s="80" t="s">
        <v>348</v>
      </c>
      <c r="L2739" s="80" t="s">
        <v>343</v>
      </c>
      <c r="M2739" s="81">
        <v>0.83</v>
      </c>
      <c r="N2739" s="82">
        <v>49.8</v>
      </c>
    </row>
    <row r="2740" spans="1:14" x14ac:dyDescent="0.25">
      <c r="A2740" s="10" t="str">
        <f>_xlfn.IFNA(
    IF(J2740=
        "PCB-0001",
        "CSS",
        IF(
            ISNUMBER(MATCH(_xlfn.TEXTBEFORE(J2740,"-"), {"CSS","CSN","PCB","PCF","BEC","CSD","PCM"}, 0)),
            _xlfn.TEXTBEFORE(J2740,"-"),
            "Other"
        )
    ),
"Add")</f>
        <v>PCF</v>
      </c>
      <c r="B2740" s="10" t="str">
        <f t="shared" si="43"/>
        <v>0098</v>
      </c>
      <c r="C2740" s="10" t="str">
        <f>_xlfn.LET(
    _xlpm.val, IF(Datadetails[[#This Row],[Activity]]="D02","C20",Datadetails[[#This Row],[Activity]]),
    IF(ISNUMBER(MATCH(_xlpm.val,{"D04","C30","c40","C20"},0)), _xlpm.val, "Other")
)</f>
        <v>C30</v>
      </c>
      <c r="D2740" s="10" t="str">
        <f>IFERROR(VLOOKUP(Datadetails[[#This Row],[Taskcode]],Dashboard!A:A,1,FALSE),"00 Err Missing")</f>
        <v>0098</v>
      </c>
      <c r="E2740" s="79">
        <v>45951</v>
      </c>
      <c r="F2740" s="80" t="s">
        <v>326</v>
      </c>
      <c r="G2740" s="60" t="s">
        <v>40</v>
      </c>
      <c r="H2740" s="80" t="s">
        <v>265</v>
      </c>
      <c r="I2740" s="80" t="s">
        <v>34</v>
      </c>
      <c r="J2740" s="80" t="s">
        <v>358</v>
      </c>
      <c r="K2740" s="80" t="s">
        <v>348</v>
      </c>
      <c r="L2740" s="80" t="s">
        <v>343</v>
      </c>
      <c r="M2740" s="81">
        <v>0.42</v>
      </c>
      <c r="N2740" s="82">
        <v>25.2</v>
      </c>
    </row>
    <row r="2741" spans="1:14" x14ac:dyDescent="0.25">
      <c r="A2741" s="10" t="str">
        <f>_xlfn.IFNA(
    IF(J2741=
        "PCB-0001",
        "CSS",
        IF(
            ISNUMBER(MATCH(_xlfn.TEXTBEFORE(J2741,"-"), {"CSS","CSN","PCB","PCF","BEC","CSD","PCM"}, 0)),
            _xlfn.TEXTBEFORE(J2741,"-"),
            "Other"
        )
    ),
"Add")</f>
        <v>PCF</v>
      </c>
      <c r="B2741" s="10" t="str">
        <f t="shared" si="43"/>
        <v>0142</v>
      </c>
      <c r="C2741" s="10" t="str">
        <f>_xlfn.LET(
    _xlpm.val, IF(Datadetails[[#This Row],[Activity]]="D02","C20",Datadetails[[#This Row],[Activity]]),
    IF(ISNUMBER(MATCH(_xlpm.val,{"D04","C30","c40","C20"},0)), _xlpm.val, "Other")
)</f>
        <v>C30</v>
      </c>
      <c r="D2741" s="10" t="str">
        <f>IFERROR(VLOOKUP(Datadetails[[#This Row],[Taskcode]],Dashboard!A:A,1,FALSE),"00 Err Missing")</f>
        <v>0142</v>
      </c>
      <c r="E2741" s="79">
        <v>45951</v>
      </c>
      <c r="F2741" s="80" t="s">
        <v>326</v>
      </c>
      <c r="G2741" s="60" t="s">
        <v>40</v>
      </c>
      <c r="H2741" s="80" t="s">
        <v>309</v>
      </c>
      <c r="I2741" s="80" t="s">
        <v>34</v>
      </c>
      <c r="J2741" s="80" t="s">
        <v>454</v>
      </c>
      <c r="K2741" s="80" t="s">
        <v>348</v>
      </c>
      <c r="L2741" s="80" t="s">
        <v>343</v>
      </c>
      <c r="M2741" s="81">
        <v>0.83</v>
      </c>
      <c r="N2741" s="82">
        <v>49.8</v>
      </c>
    </row>
    <row r="2742" spans="1:14" x14ac:dyDescent="0.25">
      <c r="A2742" s="10" t="str">
        <f>_xlfn.IFNA(
    IF(J2742=
        "PCB-0001",
        "CSS",
        IF(
            ISNUMBER(MATCH(_xlfn.TEXTBEFORE(J2742,"-"), {"CSS","CSN","PCB","PCF","BEC","CSD","PCM"}, 0)),
            _xlfn.TEXTBEFORE(J2742,"-"),
            "Other"
        )
    ),
"Add")</f>
        <v>CSN</v>
      </c>
      <c r="B2742" s="10" t="str">
        <f t="shared" si="43"/>
        <v>0001</v>
      </c>
      <c r="C2742" s="10" t="str">
        <f>_xlfn.LET(
    _xlpm.val, IF(Datadetails[[#This Row],[Activity]]="D02","C20",Datadetails[[#This Row],[Activity]]),
    IF(ISNUMBER(MATCH(_xlpm.val,{"D04","C30","c40","C20"},0)), _xlpm.val, "Other")
)</f>
        <v>D04</v>
      </c>
      <c r="D2742" s="10" t="str">
        <f>IFERROR(VLOOKUP(Datadetails[[#This Row],[Taskcode]],Dashboard!A:A,1,FALSE),"00 Err Missing")</f>
        <v>0001</v>
      </c>
      <c r="E2742" s="79">
        <v>45952</v>
      </c>
      <c r="F2742" s="80" t="s">
        <v>329</v>
      </c>
      <c r="G2742" s="60" t="s">
        <v>40</v>
      </c>
      <c r="H2742" s="80" t="s">
        <v>316</v>
      </c>
      <c r="I2742" s="80" t="s">
        <v>35</v>
      </c>
      <c r="J2742" s="80" t="s">
        <v>338</v>
      </c>
      <c r="K2742" s="80" t="s">
        <v>337</v>
      </c>
      <c r="L2742" s="80" t="s">
        <v>352</v>
      </c>
      <c r="M2742" s="81">
        <v>2</v>
      </c>
      <c r="N2742" s="82">
        <v>150</v>
      </c>
    </row>
    <row r="2743" spans="1:14" x14ac:dyDescent="0.25">
      <c r="A2743" s="10" t="str">
        <f>_xlfn.IFNA(
    IF(J2743=
        "PCB-0001",
        "CSS",
        IF(
            ISNUMBER(MATCH(_xlfn.TEXTBEFORE(J2743,"-"), {"CSS","CSN","PCB","PCF","BEC","CSD","PCM"}, 0)),
            _xlfn.TEXTBEFORE(J2743,"-"),
            "Other"
        )
    ),
"Add")</f>
        <v>PCB</v>
      </c>
      <c r="B2743" s="10" t="str">
        <f t="shared" si="43"/>
        <v>0102</v>
      </c>
      <c r="C2743" s="10" t="str">
        <f>_xlfn.LET(
    _xlpm.val, IF(Datadetails[[#This Row],[Activity]]="D02","C20",Datadetails[[#This Row],[Activity]]),
    IF(ISNUMBER(MATCH(_xlpm.val,{"D04","C30","c40","C20"},0)), _xlpm.val, "Other")
)</f>
        <v>C30</v>
      </c>
      <c r="D2743" s="10" t="str">
        <f>IFERROR(VLOOKUP(Datadetails[[#This Row],[Taskcode]],Dashboard!A:A,1,FALSE),"00 Err Missing")</f>
        <v>0102</v>
      </c>
      <c r="E2743" s="79">
        <v>45952</v>
      </c>
      <c r="F2743" s="80" t="s">
        <v>329</v>
      </c>
      <c r="G2743" s="60" t="s">
        <v>40</v>
      </c>
      <c r="H2743" s="80" t="s">
        <v>269</v>
      </c>
      <c r="I2743" s="80" t="s">
        <v>34</v>
      </c>
      <c r="J2743" s="80" t="s">
        <v>361</v>
      </c>
      <c r="K2743" s="80" t="s">
        <v>347</v>
      </c>
      <c r="L2743" s="80" t="s">
        <v>343</v>
      </c>
      <c r="M2743" s="81">
        <v>0.17</v>
      </c>
      <c r="N2743" s="82">
        <v>12.750000000000002</v>
      </c>
    </row>
    <row r="2744" spans="1:14" x14ac:dyDescent="0.25">
      <c r="A2744" s="10" t="str">
        <f>_xlfn.IFNA(
    IF(J2744=
        "PCB-0001",
        "CSS",
        IF(
            ISNUMBER(MATCH(_xlfn.TEXTBEFORE(J2744,"-"), {"CSS","CSN","PCB","PCF","BEC","CSD","PCM"}, 0)),
            _xlfn.TEXTBEFORE(J2744,"-"),
            "Other"
        )
    ),
"Add")</f>
        <v>PCB</v>
      </c>
      <c r="B2744" s="10" t="str">
        <f t="shared" si="43"/>
        <v>0103</v>
      </c>
      <c r="C2744" s="10" t="str">
        <f>_xlfn.LET(
    _xlpm.val, IF(Datadetails[[#This Row],[Activity]]="D02","C20",Datadetails[[#This Row],[Activity]]),
    IF(ISNUMBER(MATCH(_xlpm.val,{"D04","C30","c40","C20"},0)), _xlpm.val, "Other")
)</f>
        <v>C30</v>
      </c>
      <c r="D2744" s="10" t="str">
        <f>IFERROR(VLOOKUP(Datadetails[[#This Row],[Taskcode]],Dashboard!A:A,1,FALSE),"00 Err Missing")</f>
        <v>0103</v>
      </c>
      <c r="E2744" s="79">
        <v>45952</v>
      </c>
      <c r="F2744" s="80" t="s">
        <v>329</v>
      </c>
      <c r="G2744" s="60" t="s">
        <v>40</v>
      </c>
      <c r="H2744" s="80" t="s">
        <v>270</v>
      </c>
      <c r="I2744" s="80" t="s">
        <v>34</v>
      </c>
      <c r="J2744" s="80" t="s">
        <v>360</v>
      </c>
      <c r="K2744" s="80" t="s">
        <v>347</v>
      </c>
      <c r="L2744" s="80" t="s">
        <v>343</v>
      </c>
      <c r="M2744" s="81">
        <v>0.17</v>
      </c>
      <c r="N2744" s="82">
        <v>12.750000000000002</v>
      </c>
    </row>
    <row r="2745" spans="1:14" x14ac:dyDescent="0.25">
      <c r="A2745" s="10" t="str">
        <f>_xlfn.IFNA(
    IF(J2745=
        "PCB-0001",
        "CSS",
        IF(
            ISNUMBER(MATCH(_xlfn.TEXTBEFORE(J2745,"-"), {"CSS","CSN","PCB","PCF","BEC","CSD","PCM"}, 0)),
            _xlfn.TEXTBEFORE(J2745,"-"),
            "Other"
        )
    ),
"Add")</f>
        <v>BEC</v>
      </c>
      <c r="B2745" s="10" t="str">
        <f t="shared" si="43"/>
        <v>0001</v>
      </c>
      <c r="C2745" s="10" t="str">
        <f>_xlfn.LET(
    _xlpm.val, IF(Datadetails[[#This Row],[Activity]]="D02","C20",Datadetails[[#This Row],[Activity]]),
    IF(ISNUMBER(MATCH(_xlpm.val,{"D04","C30","c40","C20"},0)), _xlpm.val, "Other")
)</f>
        <v>D04</v>
      </c>
      <c r="D2745" s="10" t="str">
        <f>IFERROR(VLOOKUP(Datadetails[[#This Row],[Taskcode]],Dashboard!A:A,1,FALSE),"00 Err Missing")</f>
        <v>0001</v>
      </c>
      <c r="E2745" s="79">
        <v>45952</v>
      </c>
      <c r="F2745" s="80" t="s">
        <v>332</v>
      </c>
      <c r="G2745" s="60" t="s">
        <v>40</v>
      </c>
      <c r="H2745" s="80" t="s">
        <v>314</v>
      </c>
      <c r="I2745" s="80" t="s">
        <v>35</v>
      </c>
      <c r="J2745" s="80" t="s">
        <v>359</v>
      </c>
      <c r="K2745" s="80" t="s">
        <v>339</v>
      </c>
      <c r="L2745" s="80" t="s">
        <v>352</v>
      </c>
      <c r="M2745" s="81">
        <v>8.33</v>
      </c>
      <c r="N2745" s="82">
        <v>333.2</v>
      </c>
    </row>
    <row r="2746" spans="1:14" x14ac:dyDescent="0.25">
      <c r="A2746" s="10" t="str">
        <f>_xlfn.IFNA(
    IF(J2746=
        "PCB-0001",
        "CSS",
        IF(
            ISNUMBER(MATCH(_xlfn.TEXTBEFORE(J2746,"-"), {"CSS","CSN","PCB","PCF","BEC","CSD","PCM"}, 0)),
            _xlfn.TEXTBEFORE(J2746,"-"),
            "Other"
        )
    ),
"Add")</f>
        <v>BEC</v>
      </c>
      <c r="B2746" s="10" t="str">
        <f t="shared" si="43"/>
        <v>0001</v>
      </c>
      <c r="C2746" s="10" t="str">
        <f>_xlfn.LET(
    _xlpm.val, IF(Datadetails[[#This Row],[Activity]]="D02","C20",Datadetails[[#This Row],[Activity]]),
    IF(ISNUMBER(MATCH(_xlpm.val,{"D04","C30","c40","C20"},0)), _xlpm.val, "Other")
)</f>
        <v>D04</v>
      </c>
      <c r="D2746" s="10" t="str">
        <f>IFERROR(VLOOKUP(Datadetails[[#This Row],[Taskcode]],Dashboard!A:A,1,FALSE),"00 Err Missing")</f>
        <v>0001</v>
      </c>
      <c r="E2746" s="79">
        <v>45952</v>
      </c>
      <c r="F2746" s="80" t="s">
        <v>324</v>
      </c>
      <c r="G2746" s="60" t="s">
        <v>40</v>
      </c>
      <c r="H2746" s="80" t="s">
        <v>314</v>
      </c>
      <c r="I2746" s="80" t="s">
        <v>35</v>
      </c>
      <c r="J2746" s="80" t="s">
        <v>359</v>
      </c>
      <c r="K2746" s="80" t="s">
        <v>339</v>
      </c>
      <c r="L2746" s="80" t="s">
        <v>352</v>
      </c>
      <c r="M2746" s="81">
        <v>5.33</v>
      </c>
      <c r="N2746" s="82">
        <v>399.75</v>
      </c>
    </row>
    <row r="2747" spans="1:14" x14ac:dyDescent="0.25">
      <c r="A2747" s="10" t="str">
        <f>_xlfn.IFNA(
    IF(J2747=
        "PCB-0001",
        "CSS",
        IF(
            ISNUMBER(MATCH(_xlfn.TEXTBEFORE(J2747,"-"), {"CSS","CSN","PCB","PCF","BEC","CSD","PCM"}, 0)),
            _xlfn.TEXTBEFORE(J2747,"-"),
            "Other"
        )
    ),
"Add")</f>
        <v>CSD</v>
      </c>
      <c r="B2747" s="10" t="str">
        <f t="shared" si="43"/>
        <v>0001</v>
      </c>
      <c r="C2747" s="10" t="str">
        <f>_xlfn.LET(
    _xlpm.val, IF(Datadetails[[#This Row],[Activity]]="D02","C20",Datadetails[[#This Row],[Activity]]),
    IF(ISNUMBER(MATCH(_xlpm.val,{"D04","C30","c40","C20"},0)), _xlpm.val, "Other")
)</f>
        <v>D04</v>
      </c>
      <c r="D2747" s="10" t="str">
        <f>IFERROR(VLOOKUP(Datadetails[[#This Row],[Taskcode]],Dashboard!A:A,1,FALSE),"00 Err Missing")</f>
        <v>0001</v>
      </c>
      <c r="E2747" s="79">
        <v>45952</v>
      </c>
      <c r="F2747" s="80" t="s">
        <v>333</v>
      </c>
      <c r="G2747" s="60" t="s">
        <v>40</v>
      </c>
      <c r="H2747" s="80" t="s">
        <v>320</v>
      </c>
      <c r="I2747" s="80" t="s">
        <v>35</v>
      </c>
      <c r="J2747" s="80" t="s">
        <v>322</v>
      </c>
      <c r="K2747" s="80" t="s">
        <v>319</v>
      </c>
      <c r="L2747" s="80" t="s">
        <v>352</v>
      </c>
      <c r="M2747" s="81">
        <v>6.9</v>
      </c>
      <c r="N2747" s="82">
        <v>220.8</v>
      </c>
    </row>
    <row r="2748" spans="1:14" x14ac:dyDescent="0.25">
      <c r="A2748" s="10" t="str">
        <f>_xlfn.IFNA(
    IF(J2748=
        "PCB-0001",
        "CSS",
        IF(
            ISNUMBER(MATCH(_xlfn.TEXTBEFORE(J2748,"-"), {"CSS","CSN","PCB","PCF","BEC","CSD","PCM"}, 0)),
            _xlfn.TEXTBEFORE(J2748,"-"),
            "Other"
        )
    ),
"Add")</f>
        <v>CSD</v>
      </c>
      <c r="B2748" s="10" t="str">
        <f t="shared" si="43"/>
        <v>0001</v>
      </c>
      <c r="C2748" s="10" t="str">
        <f>_xlfn.LET(
    _xlpm.val, IF(Datadetails[[#This Row],[Activity]]="D02","C20",Datadetails[[#This Row],[Activity]]),
    IF(ISNUMBER(MATCH(_xlpm.val,{"D04","C30","c40","C20"},0)), _xlpm.val, "Other")
)</f>
        <v>D04</v>
      </c>
      <c r="D2748" s="10" t="str">
        <f>IFERROR(VLOOKUP(Datadetails[[#This Row],[Taskcode]],Dashboard!A:A,1,FALSE),"00 Err Missing")</f>
        <v>0001</v>
      </c>
      <c r="E2748" s="79">
        <v>45952</v>
      </c>
      <c r="F2748" s="80" t="s">
        <v>327</v>
      </c>
      <c r="G2748" s="60" t="s">
        <v>40</v>
      </c>
      <c r="H2748" s="80" t="s">
        <v>320</v>
      </c>
      <c r="I2748" s="80" t="s">
        <v>35</v>
      </c>
      <c r="J2748" s="80" t="s">
        <v>322</v>
      </c>
      <c r="K2748" s="80" t="s">
        <v>319</v>
      </c>
      <c r="L2748" s="80" t="s">
        <v>352</v>
      </c>
      <c r="M2748" s="81">
        <v>7.33</v>
      </c>
      <c r="N2748" s="82">
        <v>234.56</v>
      </c>
    </row>
    <row r="2749" spans="1:14" x14ac:dyDescent="0.25">
      <c r="A2749" s="10" t="str">
        <f>_xlfn.IFNA(
    IF(J2749=
        "PCB-0001",
        "CSS",
        IF(
            ISNUMBER(MATCH(_xlfn.TEXTBEFORE(J2749,"-"), {"CSS","CSN","PCB","PCF","BEC","CSD","PCM"}, 0)),
            _xlfn.TEXTBEFORE(J2749,"-"),
            "Other"
        )
    ),
"Add")</f>
        <v>PCM</v>
      </c>
      <c r="B2749" s="10" t="str">
        <f t="shared" si="43"/>
        <v>0078</v>
      </c>
      <c r="C2749" s="10" t="str">
        <f>_xlfn.LET(
    _xlpm.val, IF(Datadetails[[#This Row],[Activity]]="D02","C20",Datadetails[[#This Row],[Activity]]),
    IF(ISNUMBER(MATCH(_xlpm.val,{"D04","C30","c40","C20"},0)), _xlpm.val, "Other")
)</f>
        <v>C20</v>
      </c>
      <c r="D2749" s="10" t="str">
        <f>IFERROR(VLOOKUP(Datadetails[[#This Row],[Taskcode]],Dashboard!A:A,1,FALSE),"00 Err Missing")</f>
        <v>0078</v>
      </c>
      <c r="E2749" s="79">
        <v>45952</v>
      </c>
      <c r="F2749" s="80" t="s">
        <v>323</v>
      </c>
      <c r="G2749" s="60" t="s">
        <v>40</v>
      </c>
      <c r="H2749" s="80" t="s">
        <v>245</v>
      </c>
      <c r="I2749" s="80" t="s">
        <v>36</v>
      </c>
      <c r="J2749" s="80" t="s">
        <v>435</v>
      </c>
      <c r="K2749" s="80" t="s">
        <v>346</v>
      </c>
      <c r="L2749" s="80" t="s">
        <v>342</v>
      </c>
      <c r="M2749" s="81">
        <v>0.25</v>
      </c>
      <c r="N2749" s="82">
        <v>15</v>
      </c>
    </row>
    <row r="2750" spans="1:14" x14ac:dyDescent="0.25">
      <c r="A2750" s="10" t="str">
        <f>_xlfn.IFNA(
    IF(J2750=
        "PCB-0001",
        "CSS",
        IF(
            ISNUMBER(MATCH(_xlfn.TEXTBEFORE(J2750,"-"), {"CSS","CSN","PCB","PCF","BEC","CSD","PCM"}, 0)),
            _xlfn.TEXTBEFORE(J2750,"-"),
            "Other"
        )
    ),
"Add")</f>
        <v>PCM</v>
      </c>
      <c r="B2750" s="10" t="str">
        <f t="shared" si="43"/>
        <v>0116</v>
      </c>
      <c r="C2750" s="10" t="str">
        <f>_xlfn.LET(
    _xlpm.val, IF(Datadetails[[#This Row],[Activity]]="D02","C20",Datadetails[[#This Row],[Activity]]),
    IF(ISNUMBER(MATCH(_xlpm.val,{"D04","C30","c40","C20"},0)), _xlpm.val, "Other")
)</f>
        <v>C20</v>
      </c>
      <c r="D2750" s="10" t="str">
        <f>IFERROR(VLOOKUP(Datadetails[[#This Row],[Taskcode]],Dashboard!A:A,1,FALSE),"00 Err Missing")</f>
        <v>0116</v>
      </c>
      <c r="E2750" s="79">
        <v>45952</v>
      </c>
      <c r="F2750" s="80" t="s">
        <v>323</v>
      </c>
      <c r="G2750" s="60" t="s">
        <v>40</v>
      </c>
      <c r="H2750" s="80" t="s">
        <v>283</v>
      </c>
      <c r="I2750" s="80" t="s">
        <v>36</v>
      </c>
      <c r="J2750" s="80" t="s">
        <v>429</v>
      </c>
      <c r="K2750" s="80" t="s">
        <v>346</v>
      </c>
      <c r="L2750" s="80" t="s">
        <v>342</v>
      </c>
      <c r="M2750" s="81">
        <v>0.33</v>
      </c>
      <c r="N2750" s="82">
        <v>19.8</v>
      </c>
    </row>
    <row r="2751" spans="1:14" x14ac:dyDescent="0.25">
      <c r="A2751" s="10" t="str">
        <f>_xlfn.IFNA(
    IF(J2751=
        "PCB-0001",
        "CSS",
        IF(
            ISNUMBER(MATCH(_xlfn.TEXTBEFORE(J2751,"-"), {"CSS","CSN","PCB","PCF","BEC","CSD","PCM"}, 0)),
            _xlfn.TEXTBEFORE(J2751,"-"),
            "Other"
        )
    ),
"Add")</f>
        <v>PCB</v>
      </c>
      <c r="B2751" s="10" t="str">
        <f t="shared" si="43"/>
        <v>0030</v>
      </c>
      <c r="C2751" s="10" t="str">
        <f>_xlfn.LET(
    _xlpm.val, IF(Datadetails[[#This Row],[Activity]]="D02","C20",Datadetails[[#This Row],[Activity]]),
    IF(ISNUMBER(MATCH(_xlpm.val,{"D04","C30","c40","C20"},0)), _xlpm.val, "Other")
)</f>
        <v>C30</v>
      </c>
      <c r="D2751" s="10" t="str">
        <f>IFERROR(VLOOKUP(Datadetails[[#This Row],[Taskcode]],Dashboard!A:A,1,FALSE),"00 Err Missing")</f>
        <v>0030</v>
      </c>
      <c r="E2751" s="79">
        <v>45952</v>
      </c>
      <c r="F2751" s="80" t="s">
        <v>329</v>
      </c>
      <c r="G2751" s="60" t="s">
        <v>40</v>
      </c>
      <c r="H2751" s="80" t="s">
        <v>197</v>
      </c>
      <c r="I2751" s="80" t="s">
        <v>34</v>
      </c>
      <c r="J2751" s="80" t="s">
        <v>366</v>
      </c>
      <c r="K2751" s="80" t="s">
        <v>347</v>
      </c>
      <c r="L2751" s="80" t="s">
        <v>343</v>
      </c>
      <c r="M2751" s="81">
        <v>0.17</v>
      </c>
      <c r="N2751" s="82">
        <v>12.750000000000002</v>
      </c>
    </row>
    <row r="2752" spans="1:14" x14ac:dyDescent="0.25">
      <c r="A2752" s="10" t="str">
        <f>_xlfn.IFNA(
    IF(J2752=
        "PCB-0001",
        "CSS",
        IF(
            ISNUMBER(MATCH(_xlfn.TEXTBEFORE(J2752,"-"), {"CSS","CSN","PCB","PCF","BEC","CSD","PCM"}, 0)),
            _xlfn.TEXTBEFORE(J2752,"-"),
            "Other"
        )
    ),
"Add")</f>
        <v>PCB</v>
      </c>
      <c r="B2752" s="10" t="str">
        <f t="shared" si="43"/>
        <v>0038</v>
      </c>
      <c r="C2752" s="10" t="str">
        <f>_xlfn.LET(
    _xlpm.val, IF(Datadetails[[#This Row],[Activity]]="D02","C20",Datadetails[[#This Row],[Activity]]),
    IF(ISNUMBER(MATCH(_xlpm.val,{"D04","C30","c40","C20"},0)), _xlpm.val, "Other")
)</f>
        <v>C30</v>
      </c>
      <c r="D2752" s="10" t="str">
        <f>IFERROR(VLOOKUP(Datadetails[[#This Row],[Taskcode]],Dashboard!A:A,1,FALSE),"00 Err Missing")</f>
        <v>0038</v>
      </c>
      <c r="E2752" s="79">
        <v>45952</v>
      </c>
      <c r="F2752" s="80" t="s">
        <v>325</v>
      </c>
      <c r="G2752" s="60" t="s">
        <v>40</v>
      </c>
      <c r="H2752" s="80" t="s">
        <v>205</v>
      </c>
      <c r="I2752" s="80" t="s">
        <v>34</v>
      </c>
      <c r="J2752" s="80" t="s">
        <v>470</v>
      </c>
      <c r="K2752" s="80" t="s">
        <v>347</v>
      </c>
      <c r="L2752" s="80" t="s">
        <v>343</v>
      </c>
      <c r="M2752" s="81">
        <v>0.25</v>
      </c>
      <c r="N2752" s="82">
        <v>18.75</v>
      </c>
    </row>
    <row r="2753" spans="1:14" x14ac:dyDescent="0.25">
      <c r="A2753" s="10" t="str">
        <f>_xlfn.IFNA(
    IF(J2753=
        "PCB-0001",
        "CSS",
        IF(
            ISNUMBER(MATCH(_xlfn.TEXTBEFORE(J2753,"-"), {"CSS","CSN","PCB","PCF","BEC","CSD","PCM"}, 0)),
            _xlfn.TEXTBEFORE(J2753,"-"),
            "Other"
        )
    ),
"Add")</f>
        <v>PCB</v>
      </c>
      <c r="B2753" s="10" t="str">
        <f t="shared" si="43"/>
        <v>0015</v>
      </c>
      <c r="C2753" s="10" t="str">
        <f>_xlfn.LET(
    _xlpm.val, IF(Datadetails[[#This Row],[Activity]]="D02","C20",Datadetails[[#This Row],[Activity]]),
    IF(ISNUMBER(MATCH(_xlpm.val,{"D04","C30","c40","C20"},0)), _xlpm.val, "Other")
)</f>
        <v>C30</v>
      </c>
      <c r="D2753" s="10" t="str">
        <f>IFERROR(VLOOKUP(Datadetails[[#This Row],[Taskcode]],Dashboard!A:A,1,FALSE),"00 Err Missing")</f>
        <v>0015</v>
      </c>
      <c r="E2753" s="79">
        <v>45952</v>
      </c>
      <c r="F2753" s="80" t="s">
        <v>325</v>
      </c>
      <c r="G2753" s="60" t="s">
        <v>40</v>
      </c>
      <c r="H2753" s="80" t="s">
        <v>182</v>
      </c>
      <c r="I2753" s="80" t="s">
        <v>34</v>
      </c>
      <c r="J2753" s="80" t="s">
        <v>467</v>
      </c>
      <c r="K2753" s="80" t="s">
        <v>347</v>
      </c>
      <c r="L2753" s="80" t="s">
        <v>343</v>
      </c>
      <c r="M2753" s="81">
        <v>0.17</v>
      </c>
      <c r="N2753" s="82">
        <v>12.750000000000002</v>
      </c>
    </row>
    <row r="2754" spans="1:14" x14ac:dyDescent="0.25">
      <c r="A2754" s="10" t="str">
        <f>_xlfn.IFNA(
    IF(J2754=
        "PCB-0001",
        "CSS",
        IF(
            ISNUMBER(MATCH(_xlfn.TEXTBEFORE(J2754,"-"), {"CSS","CSN","PCB","PCF","BEC","CSD","PCM"}, 0)),
            _xlfn.TEXTBEFORE(J2754,"-"),
            "Other"
        )
    ),
"Add")</f>
        <v>PCB</v>
      </c>
      <c r="B2754" s="10" t="str">
        <f t="shared" si="43"/>
        <v>0039</v>
      </c>
      <c r="C2754" s="10" t="str">
        <f>_xlfn.LET(
    _xlpm.val, IF(Datadetails[[#This Row],[Activity]]="D02","C20",Datadetails[[#This Row],[Activity]]),
    IF(ISNUMBER(MATCH(_xlpm.val,{"D04","C30","c40","C20"},0)), _xlpm.val, "Other")
)</f>
        <v>C30</v>
      </c>
      <c r="D2754" s="10" t="str">
        <f>IFERROR(VLOOKUP(Datadetails[[#This Row],[Taskcode]],Dashboard!A:A,1,FALSE),"00 Err Missing")</f>
        <v>0039</v>
      </c>
      <c r="E2754" s="79">
        <v>45952</v>
      </c>
      <c r="F2754" s="80" t="s">
        <v>329</v>
      </c>
      <c r="G2754" s="60" t="s">
        <v>40</v>
      </c>
      <c r="H2754" s="80" t="s">
        <v>206</v>
      </c>
      <c r="I2754" s="80" t="s">
        <v>34</v>
      </c>
      <c r="J2754" s="80" t="s">
        <v>367</v>
      </c>
      <c r="K2754" s="80" t="s">
        <v>347</v>
      </c>
      <c r="L2754" s="80" t="s">
        <v>343</v>
      </c>
      <c r="M2754" s="81">
        <v>0.25</v>
      </c>
      <c r="N2754" s="82">
        <v>18.75</v>
      </c>
    </row>
    <row r="2755" spans="1:14" x14ac:dyDescent="0.25">
      <c r="A2755" s="10" t="str">
        <f>_xlfn.IFNA(
    IF(J2755=
        "PCB-0001",
        "CSS",
        IF(
            ISNUMBER(MATCH(_xlfn.TEXTBEFORE(J2755,"-"), {"CSS","CSN","PCB","PCF","BEC","CSD","PCM"}, 0)),
            _xlfn.TEXTBEFORE(J2755,"-"),
            "Other"
        )
    ),
"Add")</f>
        <v>PCB</v>
      </c>
      <c r="B2755" s="10" t="str">
        <f t="shared" si="43"/>
        <v>0135</v>
      </c>
      <c r="C2755" s="10" t="str">
        <f>_xlfn.LET(
    _xlpm.val, IF(Datadetails[[#This Row],[Activity]]="D02","C20",Datadetails[[#This Row],[Activity]]),
    IF(ISNUMBER(MATCH(_xlpm.val,{"D04","C30","c40","C20"},0)), _xlpm.val, "Other")
)</f>
        <v>C30</v>
      </c>
      <c r="D2755" s="10" t="str">
        <f>IFERROR(VLOOKUP(Datadetails[[#This Row],[Taskcode]],Dashboard!A:A,1,FALSE),"00 Err Missing")</f>
        <v>0135</v>
      </c>
      <c r="E2755" s="79">
        <v>45952</v>
      </c>
      <c r="F2755" s="80" t="s">
        <v>329</v>
      </c>
      <c r="G2755" s="60" t="s">
        <v>40</v>
      </c>
      <c r="H2755" s="80" t="s">
        <v>302</v>
      </c>
      <c r="I2755" s="80" t="s">
        <v>34</v>
      </c>
      <c r="J2755" s="80" t="s">
        <v>398</v>
      </c>
      <c r="K2755" s="80" t="s">
        <v>347</v>
      </c>
      <c r="L2755" s="80" t="s">
        <v>343</v>
      </c>
      <c r="M2755" s="81">
        <v>0.17</v>
      </c>
      <c r="N2755" s="82">
        <v>12.750000000000002</v>
      </c>
    </row>
    <row r="2756" spans="1:14" x14ac:dyDescent="0.25">
      <c r="A2756" s="10" t="str">
        <f>_xlfn.IFNA(
    IF(J2756=
        "PCB-0001",
        "CSS",
        IF(
            ISNUMBER(MATCH(_xlfn.TEXTBEFORE(J2756,"-"), {"CSS","CSN","PCB","PCF","BEC","CSD","PCM"}, 0)),
            _xlfn.TEXTBEFORE(J2756,"-"),
            "Other"
        )
    ),
"Add")</f>
        <v>PCB</v>
      </c>
      <c r="B2756" s="10" t="str">
        <f t="shared" ref="B2756:B2819" si="44">_xlfn.IFNA(_xlfn.TEXTAFTER(J2756,"-"),"Data to C2")</f>
        <v>0134</v>
      </c>
      <c r="C2756" s="10" t="str">
        <f>_xlfn.LET(
    _xlpm.val, IF(Datadetails[[#This Row],[Activity]]="D02","C20",Datadetails[[#This Row],[Activity]]),
    IF(ISNUMBER(MATCH(_xlpm.val,{"D04","C30","c40","C20"},0)), _xlpm.val, "Other")
)</f>
        <v>C30</v>
      </c>
      <c r="D2756" s="10" t="str">
        <f>IFERROR(VLOOKUP(Datadetails[[#This Row],[Taskcode]],Dashboard!A:A,1,FALSE),"00 Err Missing")</f>
        <v>0134</v>
      </c>
      <c r="E2756" s="79">
        <v>45952</v>
      </c>
      <c r="F2756" s="80" t="s">
        <v>329</v>
      </c>
      <c r="G2756" s="60" t="s">
        <v>40</v>
      </c>
      <c r="H2756" s="80" t="s">
        <v>301</v>
      </c>
      <c r="I2756" s="80" t="s">
        <v>34</v>
      </c>
      <c r="J2756" s="80" t="s">
        <v>371</v>
      </c>
      <c r="K2756" s="80" t="s">
        <v>347</v>
      </c>
      <c r="L2756" s="80" t="s">
        <v>343</v>
      </c>
      <c r="M2756" s="81">
        <v>0.33</v>
      </c>
      <c r="N2756" s="82">
        <v>24.75</v>
      </c>
    </row>
    <row r="2757" spans="1:14" x14ac:dyDescent="0.25">
      <c r="A2757" s="10" t="str">
        <f>_xlfn.IFNA(
    IF(J2757=
        "PCB-0001",
        "CSS",
        IF(
            ISNUMBER(MATCH(_xlfn.TEXTBEFORE(J2757,"-"), {"CSS","CSN","PCB","PCF","BEC","CSD","PCM"}, 0)),
            _xlfn.TEXTBEFORE(J2757,"-"),
            "Other"
        )
    ),
"Add")</f>
        <v>PCB</v>
      </c>
      <c r="B2757" s="10" t="str">
        <f t="shared" si="44"/>
        <v>0057</v>
      </c>
      <c r="C2757" s="10" t="str">
        <f>_xlfn.LET(
    _xlpm.val, IF(Datadetails[[#This Row],[Activity]]="D02","C20",Datadetails[[#This Row],[Activity]]),
    IF(ISNUMBER(MATCH(_xlpm.val,{"D04","C30","c40","C20"},0)), _xlpm.val, "Other")
)</f>
        <v>C30</v>
      </c>
      <c r="D2757" s="10" t="str">
        <f>IFERROR(VLOOKUP(Datadetails[[#This Row],[Taskcode]],Dashboard!A:A,1,FALSE),"00 Err Missing")</f>
        <v>0057</v>
      </c>
      <c r="E2757" s="79">
        <v>45952</v>
      </c>
      <c r="F2757" s="80" t="s">
        <v>325</v>
      </c>
      <c r="G2757" s="60" t="s">
        <v>40</v>
      </c>
      <c r="H2757" s="80" t="s">
        <v>224</v>
      </c>
      <c r="I2757" s="80" t="s">
        <v>34</v>
      </c>
      <c r="J2757" s="80" t="s">
        <v>423</v>
      </c>
      <c r="K2757" s="80" t="s">
        <v>347</v>
      </c>
      <c r="L2757" s="80" t="s">
        <v>343</v>
      </c>
      <c r="M2757" s="81">
        <v>0.25</v>
      </c>
      <c r="N2757" s="82">
        <v>18.75</v>
      </c>
    </row>
    <row r="2758" spans="1:14" x14ac:dyDescent="0.25">
      <c r="A2758" s="10" t="str">
        <f>_xlfn.IFNA(
    IF(J2758=
        "PCB-0001",
        "CSS",
        IF(
            ISNUMBER(MATCH(_xlfn.TEXTBEFORE(J2758,"-"), {"CSS","CSN","PCB","PCF","BEC","CSD","PCM"}, 0)),
            _xlfn.TEXTBEFORE(J2758,"-"),
            "Other"
        )
    ),
"Add")</f>
        <v>PCB</v>
      </c>
      <c r="B2758" s="10" t="str">
        <f t="shared" si="44"/>
        <v>0136</v>
      </c>
      <c r="C2758" s="10" t="str">
        <f>_xlfn.LET(
    _xlpm.val, IF(Datadetails[[#This Row],[Activity]]="D02","C20",Datadetails[[#This Row],[Activity]]),
    IF(ISNUMBER(MATCH(_xlpm.val,{"D04","C30","c40","C20"},0)), _xlpm.val, "Other")
)</f>
        <v>C30</v>
      </c>
      <c r="D2758" s="10" t="str">
        <f>IFERROR(VLOOKUP(Datadetails[[#This Row],[Taskcode]],Dashboard!A:A,1,FALSE),"00 Err Missing")</f>
        <v>0136</v>
      </c>
      <c r="E2758" s="79">
        <v>45952</v>
      </c>
      <c r="F2758" s="80" t="s">
        <v>329</v>
      </c>
      <c r="G2758" s="60" t="s">
        <v>40</v>
      </c>
      <c r="H2758" s="80" t="s">
        <v>303</v>
      </c>
      <c r="I2758" s="80" t="s">
        <v>34</v>
      </c>
      <c r="J2758" s="80" t="s">
        <v>400</v>
      </c>
      <c r="K2758" s="80" t="s">
        <v>347</v>
      </c>
      <c r="L2758" s="80" t="s">
        <v>343</v>
      </c>
      <c r="M2758" s="81">
        <v>0.33</v>
      </c>
      <c r="N2758" s="82">
        <v>24.75</v>
      </c>
    </row>
    <row r="2759" spans="1:14" x14ac:dyDescent="0.25">
      <c r="A2759" s="10" t="str">
        <f>_xlfn.IFNA(
    IF(J2759=
        "PCB-0001",
        "CSS",
        IF(
            ISNUMBER(MATCH(_xlfn.TEXTBEFORE(J2759,"-"), {"CSS","CSN","PCB","PCF","BEC","CSD","PCM"}, 0)),
            _xlfn.TEXTBEFORE(J2759,"-"),
            "Other"
        )
    ),
"Add")</f>
        <v>PCB</v>
      </c>
      <c r="B2759" s="10" t="str">
        <f t="shared" si="44"/>
        <v>0054</v>
      </c>
      <c r="C2759" s="10" t="str">
        <f>_xlfn.LET(
    _xlpm.val, IF(Datadetails[[#This Row],[Activity]]="D02","C20",Datadetails[[#This Row],[Activity]]),
    IF(ISNUMBER(MATCH(_xlpm.val,{"D04","C30","c40","C20"},0)), _xlpm.val, "Other")
)</f>
        <v>C30</v>
      </c>
      <c r="D2759" s="10" t="str">
        <f>IFERROR(VLOOKUP(Datadetails[[#This Row],[Taskcode]],Dashboard!A:A,1,FALSE),"00 Err Missing")</f>
        <v>0054</v>
      </c>
      <c r="E2759" s="79">
        <v>45952</v>
      </c>
      <c r="F2759" s="80" t="s">
        <v>329</v>
      </c>
      <c r="G2759" s="60" t="s">
        <v>40</v>
      </c>
      <c r="H2759" s="80" t="s">
        <v>221</v>
      </c>
      <c r="I2759" s="80" t="s">
        <v>34</v>
      </c>
      <c r="J2759" s="80" t="s">
        <v>369</v>
      </c>
      <c r="K2759" s="80" t="s">
        <v>347</v>
      </c>
      <c r="L2759" s="80" t="s">
        <v>343</v>
      </c>
      <c r="M2759" s="81">
        <v>0.25</v>
      </c>
      <c r="N2759" s="82">
        <v>18.75</v>
      </c>
    </row>
    <row r="2760" spans="1:14" x14ac:dyDescent="0.25">
      <c r="A2760" s="10" t="str">
        <f>_xlfn.IFNA(
    IF(J2760=
        "PCB-0001",
        "CSS",
        IF(
            ISNUMBER(MATCH(_xlfn.TEXTBEFORE(J2760,"-"), {"CSS","CSN","PCB","PCF","BEC","CSD","PCM"}, 0)),
            _xlfn.TEXTBEFORE(J2760,"-"),
            "Other"
        )
    ),
"Add")</f>
        <v>PCB</v>
      </c>
      <c r="B2760" s="10" t="str">
        <f t="shared" si="44"/>
        <v>0073</v>
      </c>
      <c r="C2760" s="10" t="str">
        <f>_xlfn.LET(
    _xlpm.val, IF(Datadetails[[#This Row],[Activity]]="D02","C20",Datadetails[[#This Row],[Activity]]),
    IF(ISNUMBER(MATCH(_xlpm.val,{"D04","C30","c40","C20"},0)), _xlpm.val, "Other")
)</f>
        <v>C30</v>
      </c>
      <c r="D2760" s="10" t="str">
        <f>IFERROR(VLOOKUP(Datadetails[[#This Row],[Taskcode]],Dashboard!A:A,1,FALSE),"00 Err Missing")</f>
        <v>0073</v>
      </c>
      <c r="E2760" s="79">
        <v>45952</v>
      </c>
      <c r="F2760" s="80" t="s">
        <v>329</v>
      </c>
      <c r="G2760" s="60" t="s">
        <v>40</v>
      </c>
      <c r="H2760" s="80" t="s">
        <v>240</v>
      </c>
      <c r="I2760" s="80" t="s">
        <v>34</v>
      </c>
      <c r="J2760" s="80" t="s">
        <v>402</v>
      </c>
      <c r="K2760" s="80" t="s">
        <v>347</v>
      </c>
      <c r="L2760" s="80" t="s">
        <v>343</v>
      </c>
      <c r="M2760" s="81">
        <v>0.25</v>
      </c>
      <c r="N2760" s="82">
        <v>18.75</v>
      </c>
    </row>
    <row r="2761" spans="1:14" x14ac:dyDescent="0.25">
      <c r="A2761" s="10" t="str">
        <f>_xlfn.IFNA(
    IF(J2761=
        "PCB-0001",
        "CSS",
        IF(
            ISNUMBER(MATCH(_xlfn.TEXTBEFORE(J2761,"-"), {"CSS","CSN","PCB","PCF","BEC","CSD","PCM"}, 0)),
            _xlfn.TEXTBEFORE(J2761,"-"),
            "Other"
        )
    ),
"Add")</f>
        <v>PCB</v>
      </c>
      <c r="B2761" s="10" t="str">
        <f t="shared" si="44"/>
        <v>0074</v>
      </c>
      <c r="C2761" s="10" t="str">
        <f>_xlfn.LET(
    _xlpm.val, IF(Datadetails[[#This Row],[Activity]]="D02","C20",Datadetails[[#This Row],[Activity]]),
    IF(ISNUMBER(MATCH(_xlpm.val,{"D04","C30","c40","C20"},0)), _xlpm.val, "Other")
)</f>
        <v>C30</v>
      </c>
      <c r="D2761" s="10" t="str">
        <f>IFERROR(VLOOKUP(Datadetails[[#This Row],[Taskcode]],Dashboard!A:A,1,FALSE),"00 Err Missing")</f>
        <v>0074</v>
      </c>
      <c r="E2761" s="79">
        <v>45952</v>
      </c>
      <c r="F2761" s="80" t="s">
        <v>329</v>
      </c>
      <c r="G2761" s="60" t="s">
        <v>40</v>
      </c>
      <c r="H2761" s="80" t="s">
        <v>241</v>
      </c>
      <c r="I2761" s="80" t="s">
        <v>34</v>
      </c>
      <c r="J2761" s="80" t="s">
        <v>403</v>
      </c>
      <c r="K2761" s="80" t="s">
        <v>347</v>
      </c>
      <c r="L2761" s="80" t="s">
        <v>343</v>
      </c>
      <c r="M2761" s="81">
        <v>0.25</v>
      </c>
      <c r="N2761" s="82">
        <v>18.75</v>
      </c>
    </row>
    <row r="2762" spans="1:14" x14ac:dyDescent="0.25">
      <c r="A2762" s="10" t="str">
        <f>_xlfn.IFNA(
    IF(J2762=
        "PCB-0001",
        "CSS",
        IF(
            ISNUMBER(MATCH(_xlfn.TEXTBEFORE(J2762,"-"), {"CSS","CSN","PCB","PCF","BEC","CSD","PCM"}, 0)),
            _xlfn.TEXTBEFORE(J2762,"-"),
            "Other"
        )
    ),
"Add")</f>
        <v>PCB</v>
      </c>
      <c r="B2762" s="10" t="str">
        <f t="shared" si="44"/>
        <v>0121</v>
      </c>
      <c r="C2762" s="10" t="str">
        <f>_xlfn.LET(
    _xlpm.val, IF(Datadetails[[#This Row],[Activity]]="D02","C20",Datadetails[[#This Row],[Activity]]),
    IF(ISNUMBER(MATCH(_xlpm.val,{"D04","C30","c40","C20"},0)), _xlpm.val, "Other")
)</f>
        <v>C30</v>
      </c>
      <c r="D2762" s="10" t="str">
        <f>IFERROR(VLOOKUP(Datadetails[[#This Row],[Taskcode]],Dashboard!A:A,1,FALSE),"00 Err Missing")</f>
        <v>0121</v>
      </c>
      <c r="E2762" s="79">
        <v>45952</v>
      </c>
      <c r="F2762" s="80" t="s">
        <v>329</v>
      </c>
      <c r="G2762" s="60" t="s">
        <v>40</v>
      </c>
      <c r="H2762" s="80" t="s">
        <v>288</v>
      </c>
      <c r="I2762" s="80" t="s">
        <v>34</v>
      </c>
      <c r="J2762" s="80" t="s">
        <v>405</v>
      </c>
      <c r="K2762" s="80" t="s">
        <v>347</v>
      </c>
      <c r="L2762" s="80" t="s">
        <v>343</v>
      </c>
      <c r="M2762" s="81">
        <v>0.17</v>
      </c>
      <c r="N2762" s="82">
        <v>12.750000000000002</v>
      </c>
    </row>
    <row r="2763" spans="1:14" x14ac:dyDescent="0.25">
      <c r="A2763" s="10" t="str">
        <f>_xlfn.IFNA(
    IF(J2763=
        "PCB-0001",
        "CSS",
        IF(
            ISNUMBER(MATCH(_xlfn.TEXTBEFORE(J2763,"-"), {"CSS","CSN","PCB","PCF","BEC","CSD","PCM"}, 0)),
            _xlfn.TEXTBEFORE(J2763,"-"),
            "Other"
        )
    ),
"Add")</f>
        <v>PCB</v>
      </c>
      <c r="B2763" s="10" t="str">
        <f t="shared" si="44"/>
        <v>0129</v>
      </c>
      <c r="C2763" s="10" t="str">
        <f>_xlfn.LET(
    _xlpm.val, IF(Datadetails[[#This Row],[Activity]]="D02","C20",Datadetails[[#This Row],[Activity]]),
    IF(ISNUMBER(MATCH(_xlpm.val,{"D04","C30","c40","C20"},0)), _xlpm.val, "Other")
)</f>
        <v>C30</v>
      </c>
      <c r="D2763" s="10" t="str">
        <f>IFERROR(VLOOKUP(Datadetails[[#This Row],[Taskcode]],Dashboard!A:A,1,FALSE),"00 Err Missing")</f>
        <v>0129</v>
      </c>
      <c r="E2763" s="79">
        <v>45952</v>
      </c>
      <c r="F2763" s="80" t="s">
        <v>329</v>
      </c>
      <c r="G2763" s="60" t="s">
        <v>40</v>
      </c>
      <c r="H2763" s="80" t="s">
        <v>296</v>
      </c>
      <c r="I2763" s="80" t="s">
        <v>34</v>
      </c>
      <c r="J2763" s="80" t="s">
        <v>411</v>
      </c>
      <c r="K2763" s="80" t="s">
        <v>347</v>
      </c>
      <c r="L2763" s="80" t="s">
        <v>343</v>
      </c>
      <c r="M2763" s="81">
        <v>0.17</v>
      </c>
      <c r="N2763" s="82">
        <v>12.750000000000002</v>
      </c>
    </row>
    <row r="2764" spans="1:14" x14ac:dyDescent="0.25">
      <c r="A2764" s="10" t="str">
        <f>_xlfn.IFNA(
    IF(J2764=
        "PCB-0001",
        "CSS",
        IF(
            ISNUMBER(MATCH(_xlfn.TEXTBEFORE(J2764,"-"), {"CSS","CSN","PCB","PCF","BEC","CSD","PCM"}, 0)),
            _xlfn.TEXTBEFORE(J2764,"-"),
            "Other"
        )
    ),
"Add")</f>
        <v>PCB</v>
      </c>
      <c r="B2764" s="10" t="str">
        <f t="shared" si="44"/>
        <v>0128</v>
      </c>
      <c r="C2764" s="10" t="str">
        <f>_xlfn.LET(
    _xlpm.val, IF(Datadetails[[#This Row],[Activity]]="D02","C20",Datadetails[[#This Row],[Activity]]),
    IF(ISNUMBER(MATCH(_xlpm.val,{"D04","C30","c40","C20"},0)), _xlpm.val, "Other")
)</f>
        <v>C30</v>
      </c>
      <c r="D2764" s="10" t="str">
        <f>IFERROR(VLOOKUP(Datadetails[[#This Row],[Taskcode]],Dashboard!A:A,1,FALSE),"00 Err Missing")</f>
        <v>0128</v>
      </c>
      <c r="E2764" s="79">
        <v>45952</v>
      </c>
      <c r="F2764" s="80" t="s">
        <v>329</v>
      </c>
      <c r="G2764" s="60" t="s">
        <v>40</v>
      </c>
      <c r="H2764" s="80" t="s">
        <v>295</v>
      </c>
      <c r="I2764" s="80" t="s">
        <v>34</v>
      </c>
      <c r="J2764" s="80" t="s">
        <v>379</v>
      </c>
      <c r="K2764" s="80" t="s">
        <v>347</v>
      </c>
      <c r="L2764" s="80" t="s">
        <v>343</v>
      </c>
      <c r="M2764" s="81">
        <v>0.17</v>
      </c>
      <c r="N2764" s="82">
        <v>12.750000000000002</v>
      </c>
    </row>
    <row r="2765" spans="1:14" x14ac:dyDescent="0.25">
      <c r="A2765" s="10" t="str">
        <f>_xlfn.IFNA(
    IF(J2765=
        "PCB-0001",
        "CSS",
        IF(
            ISNUMBER(MATCH(_xlfn.TEXTBEFORE(J2765,"-"), {"CSS","CSN","PCB","PCF","BEC","CSD","PCM"}, 0)),
            _xlfn.TEXTBEFORE(J2765,"-"),
            "Other"
        )
    ),
"Add")</f>
        <v>PCB</v>
      </c>
      <c r="B2765" s="10" t="str">
        <f t="shared" si="44"/>
        <v>0081</v>
      </c>
      <c r="C2765" s="10" t="str">
        <f>_xlfn.LET(
    _xlpm.val, IF(Datadetails[[#This Row],[Activity]]="D02","C20",Datadetails[[#This Row],[Activity]]),
    IF(ISNUMBER(MATCH(_xlpm.val,{"D04","C30","c40","C20"},0)), _xlpm.val, "Other")
)</f>
        <v>C30</v>
      </c>
      <c r="D2765" s="10" t="str">
        <f>IFERROR(VLOOKUP(Datadetails[[#This Row],[Taskcode]],Dashboard!A:A,1,FALSE),"00 Err Missing")</f>
        <v>0081</v>
      </c>
      <c r="E2765" s="79">
        <v>45952</v>
      </c>
      <c r="F2765" s="80" t="s">
        <v>329</v>
      </c>
      <c r="G2765" s="60" t="s">
        <v>40</v>
      </c>
      <c r="H2765" s="80" t="s">
        <v>248</v>
      </c>
      <c r="I2765" s="80" t="s">
        <v>34</v>
      </c>
      <c r="J2765" s="80" t="s">
        <v>385</v>
      </c>
      <c r="K2765" s="80" t="s">
        <v>347</v>
      </c>
      <c r="L2765" s="80" t="s">
        <v>343</v>
      </c>
      <c r="M2765" s="81">
        <v>0.25</v>
      </c>
      <c r="N2765" s="82">
        <v>18.75</v>
      </c>
    </row>
    <row r="2766" spans="1:14" x14ac:dyDescent="0.25">
      <c r="A2766" s="10" t="str">
        <f>_xlfn.IFNA(
    IF(J2766=
        "PCB-0001",
        "CSS",
        IF(
            ISNUMBER(MATCH(_xlfn.TEXTBEFORE(J2766,"-"), {"CSS","CSN","PCB","PCF","BEC","CSD","PCM"}, 0)),
            _xlfn.TEXTBEFORE(J2766,"-"),
            "Other"
        )
    ),
"Add")</f>
        <v>PCB</v>
      </c>
      <c r="B2766" s="10" t="str">
        <f t="shared" si="44"/>
        <v>0080</v>
      </c>
      <c r="C2766" s="10" t="str">
        <f>_xlfn.LET(
    _xlpm.val, IF(Datadetails[[#This Row],[Activity]]="D02","C20",Datadetails[[#This Row],[Activity]]),
    IF(ISNUMBER(MATCH(_xlpm.val,{"D04","C30","c40","C20"},0)), _xlpm.val, "Other")
)</f>
        <v>C30</v>
      </c>
      <c r="D2766" s="10" t="str">
        <f>IFERROR(VLOOKUP(Datadetails[[#This Row],[Taskcode]],Dashboard!A:A,1,FALSE),"00 Err Missing")</f>
        <v>0080</v>
      </c>
      <c r="E2766" s="79">
        <v>45952</v>
      </c>
      <c r="F2766" s="80" t="s">
        <v>329</v>
      </c>
      <c r="G2766" s="60" t="s">
        <v>40</v>
      </c>
      <c r="H2766" s="80" t="s">
        <v>247</v>
      </c>
      <c r="I2766" s="80" t="s">
        <v>34</v>
      </c>
      <c r="J2766" s="80" t="s">
        <v>375</v>
      </c>
      <c r="K2766" s="80" t="s">
        <v>347</v>
      </c>
      <c r="L2766" s="80" t="s">
        <v>343</v>
      </c>
      <c r="M2766" s="81">
        <v>0.33</v>
      </c>
      <c r="N2766" s="82">
        <v>24.75</v>
      </c>
    </row>
    <row r="2767" spans="1:14" x14ac:dyDescent="0.25">
      <c r="A2767" s="10" t="str">
        <f>_xlfn.IFNA(
    IF(J2767=
        "PCB-0001",
        "CSS",
        IF(
            ISNUMBER(MATCH(_xlfn.TEXTBEFORE(J2767,"-"), {"CSS","CSN","PCB","PCF","BEC","CSD","PCM"}, 0)),
            _xlfn.TEXTBEFORE(J2767,"-"),
            "Other"
        )
    ),
"Add")</f>
        <v>PCB</v>
      </c>
      <c r="B2767" s="10" t="str">
        <f t="shared" si="44"/>
        <v>0063</v>
      </c>
      <c r="C2767" s="10" t="str">
        <f>_xlfn.LET(
    _xlpm.val, IF(Datadetails[[#This Row],[Activity]]="D02","C20",Datadetails[[#This Row],[Activity]]),
    IF(ISNUMBER(MATCH(_xlpm.val,{"D04","C30","c40","C20"},0)), _xlpm.val, "Other")
)</f>
        <v>C30</v>
      </c>
      <c r="D2767" s="10" t="str">
        <f>IFERROR(VLOOKUP(Datadetails[[#This Row],[Taskcode]],Dashboard!A:A,1,FALSE),"00 Err Missing")</f>
        <v>0063</v>
      </c>
      <c r="E2767" s="79">
        <v>45952</v>
      </c>
      <c r="F2767" s="80" t="s">
        <v>329</v>
      </c>
      <c r="G2767" s="60" t="s">
        <v>40</v>
      </c>
      <c r="H2767" s="80" t="s">
        <v>230</v>
      </c>
      <c r="I2767" s="80" t="s">
        <v>34</v>
      </c>
      <c r="J2767" s="80" t="s">
        <v>410</v>
      </c>
      <c r="K2767" s="80" t="s">
        <v>347</v>
      </c>
      <c r="L2767" s="80" t="s">
        <v>343</v>
      </c>
      <c r="M2767" s="81">
        <v>0.25</v>
      </c>
      <c r="N2767" s="82">
        <v>18.75</v>
      </c>
    </row>
    <row r="2768" spans="1:14" x14ac:dyDescent="0.25">
      <c r="A2768" s="10" t="str">
        <f>_xlfn.IFNA(
    IF(J2768=
        "PCB-0001",
        "CSS",
        IF(
            ISNUMBER(MATCH(_xlfn.TEXTBEFORE(J2768,"-"), {"CSS","CSN","PCB","PCF","BEC","CSD","PCM"}, 0)),
            _xlfn.TEXTBEFORE(J2768,"-"),
            "Other"
        )
    ),
"Add")</f>
        <v>PCB</v>
      </c>
      <c r="B2768" s="10" t="str">
        <f t="shared" si="44"/>
        <v>0105</v>
      </c>
      <c r="C2768" s="10" t="str">
        <f>_xlfn.LET(
    _xlpm.val, IF(Datadetails[[#This Row],[Activity]]="D02","C20",Datadetails[[#This Row],[Activity]]),
    IF(ISNUMBER(MATCH(_xlpm.val,{"D04","C30","c40","C20"},0)), _xlpm.val, "Other")
)</f>
        <v>C30</v>
      </c>
      <c r="D2768" s="10" t="str">
        <f>IFERROR(VLOOKUP(Datadetails[[#This Row],[Taskcode]],Dashboard!A:A,1,FALSE),"00 Err Missing")</f>
        <v>0105</v>
      </c>
      <c r="E2768" s="79">
        <v>45952</v>
      </c>
      <c r="F2768" s="80" t="s">
        <v>329</v>
      </c>
      <c r="G2768" s="60" t="s">
        <v>40</v>
      </c>
      <c r="H2768" s="80" t="s">
        <v>272</v>
      </c>
      <c r="I2768" s="80" t="s">
        <v>34</v>
      </c>
      <c r="J2768" s="80" t="s">
        <v>362</v>
      </c>
      <c r="K2768" s="80" t="s">
        <v>347</v>
      </c>
      <c r="L2768" s="80" t="s">
        <v>343</v>
      </c>
      <c r="M2768" s="81">
        <v>0.17</v>
      </c>
      <c r="N2768" s="82">
        <v>12.750000000000002</v>
      </c>
    </row>
    <row r="2769" spans="1:14" x14ac:dyDescent="0.25">
      <c r="A2769" s="10" t="str">
        <f>_xlfn.IFNA(
    IF(J2769=
        "PCB-0001",
        "CSS",
        IF(
            ISNUMBER(MATCH(_xlfn.TEXTBEFORE(J2769,"-"), {"CSS","CSN","PCB","PCF","BEC","CSD","PCM"}, 0)),
            _xlfn.TEXTBEFORE(J2769,"-"),
            "Other"
        )
    ),
"Add")</f>
        <v>PCB</v>
      </c>
      <c r="B2769" s="10" t="str">
        <f t="shared" si="44"/>
        <v>0097</v>
      </c>
      <c r="C2769" s="10" t="str">
        <f>_xlfn.LET(
    _xlpm.val, IF(Datadetails[[#This Row],[Activity]]="D02","C20",Datadetails[[#This Row],[Activity]]),
    IF(ISNUMBER(MATCH(_xlpm.val,{"D04","C30","c40","C20"},0)), _xlpm.val, "Other")
)</f>
        <v>C40</v>
      </c>
      <c r="D2769" s="10" t="str">
        <f>IFERROR(VLOOKUP(Datadetails[[#This Row],[Taskcode]],Dashboard!A:A,1,FALSE),"00 Err Missing")</f>
        <v>0097</v>
      </c>
      <c r="E2769" s="79">
        <v>45952</v>
      </c>
      <c r="F2769" s="80" t="s">
        <v>325</v>
      </c>
      <c r="G2769" s="60" t="s">
        <v>40</v>
      </c>
      <c r="H2769" s="80" t="s">
        <v>264</v>
      </c>
      <c r="I2769" s="80" t="s">
        <v>341</v>
      </c>
      <c r="J2769" s="80" t="s">
        <v>384</v>
      </c>
      <c r="K2769" s="80" t="s">
        <v>347</v>
      </c>
      <c r="L2769" s="80" t="s">
        <v>344</v>
      </c>
      <c r="M2769" s="81">
        <v>3</v>
      </c>
      <c r="N2769" s="82">
        <v>225</v>
      </c>
    </row>
    <row r="2770" spans="1:14" x14ac:dyDescent="0.25">
      <c r="A2770" s="10" t="str">
        <f>_xlfn.IFNA(
    IF(J2770=
        "PCB-0001",
        "CSS",
        IF(
            ISNUMBER(MATCH(_xlfn.TEXTBEFORE(J2770,"-"), {"CSS","CSN","PCB","PCF","BEC","CSD","PCM"}, 0)),
            _xlfn.TEXTBEFORE(J2770,"-"),
            "Other"
        )
    ),
"Add")</f>
        <v>PCF</v>
      </c>
      <c r="B2770" s="10" t="str">
        <f t="shared" si="44"/>
        <v>0066</v>
      </c>
      <c r="C2770" s="10" t="str">
        <f>_xlfn.LET(
    _xlpm.val, IF(Datadetails[[#This Row],[Activity]]="D02","C20",Datadetails[[#This Row],[Activity]]),
    IF(ISNUMBER(MATCH(_xlpm.val,{"D04","C30","c40","C20"},0)), _xlpm.val, "Other")
)</f>
        <v>C30</v>
      </c>
      <c r="D2770" s="10" t="str">
        <f>IFERROR(VLOOKUP(Datadetails[[#This Row],[Taskcode]],Dashboard!A:A,1,FALSE),"00 Err Missing")</f>
        <v>0066</v>
      </c>
      <c r="E2770" s="79">
        <v>45952</v>
      </c>
      <c r="F2770" s="80" t="s">
        <v>326</v>
      </c>
      <c r="G2770" s="60" t="s">
        <v>40</v>
      </c>
      <c r="H2770" s="80" t="s">
        <v>233</v>
      </c>
      <c r="I2770" s="80" t="s">
        <v>34</v>
      </c>
      <c r="J2770" s="80" t="s">
        <v>387</v>
      </c>
      <c r="K2770" s="80" t="s">
        <v>348</v>
      </c>
      <c r="L2770" s="80" t="s">
        <v>343</v>
      </c>
      <c r="M2770" s="81">
        <v>0.75</v>
      </c>
      <c r="N2770" s="82">
        <v>45</v>
      </c>
    </row>
    <row r="2771" spans="1:14" x14ac:dyDescent="0.25">
      <c r="A2771" s="10" t="str">
        <f>_xlfn.IFNA(
    IF(J2771=
        "PCB-0001",
        "CSS",
        IF(
            ISNUMBER(MATCH(_xlfn.TEXTBEFORE(J2771,"-"), {"CSS","CSN","PCB","PCF","BEC","CSD","PCM"}, 0)),
            _xlfn.TEXTBEFORE(J2771,"-"),
            "Other"
        )
    ),
"Add")</f>
        <v>CSN</v>
      </c>
      <c r="B2771" s="10" t="str">
        <f t="shared" si="44"/>
        <v>0001</v>
      </c>
      <c r="C2771" s="10" t="str">
        <f>_xlfn.LET(
    _xlpm.val, IF(Datadetails[[#This Row],[Activity]]="D02","C20",Datadetails[[#This Row],[Activity]]),
    IF(ISNUMBER(MATCH(_xlpm.val,{"D04","C30","c40","C20"},0)), _xlpm.val, "Other")
)</f>
        <v>D04</v>
      </c>
      <c r="D2771" s="10" t="str">
        <f>IFERROR(VLOOKUP(Datadetails[[#This Row],[Taskcode]],Dashboard!A:A,1,FALSE),"00 Err Missing")</f>
        <v>0001</v>
      </c>
      <c r="E2771" s="79">
        <v>45953</v>
      </c>
      <c r="F2771" s="80" t="s">
        <v>329</v>
      </c>
      <c r="G2771" s="60" t="s">
        <v>40</v>
      </c>
      <c r="H2771" s="80" t="s">
        <v>316</v>
      </c>
      <c r="I2771" s="80" t="s">
        <v>35</v>
      </c>
      <c r="J2771" s="80" t="s">
        <v>338</v>
      </c>
      <c r="K2771" s="80" t="s">
        <v>337</v>
      </c>
      <c r="L2771" s="80" t="s">
        <v>352</v>
      </c>
      <c r="M2771" s="81">
        <v>1.42</v>
      </c>
      <c r="N2771" s="82">
        <v>106.5</v>
      </c>
    </row>
    <row r="2772" spans="1:14" x14ac:dyDescent="0.25">
      <c r="A2772" s="10" t="str">
        <f>_xlfn.IFNA(
    IF(J2772=
        "PCB-0001",
        "CSS",
        IF(
            ISNUMBER(MATCH(_xlfn.TEXTBEFORE(J2772,"-"), {"CSS","CSN","PCB","PCF","BEC","CSD","PCM"}, 0)),
            _xlfn.TEXTBEFORE(J2772,"-"),
            "Other"
        )
    ),
"Add")</f>
        <v>PCM</v>
      </c>
      <c r="B2772" s="10" t="str">
        <f t="shared" si="44"/>
        <v>0052</v>
      </c>
      <c r="C2772" s="10" t="str">
        <f>_xlfn.LET(
    _xlpm.val, IF(Datadetails[[#This Row],[Activity]]="D02","C20",Datadetails[[#This Row],[Activity]]),
    IF(ISNUMBER(MATCH(_xlpm.val,{"D04","C30","c40","C20"},0)), _xlpm.val, "Other")
)</f>
        <v>C20</v>
      </c>
      <c r="D2772" s="10" t="str">
        <f>IFERROR(VLOOKUP(Datadetails[[#This Row],[Taskcode]],Dashboard!A:A,1,FALSE),"00 Err Missing")</f>
        <v>0052</v>
      </c>
      <c r="E2772" s="79">
        <v>45953</v>
      </c>
      <c r="F2772" s="80" t="s">
        <v>323</v>
      </c>
      <c r="G2772" s="60" t="s">
        <v>40</v>
      </c>
      <c r="H2772" s="80" t="s">
        <v>219</v>
      </c>
      <c r="I2772" s="80" t="s">
        <v>36</v>
      </c>
      <c r="J2772" s="80" t="s">
        <v>432</v>
      </c>
      <c r="K2772" s="80" t="s">
        <v>346</v>
      </c>
      <c r="L2772" s="80" t="s">
        <v>342</v>
      </c>
      <c r="M2772" s="81">
        <v>0.25</v>
      </c>
      <c r="N2772" s="82">
        <v>15</v>
      </c>
    </row>
    <row r="2773" spans="1:14" x14ac:dyDescent="0.25">
      <c r="A2773" s="10" t="str">
        <f>_xlfn.IFNA(
    IF(J2773=
        "PCB-0001",
        "CSS",
        IF(
            ISNUMBER(MATCH(_xlfn.TEXTBEFORE(J2773,"-"), {"CSS","CSN","PCB","PCF","BEC","CSD","PCM"}, 0)),
            _xlfn.TEXTBEFORE(J2773,"-"),
            "Other"
        )
    ),
"Add")</f>
        <v>BEC</v>
      </c>
      <c r="B2773" s="10" t="str">
        <f t="shared" si="44"/>
        <v>0001</v>
      </c>
      <c r="C2773" s="10" t="str">
        <f>_xlfn.LET(
    _xlpm.val, IF(Datadetails[[#This Row],[Activity]]="D02","C20",Datadetails[[#This Row],[Activity]]),
    IF(ISNUMBER(MATCH(_xlpm.val,{"D04","C30","c40","C20"},0)), _xlpm.val, "Other")
)</f>
        <v>D04</v>
      </c>
      <c r="D2773" s="10" t="str">
        <f>IFERROR(VLOOKUP(Datadetails[[#This Row],[Taskcode]],Dashboard!A:A,1,FALSE),"00 Err Missing")</f>
        <v>0001</v>
      </c>
      <c r="E2773" s="79">
        <v>45953</v>
      </c>
      <c r="F2773" s="80" t="s">
        <v>332</v>
      </c>
      <c r="G2773" s="60" t="s">
        <v>40</v>
      </c>
      <c r="H2773" s="80" t="s">
        <v>314</v>
      </c>
      <c r="I2773" s="80" t="s">
        <v>35</v>
      </c>
      <c r="J2773" s="80" t="s">
        <v>359</v>
      </c>
      <c r="K2773" s="80" t="s">
        <v>339</v>
      </c>
      <c r="L2773" s="80" t="s">
        <v>352</v>
      </c>
      <c r="M2773" s="81">
        <v>8.5</v>
      </c>
      <c r="N2773" s="82">
        <v>340</v>
      </c>
    </row>
    <row r="2774" spans="1:14" x14ac:dyDescent="0.25">
      <c r="A2774" s="10" t="str">
        <f>_xlfn.IFNA(
    IF(J2774=
        "PCB-0001",
        "CSS",
        IF(
            ISNUMBER(MATCH(_xlfn.TEXTBEFORE(J2774,"-"), {"CSS","CSN","PCB","PCF","BEC","CSD","PCM"}, 0)),
            _xlfn.TEXTBEFORE(J2774,"-"),
            "Other"
        )
    ),
"Add")</f>
        <v>BEC</v>
      </c>
      <c r="B2774" s="10" t="str">
        <f t="shared" si="44"/>
        <v>0001</v>
      </c>
      <c r="C2774" s="10" t="str">
        <f>_xlfn.LET(
    _xlpm.val, IF(Datadetails[[#This Row],[Activity]]="D02","C20",Datadetails[[#This Row],[Activity]]),
    IF(ISNUMBER(MATCH(_xlpm.val,{"D04","C30","c40","C20"},0)), _xlpm.val, "Other")
)</f>
        <v>D04</v>
      </c>
      <c r="D2774" s="10" t="str">
        <f>IFERROR(VLOOKUP(Datadetails[[#This Row],[Taskcode]],Dashboard!A:A,1,FALSE),"00 Err Missing")</f>
        <v>0001</v>
      </c>
      <c r="E2774" s="79">
        <v>45953</v>
      </c>
      <c r="F2774" s="80" t="s">
        <v>324</v>
      </c>
      <c r="G2774" s="60" t="s">
        <v>40</v>
      </c>
      <c r="H2774" s="80" t="s">
        <v>314</v>
      </c>
      <c r="I2774" s="80" t="s">
        <v>35</v>
      </c>
      <c r="J2774" s="80" t="s">
        <v>359</v>
      </c>
      <c r="K2774" s="80" t="s">
        <v>339</v>
      </c>
      <c r="L2774" s="80" t="s">
        <v>352</v>
      </c>
      <c r="M2774" s="81">
        <v>4</v>
      </c>
      <c r="N2774" s="82">
        <v>300</v>
      </c>
    </row>
    <row r="2775" spans="1:14" x14ac:dyDescent="0.25">
      <c r="A2775" s="10" t="str">
        <f>_xlfn.IFNA(
    IF(J2775=
        "PCB-0001",
        "CSS",
        IF(
            ISNUMBER(MATCH(_xlfn.TEXTBEFORE(J2775,"-"), {"CSS","CSN","PCB","PCF","BEC","CSD","PCM"}, 0)),
            _xlfn.TEXTBEFORE(J2775,"-"),
            "Other"
        )
    ),
"Add")</f>
        <v>CSD</v>
      </c>
      <c r="B2775" s="10" t="str">
        <f t="shared" si="44"/>
        <v>0001</v>
      </c>
      <c r="C2775" s="10" t="str">
        <f>_xlfn.LET(
    _xlpm.val, IF(Datadetails[[#This Row],[Activity]]="D02","C20",Datadetails[[#This Row],[Activity]]),
    IF(ISNUMBER(MATCH(_xlpm.val,{"D04","C30","c40","C20"},0)), _xlpm.val, "Other")
)</f>
        <v>D04</v>
      </c>
      <c r="D2775" s="10" t="str">
        <f>IFERROR(VLOOKUP(Datadetails[[#This Row],[Taskcode]],Dashboard!A:A,1,FALSE),"00 Err Missing")</f>
        <v>0001</v>
      </c>
      <c r="E2775" s="79">
        <v>45953</v>
      </c>
      <c r="F2775" s="80" t="s">
        <v>333</v>
      </c>
      <c r="G2775" s="60" t="s">
        <v>40</v>
      </c>
      <c r="H2775" s="80" t="s">
        <v>320</v>
      </c>
      <c r="I2775" s="80" t="s">
        <v>35</v>
      </c>
      <c r="J2775" s="80" t="s">
        <v>322</v>
      </c>
      <c r="K2775" s="80" t="s">
        <v>319</v>
      </c>
      <c r="L2775" s="80" t="s">
        <v>352</v>
      </c>
      <c r="M2775" s="81">
        <v>7.73</v>
      </c>
      <c r="N2775" s="82">
        <v>247.36</v>
      </c>
    </row>
    <row r="2776" spans="1:14" x14ac:dyDescent="0.25">
      <c r="A2776" s="10" t="str">
        <f>_xlfn.IFNA(
    IF(J2776=
        "PCB-0001",
        "CSS",
        IF(
            ISNUMBER(MATCH(_xlfn.TEXTBEFORE(J2776,"-"), {"CSS","CSN","PCB","PCF","BEC","CSD","PCM"}, 0)),
            _xlfn.TEXTBEFORE(J2776,"-"),
            "Other"
        )
    ),
"Add")</f>
        <v>CSD</v>
      </c>
      <c r="B2776" s="10" t="str">
        <f t="shared" si="44"/>
        <v>0001</v>
      </c>
      <c r="C2776" s="10" t="str">
        <f>_xlfn.LET(
    _xlpm.val, IF(Datadetails[[#This Row],[Activity]]="D02","C20",Datadetails[[#This Row],[Activity]]),
    IF(ISNUMBER(MATCH(_xlpm.val,{"D04","C30","c40","C20"},0)), _xlpm.val, "Other")
)</f>
        <v>D04</v>
      </c>
      <c r="D2776" s="10" t="str">
        <f>IFERROR(VLOOKUP(Datadetails[[#This Row],[Taskcode]],Dashboard!A:A,1,FALSE),"00 Err Missing")</f>
        <v>0001</v>
      </c>
      <c r="E2776" s="79">
        <v>45953</v>
      </c>
      <c r="F2776" s="80" t="s">
        <v>327</v>
      </c>
      <c r="G2776" s="60" t="s">
        <v>40</v>
      </c>
      <c r="H2776" s="80" t="s">
        <v>320</v>
      </c>
      <c r="I2776" s="80" t="s">
        <v>35</v>
      </c>
      <c r="J2776" s="80" t="s">
        <v>322</v>
      </c>
      <c r="K2776" s="80" t="s">
        <v>319</v>
      </c>
      <c r="L2776" s="80" t="s">
        <v>352</v>
      </c>
      <c r="M2776" s="81">
        <v>7.25</v>
      </c>
      <c r="N2776" s="82">
        <v>232</v>
      </c>
    </row>
    <row r="2777" spans="1:14" x14ac:dyDescent="0.25">
      <c r="A2777" s="10" t="str">
        <f>_xlfn.IFNA(
    IF(J2777=
        "PCB-0001",
        "CSS",
        IF(
            ISNUMBER(MATCH(_xlfn.TEXTBEFORE(J2777,"-"), {"CSS","CSN","PCB","PCF","BEC","CSD","PCM"}, 0)),
            _xlfn.TEXTBEFORE(J2777,"-"),
            "Other"
        )
    ),
"Add")</f>
        <v>PCM</v>
      </c>
      <c r="B2777" s="10" t="str">
        <f t="shared" si="44"/>
        <v>0113</v>
      </c>
      <c r="C2777" s="10" t="str">
        <f>_xlfn.LET(
    _xlpm.val, IF(Datadetails[[#This Row],[Activity]]="D02","C20",Datadetails[[#This Row],[Activity]]),
    IF(ISNUMBER(MATCH(_xlpm.val,{"D04","C30","c40","C20"},0)), _xlpm.val, "Other")
)</f>
        <v>C20</v>
      </c>
      <c r="D2777" s="10" t="str">
        <f>IFERROR(VLOOKUP(Datadetails[[#This Row],[Taskcode]],Dashboard!A:A,1,FALSE),"00 Err Missing")</f>
        <v>0113</v>
      </c>
      <c r="E2777" s="79">
        <v>45953</v>
      </c>
      <c r="F2777" s="80" t="s">
        <v>323</v>
      </c>
      <c r="G2777" s="60" t="s">
        <v>40</v>
      </c>
      <c r="H2777" s="80" t="s">
        <v>280</v>
      </c>
      <c r="I2777" s="80" t="s">
        <v>36</v>
      </c>
      <c r="J2777" s="80" t="s">
        <v>445</v>
      </c>
      <c r="K2777" s="80" t="s">
        <v>346</v>
      </c>
      <c r="L2777" s="80" t="s">
        <v>342</v>
      </c>
      <c r="M2777" s="81">
        <v>0.25</v>
      </c>
      <c r="N2777" s="82">
        <v>15</v>
      </c>
    </row>
    <row r="2778" spans="1:14" x14ac:dyDescent="0.25">
      <c r="A2778" s="10" t="str">
        <f>_xlfn.IFNA(
    IF(J2778=
        "PCB-0001",
        "CSS",
        IF(
            ISNUMBER(MATCH(_xlfn.TEXTBEFORE(J2778,"-"), {"CSS","CSN","PCB","PCF","BEC","CSD","PCM"}, 0)),
            _xlfn.TEXTBEFORE(J2778,"-"),
            "Other"
        )
    ),
"Add")</f>
        <v>PCM</v>
      </c>
      <c r="B2778" s="10" t="str">
        <f t="shared" si="44"/>
        <v>0099</v>
      </c>
      <c r="C2778" s="10" t="str">
        <f>_xlfn.LET(
    _xlpm.val, IF(Datadetails[[#This Row],[Activity]]="D02","C20",Datadetails[[#This Row],[Activity]]),
    IF(ISNUMBER(MATCH(_xlpm.val,{"D04","C30","c40","C20"},0)), _xlpm.val, "Other")
)</f>
        <v>C30</v>
      </c>
      <c r="D2778" s="10" t="str">
        <f>IFERROR(VLOOKUP(Datadetails[[#This Row],[Taskcode]],Dashboard!A:A,1,FALSE),"00 Err Missing")</f>
        <v>0099</v>
      </c>
      <c r="E2778" s="79">
        <v>45953</v>
      </c>
      <c r="F2778" s="80" t="s">
        <v>323</v>
      </c>
      <c r="G2778" s="60" t="s">
        <v>40</v>
      </c>
      <c r="H2778" s="80" t="s">
        <v>266</v>
      </c>
      <c r="I2778" s="80" t="s">
        <v>34</v>
      </c>
      <c r="J2778" s="80" t="s">
        <v>394</v>
      </c>
      <c r="K2778" s="80" t="s">
        <v>346</v>
      </c>
      <c r="L2778" s="80" t="s">
        <v>343</v>
      </c>
      <c r="M2778" s="81">
        <v>0.5</v>
      </c>
      <c r="N2778" s="82">
        <v>30</v>
      </c>
    </row>
    <row r="2779" spans="1:14" x14ac:dyDescent="0.25">
      <c r="A2779" s="10" t="str">
        <f>_xlfn.IFNA(
    IF(J2779=
        "PCB-0001",
        "CSS",
        IF(
            ISNUMBER(MATCH(_xlfn.TEXTBEFORE(J2779,"-"), {"CSS","CSN","PCB","PCF","BEC","CSD","PCM"}, 0)),
            _xlfn.TEXTBEFORE(J2779,"-"),
            "Other"
        )
    ),
"Add")</f>
        <v>PCM</v>
      </c>
      <c r="B2779" s="10" t="str">
        <f t="shared" si="44"/>
        <v>0118</v>
      </c>
      <c r="C2779" s="10" t="str">
        <f>_xlfn.LET(
    _xlpm.val, IF(Datadetails[[#This Row],[Activity]]="D02","C20",Datadetails[[#This Row],[Activity]]),
    IF(ISNUMBER(MATCH(_xlpm.val,{"D04","C30","c40","C20"},0)), _xlpm.val, "Other")
)</f>
        <v>C30</v>
      </c>
      <c r="D2779" s="10" t="str">
        <f>IFERROR(VLOOKUP(Datadetails[[#This Row],[Taskcode]],Dashboard!A:A,1,FALSE),"00 Err Missing")</f>
        <v>0118</v>
      </c>
      <c r="E2779" s="79">
        <v>45953</v>
      </c>
      <c r="F2779" s="80" t="s">
        <v>323</v>
      </c>
      <c r="G2779" s="60" t="s">
        <v>40</v>
      </c>
      <c r="H2779" s="80" t="s">
        <v>285</v>
      </c>
      <c r="I2779" s="80" t="s">
        <v>34</v>
      </c>
      <c r="J2779" s="80" t="s">
        <v>448</v>
      </c>
      <c r="K2779" s="80" t="s">
        <v>346</v>
      </c>
      <c r="L2779" s="80" t="s">
        <v>343</v>
      </c>
      <c r="M2779" s="81">
        <v>1</v>
      </c>
      <c r="N2779" s="82">
        <v>60</v>
      </c>
    </row>
    <row r="2780" spans="1:14" x14ac:dyDescent="0.25">
      <c r="A2780" s="10" t="str">
        <f>_xlfn.IFNA(
    IF(J2780=
        "PCB-0001",
        "CSS",
        IF(
            ISNUMBER(MATCH(_xlfn.TEXTBEFORE(J2780,"-"), {"CSS","CSN","PCB","PCF","BEC","CSD","PCM"}, 0)),
            _xlfn.TEXTBEFORE(J2780,"-"),
            "Other"
        )
    ),
"Add")</f>
        <v>PCB</v>
      </c>
      <c r="B2780" s="10" t="str">
        <f t="shared" si="44"/>
        <v>0019</v>
      </c>
      <c r="C2780" s="10" t="str">
        <f>_xlfn.LET(
    _xlpm.val, IF(Datadetails[[#This Row],[Activity]]="D02","C20",Datadetails[[#This Row],[Activity]]),
    IF(ISNUMBER(MATCH(_xlpm.val,{"D04","C30","c40","C20"},0)), _xlpm.val, "Other")
)</f>
        <v>C30</v>
      </c>
      <c r="D2780" s="10" t="str">
        <f>IFERROR(VLOOKUP(Datadetails[[#This Row],[Taskcode]],Dashboard!A:A,1,FALSE),"00 Err Missing")</f>
        <v>0019</v>
      </c>
      <c r="E2780" s="79">
        <v>45953</v>
      </c>
      <c r="F2780" s="80" t="s">
        <v>329</v>
      </c>
      <c r="G2780" s="60" t="s">
        <v>40</v>
      </c>
      <c r="H2780" s="80" t="s">
        <v>186</v>
      </c>
      <c r="I2780" s="80" t="s">
        <v>34</v>
      </c>
      <c r="J2780" s="80" t="s">
        <v>397</v>
      </c>
      <c r="K2780" s="80" t="s">
        <v>347</v>
      </c>
      <c r="L2780" s="80" t="s">
        <v>343</v>
      </c>
      <c r="M2780" s="81">
        <v>0.08</v>
      </c>
      <c r="N2780" s="82">
        <v>6</v>
      </c>
    </row>
    <row r="2781" spans="1:14" x14ac:dyDescent="0.25">
      <c r="A2781" s="10" t="str">
        <f>_xlfn.IFNA(
    IF(J2781=
        "PCB-0001",
        "CSS",
        IF(
            ISNUMBER(MATCH(_xlfn.TEXTBEFORE(J2781,"-"), {"CSS","CSN","PCB","PCF","BEC","CSD","PCM"}, 0)),
            _xlfn.TEXTBEFORE(J2781,"-"),
            "Other"
        )
    ),
"Add")</f>
        <v>PCB</v>
      </c>
      <c r="B2781" s="10" t="str">
        <f t="shared" si="44"/>
        <v>0030</v>
      </c>
      <c r="C2781" s="10" t="str">
        <f>_xlfn.LET(
    _xlpm.val, IF(Datadetails[[#This Row],[Activity]]="D02","C20",Datadetails[[#This Row],[Activity]]),
    IF(ISNUMBER(MATCH(_xlpm.val,{"D04","C30","c40","C20"},0)), _xlpm.val, "Other")
)</f>
        <v>C30</v>
      </c>
      <c r="D2781" s="10" t="str">
        <f>IFERROR(VLOOKUP(Datadetails[[#This Row],[Taskcode]],Dashboard!A:A,1,FALSE),"00 Err Missing")</f>
        <v>0030</v>
      </c>
      <c r="E2781" s="79">
        <v>45953</v>
      </c>
      <c r="F2781" s="80" t="s">
        <v>329</v>
      </c>
      <c r="G2781" s="60" t="s">
        <v>40</v>
      </c>
      <c r="H2781" s="80" t="s">
        <v>197</v>
      </c>
      <c r="I2781" s="80" t="s">
        <v>34</v>
      </c>
      <c r="J2781" s="80" t="s">
        <v>366</v>
      </c>
      <c r="K2781" s="80" t="s">
        <v>347</v>
      </c>
      <c r="L2781" s="80" t="s">
        <v>343</v>
      </c>
      <c r="M2781" s="81">
        <v>0.17</v>
      </c>
      <c r="N2781" s="82">
        <v>12.750000000000002</v>
      </c>
    </row>
    <row r="2782" spans="1:14" x14ac:dyDescent="0.25">
      <c r="A2782" s="10" t="str">
        <f>_xlfn.IFNA(
    IF(J2782=
        "PCB-0001",
        "CSS",
        IF(
            ISNUMBER(MATCH(_xlfn.TEXTBEFORE(J2782,"-"), {"CSS","CSN","PCB","PCF","BEC","CSD","PCM"}, 0)),
            _xlfn.TEXTBEFORE(J2782,"-"),
            "Other"
        )
    ),
"Add")</f>
        <v>PCB</v>
      </c>
      <c r="B2782" s="10" t="str">
        <f t="shared" si="44"/>
        <v>0134</v>
      </c>
      <c r="C2782" s="10" t="str">
        <f>_xlfn.LET(
    _xlpm.val, IF(Datadetails[[#This Row],[Activity]]="D02","C20",Datadetails[[#This Row],[Activity]]),
    IF(ISNUMBER(MATCH(_xlpm.val,{"D04","C30","c40","C20"},0)), _xlpm.val, "Other")
)</f>
        <v>C30</v>
      </c>
      <c r="D2782" s="10" t="str">
        <f>IFERROR(VLOOKUP(Datadetails[[#This Row],[Taskcode]],Dashboard!A:A,1,FALSE),"00 Err Missing")</f>
        <v>0134</v>
      </c>
      <c r="E2782" s="79">
        <v>45953</v>
      </c>
      <c r="F2782" s="80" t="s">
        <v>329</v>
      </c>
      <c r="G2782" s="60" t="s">
        <v>40</v>
      </c>
      <c r="H2782" s="80" t="s">
        <v>301</v>
      </c>
      <c r="I2782" s="80" t="s">
        <v>34</v>
      </c>
      <c r="J2782" s="80" t="s">
        <v>371</v>
      </c>
      <c r="K2782" s="80" t="s">
        <v>347</v>
      </c>
      <c r="L2782" s="80" t="s">
        <v>343</v>
      </c>
      <c r="M2782" s="81">
        <v>0.25</v>
      </c>
      <c r="N2782" s="82">
        <v>18.75</v>
      </c>
    </row>
    <row r="2783" spans="1:14" x14ac:dyDescent="0.25">
      <c r="A2783" s="10" t="str">
        <f>_xlfn.IFNA(
    IF(J2783=
        "PCB-0001",
        "CSS",
        IF(
            ISNUMBER(MATCH(_xlfn.TEXTBEFORE(J2783,"-"), {"CSS","CSN","PCB","PCF","BEC","CSD","PCM"}, 0)),
            _xlfn.TEXTBEFORE(J2783,"-"),
            "Other"
        )
    ),
"Add")</f>
        <v>PCB</v>
      </c>
      <c r="B2783" s="10" t="str">
        <f t="shared" si="44"/>
        <v>0023</v>
      </c>
      <c r="C2783" s="10" t="str">
        <f>_xlfn.LET(
    _xlpm.val, IF(Datadetails[[#This Row],[Activity]]="D02","C20",Datadetails[[#This Row],[Activity]]),
    IF(ISNUMBER(MATCH(_xlpm.val,{"D04","C30","c40","C20"},0)), _xlpm.val, "Other")
)</f>
        <v>C30</v>
      </c>
      <c r="D2783" s="10" t="str">
        <f>IFERROR(VLOOKUP(Datadetails[[#This Row],[Taskcode]],Dashboard!A:A,1,FALSE),"00 Err Missing")</f>
        <v>0023</v>
      </c>
      <c r="E2783" s="79">
        <v>45953</v>
      </c>
      <c r="F2783" s="80" t="s">
        <v>330</v>
      </c>
      <c r="G2783" s="60" t="s">
        <v>40</v>
      </c>
      <c r="H2783" s="80" t="s">
        <v>190</v>
      </c>
      <c r="I2783" s="80" t="s">
        <v>34</v>
      </c>
      <c r="J2783" s="80" t="s">
        <v>438</v>
      </c>
      <c r="K2783" s="80" t="s">
        <v>347</v>
      </c>
      <c r="L2783" s="80" t="s">
        <v>343</v>
      </c>
      <c r="M2783" s="81">
        <v>0.5</v>
      </c>
      <c r="N2783" s="82">
        <v>30</v>
      </c>
    </row>
    <row r="2784" spans="1:14" x14ac:dyDescent="0.25">
      <c r="A2784" s="10" t="str">
        <f>_xlfn.IFNA(
    IF(J2784=
        "PCB-0001",
        "CSS",
        IF(
            ISNUMBER(MATCH(_xlfn.TEXTBEFORE(J2784,"-"), {"CSS","CSN","PCB","PCF","BEC","CSD","PCM"}, 0)),
            _xlfn.TEXTBEFORE(J2784,"-"),
            "Other"
        )
    ),
"Add")</f>
        <v>PCB</v>
      </c>
      <c r="B2784" s="10" t="str">
        <f t="shared" si="44"/>
        <v>0136</v>
      </c>
      <c r="C2784" s="10" t="str">
        <f>_xlfn.LET(
    _xlpm.val, IF(Datadetails[[#This Row],[Activity]]="D02","C20",Datadetails[[#This Row],[Activity]]),
    IF(ISNUMBER(MATCH(_xlpm.val,{"D04","C30","c40","C20"},0)), _xlpm.val, "Other")
)</f>
        <v>C30</v>
      </c>
      <c r="D2784" s="10" t="str">
        <f>IFERROR(VLOOKUP(Datadetails[[#This Row],[Taskcode]],Dashboard!A:A,1,FALSE),"00 Err Missing")</f>
        <v>0136</v>
      </c>
      <c r="E2784" s="79">
        <v>45953</v>
      </c>
      <c r="F2784" s="80" t="s">
        <v>329</v>
      </c>
      <c r="G2784" s="60" t="s">
        <v>40</v>
      </c>
      <c r="H2784" s="80" t="s">
        <v>303</v>
      </c>
      <c r="I2784" s="80" t="s">
        <v>34</v>
      </c>
      <c r="J2784" s="80" t="s">
        <v>400</v>
      </c>
      <c r="K2784" s="80" t="s">
        <v>347</v>
      </c>
      <c r="L2784" s="80" t="s">
        <v>343</v>
      </c>
      <c r="M2784" s="81">
        <v>0.25</v>
      </c>
      <c r="N2784" s="82">
        <v>18.75</v>
      </c>
    </row>
    <row r="2785" spans="1:14" x14ac:dyDescent="0.25">
      <c r="A2785" s="10" t="str">
        <f>_xlfn.IFNA(
    IF(J2785=
        "PCB-0001",
        "CSS",
        IF(
            ISNUMBER(MATCH(_xlfn.TEXTBEFORE(J2785,"-"), {"CSS","CSN","PCB","PCF","BEC","CSD","PCM"}, 0)),
            _xlfn.TEXTBEFORE(J2785,"-"),
            "Other"
        )
    ),
"Add")</f>
        <v>PCB</v>
      </c>
      <c r="B2785" s="10" t="str">
        <f t="shared" si="44"/>
        <v>0054</v>
      </c>
      <c r="C2785" s="10" t="str">
        <f>_xlfn.LET(
    _xlpm.val, IF(Datadetails[[#This Row],[Activity]]="D02","C20",Datadetails[[#This Row],[Activity]]),
    IF(ISNUMBER(MATCH(_xlpm.val,{"D04","C30","c40","C20"},0)), _xlpm.val, "Other")
)</f>
        <v>C30</v>
      </c>
      <c r="D2785" s="10" t="str">
        <f>IFERROR(VLOOKUP(Datadetails[[#This Row],[Taskcode]],Dashboard!A:A,1,FALSE),"00 Err Missing")</f>
        <v>0054</v>
      </c>
      <c r="E2785" s="79">
        <v>45953</v>
      </c>
      <c r="F2785" s="80" t="s">
        <v>329</v>
      </c>
      <c r="G2785" s="60" t="s">
        <v>40</v>
      </c>
      <c r="H2785" s="80" t="s">
        <v>221</v>
      </c>
      <c r="I2785" s="80" t="s">
        <v>34</v>
      </c>
      <c r="J2785" s="80" t="s">
        <v>369</v>
      </c>
      <c r="K2785" s="80" t="s">
        <v>347</v>
      </c>
      <c r="L2785" s="80" t="s">
        <v>343</v>
      </c>
      <c r="M2785" s="81">
        <v>0.42</v>
      </c>
      <c r="N2785" s="82">
        <v>31.5</v>
      </c>
    </row>
    <row r="2786" spans="1:14" x14ac:dyDescent="0.25">
      <c r="A2786" s="10" t="str">
        <f>_xlfn.IFNA(
    IF(J2786=
        "PCB-0001",
        "CSS",
        IF(
            ISNUMBER(MATCH(_xlfn.TEXTBEFORE(J2786,"-"), {"CSS","CSN","PCB","PCF","BEC","CSD","PCM"}, 0)),
            _xlfn.TEXTBEFORE(J2786,"-"),
            "Other"
        )
    ),
"Add")</f>
        <v>PCB</v>
      </c>
      <c r="B2786" s="10" t="str">
        <f t="shared" si="44"/>
        <v>0121</v>
      </c>
      <c r="C2786" s="10" t="str">
        <f>_xlfn.LET(
    _xlpm.val, IF(Datadetails[[#This Row],[Activity]]="D02","C20",Datadetails[[#This Row],[Activity]]),
    IF(ISNUMBER(MATCH(_xlpm.val,{"D04","C30","c40","C20"},0)), _xlpm.val, "Other")
)</f>
        <v>C30</v>
      </c>
      <c r="D2786" s="10" t="str">
        <f>IFERROR(VLOOKUP(Datadetails[[#This Row],[Taskcode]],Dashboard!A:A,1,FALSE),"00 Err Missing")</f>
        <v>0121</v>
      </c>
      <c r="E2786" s="79">
        <v>45953</v>
      </c>
      <c r="F2786" s="80" t="s">
        <v>329</v>
      </c>
      <c r="G2786" s="60" t="s">
        <v>40</v>
      </c>
      <c r="H2786" s="80" t="s">
        <v>288</v>
      </c>
      <c r="I2786" s="80" t="s">
        <v>34</v>
      </c>
      <c r="J2786" s="80" t="s">
        <v>405</v>
      </c>
      <c r="K2786" s="80" t="s">
        <v>347</v>
      </c>
      <c r="L2786" s="80" t="s">
        <v>343</v>
      </c>
      <c r="M2786" s="81">
        <v>0.42</v>
      </c>
      <c r="N2786" s="82">
        <v>31.5</v>
      </c>
    </row>
    <row r="2787" spans="1:14" x14ac:dyDescent="0.25">
      <c r="A2787" s="10" t="str">
        <f>_xlfn.IFNA(
    IF(J2787=
        "PCB-0001",
        "CSS",
        IF(
            ISNUMBER(MATCH(_xlfn.TEXTBEFORE(J2787,"-"), {"CSS","CSN","PCB","PCF","BEC","CSD","PCM"}, 0)),
            _xlfn.TEXTBEFORE(J2787,"-"),
            "Other"
        )
    ),
"Add")</f>
        <v>PCB</v>
      </c>
      <c r="B2787" s="10" t="str">
        <f t="shared" si="44"/>
        <v>0092</v>
      </c>
      <c r="C2787" s="10" t="str">
        <f>_xlfn.LET(
    _xlpm.val, IF(Datadetails[[#This Row],[Activity]]="D02","C20",Datadetails[[#This Row],[Activity]]),
    IF(ISNUMBER(MATCH(_xlpm.val,{"D04","C30","c40","C20"},0)), _xlpm.val, "Other")
)</f>
        <v>C30</v>
      </c>
      <c r="D2787" s="10" t="str">
        <f>IFERROR(VLOOKUP(Datadetails[[#This Row],[Taskcode]],Dashboard!A:A,1,FALSE),"00 Err Missing")</f>
        <v>0092</v>
      </c>
      <c r="E2787" s="79">
        <v>45953</v>
      </c>
      <c r="F2787" s="80" t="s">
        <v>329</v>
      </c>
      <c r="G2787" s="60" t="s">
        <v>40</v>
      </c>
      <c r="H2787" s="80" t="s">
        <v>259</v>
      </c>
      <c r="I2787" s="80" t="s">
        <v>34</v>
      </c>
      <c r="J2787" s="80" t="s">
        <v>407</v>
      </c>
      <c r="K2787" s="80" t="s">
        <v>347</v>
      </c>
      <c r="L2787" s="80" t="s">
        <v>343</v>
      </c>
      <c r="M2787" s="81">
        <v>0.33</v>
      </c>
      <c r="N2787" s="82">
        <v>24.75</v>
      </c>
    </row>
    <row r="2788" spans="1:14" x14ac:dyDescent="0.25">
      <c r="A2788" s="10" t="str">
        <f>_xlfn.IFNA(
    IF(J2788=
        "PCB-0001",
        "CSS",
        IF(
            ISNUMBER(MATCH(_xlfn.TEXTBEFORE(J2788,"-"), {"CSS","CSN","PCB","PCF","BEC","CSD","PCM"}, 0)),
            _xlfn.TEXTBEFORE(J2788,"-"),
            "Other"
        )
    ),
"Add")</f>
        <v>PCF</v>
      </c>
      <c r="B2788" s="10" t="str">
        <f t="shared" si="44"/>
        <v>0066</v>
      </c>
      <c r="C2788" s="10" t="str">
        <f>_xlfn.LET(
    _xlpm.val, IF(Datadetails[[#This Row],[Activity]]="D02","C20",Datadetails[[#This Row],[Activity]]),
    IF(ISNUMBER(MATCH(_xlpm.val,{"D04","C30","c40","C20"},0)), _xlpm.val, "Other")
)</f>
        <v>C20</v>
      </c>
      <c r="D2788" s="10" t="str">
        <f>IFERROR(VLOOKUP(Datadetails[[#This Row],[Taskcode]],Dashboard!A:A,1,FALSE),"00 Err Missing")</f>
        <v>0066</v>
      </c>
      <c r="E2788" s="79">
        <v>45953</v>
      </c>
      <c r="F2788" s="80" t="s">
        <v>326</v>
      </c>
      <c r="G2788" s="60" t="s">
        <v>40</v>
      </c>
      <c r="H2788" s="80" t="s">
        <v>233</v>
      </c>
      <c r="I2788" s="80" t="s">
        <v>36</v>
      </c>
      <c r="J2788" s="80" t="s">
        <v>387</v>
      </c>
      <c r="K2788" s="80" t="s">
        <v>348</v>
      </c>
      <c r="L2788" s="80" t="s">
        <v>342</v>
      </c>
      <c r="M2788" s="81">
        <v>0.5</v>
      </c>
      <c r="N2788" s="82">
        <v>30</v>
      </c>
    </row>
    <row r="2789" spans="1:14" x14ac:dyDescent="0.25">
      <c r="A2789" s="10" t="str">
        <f>_xlfn.IFNA(
    IF(J2789=
        "PCB-0001",
        "CSS",
        IF(
            ISNUMBER(MATCH(_xlfn.TEXTBEFORE(J2789,"-"), {"CSS","CSN","PCB","PCF","BEC","CSD","PCM"}, 0)),
            _xlfn.TEXTBEFORE(J2789,"-"),
            "Other"
        )
    ),
"Add")</f>
        <v>PCF</v>
      </c>
      <c r="B2789" s="10" t="str">
        <f t="shared" si="44"/>
        <v>0069</v>
      </c>
      <c r="C2789" s="10" t="str">
        <f>_xlfn.LET(
    _xlpm.val, IF(Datadetails[[#This Row],[Activity]]="D02","C20",Datadetails[[#This Row],[Activity]]),
    IF(ISNUMBER(MATCH(_xlpm.val,{"D04","C30","c40","C20"},0)), _xlpm.val, "Other")
)</f>
        <v>C20</v>
      </c>
      <c r="D2789" s="10" t="str">
        <f>IFERROR(VLOOKUP(Datadetails[[#This Row],[Taskcode]],Dashboard!A:A,1,FALSE),"00 Err Missing")</f>
        <v>0069</v>
      </c>
      <c r="E2789" s="79">
        <v>45953</v>
      </c>
      <c r="F2789" s="80" t="s">
        <v>326</v>
      </c>
      <c r="G2789" s="60" t="s">
        <v>40</v>
      </c>
      <c r="H2789" s="80" t="s">
        <v>236</v>
      </c>
      <c r="I2789" s="80" t="s">
        <v>36</v>
      </c>
      <c r="J2789" s="80" t="s">
        <v>357</v>
      </c>
      <c r="K2789" s="80" t="s">
        <v>348</v>
      </c>
      <c r="L2789" s="80" t="s">
        <v>342</v>
      </c>
      <c r="M2789" s="81">
        <v>0.5</v>
      </c>
      <c r="N2789" s="82">
        <v>30</v>
      </c>
    </row>
    <row r="2790" spans="1:14" x14ac:dyDescent="0.25">
      <c r="A2790" s="10" t="str">
        <f>_xlfn.IFNA(
    IF(J2790=
        "PCB-0001",
        "CSS",
        IF(
            ISNUMBER(MATCH(_xlfn.TEXTBEFORE(J2790,"-"), {"CSS","CSN","PCB","PCF","BEC","CSD","PCM"}, 0)),
            _xlfn.TEXTBEFORE(J2790,"-"),
            "Other"
        )
    ),
"Add")</f>
        <v>PCF</v>
      </c>
      <c r="B2790" s="10" t="str">
        <f t="shared" si="44"/>
        <v>0021</v>
      </c>
      <c r="C2790" s="10" t="str">
        <f>_xlfn.LET(
    _xlpm.val, IF(Datadetails[[#This Row],[Activity]]="D02","C20",Datadetails[[#This Row],[Activity]]),
    IF(ISNUMBER(MATCH(_xlpm.val,{"D04","C30","c40","C20"},0)), _xlpm.val, "Other")
)</f>
        <v>C30</v>
      </c>
      <c r="D2790" s="10" t="str">
        <f>IFERROR(VLOOKUP(Datadetails[[#This Row],[Taskcode]],Dashboard!A:A,1,FALSE),"00 Err Missing")</f>
        <v>0021</v>
      </c>
      <c r="E2790" s="79">
        <v>45953</v>
      </c>
      <c r="F2790" s="80" t="s">
        <v>326</v>
      </c>
      <c r="G2790" s="60" t="s">
        <v>40</v>
      </c>
      <c r="H2790" s="80" t="s">
        <v>188</v>
      </c>
      <c r="I2790" s="80" t="s">
        <v>34</v>
      </c>
      <c r="J2790" s="80" t="s">
        <v>356</v>
      </c>
      <c r="K2790" s="80" t="s">
        <v>348</v>
      </c>
      <c r="L2790" s="80" t="s">
        <v>343</v>
      </c>
      <c r="M2790" s="81">
        <v>1</v>
      </c>
      <c r="N2790" s="82">
        <v>60</v>
      </c>
    </row>
    <row r="2791" spans="1:14" x14ac:dyDescent="0.25">
      <c r="A2791" s="10" t="str">
        <f>_xlfn.IFNA(
    IF(J2791=
        "PCB-0001",
        "CSS",
        IF(
            ISNUMBER(MATCH(_xlfn.TEXTBEFORE(J2791,"-"), {"CSS","CSN","PCB","PCF","BEC","CSD","PCM"}, 0)),
            _xlfn.TEXTBEFORE(J2791,"-"),
            "Other"
        )
    ),
"Add")</f>
        <v>CSN</v>
      </c>
      <c r="B2791" s="10" t="str">
        <f t="shared" si="44"/>
        <v>0001</v>
      </c>
      <c r="C2791" s="10" t="str">
        <f>_xlfn.LET(
    _xlpm.val, IF(Datadetails[[#This Row],[Activity]]="D02","C20",Datadetails[[#This Row],[Activity]]),
    IF(ISNUMBER(MATCH(_xlpm.val,{"D04","C30","c40","C20"},0)), _xlpm.val, "Other")
)</f>
        <v>D04</v>
      </c>
      <c r="D2791" s="10" t="str">
        <f>IFERROR(VLOOKUP(Datadetails[[#This Row],[Taskcode]],Dashboard!A:A,1,FALSE),"00 Err Missing")</f>
        <v>0001</v>
      </c>
      <c r="E2791" s="79">
        <v>45954</v>
      </c>
      <c r="F2791" s="80" t="s">
        <v>329</v>
      </c>
      <c r="G2791" s="60" t="s">
        <v>40</v>
      </c>
      <c r="H2791" s="80" t="s">
        <v>316</v>
      </c>
      <c r="I2791" s="80" t="s">
        <v>35</v>
      </c>
      <c r="J2791" s="80" t="s">
        <v>338</v>
      </c>
      <c r="K2791" s="80" t="s">
        <v>337</v>
      </c>
      <c r="L2791" s="80" t="s">
        <v>352</v>
      </c>
      <c r="M2791" s="81">
        <v>1.17</v>
      </c>
      <c r="N2791" s="82">
        <v>87.75</v>
      </c>
    </row>
    <row r="2792" spans="1:14" x14ac:dyDescent="0.25">
      <c r="A2792" s="10" t="str">
        <f>_xlfn.IFNA(
    IF(J2792=
        "PCB-0001",
        "CSS",
        IF(
            ISNUMBER(MATCH(_xlfn.TEXTBEFORE(J2792,"-"), {"CSS","CSN","PCB","PCF","BEC","CSD","PCM"}, 0)),
            _xlfn.TEXTBEFORE(J2792,"-"),
            "Other"
        )
    ),
"Add")</f>
        <v>PCB</v>
      </c>
      <c r="B2792" s="10" t="str">
        <f t="shared" si="44"/>
        <v>0105</v>
      </c>
      <c r="C2792" s="10" t="str">
        <f>_xlfn.LET(
    _xlpm.val, IF(Datadetails[[#This Row],[Activity]]="D02","C20",Datadetails[[#This Row],[Activity]]),
    IF(ISNUMBER(MATCH(_xlpm.val,{"D04","C30","c40","C20"},0)), _xlpm.val, "Other")
)</f>
        <v>C40</v>
      </c>
      <c r="D2792" s="10" t="str">
        <f>IFERROR(VLOOKUP(Datadetails[[#This Row],[Taskcode]],Dashboard!A:A,1,FALSE),"00 Err Missing")</f>
        <v>0105</v>
      </c>
      <c r="E2792" s="79">
        <v>45954</v>
      </c>
      <c r="F2792" s="80" t="s">
        <v>329</v>
      </c>
      <c r="G2792" s="60" t="s">
        <v>40</v>
      </c>
      <c r="H2792" s="80" t="s">
        <v>272</v>
      </c>
      <c r="I2792" s="80" t="s">
        <v>341</v>
      </c>
      <c r="J2792" s="80" t="s">
        <v>362</v>
      </c>
      <c r="K2792" s="80" t="s">
        <v>347</v>
      </c>
      <c r="L2792" s="80" t="s">
        <v>344</v>
      </c>
      <c r="M2792" s="81">
        <v>2.5</v>
      </c>
      <c r="N2792" s="82">
        <v>187.5</v>
      </c>
    </row>
    <row r="2793" spans="1:14" x14ac:dyDescent="0.25">
      <c r="A2793" s="10" t="str">
        <f>_xlfn.IFNA(
    IF(J2793=
        "PCB-0001",
        "CSS",
        IF(
            ISNUMBER(MATCH(_xlfn.TEXTBEFORE(J2793,"-"), {"CSS","CSN","PCB","PCF","BEC","CSD","PCM"}, 0)),
            _xlfn.TEXTBEFORE(J2793,"-"),
            "Other"
        )
    ),
"Add")</f>
        <v>BEC</v>
      </c>
      <c r="B2793" s="10" t="str">
        <f t="shared" si="44"/>
        <v>0001</v>
      </c>
      <c r="C2793" s="10" t="str">
        <f>_xlfn.LET(
    _xlpm.val, IF(Datadetails[[#This Row],[Activity]]="D02","C20",Datadetails[[#This Row],[Activity]]),
    IF(ISNUMBER(MATCH(_xlpm.val,{"D04","C30","c40","C20"},0)), _xlpm.val, "Other")
)</f>
        <v>D04</v>
      </c>
      <c r="D2793" s="10" t="str">
        <f>IFERROR(VLOOKUP(Datadetails[[#This Row],[Taskcode]],Dashboard!A:A,1,FALSE),"00 Err Missing")</f>
        <v>0001</v>
      </c>
      <c r="E2793" s="79">
        <v>45954</v>
      </c>
      <c r="F2793" s="80" t="s">
        <v>332</v>
      </c>
      <c r="G2793" s="60" t="s">
        <v>40</v>
      </c>
      <c r="H2793" s="80" t="s">
        <v>314</v>
      </c>
      <c r="I2793" s="80" t="s">
        <v>35</v>
      </c>
      <c r="J2793" s="80" t="s">
        <v>359</v>
      </c>
      <c r="K2793" s="80" t="s">
        <v>339</v>
      </c>
      <c r="L2793" s="80" t="s">
        <v>352</v>
      </c>
      <c r="M2793" s="81">
        <v>9.33</v>
      </c>
      <c r="N2793" s="82">
        <v>373.2</v>
      </c>
    </row>
    <row r="2794" spans="1:14" x14ac:dyDescent="0.25">
      <c r="A2794" s="10" t="str">
        <f>_xlfn.IFNA(
    IF(J2794=
        "PCB-0001",
        "CSS",
        IF(
            ISNUMBER(MATCH(_xlfn.TEXTBEFORE(J2794,"-"), {"CSS","CSN","PCB","PCF","BEC","CSD","PCM"}, 0)),
            _xlfn.TEXTBEFORE(J2794,"-"),
            "Other"
        )
    ),
"Add")</f>
        <v>BEC</v>
      </c>
      <c r="B2794" s="10" t="str">
        <f t="shared" si="44"/>
        <v>0001</v>
      </c>
      <c r="C2794" s="10" t="str">
        <f>_xlfn.LET(
    _xlpm.val, IF(Datadetails[[#This Row],[Activity]]="D02","C20",Datadetails[[#This Row],[Activity]]),
    IF(ISNUMBER(MATCH(_xlpm.val,{"D04","C30","c40","C20"},0)), _xlpm.val, "Other")
)</f>
        <v>D04</v>
      </c>
      <c r="D2794" s="10" t="str">
        <f>IFERROR(VLOOKUP(Datadetails[[#This Row],[Taskcode]],Dashboard!A:A,1,FALSE),"00 Err Missing")</f>
        <v>0001</v>
      </c>
      <c r="E2794" s="79">
        <v>45954</v>
      </c>
      <c r="F2794" s="80" t="s">
        <v>324</v>
      </c>
      <c r="G2794" s="60" t="s">
        <v>40</v>
      </c>
      <c r="H2794" s="80" t="s">
        <v>314</v>
      </c>
      <c r="I2794" s="80" t="s">
        <v>35</v>
      </c>
      <c r="J2794" s="80" t="s">
        <v>359</v>
      </c>
      <c r="K2794" s="80" t="s">
        <v>339</v>
      </c>
      <c r="L2794" s="80" t="s">
        <v>352</v>
      </c>
      <c r="M2794" s="81">
        <v>3.25</v>
      </c>
      <c r="N2794" s="82">
        <v>243.75</v>
      </c>
    </row>
    <row r="2795" spans="1:14" x14ac:dyDescent="0.25">
      <c r="A2795" s="10" t="str">
        <f>_xlfn.IFNA(
    IF(J2795=
        "PCB-0001",
        "CSS",
        IF(
            ISNUMBER(MATCH(_xlfn.TEXTBEFORE(J2795,"-"), {"CSS","CSN","PCB","PCF","BEC","CSD","PCM"}, 0)),
            _xlfn.TEXTBEFORE(J2795,"-"),
            "Other"
        )
    ),
"Add")</f>
        <v>CSD</v>
      </c>
      <c r="B2795" s="10" t="str">
        <f t="shared" si="44"/>
        <v>0001</v>
      </c>
      <c r="C2795" s="10" t="str">
        <f>_xlfn.LET(
    _xlpm.val, IF(Datadetails[[#This Row],[Activity]]="D02","C20",Datadetails[[#This Row],[Activity]]),
    IF(ISNUMBER(MATCH(_xlpm.val,{"D04","C30","c40","C20"},0)), _xlpm.val, "Other")
)</f>
        <v>D04</v>
      </c>
      <c r="D2795" s="10" t="str">
        <f>IFERROR(VLOOKUP(Datadetails[[#This Row],[Taskcode]],Dashboard!A:A,1,FALSE),"00 Err Missing")</f>
        <v>0001</v>
      </c>
      <c r="E2795" s="79">
        <v>45954</v>
      </c>
      <c r="F2795" s="80" t="s">
        <v>333</v>
      </c>
      <c r="G2795" s="60" t="s">
        <v>40</v>
      </c>
      <c r="H2795" s="80" t="s">
        <v>320</v>
      </c>
      <c r="I2795" s="80" t="s">
        <v>35</v>
      </c>
      <c r="J2795" s="80" t="s">
        <v>322</v>
      </c>
      <c r="K2795" s="80" t="s">
        <v>319</v>
      </c>
      <c r="L2795" s="80" t="s">
        <v>352</v>
      </c>
      <c r="M2795" s="81">
        <v>7.62</v>
      </c>
      <c r="N2795" s="82">
        <v>243.84</v>
      </c>
    </row>
    <row r="2796" spans="1:14" x14ac:dyDescent="0.25">
      <c r="A2796" s="10" t="str">
        <f>_xlfn.IFNA(
    IF(J2796=
        "PCB-0001",
        "CSS",
        IF(
            ISNUMBER(MATCH(_xlfn.TEXTBEFORE(J2796,"-"), {"CSS","CSN","PCB","PCF","BEC","CSD","PCM"}, 0)),
            _xlfn.TEXTBEFORE(J2796,"-"),
            "Other"
        )
    ),
"Add")</f>
        <v>CSD</v>
      </c>
      <c r="B2796" s="10" t="str">
        <f t="shared" si="44"/>
        <v>0001</v>
      </c>
      <c r="C2796" s="10" t="str">
        <f>_xlfn.LET(
    _xlpm.val, IF(Datadetails[[#This Row],[Activity]]="D02","C20",Datadetails[[#This Row],[Activity]]),
    IF(ISNUMBER(MATCH(_xlpm.val,{"D04","C30","c40","C20"},0)), _xlpm.val, "Other")
)</f>
        <v>D04</v>
      </c>
      <c r="D2796" s="10" t="str">
        <f>IFERROR(VLOOKUP(Datadetails[[#This Row],[Taskcode]],Dashboard!A:A,1,FALSE),"00 Err Missing")</f>
        <v>0001</v>
      </c>
      <c r="E2796" s="79">
        <v>45954</v>
      </c>
      <c r="F2796" s="80" t="s">
        <v>327</v>
      </c>
      <c r="G2796" s="60" t="s">
        <v>40</v>
      </c>
      <c r="H2796" s="80" t="s">
        <v>320</v>
      </c>
      <c r="I2796" s="80" t="s">
        <v>35</v>
      </c>
      <c r="J2796" s="80" t="s">
        <v>322</v>
      </c>
      <c r="K2796" s="80" t="s">
        <v>319</v>
      </c>
      <c r="L2796" s="80" t="s">
        <v>352</v>
      </c>
      <c r="M2796" s="81">
        <v>7.25</v>
      </c>
      <c r="N2796" s="82">
        <v>232</v>
      </c>
    </row>
    <row r="2797" spans="1:14" x14ac:dyDescent="0.25">
      <c r="A2797" s="10" t="str">
        <f>_xlfn.IFNA(
    IF(J2797=
        "PCB-0001",
        "CSS",
        IF(
            ISNUMBER(MATCH(_xlfn.TEXTBEFORE(J2797,"-"), {"CSS","CSN","PCB","PCF","BEC","CSD","PCM"}, 0)),
            _xlfn.TEXTBEFORE(J2797,"-"),
            "Other"
        )
    ),
"Add")</f>
        <v>PCM</v>
      </c>
      <c r="B2797" s="10" t="str">
        <f t="shared" si="44"/>
        <v>0107</v>
      </c>
      <c r="C2797" s="10" t="str">
        <f>_xlfn.LET(
    _xlpm.val, IF(Datadetails[[#This Row],[Activity]]="D02","C20",Datadetails[[#This Row],[Activity]]),
    IF(ISNUMBER(MATCH(_xlpm.val,{"D04","C30","c40","C20"},0)), _xlpm.val, "Other")
)</f>
        <v>C20</v>
      </c>
      <c r="D2797" s="10" t="str">
        <f>IFERROR(VLOOKUP(Datadetails[[#This Row],[Taskcode]],Dashboard!A:A,1,FALSE),"00 Err Missing")</f>
        <v>0107</v>
      </c>
      <c r="E2797" s="79">
        <v>45954</v>
      </c>
      <c r="F2797" s="80" t="s">
        <v>323</v>
      </c>
      <c r="G2797" s="60" t="s">
        <v>40</v>
      </c>
      <c r="H2797" s="80" t="s">
        <v>274</v>
      </c>
      <c r="I2797" s="80" t="s">
        <v>36</v>
      </c>
      <c r="J2797" s="80" t="s">
        <v>421</v>
      </c>
      <c r="K2797" s="80" t="s">
        <v>346</v>
      </c>
      <c r="L2797" s="80" t="s">
        <v>342</v>
      </c>
      <c r="M2797" s="81">
        <v>0.25</v>
      </c>
      <c r="N2797" s="82">
        <v>15</v>
      </c>
    </row>
    <row r="2798" spans="1:14" x14ac:dyDescent="0.25">
      <c r="A2798" s="10" t="str">
        <f>_xlfn.IFNA(
    IF(J2798=
        "PCB-0001",
        "CSS",
        IF(
            ISNUMBER(MATCH(_xlfn.TEXTBEFORE(J2798,"-"), {"CSS","CSN","PCB","PCF","BEC","CSD","PCM"}, 0)),
            _xlfn.TEXTBEFORE(J2798,"-"),
            "Other"
        )
    ),
"Add")</f>
        <v>PCM</v>
      </c>
      <c r="B2798" s="10" t="str">
        <f t="shared" si="44"/>
        <v>0113</v>
      </c>
      <c r="C2798" s="10" t="str">
        <f>_xlfn.LET(
    _xlpm.val, IF(Datadetails[[#This Row],[Activity]]="D02","C20",Datadetails[[#This Row],[Activity]]),
    IF(ISNUMBER(MATCH(_xlpm.val,{"D04","C30","c40","C20"},0)), _xlpm.val, "Other")
)</f>
        <v>C20</v>
      </c>
      <c r="D2798" s="10" t="str">
        <f>IFERROR(VLOOKUP(Datadetails[[#This Row],[Taskcode]],Dashboard!A:A,1,FALSE),"00 Err Missing")</f>
        <v>0113</v>
      </c>
      <c r="E2798" s="79">
        <v>45954</v>
      </c>
      <c r="F2798" s="80" t="s">
        <v>323</v>
      </c>
      <c r="G2798" s="60" t="s">
        <v>40</v>
      </c>
      <c r="H2798" s="80" t="s">
        <v>280</v>
      </c>
      <c r="I2798" s="80" t="s">
        <v>36</v>
      </c>
      <c r="J2798" s="80" t="s">
        <v>445</v>
      </c>
      <c r="K2798" s="80" t="s">
        <v>346</v>
      </c>
      <c r="L2798" s="80" t="s">
        <v>342</v>
      </c>
      <c r="M2798" s="81">
        <v>0.25</v>
      </c>
      <c r="N2798" s="82">
        <v>15</v>
      </c>
    </row>
    <row r="2799" spans="1:14" x14ac:dyDescent="0.25">
      <c r="A2799" s="10" t="str">
        <f>_xlfn.IFNA(
    IF(J2799=
        "PCB-0001",
        "CSS",
        IF(
            ISNUMBER(MATCH(_xlfn.TEXTBEFORE(J2799,"-"), {"CSS","CSN","PCB","PCF","BEC","CSD","PCM"}, 0)),
            _xlfn.TEXTBEFORE(J2799,"-"),
            "Other"
        )
    ),
"Add")</f>
        <v>PCM</v>
      </c>
      <c r="B2799" s="10" t="str">
        <f t="shared" si="44"/>
        <v>0114</v>
      </c>
      <c r="C2799" s="10" t="str">
        <f>_xlfn.LET(
    _xlpm.val, IF(Datadetails[[#This Row],[Activity]]="D02","C20",Datadetails[[#This Row],[Activity]]),
    IF(ISNUMBER(MATCH(_xlpm.val,{"D04","C30","c40","C20"},0)), _xlpm.val, "Other")
)</f>
        <v>C20</v>
      </c>
      <c r="D2799" s="10" t="str">
        <f>IFERROR(VLOOKUP(Datadetails[[#This Row],[Taskcode]],Dashboard!A:A,1,FALSE),"00 Err Missing")</f>
        <v>0114</v>
      </c>
      <c r="E2799" s="79">
        <v>45954</v>
      </c>
      <c r="F2799" s="80" t="s">
        <v>323</v>
      </c>
      <c r="G2799" s="60" t="s">
        <v>40</v>
      </c>
      <c r="H2799" s="80" t="s">
        <v>281</v>
      </c>
      <c r="I2799" s="80" t="s">
        <v>36</v>
      </c>
      <c r="J2799" s="80" t="s">
        <v>430</v>
      </c>
      <c r="K2799" s="80" t="s">
        <v>346</v>
      </c>
      <c r="L2799" s="80" t="s">
        <v>342</v>
      </c>
      <c r="M2799" s="81">
        <v>0.25</v>
      </c>
      <c r="N2799" s="82">
        <v>15</v>
      </c>
    </row>
    <row r="2800" spans="1:14" x14ac:dyDescent="0.25">
      <c r="A2800" s="10" t="str">
        <f>_xlfn.IFNA(
    IF(J2800=
        "PCB-0001",
        "CSS",
        IF(
            ISNUMBER(MATCH(_xlfn.TEXTBEFORE(J2800,"-"), {"CSS","CSN","PCB","PCF","BEC","CSD","PCM"}, 0)),
            _xlfn.TEXTBEFORE(J2800,"-"),
            "Other"
        )
    ),
"Add")</f>
        <v>PCB</v>
      </c>
      <c r="B2800" s="10" t="str">
        <f t="shared" si="44"/>
        <v>0134</v>
      </c>
      <c r="C2800" s="10" t="str">
        <f>_xlfn.LET(
    _xlpm.val, IF(Datadetails[[#This Row],[Activity]]="D02","C20",Datadetails[[#This Row],[Activity]]),
    IF(ISNUMBER(MATCH(_xlpm.val,{"D04","C30","c40","C20"},0)), _xlpm.val, "Other")
)</f>
        <v>C30</v>
      </c>
      <c r="D2800" s="10" t="str">
        <f>IFERROR(VLOOKUP(Datadetails[[#This Row],[Taskcode]],Dashboard!A:A,1,FALSE),"00 Err Missing")</f>
        <v>0134</v>
      </c>
      <c r="E2800" s="79">
        <v>45954</v>
      </c>
      <c r="F2800" s="80" t="s">
        <v>329</v>
      </c>
      <c r="G2800" s="60" t="s">
        <v>40</v>
      </c>
      <c r="H2800" s="80" t="s">
        <v>301</v>
      </c>
      <c r="I2800" s="80" t="s">
        <v>34</v>
      </c>
      <c r="J2800" s="80" t="s">
        <v>371</v>
      </c>
      <c r="K2800" s="80" t="s">
        <v>347</v>
      </c>
      <c r="L2800" s="80" t="s">
        <v>343</v>
      </c>
      <c r="M2800" s="81">
        <v>0.33</v>
      </c>
      <c r="N2800" s="82">
        <v>24.75</v>
      </c>
    </row>
    <row r="2801" spans="1:14" x14ac:dyDescent="0.25">
      <c r="A2801" s="10" t="str">
        <f>_xlfn.IFNA(
    IF(J2801=
        "PCB-0001",
        "CSS",
        IF(
            ISNUMBER(MATCH(_xlfn.TEXTBEFORE(J2801,"-"), {"CSS","CSN","PCB","PCF","BEC","CSD","PCM"}, 0)),
            _xlfn.TEXTBEFORE(J2801,"-"),
            "Other"
        )
    ),
"Add")</f>
        <v>PCB</v>
      </c>
      <c r="B2801" s="10" t="str">
        <f t="shared" si="44"/>
        <v>0075</v>
      </c>
      <c r="C2801" s="10" t="str">
        <f>_xlfn.LET(
    _xlpm.val, IF(Datadetails[[#This Row],[Activity]]="D02","C20",Datadetails[[#This Row],[Activity]]),
    IF(ISNUMBER(MATCH(_xlpm.val,{"D04","C30","c40","C20"},0)), _xlpm.val, "Other")
)</f>
        <v>C30</v>
      </c>
      <c r="D2801" s="10" t="str">
        <f>IFERROR(VLOOKUP(Datadetails[[#This Row],[Taskcode]],Dashboard!A:A,1,FALSE),"00 Err Missing")</f>
        <v>0075</v>
      </c>
      <c r="E2801" s="79">
        <v>45954</v>
      </c>
      <c r="F2801" s="80" t="s">
        <v>329</v>
      </c>
      <c r="G2801" s="60" t="s">
        <v>40</v>
      </c>
      <c r="H2801" s="80" t="s">
        <v>242</v>
      </c>
      <c r="I2801" s="80" t="s">
        <v>34</v>
      </c>
      <c r="J2801" s="80" t="s">
        <v>404</v>
      </c>
      <c r="K2801" s="80" t="s">
        <v>347</v>
      </c>
      <c r="L2801" s="80" t="s">
        <v>343</v>
      </c>
      <c r="M2801" s="81">
        <v>0.25</v>
      </c>
      <c r="N2801" s="82">
        <v>18.75</v>
      </c>
    </row>
    <row r="2802" spans="1:14" x14ac:dyDescent="0.25">
      <c r="A2802" s="10" t="str">
        <f>_xlfn.IFNA(
    IF(J2802=
        "PCB-0001",
        "CSS",
        IF(
            ISNUMBER(MATCH(_xlfn.TEXTBEFORE(J2802,"-"), {"CSS","CSN","PCB","PCF","BEC","CSD","PCM"}, 0)),
            _xlfn.TEXTBEFORE(J2802,"-"),
            "Other"
        )
    ),
"Add")</f>
        <v>PCB</v>
      </c>
      <c r="B2802" s="10" t="str">
        <f t="shared" si="44"/>
        <v>0121</v>
      </c>
      <c r="C2802" s="10" t="str">
        <f>_xlfn.LET(
    _xlpm.val, IF(Datadetails[[#This Row],[Activity]]="D02","C20",Datadetails[[#This Row],[Activity]]),
    IF(ISNUMBER(MATCH(_xlpm.val,{"D04","C30","c40","C20"},0)), _xlpm.val, "Other")
)</f>
        <v>C30</v>
      </c>
      <c r="D2802" s="10" t="str">
        <f>IFERROR(VLOOKUP(Datadetails[[#This Row],[Taskcode]],Dashboard!A:A,1,FALSE),"00 Err Missing")</f>
        <v>0121</v>
      </c>
      <c r="E2802" s="79">
        <v>45954</v>
      </c>
      <c r="F2802" s="80" t="s">
        <v>329</v>
      </c>
      <c r="G2802" s="60" t="s">
        <v>40</v>
      </c>
      <c r="H2802" s="80" t="s">
        <v>288</v>
      </c>
      <c r="I2802" s="80" t="s">
        <v>34</v>
      </c>
      <c r="J2802" s="80" t="s">
        <v>405</v>
      </c>
      <c r="K2802" s="80" t="s">
        <v>347</v>
      </c>
      <c r="L2802" s="80" t="s">
        <v>343</v>
      </c>
      <c r="M2802" s="81">
        <v>0.33</v>
      </c>
      <c r="N2802" s="82">
        <v>24.75</v>
      </c>
    </row>
    <row r="2803" spans="1:14" x14ac:dyDescent="0.25">
      <c r="A2803" s="10" t="str">
        <f>_xlfn.IFNA(
    IF(J2803=
        "PCB-0001",
        "CSS",
        IF(
            ISNUMBER(MATCH(_xlfn.TEXTBEFORE(J2803,"-"), {"CSS","CSN","PCB","PCF","BEC","CSD","PCM"}, 0)),
            _xlfn.TEXTBEFORE(J2803,"-"),
            "Other"
        )
    ),
"Add")</f>
        <v>PCB</v>
      </c>
      <c r="B2803" s="10" t="str">
        <f t="shared" si="44"/>
        <v>0130</v>
      </c>
      <c r="C2803" s="10" t="str">
        <f>_xlfn.LET(
    _xlpm.val, IF(Datadetails[[#This Row],[Activity]]="D02","C20",Datadetails[[#This Row],[Activity]]),
    IF(ISNUMBER(MATCH(_xlpm.val,{"D04","C30","c40","C20"},0)), _xlpm.val, "Other")
)</f>
        <v>C30</v>
      </c>
      <c r="D2803" s="10" t="str">
        <f>IFERROR(VLOOKUP(Datadetails[[#This Row],[Taskcode]],Dashboard!A:A,1,FALSE),"00 Err Missing")</f>
        <v>0130</v>
      </c>
      <c r="E2803" s="79">
        <v>45954</v>
      </c>
      <c r="F2803" s="80" t="s">
        <v>330</v>
      </c>
      <c r="G2803" s="60" t="s">
        <v>40</v>
      </c>
      <c r="H2803" s="80" t="s">
        <v>297</v>
      </c>
      <c r="I2803" s="80" t="s">
        <v>34</v>
      </c>
      <c r="J2803" s="80" t="s">
        <v>380</v>
      </c>
      <c r="K2803" s="80" t="s">
        <v>347</v>
      </c>
      <c r="L2803" s="80" t="s">
        <v>343</v>
      </c>
      <c r="M2803" s="81">
        <v>0.5</v>
      </c>
      <c r="N2803" s="82">
        <v>30</v>
      </c>
    </row>
    <row r="2804" spans="1:14" x14ac:dyDescent="0.25">
      <c r="A2804" s="10" t="str">
        <f>_xlfn.IFNA(
    IF(J2804=
        "PCB-0001",
        "CSS",
        IF(
            ISNUMBER(MATCH(_xlfn.TEXTBEFORE(J2804,"-"), {"CSS","CSN","PCB","PCF","BEC","CSD","PCM"}, 0)),
            _xlfn.TEXTBEFORE(J2804,"-"),
            "Other"
        )
    ),
"Add")</f>
        <v>PCB</v>
      </c>
      <c r="B2804" s="10" t="str">
        <f t="shared" si="44"/>
        <v>0092</v>
      </c>
      <c r="C2804" s="10" t="str">
        <f>_xlfn.LET(
    _xlpm.val, IF(Datadetails[[#This Row],[Activity]]="D02","C20",Datadetails[[#This Row],[Activity]]),
    IF(ISNUMBER(MATCH(_xlpm.val,{"D04","C30","c40","C20"},0)), _xlpm.val, "Other")
)</f>
        <v>C30</v>
      </c>
      <c r="D2804" s="10" t="str">
        <f>IFERROR(VLOOKUP(Datadetails[[#This Row],[Taskcode]],Dashboard!A:A,1,FALSE),"00 Err Missing")</f>
        <v>0092</v>
      </c>
      <c r="E2804" s="79">
        <v>45954</v>
      </c>
      <c r="F2804" s="80" t="s">
        <v>329</v>
      </c>
      <c r="G2804" s="60" t="s">
        <v>40</v>
      </c>
      <c r="H2804" s="80" t="s">
        <v>259</v>
      </c>
      <c r="I2804" s="80" t="s">
        <v>34</v>
      </c>
      <c r="J2804" s="80" t="s">
        <v>407</v>
      </c>
      <c r="K2804" s="80" t="s">
        <v>347</v>
      </c>
      <c r="L2804" s="80" t="s">
        <v>343</v>
      </c>
      <c r="M2804" s="81">
        <v>0.25</v>
      </c>
      <c r="N2804" s="82">
        <v>18.75</v>
      </c>
    </row>
    <row r="2805" spans="1:14" x14ac:dyDescent="0.25">
      <c r="A2805" s="10" t="str">
        <f>_xlfn.IFNA(
    IF(J2805=
        "PCB-0001",
        "CSS",
        IF(
            ISNUMBER(MATCH(_xlfn.TEXTBEFORE(J2805,"-"), {"CSS","CSN","PCB","PCF","BEC","CSD","PCM"}, 0)),
            _xlfn.TEXTBEFORE(J2805,"-"),
            "Other"
        )
    ),
"Add")</f>
        <v>PCB</v>
      </c>
      <c r="B2805" s="10" t="str">
        <f t="shared" si="44"/>
        <v>0063</v>
      </c>
      <c r="C2805" s="10" t="str">
        <f>_xlfn.LET(
    _xlpm.val, IF(Datadetails[[#This Row],[Activity]]="D02","C20",Datadetails[[#This Row],[Activity]]),
    IF(ISNUMBER(MATCH(_xlpm.val,{"D04","C30","c40","C20"},0)), _xlpm.val, "Other")
)</f>
        <v>C30</v>
      </c>
      <c r="D2805" s="10" t="str">
        <f>IFERROR(VLOOKUP(Datadetails[[#This Row],[Taskcode]],Dashboard!A:A,1,FALSE),"00 Err Missing")</f>
        <v>0063</v>
      </c>
      <c r="E2805" s="79">
        <v>45954</v>
      </c>
      <c r="F2805" s="80" t="s">
        <v>329</v>
      </c>
      <c r="G2805" s="60" t="s">
        <v>40</v>
      </c>
      <c r="H2805" s="80" t="s">
        <v>230</v>
      </c>
      <c r="I2805" s="80" t="s">
        <v>34</v>
      </c>
      <c r="J2805" s="80" t="s">
        <v>410</v>
      </c>
      <c r="K2805" s="80" t="s">
        <v>347</v>
      </c>
      <c r="L2805" s="80" t="s">
        <v>343</v>
      </c>
      <c r="M2805" s="81">
        <v>0.17</v>
      </c>
      <c r="N2805" s="82">
        <v>12.750000000000002</v>
      </c>
    </row>
    <row r="2806" spans="1:14" x14ac:dyDescent="0.25">
      <c r="A2806" s="10" t="str">
        <f>_xlfn.IFNA(
    IF(J2806=
        "PCB-0001",
        "CSS",
        IF(
            ISNUMBER(MATCH(_xlfn.TEXTBEFORE(J2806,"-"), {"CSS","CSN","PCB","PCF","BEC","CSD","PCM"}, 0)),
            _xlfn.TEXTBEFORE(J2806,"-"),
            "Other"
        )
    ),
"Add")</f>
        <v>PCB</v>
      </c>
      <c r="B2806" s="10" t="str">
        <f t="shared" si="44"/>
        <v>0105</v>
      </c>
      <c r="C2806" s="10" t="str">
        <f>_xlfn.LET(
    _xlpm.val, IF(Datadetails[[#This Row],[Activity]]="D02","C20",Datadetails[[#This Row],[Activity]]),
    IF(ISNUMBER(MATCH(_xlpm.val,{"D04","C30","c40","C20"},0)), _xlpm.val, "Other")
)</f>
        <v>C30</v>
      </c>
      <c r="D2806" s="10" t="str">
        <f>IFERROR(VLOOKUP(Datadetails[[#This Row],[Taskcode]],Dashboard!A:A,1,FALSE),"00 Err Missing")</f>
        <v>0105</v>
      </c>
      <c r="E2806" s="79">
        <v>45954</v>
      </c>
      <c r="F2806" s="80" t="s">
        <v>329</v>
      </c>
      <c r="G2806" s="60" t="s">
        <v>40</v>
      </c>
      <c r="H2806" s="80" t="s">
        <v>272</v>
      </c>
      <c r="I2806" s="80" t="s">
        <v>34</v>
      </c>
      <c r="J2806" s="80" t="s">
        <v>362</v>
      </c>
      <c r="K2806" s="80" t="s">
        <v>347</v>
      </c>
      <c r="L2806" s="80" t="s">
        <v>343</v>
      </c>
      <c r="M2806" s="81">
        <v>1</v>
      </c>
      <c r="N2806" s="82">
        <v>75</v>
      </c>
    </row>
    <row r="2807" spans="1:14" x14ac:dyDescent="0.25">
      <c r="A2807" s="10" t="str">
        <f>_xlfn.IFNA(
    IF(J2807=
        "PCB-0001",
        "CSS",
        IF(
            ISNUMBER(MATCH(_xlfn.TEXTBEFORE(J2807,"-"), {"CSS","CSN","PCB","PCF","BEC","CSD","PCM"}, 0)),
            _xlfn.TEXTBEFORE(J2807,"-"),
            "Other"
        )
    ),
"Add")</f>
        <v>PCF</v>
      </c>
      <c r="B2807" s="10" t="str">
        <f t="shared" si="44"/>
        <v>0040</v>
      </c>
      <c r="C2807" s="10" t="str">
        <f>_xlfn.LET(
    _xlpm.val, IF(Datadetails[[#This Row],[Activity]]="D02","C20",Datadetails[[#This Row],[Activity]]),
    IF(ISNUMBER(MATCH(_xlpm.val,{"D04","C30","c40","C20"},0)), _xlpm.val, "Other")
)</f>
        <v>C20</v>
      </c>
      <c r="D2807" s="10" t="str">
        <f>IFERROR(VLOOKUP(Datadetails[[#This Row],[Taskcode]],Dashboard!A:A,1,FALSE),"00 Err Missing")</f>
        <v>0040</v>
      </c>
      <c r="E2807" s="79">
        <v>45954</v>
      </c>
      <c r="F2807" s="80" t="s">
        <v>326</v>
      </c>
      <c r="G2807" s="60" t="s">
        <v>40</v>
      </c>
      <c r="H2807" s="80" t="s">
        <v>207</v>
      </c>
      <c r="I2807" s="80" t="s">
        <v>36</v>
      </c>
      <c r="J2807" s="80" t="s">
        <v>417</v>
      </c>
      <c r="K2807" s="80" t="s">
        <v>348</v>
      </c>
      <c r="L2807" s="80" t="s">
        <v>342</v>
      </c>
      <c r="M2807" s="81">
        <v>1</v>
      </c>
      <c r="N2807" s="82">
        <v>60</v>
      </c>
    </row>
    <row r="2808" spans="1:14" x14ac:dyDescent="0.25">
      <c r="A2808" s="10" t="str">
        <f>_xlfn.IFNA(
    IF(J2808=
        "PCB-0001",
        "CSS",
        IF(
            ISNUMBER(MATCH(_xlfn.TEXTBEFORE(J2808,"-"), {"CSS","CSN","PCB","PCF","BEC","CSD","PCM"}, 0)),
            _xlfn.TEXTBEFORE(J2808,"-"),
            "Other"
        )
    ),
"Add")</f>
        <v>PCF</v>
      </c>
      <c r="B2808" s="10" t="str">
        <f t="shared" si="44"/>
        <v>0008</v>
      </c>
      <c r="C2808" s="10" t="str">
        <f>_xlfn.LET(
    _xlpm.val, IF(Datadetails[[#This Row],[Activity]]="D02","C20",Datadetails[[#This Row],[Activity]]),
    IF(ISNUMBER(MATCH(_xlpm.val,{"D04","C30","c40","C20"},0)), _xlpm.val, "Other")
)</f>
        <v>C30</v>
      </c>
      <c r="D2808" s="10" t="str">
        <f>IFERROR(VLOOKUP(Datadetails[[#This Row],[Taskcode]],Dashboard!A:A,1,FALSE),"00 Err Missing")</f>
        <v>0008</v>
      </c>
      <c r="E2808" s="79">
        <v>45954</v>
      </c>
      <c r="F2808" s="80" t="s">
        <v>326</v>
      </c>
      <c r="G2808" s="60" t="s">
        <v>40</v>
      </c>
      <c r="H2808" s="80" t="s">
        <v>175</v>
      </c>
      <c r="I2808" s="80" t="s">
        <v>34</v>
      </c>
      <c r="J2808" s="80" t="s">
        <v>388</v>
      </c>
      <c r="K2808" s="80" t="s">
        <v>348</v>
      </c>
      <c r="L2808" s="80" t="s">
        <v>343</v>
      </c>
      <c r="M2808" s="81">
        <v>1.17</v>
      </c>
      <c r="N2808" s="82">
        <v>70.199999999999989</v>
      </c>
    </row>
    <row r="2809" spans="1:14" x14ac:dyDescent="0.25">
      <c r="A2809" s="10" t="str">
        <f>_xlfn.IFNA(
    IF(J2809=
        "PCB-0001",
        "CSS",
        IF(
            ISNUMBER(MATCH(_xlfn.TEXTBEFORE(J2809,"-"), {"CSS","CSN","PCB","PCF","BEC","CSD","PCM"}, 0)),
            _xlfn.TEXTBEFORE(J2809,"-"),
            "Other"
        )
    ),
"Add")</f>
        <v>BEC</v>
      </c>
      <c r="B2809" s="10" t="str">
        <f t="shared" si="44"/>
        <v>0001</v>
      </c>
      <c r="C2809" s="10" t="str">
        <f>_xlfn.LET(
    _xlpm.val, IF(Datadetails[[#This Row],[Activity]]="D02","C20",Datadetails[[#This Row],[Activity]]),
    IF(ISNUMBER(MATCH(_xlpm.val,{"D04","C30","c40","C20"},0)), _xlpm.val, "Other")
)</f>
        <v>D04</v>
      </c>
      <c r="D2809" s="10" t="str">
        <f>IFERROR(VLOOKUP(Datadetails[[#This Row],[Taskcode]],Dashboard!A:A,1,FALSE),"00 Err Missing")</f>
        <v>0001</v>
      </c>
      <c r="E2809" s="79">
        <v>45955</v>
      </c>
      <c r="F2809" s="80" t="s">
        <v>332</v>
      </c>
      <c r="G2809" s="60" t="s">
        <v>40</v>
      </c>
      <c r="H2809" s="80" t="s">
        <v>314</v>
      </c>
      <c r="I2809" s="80" t="s">
        <v>35</v>
      </c>
      <c r="J2809" s="80" t="s">
        <v>359</v>
      </c>
      <c r="K2809" s="80" t="s">
        <v>339</v>
      </c>
      <c r="L2809" s="80" t="s">
        <v>352</v>
      </c>
      <c r="M2809" s="81">
        <v>5</v>
      </c>
      <c r="N2809" s="82">
        <v>200</v>
      </c>
    </row>
    <row r="2810" spans="1:14" x14ac:dyDescent="0.25">
      <c r="A2810" s="10" t="str">
        <f>_xlfn.IFNA(
    IF(J2810=
        "PCB-0001",
        "CSS",
        IF(
            ISNUMBER(MATCH(_xlfn.TEXTBEFORE(J2810,"-"), {"CSS","CSN","PCB","PCF","BEC","CSD","PCM"}, 0)),
            _xlfn.TEXTBEFORE(J2810,"-"),
            "Other"
        )
    ),
"Add")</f>
        <v>CSD</v>
      </c>
      <c r="B2810" s="10" t="str">
        <f t="shared" si="44"/>
        <v>0001</v>
      </c>
      <c r="C2810" s="10" t="str">
        <f>_xlfn.LET(
    _xlpm.val, IF(Datadetails[[#This Row],[Activity]]="D02","C20",Datadetails[[#This Row],[Activity]]),
    IF(ISNUMBER(MATCH(_xlpm.val,{"D04","C30","c40","C20"},0)), _xlpm.val, "Other")
)</f>
        <v>D04</v>
      </c>
      <c r="D2810" s="10" t="str">
        <f>IFERROR(VLOOKUP(Datadetails[[#This Row],[Taskcode]],Dashboard!A:A,1,FALSE),"00 Err Missing")</f>
        <v>0001</v>
      </c>
      <c r="E2810" s="79">
        <v>45957</v>
      </c>
      <c r="F2810" s="80" t="s">
        <v>327</v>
      </c>
      <c r="G2810" s="60" t="s">
        <v>40</v>
      </c>
      <c r="H2810" s="80" t="s">
        <v>320</v>
      </c>
      <c r="I2810" s="80" t="s">
        <v>35</v>
      </c>
      <c r="J2810" s="80" t="s">
        <v>322</v>
      </c>
      <c r="K2810" s="80" t="s">
        <v>319</v>
      </c>
      <c r="L2810" s="80" t="s">
        <v>352</v>
      </c>
      <c r="M2810" s="81">
        <v>7.5</v>
      </c>
      <c r="N2810" s="82">
        <v>240</v>
      </c>
    </row>
    <row r="2811" spans="1:14" x14ac:dyDescent="0.25">
      <c r="A2811" s="10" t="str">
        <f>_xlfn.IFNA(
    IF(J2811=
        "PCB-0001",
        "CSS",
        IF(
            ISNUMBER(MATCH(_xlfn.TEXTBEFORE(J2811,"-"), {"CSS","CSN","PCB","PCF","BEC","CSD","PCM"}, 0)),
            _xlfn.TEXTBEFORE(J2811,"-"),
            "Other"
        )
    ),
"Add")</f>
        <v>CSD</v>
      </c>
      <c r="B2811" s="10" t="str">
        <f t="shared" si="44"/>
        <v>0001</v>
      </c>
      <c r="C2811" s="10" t="str">
        <f>_xlfn.LET(
    _xlpm.val, IF(Datadetails[[#This Row],[Activity]]="D02","C20",Datadetails[[#This Row],[Activity]]),
    IF(ISNUMBER(MATCH(_xlpm.val,{"D04","C30","c40","C20"},0)), _xlpm.val, "Other")
)</f>
        <v>D04</v>
      </c>
      <c r="D2811" s="10" t="str">
        <f>IFERROR(VLOOKUP(Datadetails[[#This Row],[Taskcode]],Dashboard!A:A,1,FALSE),"00 Err Missing")</f>
        <v>0001</v>
      </c>
      <c r="E2811" s="79">
        <v>45957</v>
      </c>
      <c r="F2811" s="80" t="s">
        <v>333</v>
      </c>
      <c r="G2811" s="60" t="s">
        <v>40</v>
      </c>
      <c r="H2811" s="80" t="s">
        <v>320</v>
      </c>
      <c r="I2811" s="80" t="s">
        <v>35</v>
      </c>
      <c r="J2811" s="80" t="s">
        <v>322</v>
      </c>
      <c r="K2811" s="80" t="s">
        <v>319</v>
      </c>
      <c r="L2811" s="80" t="s">
        <v>352</v>
      </c>
      <c r="M2811" s="81">
        <v>7.57</v>
      </c>
      <c r="N2811" s="82">
        <v>242.24</v>
      </c>
    </row>
    <row r="2812" spans="1:14" x14ac:dyDescent="0.25">
      <c r="A2812" s="10" t="str">
        <f>_xlfn.IFNA(
    IF(J2812=
        "PCB-0001",
        "CSS",
        IF(
            ISNUMBER(MATCH(_xlfn.TEXTBEFORE(J2812,"-"), {"CSS","CSN","PCB","PCF","BEC","CSD","PCM"}, 0)),
            _xlfn.TEXTBEFORE(J2812,"-"),
            "Other"
        )
    ),
"Add")</f>
        <v>CSD</v>
      </c>
      <c r="B2812" s="10" t="str">
        <f t="shared" si="44"/>
        <v>0001</v>
      </c>
      <c r="C2812" s="10" t="str">
        <f>_xlfn.LET(
    _xlpm.val, IF(Datadetails[[#This Row],[Activity]]="D02","C20",Datadetails[[#This Row],[Activity]]),
    IF(ISNUMBER(MATCH(_xlpm.val,{"D04","C30","c40","C20"},0)), _xlpm.val, "Other")
)</f>
        <v>D04</v>
      </c>
      <c r="D2812" s="10" t="str">
        <f>IFERROR(VLOOKUP(Datadetails[[#This Row],[Taskcode]],Dashboard!A:A,1,FALSE),"00 Err Missing")</f>
        <v>0001</v>
      </c>
      <c r="E2812" s="79">
        <v>45958</v>
      </c>
      <c r="F2812" s="80" t="s">
        <v>333</v>
      </c>
      <c r="G2812" s="60" t="s">
        <v>40</v>
      </c>
      <c r="H2812" s="80" t="s">
        <v>320</v>
      </c>
      <c r="I2812" s="80" t="s">
        <v>35</v>
      </c>
      <c r="J2812" s="80" t="s">
        <v>322</v>
      </c>
      <c r="K2812" s="80" t="s">
        <v>319</v>
      </c>
      <c r="L2812" s="80" t="s">
        <v>352</v>
      </c>
      <c r="M2812" s="81">
        <v>7.08</v>
      </c>
      <c r="N2812" s="82">
        <v>226.56</v>
      </c>
    </row>
    <row r="2813" spans="1:14" x14ac:dyDescent="0.25">
      <c r="A2813" s="10" t="str">
        <f>_xlfn.IFNA(
    IF(J2813=
        "PCB-0001",
        "CSS",
        IF(
            ISNUMBER(MATCH(_xlfn.TEXTBEFORE(J2813,"-"), {"CSS","CSN","PCB","PCF","BEC","CSD","PCM"}, 0)),
            _xlfn.TEXTBEFORE(J2813,"-"),
            "Other"
        )
    ),
"Add")</f>
        <v>CSD</v>
      </c>
      <c r="B2813" s="10" t="str">
        <f t="shared" si="44"/>
        <v>0001</v>
      </c>
      <c r="C2813" s="10" t="str">
        <f>_xlfn.LET(
    _xlpm.val, IF(Datadetails[[#This Row],[Activity]]="D02","C20",Datadetails[[#This Row],[Activity]]),
    IF(ISNUMBER(MATCH(_xlpm.val,{"D04","C30","c40","C20"},0)), _xlpm.val, "Other")
)</f>
        <v>D04</v>
      </c>
      <c r="D2813" s="10" t="str">
        <f>IFERROR(VLOOKUP(Datadetails[[#This Row],[Taskcode]],Dashboard!A:A,1,FALSE),"00 Err Missing")</f>
        <v>0001</v>
      </c>
      <c r="E2813" s="79">
        <v>45958</v>
      </c>
      <c r="F2813" s="80" t="s">
        <v>327</v>
      </c>
      <c r="G2813" s="60" t="s">
        <v>40</v>
      </c>
      <c r="H2813" s="80" t="s">
        <v>320</v>
      </c>
      <c r="I2813" s="80" t="s">
        <v>35</v>
      </c>
      <c r="J2813" s="80" t="s">
        <v>322</v>
      </c>
      <c r="K2813" s="80" t="s">
        <v>319</v>
      </c>
      <c r="L2813" s="80" t="s">
        <v>352</v>
      </c>
      <c r="M2813" s="81">
        <v>7.42</v>
      </c>
      <c r="N2813" s="82">
        <v>237.44</v>
      </c>
    </row>
    <row r="2814" spans="1:14" x14ac:dyDescent="0.25">
      <c r="A2814" s="10" t="str">
        <f>_xlfn.IFNA(
    IF(J2814=
        "PCB-0001",
        "CSS",
        IF(
            ISNUMBER(MATCH(_xlfn.TEXTBEFORE(J2814,"-"), {"CSS","CSN","PCB","PCF","BEC","CSD","PCM"}, 0)),
            _xlfn.TEXTBEFORE(J2814,"-"),
            "Other"
        )
    ),
"Add")</f>
        <v>PCF</v>
      </c>
      <c r="B2814" s="10" t="str">
        <f t="shared" si="44"/>
        <v>0098</v>
      </c>
      <c r="C2814" s="10" t="str">
        <f>_xlfn.LET(
    _xlpm.val, IF(Datadetails[[#This Row],[Activity]]="D02","C20",Datadetails[[#This Row],[Activity]]),
    IF(ISNUMBER(MATCH(_xlpm.val,{"D04","C30","c40","C20"},0)), _xlpm.val, "Other")
)</f>
        <v>C30</v>
      </c>
      <c r="D2814" s="10" t="str">
        <f>IFERROR(VLOOKUP(Datadetails[[#This Row],[Taskcode]],Dashboard!A:A,1,FALSE),"00 Err Missing")</f>
        <v>0098</v>
      </c>
      <c r="E2814" s="79">
        <v>45958</v>
      </c>
      <c r="F2814" s="80" t="s">
        <v>326</v>
      </c>
      <c r="G2814" s="60" t="s">
        <v>40</v>
      </c>
      <c r="H2814" s="80" t="s">
        <v>265</v>
      </c>
      <c r="I2814" s="80" t="s">
        <v>34</v>
      </c>
      <c r="J2814" s="80" t="s">
        <v>358</v>
      </c>
      <c r="K2814" s="80" t="s">
        <v>348</v>
      </c>
      <c r="L2814" s="80" t="s">
        <v>343</v>
      </c>
      <c r="M2814" s="81">
        <v>0.83</v>
      </c>
      <c r="N2814" s="82">
        <v>49.8</v>
      </c>
    </row>
    <row r="2815" spans="1:14" x14ac:dyDescent="0.25">
      <c r="A2815" s="10" t="str">
        <f>_xlfn.IFNA(
    IF(J2815=
        "PCB-0001",
        "CSS",
        IF(
            ISNUMBER(MATCH(_xlfn.TEXTBEFORE(J2815,"-"), {"CSS","CSN","PCB","PCF","BEC","CSD","PCM"}, 0)),
            _xlfn.TEXTBEFORE(J2815,"-"),
            "Other"
        )
    ),
"Add")</f>
        <v>PCF</v>
      </c>
      <c r="B2815" s="10" t="str">
        <f t="shared" si="44"/>
        <v>0021</v>
      </c>
      <c r="C2815" s="10" t="str">
        <f>_xlfn.LET(
    _xlpm.val, IF(Datadetails[[#This Row],[Activity]]="D02","C20",Datadetails[[#This Row],[Activity]]),
    IF(ISNUMBER(MATCH(_xlpm.val,{"D04","C30","c40","C20"},0)), _xlpm.val, "Other")
)</f>
        <v>C40</v>
      </c>
      <c r="D2815" s="10" t="str">
        <f>IFERROR(VLOOKUP(Datadetails[[#This Row],[Taskcode]],Dashboard!A:A,1,FALSE),"00 Err Missing")</f>
        <v>0021</v>
      </c>
      <c r="E2815" s="79">
        <v>45958</v>
      </c>
      <c r="F2815" s="80" t="s">
        <v>326</v>
      </c>
      <c r="G2815" s="60" t="s">
        <v>40</v>
      </c>
      <c r="H2815" s="80" t="s">
        <v>188</v>
      </c>
      <c r="I2815" s="80" t="s">
        <v>341</v>
      </c>
      <c r="J2815" s="80" t="s">
        <v>356</v>
      </c>
      <c r="K2815" s="80" t="s">
        <v>348</v>
      </c>
      <c r="L2815" s="80" t="s">
        <v>344</v>
      </c>
      <c r="M2815" s="81">
        <v>1.58</v>
      </c>
      <c r="N2815" s="82">
        <v>94.800000000000011</v>
      </c>
    </row>
    <row r="2816" spans="1:14" x14ac:dyDescent="0.25">
      <c r="A2816" s="10" t="str">
        <f>_xlfn.IFNA(
    IF(J2816=
        "PCB-0001",
        "CSS",
        IF(
            ISNUMBER(MATCH(_xlfn.TEXTBEFORE(J2816,"-"), {"CSS","CSN","PCB","PCF","BEC","CSD","PCM"}, 0)),
            _xlfn.TEXTBEFORE(J2816,"-"),
            "Other"
        )
    ),
"Add")</f>
        <v>Other</v>
      </c>
      <c r="B2816" s="10" t="str">
        <f t="shared" si="44"/>
        <v>0130</v>
      </c>
      <c r="C2816" s="10" t="str">
        <f>_xlfn.LET(
    _xlpm.val, IF(Datadetails[[#This Row],[Activity]]="D02","C20",Datadetails[[#This Row],[Activity]]),
    IF(ISNUMBER(MATCH(_xlpm.val,{"D04","C30","c40","C20"},0)), _xlpm.val, "Other")
)</f>
        <v>Other</v>
      </c>
      <c r="D2816" s="10" t="str">
        <f>IFERROR(VLOOKUP(Datadetails[[#This Row],[Taskcode]],Dashboard!A:A,1,FALSE),"00 Err Missing")</f>
        <v>0130</v>
      </c>
      <c r="E2816" s="79">
        <v>45959</v>
      </c>
      <c r="F2816" s="80" t="s">
        <v>328</v>
      </c>
      <c r="G2816" s="60" t="s">
        <v>40</v>
      </c>
      <c r="H2816" s="80" t="s">
        <v>297</v>
      </c>
      <c r="I2816" s="80" t="s">
        <v>311</v>
      </c>
      <c r="J2816" s="80" t="s">
        <v>474</v>
      </c>
      <c r="K2816" s="80" t="s">
        <v>345</v>
      </c>
      <c r="L2816" s="80" t="s">
        <v>349</v>
      </c>
      <c r="M2816" s="81">
        <v>3.5</v>
      </c>
      <c r="N2816" s="82">
        <v>315</v>
      </c>
    </row>
    <row r="2817" spans="1:14" x14ac:dyDescent="0.25">
      <c r="A2817" s="10" t="str">
        <f>_xlfn.IFNA(
    IF(J2817=
        "PCB-0001",
        "CSS",
        IF(
            ISNUMBER(MATCH(_xlfn.TEXTBEFORE(J2817,"-"), {"CSS","CSN","PCB","PCF","BEC","CSD","PCM"}, 0)),
            _xlfn.TEXTBEFORE(J2817,"-"),
            "Other"
        )
    ),
"Add")</f>
        <v>CSD</v>
      </c>
      <c r="B2817" s="10" t="str">
        <f t="shared" si="44"/>
        <v>0001</v>
      </c>
      <c r="C2817" s="10" t="str">
        <f>_xlfn.LET(
    _xlpm.val, IF(Datadetails[[#This Row],[Activity]]="D02","C20",Datadetails[[#This Row],[Activity]]),
    IF(ISNUMBER(MATCH(_xlpm.val,{"D04","C30","c40","C20"},0)), _xlpm.val, "Other")
)</f>
        <v>D04</v>
      </c>
      <c r="D2817" s="10" t="str">
        <f>IFERROR(VLOOKUP(Datadetails[[#This Row],[Taskcode]],Dashboard!A:A,1,FALSE),"00 Err Missing")</f>
        <v>0001</v>
      </c>
      <c r="E2817" s="79">
        <v>45959</v>
      </c>
      <c r="F2817" s="80" t="s">
        <v>333</v>
      </c>
      <c r="G2817" s="60" t="s">
        <v>40</v>
      </c>
      <c r="H2817" s="80" t="s">
        <v>320</v>
      </c>
      <c r="I2817" s="80" t="s">
        <v>35</v>
      </c>
      <c r="J2817" s="80" t="s">
        <v>322</v>
      </c>
      <c r="K2817" s="80" t="s">
        <v>319</v>
      </c>
      <c r="L2817" s="80" t="s">
        <v>352</v>
      </c>
      <c r="M2817" s="81">
        <v>7.38</v>
      </c>
      <c r="N2817" s="82">
        <v>236.16</v>
      </c>
    </row>
    <row r="2818" spans="1:14" x14ac:dyDescent="0.25">
      <c r="A2818" s="10" t="str">
        <f>_xlfn.IFNA(
    IF(J2818=
        "PCB-0001",
        "CSS",
        IF(
            ISNUMBER(MATCH(_xlfn.TEXTBEFORE(J2818,"-"), {"CSS","CSN","PCB","PCF","BEC","CSD","PCM"}, 0)),
            _xlfn.TEXTBEFORE(J2818,"-"),
            "Other"
        )
    ),
"Add")</f>
        <v>CSD</v>
      </c>
      <c r="B2818" s="10" t="str">
        <f t="shared" si="44"/>
        <v>0001</v>
      </c>
      <c r="C2818" s="10" t="str">
        <f>_xlfn.LET(
    _xlpm.val, IF(Datadetails[[#This Row],[Activity]]="D02","C20",Datadetails[[#This Row],[Activity]]),
    IF(ISNUMBER(MATCH(_xlpm.val,{"D04","C30","c40","C20"},0)), _xlpm.val, "Other")
)</f>
        <v>D04</v>
      </c>
      <c r="D2818" s="10" t="str">
        <f>IFERROR(VLOOKUP(Datadetails[[#This Row],[Taskcode]],Dashboard!A:A,1,FALSE),"00 Err Missing")</f>
        <v>0001</v>
      </c>
      <c r="E2818" s="79">
        <v>45959</v>
      </c>
      <c r="F2818" s="80" t="s">
        <v>327</v>
      </c>
      <c r="G2818" s="60" t="s">
        <v>40</v>
      </c>
      <c r="H2818" s="80" t="s">
        <v>320</v>
      </c>
      <c r="I2818" s="80" t="s">
        <v>35</v>
      </c>
      <c r="J2818" s="80" t="s">
        <v>322</v>
      </c>
      <c r="K2818" s="80" t="s">
        <v>319</v>
      </c>
      <c r="L2818" s="80" t="s">
        <v>352</v>
      </c>
      <c r="M2818" s="81">
        <v>7.17</v>
      </c>
      <c r="N2818" s="82">
        <v>229.44</v>
      </c>
    </row>
    <row r="2819" spans="1:14" x14ac:dyDescent="0.25">
      <c r="A2819" s="10" t="str">
        <f>_xlfn.IFNA(
    IF(J2819=
        "PCB-0001",
        "CSS",
        IF(
            ISNUMBER(MATCH(_xlfn.TEXTBEFORE(J2819,"-"), {"CSS","CSN","PCB","PCF","BEC","CSD","PCM"}, 0)),
            _xlfn.TEXTBEFORE(J2819,"-"),
            "Other"
        )
    ),
"Add")</f>
        <v>PCM</v>
      </c>
      <c r="B2819" s="10" t="str">
        <f t="shared" si="44"/>
        <v>0035</v>
      </c>
      <c r="C2819" s="10" t="str">
        <f>_xlfn.LET(
    _xlpm.val, IF(Datadetails[[#This Row],[Activity]]="D02","C20",Datadetails[[#This Row],[Activity]]),
    IF(ISNUMBER(MATCH(_xlpm.val,{"D04","C30","c40","C20"},0)), _xlpm.val, "Other")
)</f>
        <v>C20</v>
      </c>
      <c r="D2819" s="10" t="str">
        <f>IFERROR(VLOOKUP(Datadetails[[#This Row],[Taskcode]],Dashboard!A:A,1,FALSE),"00 Err Missing")</f>
        <v>0035</v>
      </c>
      <c r="E2819" s="79">
        <v>45959</v>
      </c>
      <c r="F2819" s="80" t="s">
        <v>323</v>
      </c>
      <c r="G2819" s="60" t="s">
        <v>40</v>
      </c>
      <c r="H2819" s="80" t="s">
        <v>202</v>
      </c>
      <c r="I2819" s="80" t="s">
        <v>36</v>
      </c>
      <c r="J2819" s="80" t="s">
        <v>431</v>
      </c>
      <c r="K2819" s="80" t="s">
        <v>346</v>
      </c>
      <c r="L2819" s="80" t="s">
        <v>342</v>
      </c>
      <c r="M2819" s="81">
        <v>0.5</v>
      </c>
      <c r="N2819" s="82">
        <v>30</v>
      </c>
    </row>
    <row r="2820" spans="1:14" x14ac:dyDescent="0.25">
      <c r="A2820" s="10" t="str">
        <f>_xlfn.IFNA(
    IF(J2820=
        "PCB-0001",
        "CSS",
        IF(
            ISNUMBER(MATCH(_xlfn.TEXTBEFORE(J2820,"-"), {"CSS","CSN","PCB","PCF","BEC","CSD","PCM"}, 0)),
            _xlfn.TEXTBEFORE(J2820,"-"),
            "Other"
        )
    ),
"Add")</f>
        <v>PCM</v>
      </c>
      <c r="B2820" s="10" t="str">
        <f t="shared" ref="B2820:B2850" si="45">_xlfn.IFNA(_xlfn.TEXTAFTER(J2820,"-"),"Data to C2")</f>
        <v>0065</v>
      </c>
      <c r="C2820" s="10" t="str">
        <f>_xlfn.LET(
    _xlpm.val, IF(Datadetails[[#This Row],[Activity]]="D02","C20",Datadetails[[#This Row],[Activity]]),
    IF(ISNUMBER(MATCH(_xlpm.val,{"D04","C30","c40","C20"},0)), _xlpm.val, "Other")
)</f>
        <v>C20</v>
      </c>
      <c r="D2820" s="10" t="str">
        <f>IFERROR(VLOOKUP(Datadetails[[#This Row],[Taskcode]],Dashboard!A:A,1,FALSE),"00 Err Missing")</f>
        <v>0065</v>
      </c>
      <c r="E2820" s="79">
        <v>45959</v>
      </c>
      <c r="F2820" s="80" t="s">
        <v>323</v>
      </c>
      <c r="G2820" s="60" t="s">
        <v>40</v>
      </c>
      <c r="H2820" s="80" t="s">
        <v>232</v>
      </c>
      <c r="I2820" s="80" t="s">
        <v>36</v>
      </c>
      <c r="J2820" s="80" t="s">
        <v>393</v>
      </c>
      <c r="K2820" s="80" t="s">
        <v>346</v>
      </c>
      <c r="L2820" s="80" t="s">
        <v>342</v>
      </c>
      <c r="M2820" s="81">
        <v>0.25</v>
      </c>
      <c r="N2820" s="82">
        <v>15</v>
      </c>
    </row>
    <row r="2821" spans="1:14" x14ac:dyDescent="0.25">
      <c r="A2821" s="10" t="str">
        <f>_xlfn.IFNA(
    IF(J2821=
        "PCB-0001",
        "CSS",
        IF(
            ISNUMBER(MATCH(_xlfn.TEXTBEFORE(J2821,"-"), {"CSS","CSN","PCB","PCF","BEC","CSD","PCM"}, 0)),
            _xlfn.TEXTBEFORE(J2821,"-"),
            "Other"
        )
    ),
"Add")</f>
        <v>PCM</v>
      </c>
      <c r="B2821" s="10" t="str">
        <f t="shared" si="45"/>
        <v>0118</v>
      </c>
      <c r="C2821" s="10" t="str">
        <f>_xlfn.LET(
    _xlpm.val, IF(Datadetails[[#This Row],[Activity]]="D02","C20",Datadetails[[#This Row],[Activity]]),
    IF(ISNUMBER(MATCH(_xlpm.val,{"D04","C30","c40","C20"},0)), _xlpm.val, "Other")
)</f>
        <v>C20</v>
      </c>
      <c r="D2821" s="10" t="str">
        <f>IFERROR(VLOOKUP(Datadetails[[#This Row],[Taskcode]],Dashboard!A:A,1,FALSE),"00 Err Missing")</f>
        <v>0118</v>
      </c>
      <c r="E2821" s="79">
        <v>45959</v>
      </c>
      <c r="F2821" s="80" t="s">
        <v>323</v>
      </c>
      <c r="G2821" s="60" t="s">
        <v>40</v>
      </c>
      <c r="H2821" s="80" t="s">
        <v>285</v>
      </c>
      <c r="I2821" s="80" t="s">
        <v>36</v>
      </c>
      <c r="J2821" s="80" t="s">
        <v>448</v>
      </c>
      <c r="K2821" s="80" t="s">
        <v>346</v>
      </c>
      <c r="L2821" s="80" t="s">
        <v>342</v>
      </c>
      <c r="M2821" s="81">
        <v>0.25</v>
      </c>
      <c r="N2821" s="82">
        <v>15</v>
      </c>
    </row>
    <row r="2822" spans="1:14" x14ac:dyDescent="0.25">
      <c r="A2822" s="10" t="str">
        <f>_xlfn.IFNA(
    IF(J2822=
        "PCB-0001",
        "CSS",
        IF(
            ISNUMBER(MATCH(_xlfn.TEXTBEFORE(J2822,"-"), {"CSS","CSN","PCB","PCF","BEC","CSD","PCM"}, 0)),
            _xlfn.TEXTBEFORE(J2822,"-"),
            "Other"
        )
    ),
"Add")</f>
        <v>PCM</v>
      </c>
      <c r="B2822" s="10" t="str">
        <f t="shared" si="45"/>
        <v>0116</v>
      </c>
      <c r="C2822" s="10" t="str">
        <f>_xlfn.LET(
    _xlpm.val, IF(Datadetails[[#This Row],[Activity]]="D02","C20",Datadetails[[#This Row],[Activity]]),
    IF(ISNUMBER(MATCH(_xlpm.val,{"D04","C30","c40","C20"},0)), _xlpm.val, "Other")
)</f>
        <v>C20</v>
      </c>
      <c r="D2822" s="10" t="str">
        <f>IFERROR(VLOOKUP(Datadetails[[#This Row],[Taskcode]],Dashboard!A:A,1,FALSE),"00 Err Missing")</f>
        <v>0116</v>
      </c>
      <c r="E2822" s="79">
        <v>45959</v>
      </c>
      <c r="F2822" s="80" t="s">
        <v>323</v>
      </c>
      <c r="G2822" s="60" t="s">
        <v>40</v>
      </c>
      <c r="H2822" s="80" t="s">
        <v>283</v>
      </c>
      <c r="I2822" s="80" t="s">
        <v>36</v>
      </c>
      <c r="J2822" s="80" t="s">
        <v>429</v>
      </c>
      <c r="K2822" s="80" t="s">
        <v>346</v>
      </c>
      <c r="L2822" s="80" t="s">
        <v>342</v>
      </c>
      <c r="M2822" s="81">
        <v>0.25</v>
      </c>
      <c r="N2822" s="82">
        <v>15</v>
      </c>
    </row>
    <row r="2823" spans="1:14" x14ac:dyDescent="0.25">
      <c r="A2823" s="10" t="str">
        <f>_xlfn.IFNA(
    IF(J2823=
        "PCB-0001",
        "CSS",
        IF(
            ISNUMBER(MATCH(_xlfn.TEXTBEFORE(J2823,"-"), {"CSS","CSN","PCB","PCF","BEC","CSD","PCM"}, 0)),
            _xlfn.TEXTBEFORE(J2823,"-"),
            "Other"
        )
    ),
"Add")</f>
        <v>PCM</v>
      </c>
      <c r="B2823" s="10" t="str">
        <f t="shared" si="45"/>
        <v>0107</v>
      </c>
      <c r="C2823" s="10" t="str">
        <f>_xlfn.LET(
    _xlpm.val, IF(Datadetails[[#This Row],[Activity]]="D02","C20",Datadetails[[#This Row],[Activity]]),
    IF(ISNUMBER(MATCH(_xlpm.val,{"D04","C30","c40","C20"},0)), _xlpm.val, "Other")
)</f>
        <v>C20</v>
      </c>
      <c r="D2823" s="10" t="str">
        <f>IFERROR(VLOOKUP(Datadetails[[#This Row],[Taskcode]],Dashboard!A:A,1,FALSE),"00 Err Missing")</f>
        <v>0107</v>
      </c>
      <c r="E2823" s="79">
        <v>45959</v>
      </c>
      <c r="F2823" s="80" t="s">
        <v>323</v>
      </c>
      <c r="G2823" s="60" t="s">
        <v>40</v>
      </c>
      <c r="H2823" s="80" t="s">
        <v>274</v>
      </c>
      <c r="I2823" s="80" t="s">
        <v>36</v>
      </c>
      <c r="J2823" s="80" t="s">
        <v>421</v>
      </c>
      <c r="K2823" s="80" t="s">
        <v>346</v>
      </c>
      <c r="L2823" s="80" t="s">
        <v>342</v>
      </c>
      <c r="M2823" s="81">
        <v>0.5</v>
      </c>
      <c r="N2823" s="82">
        <v>30</v>
      </c>
    </row>
    <row r="2824" spans="1:14" x14ac:dyDescent="0.25">
      <c r="A2824" s="10" t="str">
        <f>_xlfn.IFNA(
    IF(J2824=
        "PCB-0001",
        "CSS",
        IF(
            ISNUMBER(MATCH(_xlfn.TEXTBEFORE(J2824,"-"), {"CSS","CSN","PCB","PCF","BEC","CSD","PCM"}, 0)),
            _xlfn.TEXTBEFORE(J2824,"-"),
            "Other"
        )
    ),
"Add")</f>
        <v>PCM</v>
      </c>
      <c r="B2824" s="10" t="str">
        <f t="shared" si="45"/>
        <v>0114</v>
      </c>
      <c r="C2824" s="10" t="str">
        <f>_xlfn.LET(
    _xlpm.val, IF(Datadetails[[#This Row],[Activity]]="D02","C20",Datadetails[[#This Row],[Activity]]),
    IF(ISNUMBER(MATCH(_xlpm.val,{"D04","C30","c40","C20"},0)), _xlpm.val, "Other")
)</f>
        <v>C20</v>
      </c>
      <c r="D2824" s="10" t="str">
        <f>IFERROR(VLOOKUP(Datadetails[[#This Row],[Taskcode]],Dashboard!A:A,1,FALSE),"00 Err Missing")</f>
        <v>0114</v>
      </c>
      <c r="E2824" s="79">
        <v>45959</v>
      </c>
      <c r="F2824" s="80" t="s">
        <v>323</v>
      </c>
      <c r="G2824" s="60" t="s">
        <v>40</v>
      </c>
      <c r="H2824" s="80" t="s">
        <v>281</v>
      </c>
      <c r="I2824" s="80" t="s">
        <v>36</v>
      </c>
      <c r="J2824" s="80" t="s">
        <v>430</v>
      </c>
      <c r="K2824" s="80" t="s">
        <v>346</v>
      </c>
      <c r="L2824" s="80" t="s">
        <v>342</v>
      </c>
      <c r="M2824" s="81">
        <v>0.5</v>
      </c>
      <c r="N2824" s="82">
        <v>30</v>
      </c>
    </row>
    <row r="2825" spans="1:14" x14ac:dyDescent="0.25">
      <c r="A2825" s="10" t="str">
        <f>_xlfn.IFNA(
    IF(J2825=
        "PCB-0001",
        "CSS",
        IF(
            ISNUMBER(MATCH(_xlfn.TEXTBEFORE(J2825,"-"), {"CSS","CSN","PCB","PCF","BEC","CSD","PCM"}, 0)),
            _xlfn.TEXTBEFORE(J2825,"-"),
            "Other"
        )
    ),
"Add")</f>
        <v>PCB</v>
      </c>
      <c r="B2825" s="10" t="str">
        <f t="shared" si="45"/>
        <v>0130</v>
      </c>
      <c r="C2825" s="10" t="str">
        <f>_xlfn.LET(
    _xlpm.val, IF(Datadetails[[#This Row],[Activity]]="D02","C20",Datadetails[[#This Row],[Activity]]),
    IF(ISNUMBER(MATCH(_xlpm.val,{"D04","C30","c40","C20"},0)), _xlpm.val, "Other")
)</f>
        <v>C40</v>
      </c>
      <c r="D2825" s="10" t="str">
        <f>IFERROR(VLOOKUP(Datadetails[[#This Row],[Taskcode]],Dashboard!A:A,1,FALSE),"00 Err Missing")</f>
        <v>0130</v>
      </c>
      <c r="E2825" s="79">
        <v>45959</v>
      </c>
      <c r="F2825" s="80" t="s">
        <v>330</v>
      </c>
      <c r="G2825" s="60" t="s">
        <v>40</v>
      </c>
      <c r="H2825" s="80" t="s">
        <v>297</v>
      </c>
      <c r="I2825" s="80" t="s">
        <v>341</v>
      </c>
      <c r="J2825" s="80" t="s">
        <v>380</v>
      </c>
      <c r="K2825" s="80" t="s">
        <v>347</v>
      </c>
      <c r="L2825" s="80" t="s">
        <v>344</v>
      </c>
      <c r="M2825" s="81">
        <v>1</v>
      </c>
      <c r="N2825" s="82">
        <v>60</v>
      </c>
    </row>
    <row r="2826" spans="1:14" x14ac:dyDescent="0.25">
      <c r="A2826" s="10" t="str">
        <f>_xlfn.IFNA(
    IF(J2826=
        "PCB-0001",
        "CSS",
        IF(
            ISNUMBER(MATCH(_xlfn.TEXTBEFORE(J2826,"-"), {"CSS","CSN","PCB","PCF","BEC","CSD","PCM"}, 0)),
            _xlfn.TEXTBEFORE(J2826,"-"),
            "Other"
        )
    ),
"Add")</f>
        <v>PCF</v>
      </c>
      <c r="B2826" s="10" t="str">
        <f t="shared" si="45"/>
        <v>0098</v>
      </c>
      <c r="C2826" s="10" t="str">
        <f>_xlfn.LET(
    _xlpm.val, IF(Datadetails[[#This Row],[Activity]]="D02","C20",Datadetails[[#This Row],[Activity]]),
    IF(ISNUMBER(MATCH(_xlpm.val,{"D04","C30","c40","C20"},0)), _xlpm.val, "Other")
)</f>
        <v>C30</v>
      </c>
      <c r="D2826" s="10" t="str">
        <f>IFERROR(VLOOKUP(Datadetails[[#This Row],[Taskcode]],Dashboard!A:A,1,FALSE),"00 Err Missing")</f>
        <v>0098</v>
      </c>
      <c r="E2826" s="79">
        <v>45959</v>
      </c>
      <c r="F2826" s="80" t="s">
        <v>326</v>
      </c>
      <c r="G2826" s="60" t="s">
        <v>40</v>
      </c>
      <c r="H2826" s="80" t="s">
        <v>265</v>
      </c>
      <c r="I2826" s="80" t="s">
        <v>34</v>
      </c>
      <c r="J2826" s="80" t="s">
        <v>358</v>
      </c>
      <c r="K2826" s="80" t="s">
        <v>348</v>
      </c>
      <c r="L2826" s="80" t="s">
        <v>343</v>
      </c>
      <c r="M2826" s="81">
        <v>1.42</v>
      </c>
      <c r="N2826" s="82">
        <v>85.199999999999989</v>
      </c>
    </row>
    <row r="2827" spans="1:14" x14ac:dyDescent="0.25">
      <c r="A2827" s="10" t="str">
        <f>_xlfn.IFNA(
    IF(J2827=
        "PCB-0001",
        "CSS",
        IF(
            ISNUMBER(MATCH(_xlfn.TEXTBEFORE(J2827,"-"), {"CSS","CSN","PCB","PCF","BEC","CSD","PCM"}, 0)),
            _xlfn.TEXTBEFORE(J2827,"-"),
            "Other"
        )
    ),
"Add")</f>
        <v>CSD</v>
      </c>
      <c r="B2827" s="10" t="str">
        <f t="shared" si="45"/>
        <v>0001</v>
      </c>
      <c r="C2827" s="10" t="str">
        <f>_xlfn.LET(
    _xlpm.val, IF(Datadetails[[#This Row],[Activity]]="D02","C20",Datadetails[[#This Row],[Activity]]),
    IF(ISNUMBER(MATCH(_xlpm.val,{"D04","C30","c40","C20"},0)), _xlpm.val, "Other")
)</f>
        <v>D04</v>
      </c>
      <c r="D2827" s="10" t="str">
        <f>IFERROR(VLOOKUP(Datadetails[[#This Row],[Taskcode]],Dashboard!A:A,1,FALSE),"00 Err Missing")</f>
        <v>0001</v>
      </c>
      <c r="E2827" s="79">
        <v>45960</v>
      </c>
      <c r="F2827" s="80" t="s">
        <v>333</v>
      </c>
      <c r="G2827" s="60" t="s">
        <v>40</v>
      </c>
      <c r="H2827" s="80" t="s">
        <v>320</v>
      </c>
      <c r="I2827" s="80" t="s">
        <v>35</v>
      </c>
      <c r="J2827" s="80" t="s">
        <v>322</v>
      </c>
      <c r="K2827" s="80" t="s">
        <v>319</v>
      </c>
      <c r="L2827" s="80" t="s">
        <v>352</v>
      </c>
      <c r="M2827" s="81">
        <v>7.67</v>
      </c>
      <c r="N2827" s="82">
        <v>245.44</v>
      </c>
    </row>
    <row r="2828" spans="1:14" x14ac:dyDescent="0.25">
      <c r="A2828" s="10" t="str">
        <f>_xlfn.IFNA(
    IF(J2828=
        "PCB-0001",
        "CSS",
        IF(
            ISNUMBER(MATCH(_xlfn.TEXTBEFORE(J2828,"-"), {"CSS","CSN","PCB","PCF","BEC","CSD","PCM"}, 0)),
            _xlfn.TEXTBEFORE(J2828,"-"),
            "Other"
        )
    ),
"Add")</f>
        <v>CSD</v>
      </c>
      <c r="B2828" s="10" t="str">
        <f t="shared" si="45"/>
        <v>0001</v>
      </c>
      <c r="C2828" s="10" t="str">
        <f>_xlfn.LET(
    _xlpm.val, IF(Datadetails[[#This Row],[Activity]]="D02","C20",Datadetails[[#This Row],[Activity]]),
    IF(ISNUMBER(MATCH(_xlpm.val,{"D04","C30","c40","C20"},0)), _xlpm.val, "Other")
)</f>
        <v>D04</v>
      </c>
      <c r="D2828" s="10" t="str">
        <f>IFERROR(VLOOKUP(Datadetails[[#This Row],[Taskcode]],Dashboard!A:A,1,FALSE),"00 Err Missing")</f>
        <v>0001</v>
      </c>
      <c r="E2828" s="79">
        <v>45960</v>
      </c>
      <c r="F2828" s="80" t="s">
        <v>327</v>
      </c>
      <c r="G2828" s="60" t="s">
        <v>40</v>
      </c>
      <c r="H2828" s="80" t="s">
        <v>320</v>
      </c>
      <c r="I2828" s="80" t="s">
        <v>35</v>
      </c>
      <c r="J2828" s="80" t="s">
        <v>322</v>
      </c>
      <c r="K2828" s="80" t="s">
        <v>319</v>
      </c>
      <c r="L2828" s="80" t="s">
        <v>352</v>
      </c>
      <c r="M2828" s="81">
        <v>7.42</v>
      </c>
      <c r="N2828" s="82">
        <v>237.44</v>
      </c>
    </row>
    <row r="2829" spans="1:14" x14ac:dyDescent="0.25">
      <c r="A2829" s="10" t="str">
        <f>_xlfn.IFNA(
    IF(J2829=
        "PCB-0001",
        "CSS",
        IF(
            ISNUMBER(MATCH(_xlfn.TEXTBEFORE(J2829,"-"), {"CSS","CSN","PCB","PCF","BEC","CSD","PCM"}, 0)),
            _xlfn.TEXTBEFORE(J2829,"-"),
            "Other"
        )
    ),
"Add")</f>
        <v>PCF</v>
      </c>
      <c r="B2829" s="10" t="str">
        <f t="shared" si="45"/>
        <v>0068</v>
      </c>
      <c r="C2829" s="10" t="str">
        <f>_xlfn.LET(
    _xlpm.val, IF(Datadetails[[#This Row],[Activity]]="D02","C20",Datadetails[[#This Row],[Activity]]),
    IF(ISNUMBER(MATCH(_xlpm.val,{"D04","C30","c40","C20"},0)), _xlpm.val, "Other")
)</f>
        <v>C30</v>
      </c>
      <c r="D2829" s="10" t="str">
        <f>IFERROR(VLOOKUP(Datadetails[[#This Row],[Taskcode]],Dashboard!A:A,1,FALSE),"00 Err Missing")</f>
        <v>0068</v>
      </c>
      <c r="E2829" s="79">
        <v>45960</v>
      </c>
      <c r="F2829" s="80" t="s">
        <v>326</v>
      </c>
      <c r="G2829" s="60" t="s">
        <v>40</v>
      </c>
      <c r="H2829" s="80" t="s">
        <v>235</v>
      </c>
      <c r="I2829" s="80" t="s">
        <v>34</v>
      </c>
      <c r="J2829" s="80" t="s">
        <v>355</v>
      </c>
      <c r="K2829" s="80" t="s">
        <v>348</v>
      </c>
      <c r="L2829" s="80" t="s">
        <v>343</v>
      </c>
      <c r="M2829" s="81">
        <v>1.67</v>
      </c>
      <c r="N2829" s="82">
        <v>100.19999999999999</v>
      </c>
    </row>
    <row r="2830" spans="1:14" x14ac:dyDescent="0.25">
      <c r="A2830" s="10" t="str">
        <f>_xlfn.IFNA(
    IF(J2830=
        "PCB-0001",
        "CSS",
        IF(
            ISNUMBER(MATCH(_xlfn.TEXTBEFORE(J2830,"-"), {"CSS","CSN","PCB","PCF","BEC","CSD","PCM"}, 0)),
            _xlfn.TEXTBEFORE(J2830,"-"),
            "Other"
        )
    ),
"Add")</f>
        <v>PCF</v>
      </c>
      <c r="B2830" s="10" t="str">
        <f t="shared" si="45"/>
        <v>0067</v>
      </c>
      <c r="C2830" s="10" t="str">
        <f>_xlfn.LET(
    _xlpm.val, IF(Datadetails[[#This Row],[Activity]]="D02","C20",Datadetails[[#This Row],[Activity]]),
    IF(ISNUMBER(MATCH(_xlpm.val,{"D04","C30","c40","C20"},0)), _xlpm.val, "Other")
)</f>
        <v>C30</v>
      </c>
      <c r="D2830" s="10" t="str">
        <f>IFERROR(VLOOKUP(Datadetails[[#This Row],[Taskcode]],Dashboard!A:A,1,FALSE),"00 Err Missing")</f>
        <v>0067</v>
      </c>
      <c r="E2830" s="79">
        <v>45960</v>
      </c>
      <c r="F2830" s="80" t="s">
        <v>326</v>
      </c>
      <c r="G2830" s="60" t="s">
        <v>40</v>
      </c>
      <c r="H2830" s="80" t="s">
        <v>234</v>
      </c>
      <c r="I2830" s="80" t="s">
        <v>34</v>
      </c>
      <c r="J2830" s="80" t="s">
        <v>389</v>
      </c>
      <c r="K2830" s="80" t="s">
        <v>348</v>
      </c>
      <c r="L2830" s="80" t="s">
        <v>343</v>
      </c>
      <c r="M2830" s="81">
        <v>1.42</v>
      </c>
      <c r="N2830" s="82">
        <v>85.199999999999989</v>
      </c>
    </row>
    <row r="2831" spans="1:14" x14ac:dyDescent="0.25">
      <c r="A2831" s="10" t="str">
        <f>_xlfn.IFNA(
    IF(J2831=
        "PCB-0001",
        "CSS",
        IF(
            ISNUMBER(MATCH(_xlfn.TEXTBEFORE(J2831,"-"), {"CSS","CSN","PCB","PCF","BEC","CSD","PCM"}, 0)),
            _xlfn.TEXTBEFORE(J2831,"-"),
            "Other"
        )
    ),
"Add")</f>
        <v>PCF</v>
      </c>
      <c r="B2831" s="10" t="str">
        <f t="shared" si="45"/>
        <v>0021</v>
      </c>
      <c r="C2831" s="10" t="str">
        <f>_xlfn.LET(
    _xlpm.val, IF(Datadetails[[#This Row],[Activity]]="D02","C20",Datadetails[[#This Row],[Activity]]),
    IF(ISNUMBER(MATCH(_xlpm.val,{"D04","C30","c40","C20"},0)), _xlpm.val, "Other")
)</f>
        <v>C30</v>
      </c>
      <c r="D2831" s="10" t="str">
        <f>IFERROR(VLOOKUP(Datadetails[[#This Row],[Taskcode]],Dashboard!A:A,1,FALSE),"00 Err Missing")</f>
        <v>0021</v>
      </c>
      <c r="E2831" s="79">
        <v>45960</v>
      </c>
      <c r="F2831" s="80" t="s">
        <v>326</v>
      </c>
      <c r="G2831" s="60" t="s">
        <v>40</v>
      </c>
      <c r="H2831" s="80" t="s">
        <v>188</v>
      </c>
      <c r="I2831" s="80" t="s">
        <v>34</v>
      </c>
      <c r="J2831" s="80" t="s">
        <v>356</v>
      </c>
      <c r="K2831" s="80" t="s">
        <v>348</v>
      </c>
      <c r="L2831" s="80" t="s">
        <v>343</v>
      </c>
      <c r="M2831" s="81">
        <v>1</v>
      </c>
      <c r="N2831" s="82">
        <v>60</v>
      </c>
    </row>
    <row r="2832" spans="1:14" x14ac:dyDescent="0.25">
      <c r="A2832" s="10" t="str">
        <f>_xlfn.IFNA(
    IF(J2832=
        "PCB-0001",
        "CSS",
        IF(
            ISNUMBER(MATCH(_xlfn.TEXTBEFORE(J2832,"-"), {"CSS","CSN","PCB","PCF","BEC","CSD","PCM"}, 0)),
            _xlfn.TEXTBEFORE(J2832,"-"),
            "Other"
        )
    ),
"Add")</f>
        <v>PCF</v>
      </c>
      <c r="B2832" s="10" t="str">
        <f t="shared" si="45"/>
        <v>0066</v>
      </c>
      <c r="C2832" s="10" t="str">
        <f>_xlfn.LET(
    _xlpm.val, IF(Datadetails[[#This Row],[Activity]]="D02","C20",Datadetails[[#This Row],[Activity]]),
    IF(ISNUMBER(MATCH(_xlpm.val,{"D04","C30","c40","C20"},0)), _xlpm.val, "Other")
)</f>
        <v>C30</v>
      </c>
      <c r="D2832" s="10" t="str">
        <f>IFERROR(VLOOKUP(Datadetails[[#This Row],[Taskcode]],Dashboard!A:A,1,FALSE),"00 Err Missing")</f>
        <v>0066</v>
      </c>
      <c r="E2832" s="79">
        <v>45960</v>
      </c>
      <c r="F2832" s="80" t="s">
        <v>326</v>
      </c>
      <c r="G2832" s="60" t="s">
        <v>40</v>
      </c>
      <c r="H2832" s="80" t="s">
        <v>233</v>
      </c>
      <c r="I2832" s="80" t="s">
        <v>34</v>
      </c>
      <c r="J2832" s="80" t="s">
        <v>387</v>
      </c>
      <c r="K2832" s="80" t="s">
        <v>348</v>
      </c>
      <c r="L2832" s="80" t="s">
        <v>343</v>
      </c>
      <c r="M2832" s="81">
        <v>0.5</v>
      </c>
      <c r="N2832" s="82">
        <v>30</v>
      </c>
    </row>
    <row r="2833" spans="1:14" x14ac:dyDescent="0.25">
      <c r="A2833" s="10" t="str">
        <f>_xlfn.IFNA(
    IF(J2833=
        "PCB-0001",
        "CSS",
        IF(
            ISNUMBER(MATCH(_xlfn.TEXTBEFORE(J2833,"-"), {"CSS","CSN","PCB","PCF","BEC","CSD","PCM"}, 0)),
            _xlfn.TEXTBEFORE(J2833,"-"),
            "Other"
        )
    ),
"Add")</f>
        <v>PCF</v>
      </c>
      <c r="B2833" s="10" t="str">
        <f t="shared" si="45"/>
        <v>0069</v>
      </c>
      <c r="C2833" s="10" t="str">
        <f>_xlfn.LET(
    _xlpm.val, IF(Datadetails[[#This Row],[Activity]]="D02","C20",Datadetails[[#This Row],[Activity]]),
    IF(ISNUMBER(MATCH(_xlpm.val,{"D04","C30","c40","C20"},0)), _xlpm.val, "Other")
)</f>
        <v>C30</v>
      </c>
      <c r="D2833" s="10" t="str">
        <f>IFERROR(VLOOKUP(Datadetails[[#This Row],[Taskcode]],Dashboard!A:A,1,FALSE),"00 Err Missing")</f>
        <v>0069</v>
      </c>
      <c r="E2833" s="79">
        <v>45960</v>
      </c>
      <c r="F2833" s="80" t="s">
        <v>326</v>
      </c>
      <c r="G2833" s="60" t="s">
        <v>40</v>
      </c>
      <c r="H2833" s="80" t="s">
        <v>236</v>
      </c>
      <c r="I2833" s="80" t="s">
        <v>34</v>
      </c>
      <c r="J2833" s="80" t="s">
        <v>357</v>
      </c>
      <c r="K2833" s="80" t="s">
        <v>348</v>
      </c>
      <c r="L2833" s="80" t="s">
        <v>343</v>
      </c>
      <c r="M2833" s="81">
        <v>0.75</v>
      </c>
      <c r="N2833" s="82">
        <v>45</v>
      </c>
    </row>
    <row r="2834" spans="1:14" x14ac:dyDescent="0.25">
      <c r="A2834" s="10" t="str">
        <f>_xlfn.IFNA(
    IF(J2834=
        "PCB-0001",
        "CSS",
        IF(
            ISNUMBER(MATCH(_xlfn.TEXTBEFORE(J2834,"-"), {"CSS","CSN","PCB","PCF","BEC","CSD","PCM"}, 0)),
            _xlfn.TEXTBEFORE(J2834,"-"),
            "Other"
        )
    ),
"Add")</f>
        <v>CSN</v>
      </c>
      <c r="B2834" s="10" t="str">
        <f t="shared" si="45"/>
        <v>0001</v>
      </c>
      <c r="C2834" s="10" t="str">
        <f>_xlfn.LET(
    _xlpm.val, IF(Datadetails[[#This Row],[Activity]]="D02","C20",Datadetails[[#This Row],[Activity]]),
    IF(ISNUMBER(MATCH(_xlpm.val,{"D04","C30","c40","C20"},0)), _xlpm.val, "Other")
)</f>
        <v>D04</v>
      </c>
      <c r="D2834" s="10" t="str">
        <f>IFERROR(VLOOKUP(Datadetails[[#This Row],[Taskcode]],Dashboard!A:A,1,FALSE),"00 Err Missing")</f>
        <v>0001</v>
      </c>
      <c r="E2834" s="79">
        <v>45961</v>
      </c>
      <c r="F2834" s="80" t="s">
        <v>329</v>
      </c>
      <c r="G2834" s="60" t="s">
        <v>40</v>
      </c>
      <c r="H2834" s="80" t="s">
        <v>316</v>
      </c>
      <c r="I2834" s="80" t="s">
        <v>35</v>
      </c>
      <c r="J2834" s="80" t="s">
        <v>338</v>
      </c>
      <c r="K2834" s="80" t="s">
        <v>337</v>
      </c>
      <c r="L2834" s="80" t="s">
        <v>352</v>
      </c>
      <c r="M2834" s="81">
        <v>0.33</v>
      </c>
      <c r="N2834" s="82">
        <v>24.75</v>
      </c>
    </row>
    <row r="2835" spans="1:14" x14ac:dyDescent="0.25">
      <c r="A2835" s="10" t="str">
        <f>_xlfn.IFNA(
    IF(J2835=
        "PCB-0001",
        "CSS",
        IF(
            ISNUMBER(MATCH(_xlfn.TEXTBEFORE(J2835,"-"), {"CSS","CSN","PCB","PCF","BEC","CSD","PCM"}, 0)),
            _xlfn.TEXTBEFORE(J2835,"-"),
            "Other"
        )
    ),
"Add")</f>
        <v>CSD</v>
      </c>
      <c r="B2835" s="10" t="str">
        <f t="shared" si="45"/>
        <v>0001</v>
      </c>
      <c r="C2835" s="10" t="str">
        <f>_xlfn.LET(
    _xlpm.val, IF(Datadetails[[#This Row],[Activity]]="D02","C20",Datadetails[[#This Row],[Activity]]),
    IF(ISNUMBER(MATCH(_xlpm.val,{"D04","C30","c40","C20"},0)), _xlpm.val, "Other")
)</f>
        <v>D04</v>
      </c>
      <c r="D2835" s="10" t="str">
        <f>IFERROR(VLOOKUP(Datadetails[[#This Row],[Taskcode]],Dashboard!A:A,1,FALSE),"00 Err Missing")</f>
        <v>0001</v>
      </c>
      <c r="E2835" s="79">
        <v>45961</v>
      </c>
      <c r="F2835" s="80" t="s">
        <v>333</v>
      </c>
      <c r="G2835" s="60" t="s">
        <v>40</v>
      </c>
      <c r="H2835" s="80" t="s">
        <v>320</v>
      </c>
      <c r="I2835" s="80" t="s">
        <v>35</v>
      </c>
      <c r="J2835" s="80" t="s">
        <v>322</v>
      </c>
      <c r="K2835" s="80" t="s">
        <v>319</v>
      </c>
      <c r="L2835" s="80" t="s">
        <v>352</v>
      </c>
      <c r="M2835" s="81">
        <v>7.68</v>
      </c>
      <c r="N2835" s="82">
        <v>245.76</v>
      </c>
    </row>
    <row r="2836" spans="1:14" x14ac:dyDescent="0.25">
      <c r="A2836" s="10" t="str">
        <f>_xlfn.IFNA(
    IF(J2836=
        "PCB-0001",
        "CSS",
        IF(
            ISNUMBER(MATCH(_xlfn.TEXTBEFORE(J2836,"-"), {"CSS","CSN","PCB","PCF","BEC","CSD","PCM"}, 0)),
            _xlfn.TEXTBEFORE(J2836,"-"),
            "Other"
        )
    ),
"Add")</f>
        <v>CSD</v>
      </c>
      <c r="B2836" s="10" t="str">
        <f t="shared" si="45"/>
        <v>0001</v>
      </c>
      <c r="C2836" s="10" t="str">
        <f>_xlfn.LET(
    _xlpm.val, IF(Datadetails[[#This Row],[Activity]]="D02","C20",Datadetails[[#This Row],[Activity]]),
    IF(ISNUMBER(MATCH(_xlpm.val,{"D04","C30","c40","C20"},0)), _xlpm.val, "Other")
)</f>
        <v>D04</v>
      </c>
      <c r="D2836" s="10" t="str">
        <f>IFERROR(VLOOKUP(Datadetails[[#This Row],[Taskcode]],Dashboard!A:A,1,FALSE),"00 Err Missing")</f>
        <v>0001</v>
      </c>
      <c r="E2836" s="79">
        <v>45961</v>
      </c>
      <c r="F2836" s="80" t="s">
        <v>327</v>
      </c>
      <c r="G2836" s="60" t="s">
        <v>40</v>
      </c>
      <c r="H2836" s="80" t="s">
        <v>320</v>
      </c>
      <c r="I2836" s="80" t="s">
        <v>35</v>
      </c>
      <c r="J2836" s="80" t="s">
        <v>322</v>
      </c>
      <c r="K2836" s="80" t="s">
        <v>319</v>
      </c>
      <c r="L2836" s="80" t="s">
        <v>352</v>
      </c>
      <c r="M2836" s="81">
        <v>7.25</v>
      </c>
      <c r="N2836" s="82">
        <v>232</v>
      </c>
    </row>
    <row r="2837" spans="1:14" x14ac:dyDescent="0.25">
      <c r="A2837" s="10" t="str">
        <f>_xlfn.IFNA(
    IF(J2837=
        "PCB-0001",
        "CSS",
        IF(
            ISNUMBER(MATCH(_xlfn.TEXTBEFORE(J2837,"-"), {"CSS","CSN","PCB","PCF","BEC","CSD","PCM"}, 0)),
            _xlfn.TEXTBEFORE(J2837,"-"),
            "Other"
        )
    ),
"Add")</f>
        <v>PCM</v>
      </c>
      <c r="B2837" s="10" t="str">
        <f t="shared" si="45"/>
        <v>0035</v>
      </c>
      <c r="C2837" s="10" t="str">
        <f>_xlfn.LET(
    _xlpm.val, IF(Datadetails[[#This Row],[Activity]]="D02","C20",Datadetails[[#This Row],[Activity]]),
    IF(ISNUMBER(MATCH(_xlpm.val,{"D04","C30","c40","C20"},0)), _xlpm.val, "Other")
)</f>
        <v>C20</v>
      </c>
      <c r="D2837" s="10" t="str">
        <f>IFERROR(VLOOKUP(Datadetails[[#This Row],[Taskcode]],Dashboard!A:A,1,FALSE),"00 Err Missing")</f>
        <v>0035</v>
      </c>
      <c r="E2837" s="79">
        <v>45961</v>
      </c>
      <c r="F2837" s="80" t="s">
        <v>323</v>
      </c>
      <c r="G2837" s="60" t="s">
        <v>40</v>
      </c>
      <c r="H2837" s="80" t="s">
        <v>202</v>
      </c>
      <c r="I2837" s="80" t="s">
        <v>36</v>
      </c>
      <c r="J2837" s="80" t="s">
        <v>431</v>
      </c>
      <c r="K2837" s="80" t="s">
        <v>346</v>
      </c>
      <c r="L2837" s="80" t="s">
        <v>342</v>
      </c>
      <c r="M2837" s="81">
        <v>0.25</v>
      </c>
      <c r="N2837" s="82">
        <v>15</v>
      </c>
    </row>
    <row r="2838" spans="1:14" x14ac:dyDescent="0.25">
      <c r="A2838" s="10" t="str">
        <f>_xlfn.IFNA(
    IF(J2838=
        "PCB-0001",
        "CSS",
        IF(
            ISNUMBER(MATCH(_xlfn.TEXTBEFORE(J2838,"-"), {"CSS","CSN","PCB","PCF","BEC","CSD","PCM"}, 0)),
            _xlfn.TEXTBEFORE(J2838,"-"),
            "Other"
        )
    ),
"Add")</f>
        <v>BEC</v>
      </c>
      <c r="B2838" s="10" t="str">
        <f t="shared" si="45"/>
        <v>0001</v>
      </c>
      <c r="C2838" s="10" t="str">
        <f>_xlfn.LET(
    _xlpm.val, IF(Datadetails[[#This Row],[Activity]]="D02","C20",Datadetails[[#This Row],[Activity]]),
    IF(ISNUMBER(MATCH(_xlpm.val,{"D04","C30","c40","C20"},0)), _xlpm.val, "Other")
)</f>
        <v>D04</v>
      </c>
      <c r="D2838" s="10" t="str">
        <f>IFERROR(VLOOKUP(Datadetails[[#This Row],[Taskcode]],Dashboard!A:A,1,FALSE),"00 Err Missing")</f>
        <v>0001</v>
      </c>
      <c r="E2838" s="79">
        <v>45961</v>
      </c>
      <c r="F2838" s="80" t="s">
        <v>332</v>
      </c>
      <c r="G2838" s="60" t="s">
        <v>40</v>
      </c>
      <c r="H2838" s="80" t="s">
        <v>314</v>
      </c>
      <c r="I2838" s="80" t="s">
        <v>35</v>
      </c>
      <c r="J2838" s="80" t="s">
        <v>359</v>
      </c>
      <c r="K2838" s="80" t="s">
        <v>339</v>
      </c>
      <c r="L2838" s="80" t="s">
        <v>352</v>
      </c>
      <c r="M2838" s="81">
        <v>8.67</v>
      </c>
      <c r="N2838" s="82">
        <v>346.8</v>
      </c>
    </row>
    <row r="2839" spans="1:14" x14ac:dyDescent="0.25">
      <c r="A2839" s="10" t="str">
        <f>_xlfn.IFNA(
    IF(J2839=
        "PCB-0001",
        "CSS",
        IF(
            ISNUMBER(MATCH(_xlfn.TEXTBEFORE(J2839,"-"), {"CSS","CSN","PCB","PCF","BEC","CSD","PCM"}, 0)),
            _xlfn.TEXTBEFORE(J2839,"-"),
            "Other"
        )
    ),
"Add")</f>
        <v>PCM</v>
      </c>
      <c r="B2839" s="10" t="str">
        <f t="shared" si="45"/>
        <v>0107</v>
      </c>
      <c r="C2839" s="10" t="str">
        <f>_xlfn.LET(
    _xlpm.val, IF(Datadetails[[#This Row],[Activity]]="D02","C20",Datadetails[[#This Row],[Activity]]),
    IF(ISNUMBER(MATCH(_xlpm.val,{"D04","C30","c40","C20"},0)), _xlpm.val, "Other")
)</f>
        <v>C20</v>
      </c>
      <c r="D2839" s="10" t="str">
        <f>IFERROR(VLOOKUP(Datadetails[[#This Row],[Taskcode]],Dashboard!A:A,1,FALSE),"00 Err Missing")</f>
        <v>0107</v>
      </c>
      <c r="E2839" s="79">
        <v>45961</v>
      </c>
      <c r="F2839" s="80" t="s">
        <v>323</v>
      </c>
      <c r="G2839" s="60" t="s">
        <v>40</v>
      </c>
      <c r="H2839" s="80" t="s">
        <v>274</v>
      </c>
      <c r="I2839" s="80" t="s">
        <v>36</v>
      </c>
      <c r="J2839" s="80" t="s">
        <v>421</v>
      </c>
      <c r="K2839" s="80" t="s">
        <v>346</v>
      </c>
      <c r="L2839" s="80" t="s">
        <v>342</v>
      </c>
      <c r="M2839" s="81">
        <v>0.33</v>
      </c>
      <c r="N2839" s="82">
        <v>19.8</v>
      </c>
    </row>
    <row r="2840" spans="1:14" x14ac:dyDescent="0.25">
      <c r="A2840" s="10" t="str">
        <f>_xlfn.IFNA(
    IF(J2840=
        "PCB-0001",
        "CSS",
        IF(
            ISNUMBER(MATCH(_xlfn.TEXTBEFORE(J2840,"-"), {"CSS","CSN","PCB","PCF","BEC","CSD","PCM"}, 0)),
            _xlfn.TEXTBEFORE(J2840,"-"),
            "Other"
        )
    ),
"Add")</f>
        <v>PCM</v>
      </c>
      <c r="B2840" s="10" t="str">
        <f t="shared" si="45"/>
        <v>0114</v>
      </c>
      <c r="C2840" s="10" t="str">
        <f>_xlfn.LET(
    _xlpm.val, IF(Datadetails[[#This Row],[Activity]]="D02","C20",Datadetails[[#This Row],[Activity]]),
    IF(ISNUMBER(MATCH(_xlpm.val,{"D04","C30","c40","C20"},0)), _xlpm.val, "Other")
)</f>
        <v>C20</v>
      </c>
      <c r="D2840" s="10" t="str">
        <f>IFERROR(VLOOKUP(Datadetails[[#This Row],[Taskcode]],Dashboard!A:A,1,FALSE),"00 Err Missing")</f>
        <v>0114</v>
      </c>
      <c r="E2840" s="79">
        <v>45961</v>
      </c>
      <c r="F2840" s="80" t="s">
        <v>323</v>
      </c>
      <c r="G2840" s="60" t="s">
        <v>40</v>
      </c>
      <c r="H2840" s="80" t="s">
        <v>281</v>
      </c>
      <c r="I2840" s="80" t="s">
        <v>36</v>
      </c>
      <c r="J2840" s="80" t="s">
        <v>430</v>
      </c>
      <c r="K2840" s="80" t="s">
        <v>346</v>
      </c>
      <c r="L2840" s="80" t="s">
        <v>342</v>
      </c>
      <c r="M2840" s="81">
        <v>0.25</v>
      </c>
      <c r="N2840" s="82">
        <v>15</v>
      </c>
    </row>
    <row r="2841" spans="1:14" x14ac:dyDescent="0.25">
      <c r="A2841" s="10" t="str">
        <f>_xlfn.IFNA(
    IF(J2841=
        "PCB-0001",
        "CSS",
        IF(
            ISNUMBER(MATCH(_xlfn.TEXTBEFORE(J2841,"-"), {"CSS","CSN","PCB","PCF","BEC","CSD","PCM"}, 0)),
            _xlfn.TEXTBEFORE(J2841,"-"),
            "Other"
        )
    ),
"Add")</f>
        <v>PCB</v>
      </c>
      <c r="B2841" s="10" t="str">
        <f t="shared" si="45"/>
        <v>0019</v>
      </c>
      <c r="C2841" s="10" t="str">
        <f>_xlfn.LET(
    _xlpm.val, IF(Datadetails[[#This Row],[Activity]]="D02","C20",Datadetails[[#This Row],[Activity]]),
    IF(ISNUMBER(MATCH(_xlpm.val,{"D04","C30","c40","C20"},0)), _xlpm.val, "Other")
)</f>
        <v>C30</v>
      </c>
      <c r="D2841" s="10" t="str">
        <f>IFERROR(VLOOKUP(Datadetails[[#This Row],[Taskcode]],Dashboard!A:A,1,FALSE),"00 Err Missing")</f>
        <v>0019</v>
      </c>
      <c r="E2841" s="79">
        <v>45961</v>
      </c>
      <c r="F2841" s="80" t="s">
        <v>329</v>
      </c>
      <c r="G2841" s="60" t="s">
        <v>40</v>
      </c>
      <c r="H2841" s="80" t="s">
        <v>186</v>
      </c>
      <c r="I2841" s="80" t="s">
        <v>34</v>
      </c>
      <c r="J2841" s="80" t="s">
        <v>397</v>
      </c>
      <c r="K2841" s="80" t="s">
        <v>347</v>
      </c>
      <c r="L2841" s="80" t="s">
        <v>343</v>
      </c>
      <c r="M2841" s="81">
        <v>0.33</v>
      </c>
      <c r="N2841" s="82">
        <v>24.75</v>
      </c>
    </row>
    <row r="2842" spans="1:14" x14ac:dyDescent="0.25">
      <c r="A2842" s="10" t="str">
        <f>_xlfn.IFNA(
    IF(J2842=
        "PCB-0001",
        "CSS",
        IF(
            ISNUMBER(MATCH(_xlfn.TEXTBEFORE(J2842,"-"), {"CSS","CSN","PCB","PCF","BEC","CSD","PCM"}, 0)),
            _xlfn.TEXTBEFORE(J2842,"-"),
            "Other"
        )
    ),
"Add")</f>
        <v>PCB</v>
      </c>
      <c r="B2842" s="10" t="str">
        <f t="shared" si="45"/>
        <v>0135</v>
      </c>
      <c r="C2842" s="10" t="str">
        <f>_xlfn.LET(
    _xlpm.val, IF(Datadetails[[#This Row],[Activity]]="D02","C20",Datadetails[[#This Row],[Activity]]),
    IF(ISNUMBER(MATCH(_xlpm.val,{"D04","C30","c40","C20"},0)), _xlpm.val, "Other")
)</f>
        <v>C30</v>
      </c>
      <c r="D2842" s="10" t="str">
        <f>IFERROR(VLOOKUP(Datadetails[[#This Row],[Taskcode]],Dashboard!A:A,1,FALSE),"00 Err Missing")</f>
        <v>0135</v>
      </c>
      <c r="E2842" s="79">
        <v>45961</v>
      </c>
      <c r="F2842" s="80" t="s">
        <v>329</v>
      </c>
      <c r="G2842" s="60" t="s">
        <v>40</v>
      </c>
      <c r="H2842" s="80" t="s">
        <v>302</v>
      </c>
      <c r="I2842" s="80" t="s">
        <v>34</v>
      </c>
      <c r="J2842" s="80" t="s">
        <v>398</v>
      </c>
      <c r="K2842" s="80" t="s">
        <v>347</v>
      </c>
      <c r="L2842" s="80" t="s">
        <v>343</v>
      </c>
      <c r="M2842" s="81">
        <v>0.17</v>
      </c>
      <c r="N2842" s="82">
        <v>12.750000000000002</v>
      </c>
    </row>
    <row r="2843" spans="1:14" x14ac:dyDescent="0.25">
      <c r="A2843" s="10" t="str">
        <f>_xlfn.IFNA(
    IF(J2843=
        "PCB-0001",
        "CSS",
        IF(
            ISNUMBER(MATCH(_xlfn.TEXTBEFORE(J2843,"-"), {"CSS","CSN","PCB","PCF","BEC","CSD","PCM"}, 0)),
            _xlfn.TEXTBEFORE(J2843,"-"),
            "Other"
        )
    ),
"Add")</f>
        <v>PCB</v>
      </c>
      <c r="B2843" s="10" t="str">
        <f t="shared" si="45"/>
        <v>0057</v>
      </c>
      <c r="C2843" s="10" t="str">
        <f>_xlfn.LET(
    _xlpm.val, IF(Datadetails[[#This Row],[Activity]]="D02","C20",Datadetails[[#This Row],[Activity]]),
    IF(ISNUMBER(MATCH(_xlpm.val,{"D04","C30","c40","C20"},0)), _xlpm.val, "Other")
)</f>
        <v>C30</v>
      </c>
      <c r="D2843" s="10" t="str">
        <f>IFERROR(VLOOKUP(Datadetails[[#This Row],[Taskcode]],Dashboard!A:A,1,FALSE),"00 Err Missing")</f>
        <v>0057</v>
      </c>
      <c r="E2843" s="79">
        <v>45961</v>
      </c>
      <c r="F2843" s="80" t="s">
        <v>325</v>
      </c>
      <c r="G2843" s="60" t="s">
        <v>40</v>
      </c>
      <c r="H2843" s="80" t="s">
        <v>224</v>
      </c>
      <c r="I2843" s="80" t="s">
        <v>34</v>
      </c>
      <c r="J2843" s="80" t="s">
        <v>423</v>
      </c>
      <c r="K2843" s="80" t="s">
        <v>347</v>
      </c>
      <c r="L2843" s="80" t="s">
        <v>343</v>
      </c>
      <c r="M2843" s="81">
        <v>0.33</v>
      </c>
      <c r="N2843" s="82">
        <v>24.75</v>
      </c>
    </row>
    <row r="2844" spans="1:14" x14ac:dyDescent="0.25">
      <c r="A2844" s="10" t="str">
        <f>_xlfn.IFNA(
    IF(J2844=
        "PCB-0001",
        "CSS",
        IF(
            ISNUMBER(MATCH(_xlfn.TEXTBEFORE(J2844,"-"), {"CSS","CSN","PCB","PCF","BEC","CSD","PCM"}, 0)),
            _xlfn.TEXTBEFORE(J2844,"-"),
            "Other"
        )
    ),
"Add")</f>
        <v>PCB</v>
      </c>
      <c r="B2844" s="10" t="str">
        <f t="shared" si="45"/>
        <v>0136</v>
      </c>
      <c r="C2844" s="10" t="str">
        <f>_xlfn.LET(
    _xlpm.val, IF(Datadetails[[#This Row],[Activity]]="D02","C20",Datadetails[[#This Row],[Activity]]),
    IF(ISNUMBER(MATCH(_xlpm.val,{"D04","C30","c40","C20"},0)), _xlpm.val, "Other")
)</f>
        <v>C30</v>
      </c>
      <c r="D2844" s="10" t="str">
        <f>IFERROR(VLOOKUP(Datadetails[[#This Row],[Taskcode]],Dashboard!A:A,1,FALSE),"00 Err Missing")</f>
        <v>0136</v>
      </c>
      <c r="E2844" s="79">
        <v>45961</v>
      </c>
      <c r="F2844" s="80" t="s">
        <v>329</v>
      </c>
      <c r="G2844" s="60" t="s">
        <v>40</v>
      </c>
      <c r="H2844" s="80" t="s">
        <v>303</v>
      </c>
      <c r="I2844" s="80" t="s">
        <v>34</v>
      </c>
      <c r="J2844" s="80" t="s">
        <v>400</v>
      </c>
      <c r="K2844" s="80" t="s">
        <v>347</v>
      </c>
      <c r="L2844" s="80" t="s">
        <v>343</v>
      </c>
      <c r="M2844" s="81">
        <v>0.17</v>
      </c>
      <c r="N2844" s="82">
        <v>12.750000000000002</v>
      </c>
    </row>
    <row r="2845" spans="1:14" x14ac:dyDescent="0.25">
      <c r="A2845" s="10" t="str">
        <f>_xlfn.IFNA(
    IF(J2845=
        "PCB-0001",
        "CSS",
        IF(
            ISNUMBER(MATCH(_xlfn.TEXTBEFORE(J2845,"-"), {"CSS","CSN","PCB","PCF","BEC","CSD","PCM"}, 0)),
            _xlfn.TEXTBEFORE(J2845,"-"),
            "Other"
        )
    ),
"Add")</f>
        <v>PCB</v>
      </c>
      <c r="B2845" s="10" t="str">
        <f t="shared" si="45"/>
        <v>0121</v>
      </c>
      <c r="C2845" s="10" t="str">
        <f>_xlfn.LET(
    _xlpm.val, IF(Datadetails[[#This Row],[Activity]]="D02","C20",Datadetails[[#This Row],[Activity]]),
    IF(ISNUMBER(MATCH(_xlpm.val,{"D04","C30","c40","C20"},0)), _xlpm.val, "Other")
)</f>
        <v>C30</v>
      </c>
      <c r="D2845" s="10" t="str">
        <f>IFERROR(VLOOKUP(Datadetails[[#This Row],[Taskcode]],Dashboard!A:A,1,FALSE),"00 Err Missing")</f>
        <v>0121</v>
      </c>
      <c r="E2845" s="79">
        <v>45961</v>
      </c>
      <c r="F2845" s="80" t="s">
        <v>329</v>
      </c>
      <c r="G2845" s="60" t="s">
        <v>40</v>
      </c>
      <c r="H2845" s="80" t="s">
        <v>288</v>
      </c>
      <c r="I2845" s="80" t="s">
        <v>34</v>
      </c>
      <c r="J2845" s="80" t="s">
        <v>405</v>
      </c>
      <c r="K2845" s="80" t="s">
        <v>347</v>
      </c>
      <c r="L2845" s="80" t="s">
        <v>343</v>
      </c>
      <c r="M2845" s="81">
        <v>0.17</v>
      </c>
      <c r="N2845" s="82">
        <v>12.750000000000002</v>
      </c>
    </row>
    <row r="2846" spans="1:14" x14ac:dyDescent="0.25">
      <c r="A2846" s="10" t="str">
        <f>_xlfn.IFNA(
    IF(J2846=
        "PCB-0001",
        "CSS",
        IF(
            ISNUMBER(MATCH(_xlfn.TEXTBEFORE(J2846,"-"), {"CSS","CSN","PCB","PCF","BEC","CSD","PCM"}, 0)),
            _xlfn.TEXTBEFORE(J2846,"-"),
            "Other"
        )
    ),
"Add")</f>
        <v>PCB</v>
      </c>
      <c r="B2846" s="10" t="str">
        <f t="shared" si="45"/>
        <v>0127</v>
      </c>
      <c r="C2846" s="10" t="str">
        <f>_xlfn.LET(
    _xlpm.val, IF(Datadetails[[#This Row],[Activity]]="D02","C20",Datadetails[[#This Row],[Activity]]),
    IF(ISNUMBER(MATCH(_xlpm.val,{"D04","C30","c40","C20"},0)), _xlpm.val, "Other")
)</f>
        <v>C30</v>
      </c>
      <c r="D2846" s="10" t="str">
        <f>IFERROR(VLOOKUP(Datadetails[[#This Row],[Taskcode]],Dashboard!A:A,1,FALSE),"00 Err Missing")</f>
        <v>0127</v>
      </c>
      <c r="E2846" s="79">
        <v>45961</v>
      </c>
      <c r="F2846" s="80" t="s">
        <v>329</v>
      </c>
      <c r="G2846" s="60" t="s">
        <v>40</v>
      </c>
      <c r="H2846" s="80" t="s">
        <v>294</v>
      </c>
      <c r="I2846" s="80" t="s">
        <v>34</v>
      </c>
      <c r="J2846" s="80" t="s">
        <v>377</v>
      </c>
      <c r="K2846" s="80" t="s">
        <v>347</v>
      </c>
      <c r="L2846" s="80" t="s">
        <v>343</v>
      </c>
      <c r="M2846" s="81">
        <v>0.25</v>
      </c>
      <c r="N2846" s="82">
        <v>18.75</v>
      </c>
    </row>
    <row r="2847" spans="1:14" x14ac:dyDescent="0.25">
      <c r="A2847" s="10" t="str">
        <f>_xlfn.IFNA(
    IF(J2847=
        "PCB-0001",
        "CSS",
        IF(
            ISNUMBER(MATCH(_xlfn.TEXTBEFORE(J2847,"-"), {"CSS","CSN","PCB","PCF","BEC","CSD","PCM"}, 0)),
            _xlfn.TEXTBEFORE(J2847,"-"),
            "Other"
        )
    ),
"Add")</f>
        <v>PCB</v>
      </c>
      <c r="B2847" s="10" t="str">
        <f t="shared" si="45"/>
        <v>0087</v>
      </c>
      <c r="C2847" s="10" t="str">
        <f>_xlfn.LET(
    _xlpm.val, IF(Datadetails[[#This Row],[Activity]]="D02","C20",Datadetails[[#This Row],[Activity]]),
    IF(ISNUMBER(MATCH(_xlpm.val,{"D04","C30","c40","C20"},0)), _xlpm.val, "Other")
)</f>
        <v>C30</v>
      </c>
      <c r="D2847" s="10" t="str">
        <f>IFERROR(VLOOKUP(Datadetails[[#This Row],[Taskcode]],Dashboard!A:A,1,FALSE),"00 Err Missing")</f>
        <v>0087</v>
      </c>
      <c r="E2847" s="79">
        <v>45961</v>
      </c>
      <c r="F2847" s="80" t="s">
        <v>325</v>
      </c>
      <c r="G2847" s="60" t="s">
        <v>40</v>
      </c>
      <c r="H2847" s="80" t="s">
        <v>254</v>
      </c>
      <c r="I2847" s="80" t="s">
        <v>34</v>
      </c>
      <c r="J2847" s="80" t="s">
        <v>441</v>
      </c>
      <c r="K2847" s="80" t="s">
        <v>347</v>
      </c>
      <c r="L2847" s="80" t="s">
        <v>343</v>
      </c>
      <c r="M2847" s="81">
        <v>0.25</v>
      </c>
      <c r="N2847" s="82">
        <v>18.75</v>
      </c>
    </row>
    <row r="2848" spans="1:14" x14ac:dyDescent="0.25">
      <c r="A2848" s="10" t="str">
        <f>_xlfn.IFNA(
    IF(J2848=
        "PCB-0001",
        "CSS",
        IF(
            ISNUMBER(MATCH(_xlfn.TEXTBEFORE(J2848,"-"), {"CSS","CSN","PCB","PCF","BEC","CSD","PCM"}, 0)),
            _xlfn.TEXTBEFORE(J2848,"-"),
            "Other"
        )
    ),
"Add")</f>
        <v>PCB</v>
      </c>
      <c r="B2848" s="10" t="str">
        <f t="shared" si="45"/>
        <v>0080</v>
      </c>
      <c r="C2848" s="10" t="str">
        <f>_xlfn.LET(
    _xlpm.val, IF(Datadetails[[#This Row],[Activity]]="D02","C20",Datadetails[[#This Row],[Activity]]),
    IF(ISNUMBER(MATCH(_xlpm.val,{"D04","C30","c40","C20"},0)), _xlpm.val, "Other")
)</f>
        <v>C30</v>
      </c>
      <c r="D2848" s="10" t="str">
        <f>IFERROR(VLOOKUP(Datadetails[[#This Row],[Taskcode]],Dashboard!A:A,1,FALSE),"00 Err Missing")</f>
        <v>0080</v>
      </c>
      <c r="E2848" s="79">
        <v>45961</v>
      </c>
      <c r="F2848" s="80" t="s">
        <v>329</v>
      </c>
      <c r="G2848" s="60" t="s">
        <v>40</v>
      </c>
      <c r="H2848" s="80" t="s">
        <v>247</v>
      </c>
      <c r="I2848" s="80" t="s">
        <v>34</v>
      </c>
      <c r="J2848" s="80" t="s">
        <v>375</v>
      </c>
      <c r="K2848" s="80" t="s">
        <v>347</v>
      </c>
      <c r="L2848" s="80" t="s">
        <v>343</v>
      </c>
      <c r="M2848" s="81">
        <v>0.17</v>
      </c>
      <c r="N2848" s="82">
        <v>12.750000000000002</v>
      </c>
    </row>
    <row r="2849" spans="1:14" x14ac:dyDescent="0.25">
      <c r="A2849" s="10" t="str">
        <f>_xlfn.IFNA(
    IF(J2849=
        "PCB-0001",
        "CSS",
        IF(
            ISNUMBER(MATCH(_xlfn.TEXTBEFORE(J2849,"-"), {"CSS","CSN","PCB","PCF","BEC","CSD","PCM"}, 0)),
            _xlfn.TEXTBEFORE(J2849,"-"),
            "Other"
        )
    ),
"Add")</f>
        <v>PCF</v>
      </c>
      <c r="B2849" s="10" t="str">
        <f t="shared" si="45"/>
        <v>0021</v>
      </c>
      <c r="C2849" s="10" t="str">
        <f>_xlfn.LET(
    _xlpm.val, IF(Datadetails[[#This Row],[Activity]]="D02","C20",Datadetails[[#This Row],[Activity]]),
    IF(ISNUMBER(MATCH(_xlpm.val,{"D04","C30","c40","C20"},0)), _xlpm.val, "Other")
)</f>
        <v>C30</v>
      </c>
      <c r="D2849" s="10" t="str">
        <f>IFERROR(VLOOKUP(Datadetails[[#This Row],[Taskcode]],Dashboard!A:A,1,FALSE),"00 Err Missing")</f>
        <v>0021</v>
      </c>
      <c r="E2849" s="79">
        <v>45961</v>
      </c>
      <c r="F2849" s="80" t="s">
        <v>326</v>
      </c>
      <c r="G2849" s="60" t="s">
        <v>40</v>
      </c>
      <c r="H2849" s="80" t="s">
        <v>188</v>
      </c>
      <c r="I2849" s="80" t="s">
        <v>34</v>
      </c>
      <c r="J2849" s="80" t="s">
        <v>356</v>
      </c>
      <c r="K2849" s="80" t="s">
        <v>348</v>
      </c>
      <c r="L2849" s="80" t="s">
        <v>343</v>
      </c>
      <c r="M2849" s="81">
        <v>1</v>
      </c>
      <c r="N2849" s="82">
        <v>60</v>
      </c>
    </row>
    <row r="2850" spans="1:14" x14ac:dyDescent="0.25">
      <c r="A2850" s="10" t="str">
        <f>_xlfn.IFNA(
    IF(J2850=
        "PCB-0001",
        "CSS",
        IF(
            ISNUMBER(MATCH(_xlfn.TEXTBEFORE(J2850,"-"), {"CSS","CSN","PCB","PCF","BEC","CSD","PCM"}, 0)),
            _xlfn.TEXTBEFORE(J2850,"-"),
            "Other"
        )
    ),
"Add")</f>
        <v>PCF</v>
      </c>
      <c r="B2850" s="10" t="str">
        <f t="shared" si="45"/>
        <v>0098</v>
      </c>
      <c r="C2850" s="10" t="str">
        <f>_xlfn.LET(
    _xlpm.val, IF(Datadetails[[#This Row],[Activity]]="D02","C20",Datadetails[[#This Row],[Activity]]),
    IF(ISNUMBER(MATCH(_xlpm.val,{"D04","C30","c40","C20"},0)), _xlpm.val, "Other")
)</f>
        <v>C30</v>
      </c>
      <c r="D2850" s="10" t="str">
        <f>IFERROR(VLOOKUP(Datadetails[[#This Row],[Taskcode]],Dashboard!A:A,1,FALSE),"00 Err Missing")</f>
        <v>0098</v>
      </c>
      <c r="E2850" s="79">
        <v>45961</v>
      </c>
      <c r="F2850" s="80" t="s">
        <v>326</v>
      </c>
      <c r="G2850" s="60" t="s">
        <v>40</v>
      </c>
      <c r="H2850" s="80" t="s">
        <v>265</v>
      </c>
      <c r="I2850" s="80" t="s">
        <v>34</v>
      </c>
      <c r="J2850" s="80" t="s">
        <v>358</v>
      </c>
      <c r="K2850" s="80" t="s">
        <v>348</v>
      </c>
      <c r="L2850" s="80" t="s">
        <v>343</v>
      </c>
      <c r="M2850" s="81">
        <v>0.92</v>
      </c>
      <c r="N2850" s="82">
        <v>55.2</v>
      </c>
    </row>
  </sheetData>
  <phoneticPr fontId="11" type="noConversion"/>
  <conditionalFormatting sqref="D2:D2850">
    <cfRule type="cellIs" dxfId="15" priority="1" operator="equal">
      <formula>"00 Err Missing"</formula>
    </cfRule>
  </conditionalFormatting>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10B89-EA61-4DD5-8C1A-2B663A74EE5D}">
  <sheetPr codeName="Sheet6">
    <tabColor rgb="FFAB640E"/>
  </sheetPr>
  <dimension ref="A1"/>
  <sheetViews>
    <sheetView showGridLines="0" zoomScaleNormal="100" workbookViewId="0">
      <selection activeCell="A60" sqref="A60"/>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D25CA2-414E-4379-8669-AE996FB900FD}">
  <sheetPr codeName="Sheet5"/>
  <dimension ref="A1:J2850"/>
  <sheetViews>
    <sheetView showGridLines="0" workbookViewId="0">
      <selection activeCell="K90" sqref="K90"/>
    </sheetView>
  </sheetViews>
  <sheetFormatPr defaultRowHeight="15" x14ac:dyDescent="0.25"/>
  <cols>
    <col min="1" max="1" width="13.28515625" customWidth="1"/>
    <col min="2" max="2" width="18.28515625" customWidth="1"/>
    <col min="3" max="3" width="15.7109375" customWidth="1"/>
    <col min="4" max="4" width="26.7109375" customWidth="1"/>
    <col min="5" max="5" width="28.5703125" customWidth="1"/>
    <col min="6" max="6" width="11.85546875" customWidth="1"/>
    <col min="7" max="7" width="9" customWidth="1"/>
    <col min="10" max="10" width="11.5703125" customWidth="1"/>
  </cols>
  <sheetData>
    <row r="1" spans="1:10" ht="30" x14ac:dyDescent="0.25">
      <c r="A1" s="85" t="s">
        <v>2</v>
      </c>
      <c r="B1" s="85" t="s">
        <v>3</v>
      </c>
      <c r="C1" s="85" t="s">
        <v>4</v>
      </c>
      <c r="D1" s="85" t="s">
        <v>14</v>
      </c>
      <c r="E1" s="85" t="s">
        <v>32</v>
      </c>
      <c r="F1" s="85" t="s">
        <v>5</v>
      </c>
      <c r="G1" s="85" t="s">
        <v>6</v>
      </c>
      <c r="H1" s="85" t="s">
        <v>7</v>
      </c>
      <c r="I1" s="85" t="s">
        <v>8</v>
      </c>
      <c r="J1" s="86" t="s">
        <v>9</v>
      </c>
    </row>
    <row r="2" spans="1:10" x14ac:dyDescent="0.25">
      <c r="A2" s="87">
        <v>45747</v>
      </c>
      <c r="B2" s="88" t="s">
        <v>334</v>
      </c>
      <c r="C2" s="89" t="s">
        <v>40</v>
      </c>
      <c r="D2" s="88" t="s">
        <v>316</v>
      </c>
      <c r="E2" s="88" t="s">
        <v>35</v>
      </c>
      <c r="F2" s="88" t="s">
        <v>321</v>
      </c>
      <c r="G2" s="88" t="s">
        <v>317</v>
      </c>
      <c r="H2" s="88" t="s">
        <v>352</v>
      </c>
      <c r="I2" s="90">
        <v>8</v>
      </c>
      <c r="J2" s="91">
        <v>256</v>
      </c>
    </row>
    <row r="3" spans="1:10" x14ac:dyDescent="0.25">
      <c r="A3" s="92">
        <v>45747</v>
      </c>
      <c r="B3" s="93" t="s">
        <v>331</v>
      </c>
      <c r="C3" s="89" t="s">
        <v>40</v>
      </c>
      <c r="D3" s="93" t="s">
        <v>316</v>
      </c>
      <c r="E3" s="93" t="s">
        <v>35</v>
      </c>
      <c r="F3" s="93" t="s">
        <v>338</v>
      </c>
      <c r="G3" s="93" t="s">
        <v>337</v>
      </c>
      <c r="H3" s="93" t="s">
        <v>352</v>
      </c>
      <c r="I3" s="94">
        <v>6</v>
      </c>
      <c r="J3" s="95">
        <v>192</v>
      </c>
    </row>
    <row r="4" spans="1:10" x14ac:dyDescent="0.25">
      <c r="A4" s="92">
        <v>45747</v>
      </c>
      <c r="B4" s="93" t="s">
        <v>325</v>
      </c>
      <c r="C4" s="89" t="s">
        <v>40</v>
      </c>
      <c r="D4" s="93" t="s">
        <v>277</v>
      </c>
      <c r="E4" s="93" t="s">
        <v>34</v>
      </c>
      <c r="F4" s="93" t="s">
        <v>353</v>
      </c>
      <c r="G4" s="93" t="s">
        <v>347</v>
      </c>
      <c r="H4" s="93" t="s">
        <v>343</v>
      </c>
      <c r="I4" s="94">
        <v>0.33</v>
      </c>
      <c r="J4" s="95">
        <v>24.75</v>
      </c>
    </row>
    <row r="5" spans="1:10" x14ac:dyDescent="0.25">
      <c r="A5" s="92">
        <v>45747</v>
      </c>
      <c r="B5" s="93" t="s">
        <v>325</v>
      </c>
      <c r="C5" s="89" t="s">
        <v>40</v>
      </c>
      <c r="D5" s="93" t="s">
        <v>315</v>
      </c>
      <c r="E5" s="93" t="s">
        <v>35</v>
      </c>
      <c r="F5" s="93" t="s">
        <v>354</v>
      </c>
      <c r="G5" s="93" t="s">
        <v>347</v>
      </c>
      <c r="H5" s="93" t="s">
        <v>352</v>
      </c>
      <c r="I5" s="94">
        <v>0.33</v>
      </c>
      <c r="J5" s="95">
        <v>24.75</v>
      </c>
    </row>
    <row r="6" spans="1:10" x14ac:dyDescent="0.25">
      <c r="A6" s="92">
        <v>45747</v>
      </c>
      <c r="B6" s="93" t="s">
        <v>326</v>
      </c>
      <c r="C6" s="89" t="s">
        <v>40</v>
      </c>
      <c r="D6" s="93" t="s">
        <v>235</v>
      </c>
      <c r="E6" s="93" t="s">
        <v>34</v>
      </c>
      <c r="F6" s="93" t="s">
        <v>355</v>
      </c>
      <c r="G6" s="93" t="s">
        <v>348</v>
      </c>
      <c r="H6" s="93" t="s">
        <v>343</v>
      </c>
      <c r="I6" s="94">
        <v>0.57999999999999996</v>
      </c>
      <c r="J6" s="95">
        <v>34.799999999999997</v>
      </c>
    </row>
    <row r="7" spans="1:10" x14ac:dyDescent="0.25">
      <c r="A7" s="92">
        <v>45747</v>
      </c>
      <c r="B7" s="93" t="s">
        <v>326</v>
      </c>
      <c r="C7" s="89" t="s">
        <v>40</v>
      </c>
      <c r="D7" s="93" t="s">
        <v>188</v>
      </c>
      <c r="E7" s="93" t="s">
        <v>34</v>
      </c>
      <c r="F7" s="93" t="s">
        <v>356</v>
      </c>
      <c r="G7" s="93" t="s">
        <v>348</v>
      </c>
      <c r="H7" s="93" t="s">
        <v>343</v>
      </c>
      <c r="I7" s="94">
        <v>1</v>
      </c>
      <c r="J7" s="95">
        <v>60</v>
      </c>
    </row>
    <row r="8" spans="1:10" x14ac:dyDescent="0.25">
      <c r="A8" s="92">
        <v>45747</v>
      </c>
      <c r="B8" s="93" t="s">
        <v>326</v>
      </c>
      <c r="C8" s="89" t="s">
        <v>40</v>
      </c>
      <c r="D8" s="93" t="s">
        <v>236</v>
      </c>
      <c r="E8" s="93" t="s">
        <v>34</v>
      </c>
      <c r="F8" s="93" t="s">
        <v>357</v>
      </c>
      <c r="G8" s="93" t="s">
        <v>348</v>
      </c>
      <c r="H8" s="93" t="s">
        <v>343</v>
      </c>
      <c r="I8" s="94">
        <v>1</v>
      </c>
      <c r="J8" s="95">
        <v>60</v>
      </c>
    </row>
    <row r="9" spans="1:10" x14ac:dyDescent="0.25">
      <c r="A9" s="92">
        <v>45747</v>
      </c>
      <c r="B9" s="93" t="s">
        <v>326</v>
      </c>
      <c r="C9" s="89" t="s">
        <v>40</v>
      </c>
      <c r="D9" s="93" t="s">
        <v>265</v>
      </c>
      <c r="E9" s="93" t="s">
        <v>34</v>
      </c>
      <c r="F9" s="93" t="s">
        <v>358</v>
      </c>
      <c r="G9" s="93" t="s">
        <v>348</v>
      </c>
      <c r="H9" s="93" t="s">
        <v>343</v>
      </c>
      <c r="I9" s="94">
        <v>1</v>
      </c>
      <c r="J9" s="95">
        <v>60</v>
      </c>
    </row>
    <row r="10" spans="1:10" x14ac:dyDescent="0.25">
      <c r="A10" s="92">
        <v>45747</v>
      </c>
      <c r="B10" s="93" t="s">
        <v>332</v>
      </c>
      <c r="C10" s="89" t="s">
        <v>40</v>
      </c>
      <c r="D10" s="93" t="s">
        <v>314</v>
      </c>
      <c r="E10" s="93" t="s">
        <v>35</v>
      </c>
      <c r="F10" s="93" t="s">
        <v>359</v>
      </c>
      <c r="G10" s="93" t="s">
        <v>339</v>
      </c>
      <c r="H10" s="93" t="s">
        <v>352</v>
      </c>
      <c r="I10" s="94">
        <v>8.83</v>
      </c>
      <c r="J10" s="95">
        <v>353.2</v>
      </c>
    </row>
    <row r="11" spans="1:10" x14ac:dyDescent="0.25">
      <c r="A11" s="92">
        <v>45748</v>
      </c>
      <c r="B11" s="93" t="s">
        <v>329</v>
      </c>
      <c r="C11" s="89" t="s">
        <v>40</v>
      </c>
      <c r="D11" s="93" t="s">
        <v>270</v>
      </c>
      <c r="E11" s="93" t="s">
        <v>34</v>
      </c>
      <c r="F11" s="93" t="s">
        <v>360</v>
      </c>
      <c r="G11" s="93" t="s">
        <v>347</v>
      </c>
      <c r="H11" s="93" t="s">
        <v>343</v>
      </c>
      <c r="I11" s="94">
        <v>0.25</v>
      </c>
      <c r="J11" s="95">
        <v>18.75</v>
      </c>
    </row>
    <row r="12" spans="1:10" x14ac:dyDescent="0.25">
      <c r="A12" s="92">
        <v>45748</v>
      </c>
      <c r="B12" s="93" t="s">
        <v>329</v>
      </c>
      <c r="C12" s="89" t="s">
        <v>40</v>
      </c>
      <c r="D12" s="93" t="s">
        <v>269</v>
      </c>
      <c r="E12" s="93" t="s">
        <v>34</v>
      </c>
      <c r="F12" s="93" t="s">
        <v>361</v>
      </c>
      <c r="G12" s="93" t="s">
        <v>347</v>
      </c>
      <c r="H12" s="93" t="s">
        <v>343</v>
      </c>
      <c r="I12" s="94">
        <v>0.17</v>
      </c>
      <c r="J12" s="95">
        <v>12.750000000000002</v>
      </c>
    </row>
    <row r="13" spans="1:10" x14ac:dyDescent="0.25">
      <c r="A13" s="92">
        <v>45748</v>
      </c>
      <c r="B13" s="93" t="s">
        <v>329</v>
      </c>
      <c r="C13" s="89" t="s">
        <v>40</v>
      </c>
      <c r="D13" s="93" t="s">
        <v>272</v>
      </c>
      <c r="E13" s="93" t="s">
        <v>34</v>
      </c>
      <c r="F13" s="93" t="s">
        <v>362</v>
      </c>
      <c r="G13" s="93" t="s">
        <v>347</v>
      </c>
      <c r="H13" s="93" t="s">
        <v>343</v>
      </c>
      <c r="I13" s="94">
        <v>0.17</v>
      </c>
      <c r="J13" s="95">
        <v>12.750000000000002</v>
      </c>
    </row>
    <row r="14" spans="1:10" x14ac:dyDescent="0.25">
      <c r="A14" s="92">
        <v>45748</v>
      </c>
      <c r="B14" s="93" t="s">
        <v>325</v>
      </c>
      <c r="C14" s="89" t="s">
        <v>40</v>
      </c>
      <c r="D14" s="93" t="s">
        <v>271</v>
      </c>
      <c r="E14" s="93" t="s">
        <v>341</v>
      </c>
      <c r="F14" s="93" t="s">
        <v>363</v>
      </c>
      <c r="G14" s="93" t="s">
        <v>347</v>
      </c>
      <c r="H14" s="93" t="s">
        <v>344</v>
      </c>
      <c r="I14" s="94">
        <v>0.17</v>
      </c>
      <c r="J14" s="95">
        <v>12.750000000000002</v>
      </c>
    </row>
    <row r="15" spans="1:10" x14ac:dyDescent="0.25">
      <c r="A15" s="92">
        <v>45748</v>
      </c>
      <c r="B15" s="93" t="s">
        <v>334</v>
      </c>
      <c r="C15" s="89" t="s">
        <v>40</v>
      </c>
      <c r="D15" s="93" t="s">
        <v>316</v>
      </c>
      <c r="E15" s="93" t="s">
        <v>35</v>
      </c>
      <c r="F15" s="93" t="s">
        <v>321</v>
      </c>
      <c r="G15" s="93" t="s">
        <v>317</v>
      </c>
      <c r="H15" s="93" t="s">
        <v>352</v>
      </c>
      <c r="I15" s="94">
        <v>4</v>
      </c>
      <c r="J15" s="95">
        <v>128</v>
      </c>
    </row>
    <row r="16" spans="1:10" x14ac:dyDescent="0.25">
      <c r="A16" s="92">
        <v>45748</v>
      </c>
      <c r="B16" s="93" t="s">
        <v>329</v>
      </c>
      <c r="C16" s="89" t="s">
        <v>40</v>
      </c>
      <c r="D16" s="93" t="s">
        <v>316</v>
      </c>
      <c r="E16" s="93" t="s">
        <v>35</v>
      </c>
      <c r="F16" s="93" t="s">
        <v>338</v>
      </c>
      <c r="G16" s="93" t="s">
        <v>337</v>
      </c>
      <c r="H16" s="93" t="s">
        <v>352</v>
      </c>
      <c r="I16" s="94">
        <v>0.67</v>
      </c>
      <c r="J16" s="95">
        <v>50.25</v>
      </c>
    </row>
    <row r="17" spans="1:10" x14ac:dyDescent="0.25">
      <c r="A17" s="92">
        <v>45748</v>
      </c>
      <c r="B17" s="93" t="s">
        <v>331</v>
      </c>
      <c r="C17" s="89" t="s">
        <v>40</v>
      </c>
      <c r="D17" s="93" t="s">
        <v>316</v>
      </c>
      <c r="E17" s="93" t="s">
        <v>35</v>
      </c>
      <c r="F17" s="93" t="s">
        <v>338</v>
      </c>
      <c r="G17" s="93" t="s">
        <v>337</v>
      </c>
      <c r="H17" s="93" t="s">
        <v>352</v>
      </c>
      <c r="I17" s="94">
        <v>8</v>
      </c>
      <c r="J17" s="95">
        <v>256</v>
      </c>
    </row>
    <row r="18" spans="1:10" x14ac:dyDescent="0.25">
      <c r="A18" s="92">
        <v>45748</v>
      </c>
      <c r="B18" s="93" t="s">
        <v>333</v>
      </c>
      <c r="C18" s="89" t="s">
        <v>40</v>
      </c>
      <c r="D18" s="93" t="s">
        <v>320</v>
      </c>
      <c r="E18" s="93" t="s">
        <v>35</v>
      </c>
      <c r="F18" s="93" t="s">
        <v>322</v>
      </c>
      <c r="G18" s="93" t="s">
        <v>319</v>
      </c>
      <c r="H18" s="93" t="s">
        <v>352</v>
      </c>
      <c r="I18" s="94">
        <v>7.98</v>
      </c>
      <c r="J18" s="95">
        <v>255.36</v>
      </c>
    </row>
    <row r="19" spans="1:10" x14ac:dyDescent="0.25">
      <c r="A19" s="92">
        <v>45748</v>
      </c>
      <c r="B19" s="93" t="s">
        <v>327</v>
      </c>
      <c r="C19" s="89" t="s">
        <v>40</v>
      </c>
      <c r="D19" s="93" t="s">
        <v>320</v>
      </c>
      <c r="E19" s="93" t="s">
        <v>35</v>
      </c>
      <c r="F19" s="93" t="s">
        <v>322</v>
      </c>
      <c r="G19" s="93" t="s">
        <v>319</v>
      </c>
      <c r="H19" s="93" t="s">
        <v>352</v>
      </c>
      <c r="I19" s="94">
        <v>7.33</v>
      </c>
      <c r="J19" s="95">
        <v>234.56</v>
      </c>
    </row>
    <row r="20" spans="1:10" x14ac:dyDescent="0.25">
      <c r="A20" s="92">
        <v>45748</v>
      </c>
      <c r="B20" s="93" t="s">
        <v>326</v>
      </c>
      <c r="C20" s="89" t="s">
        <v>40</v>
      </c>
      <c r="D20" s="93" t="s">
        <v>236</v>
      </c>
      <c r="E20" s="93" t="s">
        <v>36</v>
      </c>
      <c r="F20" s="93" t="s">
        <v>364</v>
      </c>
      <c r="G20" s="93" t="s">
        <v>346</v>
      </c>
      <c r="H20" s="93" t="s">
        <v>342</v>
      </c>
      <c r="I20" s="94">
        <v>0.33</v>
      </c>
      <c r="J20" s="95">
        <v>19.8</v>
      </c>
    </row>
    <row r="21" spans="1:10" x14ac:dyDescent="0.25">
      <c r="A21" s="92">
        <v>45748</v>
      </c>
      <c r="B21" s="93" t="s">
        <v>330</v>
      </c>
      <c r="C21" s="89" t="s">
        <v>40</v>
      </c>
      <c r="D21" s="93" t="s">
        <v>225</v>
      </c>
      <c r="E21" s="93" t="s">
        <v>36</v>
      </c>
      <c r="F21" s="93" t="s">
        <v>365</v>
      </c>
      <c r="G21" s="93" t="s">
        <v>347</v>
      </c>
      <c r="H21" s="93" t="s">
        <v>342</v>
      </c>
      <c r="I21" s="94">
        <v>0.5</v>
      </c>
      <c r="J21" s="95">
        <v>30</v>
      </c>
    </row>
    <row r="22" spans="1:10" x14ac:dyDescent="0.25">
      <c r="A22" s="92">
        <v>45748</v>
      </c>
      <c r="B22" s="93" t="s">
        <v>329</v>
      </c>
      <c r="C22" s="89" t="s">
        <v>40</v>
      </c>
      <c r="D22" s="93" t="s">
        <v>197</v>
      </c>
      <c r="E22" s="93" t="s">
        <v>34</v>
      </c>
      <c r="F22" s="93" t="s">
        <v>366</v>
      </c>
      <c r="G22" s="93" t="s">
        <v>347</v>
      </c>
      <c r="H22" s="93" t="s">
        <v>343</v>
      </c>
      <c r="I22" s="94">
        <v>0.33</v>
      </c>
      <c r="J22" s="95">
        <v>24.75</v>
      </c>
    </row>
    <row r="23" spans="1:10" x14ac:dyDescent="0.25">
      <c r="A23" s="92">
        <v>45748</v>
      </c>
      <c r="B23" s="93" t="s">
        <v>329</v>
      </c>
      <c r="C23" s="89" t="s">
        <v>40</v>
      </c>
      <c r="D23" s="93" t="s">
        <v>206</v>
      </c>
      <c r="E23" s="93" t="s">
        <v>34</v>
      </c>
      <c r="F23" s="93" t="s">
        <v>367</v>
      </c>
      <c r="G23" s="93" t="s">
        <v>347</v>
      </c>
      <c r="H23" s="93" t="s">
        <v>343</v>
      </c>
      <c r="I23" s="94">
        <v>0.17</v>
      </c>
      <c r="J23" s="95">
        <v>12.750000000000002</v>
      </c>
    </row>
    <row r="24" spans="1:10" x14ac:dyDescent="0.25">
      <c r="A24" s="92">
        <v>45748</v>
      </c>
      <c r="B24" s="93" t="s">
        <v>329</v>
      </c>
      <c r="C24" s="89" t="s">
        <v>40</v>
      </c>
      <c r="D24" s="93" t="s">
        <v>183</v>
      </c>
      <c r="E24" s="93" t="s">
        <v>34</v>
      </c>
      <c r="F24" s="93" t="s">
        <v>368</v>
      </c>
      <c r="G24" s="93" t="s">
        <v>347</v>
      </c>
      <c r="H24" s="93" t="s">
        <v>343</v>
      </c>
      <c r="I24" s="94">
        <v>1</v>
      </c>
      <c r="J24" s="95">
        <v>75</v>
      </c>
    </row>
    <row r="25" spans="1:10" x14ac:dyDescent="0.25">
      <c r="A25" s="92">
        <v>45748</v>
      </c>
      <c r="B25" s="93" t="s">
        <v>329</v>
      </c>
      <c r="C25" s="89" t="s">
        <v>40</v>
      </c>
      <c r="D25" s="93" t="s">
        <v>221</v>
      </c>
      <c r="E25" s="93" t="s">
        <v>34</v>
      </c>
      <c r="F25" s="93" t="s">
        <v>369</v>
      </c>
      <c r="G25" s="93" t="s">
        <v>347</v>
      </c>
      <c r="H25" s="93" t="s">
        <v>343</v>
      </c>
      <c r="I25" s="94">
        <v>0.5</v>
      </c>
      <c r="J25" s="95">
        <v>37.5</v>
      </c>
    </row>
    <row r="26" spans="1:10" x14ac:dyDescent="0.25">
      <c r="A26" s="92">
        <v>45748</v>
      </c>
      <c r="B26" s="93" t="s">
        <v>330</v>
      </c>
      <c r="C26" s="89" t="s">
        <v>40</v>
      </c>
      <c r="D26" s="93" t="s">
        <v>209</v>
      </c>
      <c r="E26" s="93" t="s">
        <v>34</v>
      </c>
      <c r="F26" s="93" t="s">
        <v>370</v>
      </c>
      <c r="G26" s="93" t="s">
        <v>347</v>
      </c>
      <c r="H26" s="93" t="s">
        <v>343</v>
      </c>
      <c r="I26" s="94">
        <v>0.25</v>
      </c>
      <c r="J26" s="95">
        <v>15</v>
      </c>
    </row>
    <row r="27" spans="1:10" x14ac:dyDescent="0.25">
      <c r="A27" s="92">
        <v>45748</v>
      </c>
      <c r="B27" s="93" t="s">
        <v>329</v>
      </c>
      <c r="C27" s="89" t="s">
        <v>40</v>
      </c>
      <c r="D27" s="93" t="s">
        <v>301</v>
      </c>
      <c r="E27" s="93" t="s">
        <v>34</v>
      </c>
      <c r="F27" s="93" t="s">
        <v>371</v>
      </c>
      <c r="G27" s="93" t="s">
        <v>347</v>
      </c>
      <c r="H27" s="93" t="s">
        <v>343</v>
      </c>
      <c r="I27" s="94">
        <v>0.42</v>
      </c>
      <c r="J27" s="95">
        <v>31.5</v>
      </c>
    </row>
    <row r="28" spans="1:10" x14ac:dyDescent="0.25">
      <c r="A28" s="92">
        <v>45748</v>
      </c>
      <c r="B28" s="93" t="s">
        <v>325</v>
      </c>
      <c r="C28" s="89" t="s">
        <v>40</v>
      </c>
      <c r="D28" s="93" t="s">
        <v>304</v>
      </c>
      <c r="E28" s="93" t="s">
        <v>34</v>
      </c>
      <c r="F28" s="93" t="s">
        <v>372</v>
      </c>
      <c r="G28" s="93" t="s">
        <v>347</v>
      </c>
      <c r="H28" s="93" t="s">
        <v>343</v>
      </c>
      <c r="I28" s="94">
        <v>0.17</v>
      </c>
      <c r="J28" s="95">
        <v>12.750000000000002</v>
      </c>
    </row>
    <row r="29" spans="1:10" x14ac:dyDescent="0.25">
      <c r="A29" s="92">
        <v>45748</v>
      </c>
      <c r="B29" s="93" t="s">
        <v>329</v>
      </c>
      <c r="C29" s="89" t="s">
        <v>40</v>
      </c>
      <c r="D29" s="93" t="s">
        <v>229</v>
      </c>
      <c r="E29" s="93" t="s">
        <v>34</v>
      </c>
      <c r="F29" s="93" t="s">
        <v>373</v>
      </c>
      <c r="G29" s="93" t="s">
        <v>347</v>
      </c>
      <c r="H29" s="93" t="s">
        <v>343</v>
      </c>
      <c r="I29" s="94">
        <v>0.25</v>
      </c>
      <c r="J29" s="95">
        <v>18.75</v>
      </c>
    </row>
    <row r="30" spans="1:10" x14ac:dyDescent="0.25">
      <c r="A30" s="92">
        <v>45748</v>
      </c>
      <c r="B30" s="93" t="s">
        <v>329</v>
      </c>
      <c r="C30" s="89" t="s">
        <v>40</v>
      </c>
      <c r="D30" s="93" t="s">
        <v>238</v>
      </c>
      <c r="E30" s="93" t="s">
        <v>34</v>
      </c>
      <c r="F30" s="93" t="s">
        <v>374</v>
      </c>
      <c r="G30" s="93" t="s">
        <v>347</v>
      </c>
      <c r="H30" s="93" t="s">
        <v>343</v>
      </c>
      <c r="I30" s="94">
        <v>0.75</v>
      </c>
      <c r="J30" s="95">
        <v>56.25</v>
      </c>
    </row>
    <row r="31" spans="1:10" x14ac:dyDescent="0.25">
      <c r="A31" s="92">
        <v>45748</v>
      </c>
      <c r="B31" s="93" t="s">
        <v>329</v>
      </c>
      <c r="C31" s="89" t="s">
        <v>40</v>
      </c>
      <c r="D31" s="93" t="s">
        <v>247</v>
      </c>
      <c r="E31" s="93" t="s">
        <v>34</v>
      </c>
      <c r="F31" s="93" t="s">
        <v>375</v>
      </c>
      <c r="G31" s="93" t="s">
        <v>347</v>
      </c>
      <c r="H31" s="93" t="s">
        <v>343</v>
      </c>
      <c r="I31" s="94">
        <v>1</v>
      </c>
      <c r="J31" s="95">
        <v>75</v>
      </c>
    </row>
    <row r="32" spans="1:10" x14ac:dyDescent="0.25">
      <c r="A32" s="92">
        <v>45748</v>
      </c>
      <c r="B32" s="93" t="s">
        <v>329</v>
      </c>
      <c r="C32" s="89" t="s">
        <v>40</v>
      </c>
      <c r="D32" s="93" t="s">
        <v>293</v>
      </c>
      <c r="E32" s="93" t="s">
        <v>34</v>
      </c>
      <c r="F32" s="93" t="s">
        <v>376</v>
      </c>
      <c r="G32" s="93" t="s">
        <v>347</v>
      </c>
      <c r="H32" s="93" t="s">
        <v>343</v>
      </c>
      <c r="I32" s="94">
        <v>0.5</v>
      </c>
      <c r="J32" s="95">
        <v>37.5</v>
      </c>
    </row>
    <row r="33" spans="1:10" x14ac:dyDescent="0.25">
      <c r="A33" s="92">
        <v>45748</v>
      </c>
      <c r="B33" s="93" t="s">
        <v>329</v>
      </c>
      <c r="C33" s="89" t="s">
        <v>40</v>
      </c>
      <c r="D33" s="93" t="s">
        <v>294</v>
      </c>
      <c r="E33" s="93" t="s">
        <v>34</v>
      </c>
      <c r="F33" s="93" t="s">
        <v>377</v>
      </c>
      <c r="G33" s="93" t="s">
        <v>347</v>
      </c>
      <c r="H33" s="93" t="s">
        <v>343</v>
      </c>
      <c r="I33" s="94">
        <v>0.5</v>
      </c>
      <c r="J33" s="95">
        <v>37.5</v>
      </c>
    </row>
    <row r="34" spans="1:10" x14ac:dyDescent="0.25">
      <c r="A34" s="92">
        <v>45748</v>
      </c>
      <c r="B34" s="93" t="s">
        <v>325</v>
      </c>
      <c r="C34" s="89" t="s">
        <v>40</v>
      </c>
      <c r="D34" s="93" t="s">
        <v>287</v>
      </c>
      <c r="E34" s="93" t="s">
        <v>34</v>
      </c>
      <c r="F34" s="93" t="s">
        <v>378</v>
      </c>
      <c r="G34" s="93" t="s">
        <v>347</v>
      </c>
      <c r="H34" s="93" t="s">
        <v>343</v>
      </c>
      <c r="I34" s="94">
        <v>0.42</v>
      </c>
      <c r="J34" s="95">
        <v>31.5</v>
      </c>
    </row>
    <row r="35" spans="1:10" x14ac:dyDescent="0.25">
      <c r="A35" s="92">
        <v>45748</v>
      </c>
      <c r="B35" s="93" t="s">
        <v>329</v>
      </c>
      <c r="C35" s="89" t="s">
        <v>40</v>
      </c>
      <c r="D35" s="93" t="s">
        <v>295</v>
      </c>
      <c r="E35" s="93" t="s">
        <v>34</v>
      </c>
      <c r="F35" s="93" t="s">
        <v>379</v>
      </c>
      <c r="G35" s="93" t="s">
        <v>347</v>
      </c>
      <c r="H35" s="93" t="s">
        <v>343</v>
      </c>
      <c r="I35" s="94">
        <v>0.5</v>
      </c>
      <c r="J35" s="95">
        <v>37.5</v>
      </c>
    </row>
    <row r="36" spans="1:10" x14ac:dyDescent="0.25">
      <c r="A36" s="92">
        <v>45748</v>
      </c>
      <c r="B36" s="93" t="s">
        <v>330</v>
      </c>
      <c r="C36" s="89" t="s">
        <v>40</v>
      </c>
      <c r="D36" s="93" t="s">
        <v>297</v>
      </c>
      <c r="E36" s="93" t="s">
        <v>34</v>
      </c>
      <c r="F36" s="93" t="s">
        <v>380</v>
      </c>
      <c r="G36" s="93" t="s">
        <v>347</v>
      </c>
      <c r="H36" s="93" t="s">
        <v>343</v>
      </c>
      <c r="I36" s="94">
        <v>0.5</v>
      </c>
      <c r="J36" s="95">
        <v>30</v>
      </c>
    </row>
    <row r="37" spans="1:10" x14ac:dyDescent="0.25">
      <c r="A37" s="92">
        <v>45748</v>
      </c>
      <c r="B37" s="93" t="s">
        <v>329</v>
      </c>
      <c r="C37" s="89" t="s">
        <v>40</v>
      </c>
      <c r="D37" s="93" t="s">
        <v>258</v>
      </c>
      <c r="E37" s="93" t="s">
        <v>34</v>
      </c>
      <c r="F37" s="93" t="s">
        <v>381</v>
      </c>
      <c r="G37" s="93" t="s">
        <v>347</v>
      </c>
      <c r="H37" s="93" t="s">
        <v>343</v>
      </c>
      <c r="I37" s="94">
        <v>0.08</v>
      </c>
      <c r="J37" s="95">
        <v>6</v>
      </c>
    </row>
    <row r="38" spans="1:10" x14ac:dyDescent="0.25">
      <c r="A38" s="92">
        <v>45748</v>
      </c>
      <c r="B38" s="93" t="s">
        <v>325</v>
      </c>
      <c r="C38" s="89" t="s">
        <v>40</v>
      </c>
      <c r="D38" s="93" t="s">
        <v>305</v>
      </c>
      <c r="E38" s="93" t="s">
        <v>34</v>
      </c>
      <c r="F38" s="93" t="s">
        <v>382</v>
      </c>
      <c r="G38" s="93" t="s">
        <v>347</v>
      </c>
      <c r="H38" s="93" t="s">
        <v>343</v>
      </c>
      <c r="I38" s="94">
        <v>0.25</v>
      </c>
      <c r="J38" s="95">
        <v>18.75</v>
      </c>
    </row>
    <row r="39" spans="1:10" x14ac:dyDescent="0.25">
      <c r="A39" s="92">
        <v>45748</v>
      </c>
      <c r="B39" s="93" t="s">
        <v>330</v>
      </c>
      <c r="C39" s="89" t="s">
        <v>40</v>
      </c>
      <c r="D39" s="93" t="s">
        <v>263</v>
      </c>
      <c r="E39" s="93" t="s">
        <v>34</v>
      </c>
      <c r="F39" s="93" t="s">
        <v>383</v>
      </c>
      <c r="G39" s="93" t="s">
        <v>347</v>
      </c>
      <c r="H39" s="93" t="s">
        <v>343</v>
      </c>
      <c r="I39" s="94">
        <v>0.75</v>
      </c>
      <c r="J39" s="95">
        <v>45</v>
      </c>
    </row>
    <row r="40" spans="1:10" x14ac:dyDescent="0.25">
      <c r="A40" s="92">
        <v>45748</v>
      </c>
      <c r="B40" s="93" t="s">
        <v>325</v>
      </c>
      <c r="C40" s="89" t="s">
        <v>40</v>
      </c>
      <c r="D40" s="93" t="s">
        <v>264</v>
      </c>
      <c r="E40" s="93" t="s">
        <v>34</v>
      </c>
      <c r="F40" s="93" t="s">
        <v>384</v>
      </c>
      <c r="G40" s="93" t="s">
        <v>347</v>
      </c>
      <c r="H40" s="93" t="s">
        <v>343</v>
      </c>
      <c r="I40" s="94">
        <v>0.42</v>
      </c>
      <c r="J40" s="95">
        <v>31.5</v>
      </c>
    </row>
    <row r="41" spans="1:10" x14ac:dyDescent="0.25">
      <c r="A41" s="92">
        <v>45748</v>
      </c>
      <c r="B41" s="93" t="s">
        <v>329</v>
      </c>
      <c r="C41" s="89" t="s">
        <v>40</v>
      </c>
      <c r="D41" s="93" t="s">
        <v>248</v>
      </c>
      <c r="E41" s="93" t="s">
        <v>34</v>
      </c>
      <c r="F41" s="93" t="s">
        <v>385</v>
      </c>
      <c r="G41" s="93" t="s">
        <v>347</v>
      </c>
      <c r="H41" s="93" t="s">
        <v>343</v>
      </c>
      <c r="I41" s="94">
        <v>0.42</v>
      </c>
      <c r="J41" s="95">
        <v>31.5</v>
      </c>
    </row>
    <row r="42" spans="1:10" x14ac:dyDescent="0.25">
      <c r="A42" s="92">
        <v>45748</v>
      </c>
      <c r="B42" s="93" t="s">
        <v>325</v>
      </c>
      <c r="C42" s="89" t="s">
        <v>40</v>
      </c>
      <c r="D42" s="93" t="s">
        <v>277</v>
      </c>
      <c r="E42" s="93" t="s">
        <v>34</v>
      </c>
      <c r="F42" s="93" t="s">
        <v>353</v>
      </c>
      <c r="G42" s="93" t="s">
        <v>347</v>
      </c>
      <c r="H42" s="93" t="s">
        <v>343</v>
      </c>
      <c r="I42" s="94">
        <v>0.17</v>
      </c>
      <c r="J42" s="95">
        <v>12.750000000000002</v>
      </c>
    </row>
    <row r="43" spans="1:10" x14ac:dyDescent="0.25">
      <c r="A43" s="92">
        <v>45748</v>
      </c>
      <c r="B43" s="93" t="s">
        <v>329</v>
      </c>
      <c r="C43" s="89" t="s">
        <v>40</v>
      </c>
      <c r="D43" s="93" t="s">
        <v>268</v>
      </c>
      <c r="E43" s="93" t="s">
        <v>34</v>
      </c>
      <c r="F43" s="93" t="s">
        <v>386</v>
      </c>
      <c r="G43" s="93" t="s">
        <v>347</v>
      </c>
      <c r="H43" s="93" t="s">
        <v>343</v>
      </c>
      <c r="I43" s="94">
        <v>0.17</v>
      </c>
      <c r="J43" s="95">
        <v>12.750000000000002</v>
      </c>
    </row>
    <row r="44" spans="1:10" x14ac:dyDescent="0.25">
      <c r="A44" s="92">
        <v>45748</v>
      </c>
      <c r="B44" s="93" t="s">
        <v>326</v>
      </c>
      <c r="C44" s="89" t="s">
        <v>40</v>
      </c>
      <c r="D44" s="93" t="s">
        <v>233</v>
      </c>
      <c r="E44" s="93" t="s">
        <v>36</v>
      </c>
      <c r="F44" s="93" t="s">
        <v>387</v>
      </c>
      <c r="G44" s="93" t="s">
        <v>348</v>
      </c>
      <c r="H44" s="93" t="s">
        <v>342</v>
      </c>
      <c r="I44" s="94">
        <v>0.33</v>
      </c>
      <c r="J44" s="95">
        <v>19.8</v>
      </c>
    </row>
    <row r="45" spans="1:10" x14ac:dyDescent="0.25">
      <c r="A45" s="92">
        <v>45748</v>
      </c>
      <c r="B45" s="93" t="s">
        <v>326</v>
      </c>
      <c r="C45" s="89" t="s">
        <v>40</v>
      </c>
      <c r="D45" s="93" t="s">
        <v>175</v>
      </c>
      <c r="E45" s="93" t="s">
        <v>36</v>
      </c>
      <c r="F45" s="93" t="s">
        <v>388</v>
      </c>
      <c r="G45" s="93" t="s">
        <v>348</v>
      </c>
      <c r="H45" s="93" t="s">
        <v>342</v>
      </c>
      <c r="I45" s="94">
        <v>1</v>
      </c>
      <c r="J45" s="95">
        <v>60</v>
      </c>
    </row>
    <row r="46" spans="1:10" x14ac:dyDescent="0.25">
      <c r="A46" s="92">
        <v>45748</v>
      </c>
      <c r="B46" s="93" t="s">
        <v>326</v>
      </c>
      <c r="C46" s="89" t="s">
        <v>40</v>
      </c>
      <c r="D46" s="93" t="s">
        <v>188</v>
      </c>
      <c r="E46" s="93" t="s">
        <v>36</v>
      </c>
      <c r="F46" s="93" t="s">
        <v>356</v>
      </c>
      <c r="G46" s="93" t="s">
        <v>348</v>
      </c>
      <c r="H46" s="93" t="s">
        <v>342</v>
      </c>
      <c r="I46" s="94">
        <v>1.33</v>
      </c>
      <c r="J46" s="95">
        <v>79.800000000000011</v>
      </c>
    </row>
    <row r="47" spans="1:10" x14ac:dyDescent="0.25">
      <c r="A47" s="92">
        <v>45748</v>
      </c>
      <c r="B47" s="93" t="s">
        <v>326</v>
      </c>
      <c r="C47" s="89" t="s">
        <v>40</v>
      </c>
      <c r="D47" s="93" t="s">
        <v>234</v>
      </c>
      <c r="E47" s="93" t="s">
        <v>36</v>
      </c>
      <c r="F47" s="93" t="s">
        <v>389</v>
      </c>
      <c r="G47" s="93" t="s">
        <v>348</v>
      </c>
      <c r="H47" s="93" t="s">
        <v>342</v>
      </c>
      <c r="I47" s="94">
        <v>0.33</v>
      </c>
      <c r="J47" s="95">
        <v>19.8</v>
      </c>
    </row>
    <row r="48" spans="1:10" x14ac:dyDescent="0.25">
      <c r="A48" s="92">
        <v>45748</v>
      </c>
      <c r="B48" s="93" t="s">
        <v>326</v>
      </c>
      <c r="C48" s="89" t="s">
        <v>40</v>
      </c>
      <c r="D48" s="93" t="s">
        <v>235</v>
      </c>
      <c r="E48" s="93" t="s">
        <v>36</v>
      </c>
      <c r="F48" s="93" t="s">
        <v>355</v>
      </c>
      <c r="G48" s="93" t="s">
        <v>348</v>
      </c>
      <c r="H48" s="93" t="s">
        <v>342</v>
      </c>
      <c r="I48" s="94">
        <v>0.33</v>
      </c>
      <c r="J48" s="95">
        <v>19.8</v>
      </c>
    </row>
    <row r="49" spans="1:10" x14ac:dyDescent="0.25">
      <c r="A49" s="92">
        <v>45748</v>
      </c>
      <c r="B49" s="93" t="s">
        <v>326</v>
      </c>
      <c r="C49" s="89" t="s">
        <v>40</v>
      </c>
      <c r="D49" s="93" t="s">
        <v>265</v>
      </c>
      <c r="E49" s="93" t="s">
        <v>36</v>
      </c>
      <c r="F49" s="93" t="s">
        <v>358</v>
      </c>
      <c r="G49" s="93" t="s">
        <v>348</v>
      </c>
      <c r="H49" s="93" t="s">
        <v>342</v>
      </c>
      <c r="I49" s="94">
        <v>1</v>
      </c>
      <c r="J49" s="95">
        <v>60</v>
      </c>
    </row>
    <row r="50" spans="1:10" x14ac:dyDescent="0.25">
      <c r="A50" s="92">
        <v>45748</v>
      </c>
      <c r="B50" s="93" t="s">
        <v>332</v>
      </c>
      <c r="C50" s="89" t="s">
        <v>40</v>
      </c>
      <c r="D50" s="93" t="s">
        <v>314</v>
      </c>
      <c r="E50" s="93" t="s">
        <v>35</v>
      </c>
      <c r="F50" s="93" t="s">
        <v>359</v>
      </c>
      <c r="G50" s="93" t="s">
        <v>339</v>
      </c>
      <c r="H50" s="93" t="s">
        <v>352</v>
      </c>
      <c r="I50" s="94">
        <v>9.33</v>
      </c>
      <c r="J50" s="95">
        <v>373.2</v>
      </c>
    </row>
    <row r="51" spans="1:10" x14ac:dyDescent="0.25">
      <c r="A51" s="92">
        <v>45748</v>
      </c>
      <c r="B51" s="93" t="s">
        <v>324</v>
      </c>
      <c r="C51" s="89" t="s">
        <v>40</v>
      </c>
      <c r="D51" s="93" t="s">
        <v>314</v>
      </c>
      <c r="E51" s="93" t="s">
        <v>35</v>
      </c>
      <c r="F51" s="93" t="s">
        <v>359</v>
      </c>
      <c r="G51" s="93" t="s">
        <v>339</v>
      </c>
      <c r="H51" s="93" t="s">
        <v>352</v>
      </c>
      <c r="I51" s="94">
        <v>5</v>
      </c>
      <c r="J51" s="95">
        <v>375</v>
      </c>
    </row>
    <row r="52" spans="1:10" x14ac:dyDescent="0.25">
      <c r="A52" s="92">
        <v>45749</v>
      </c>
      <c r="B52" s="93" t="s">
        <v>329</v>
      </c>
      <c r="C52" s="89" t="s">
        <v>40</v>
      </c>
      <c r="D52" s="93" t="s">
        <v>270</v>
      </c>
      <c r="E52" s="93" t="s">
        <v>34</v>
      </c>
      <c r="F52" s="93" t="s">
        <v>360</v>
      </c>
      <c r="G52" s="93" t="s">
        <v>347</v>
      </c>
      <c r="H52" s="93" t="s">
        <v>343</v>
      </c>
      <c r="I52" s="94">
        <v>0.08</v>
      </c>
      <c r="J52" s="95">
        <v>6</v>
      </c>
    </row>
    <row r="53" spans="1:10" x14ac:dyDescent="0.25">
      <c r="A53" s="92">
        <v>45749</v>
      </c>
      <c r="B53" s="93" t="s">
        <v>329</v>
      </c>
      <c r="C53" s="89" t="s">
        <v>40</v>
      </c>
      <c r="D53" s="93" t="s">
        <v>269</v>
      </c>
      <c r="E53" s="93" t="s">
        <v>34</v>
      </c>
      <c r="F53" s="93" t="s">
        <v>361</v>
      </c>
      <c r="G53" s="93" t="s">
        <v>347</v>
      </c>
      <c r="H53" s="93" t="s">
        <v>343</v>
      </c>
      <c r="I53" s="94">
        <v>0.08</v>
      </c>
      <c r="J53" s="95">
        <v>6</v>
      </c>
    </row>
    <row r="54" spans="1:10" x14ac:dyDescent="0.25">
      <c r="A54" s="92">
        <v>45749</v>
      </c>
      <c r="B54" s="93" t="s">
        <v>329</v>
      </c>
      <c r="C54" s="89" t="s">
        <v>40</v>
      </c>
      <c r="D54" s="93" t="s">
        <v>272</v>
      </c>
      <c r="E54" s="93" t="s">
        <v>34</v>
      </c>
      <c r="F54" s="93" t="s">
        <v>362</v>
      </c>
      <c r="G54" s="93" t="s">
        <v>347</v>
      </c>
      <c r="H54" s="93" t="s">
        <v>343</v>
      </c>
      <c r="I54" s="94">
        <v>0.08</v>
      </c>
      <c r="J54" s="95">
        <v>6</v>
      </c>
    </row>
    <row r="55" spans="1:10" x14ac:dyDescent="0.25">
      <c r="A55" s="92">
        <v>45749</v>
      </c>
      <c r="B55" s="93" t="s">
        <v>330</v>
      </c>
      <c r="C55" s="89" t="s">
        <v>40</v>
      </c>
      <c r="D55" s="93" t="s">
        <v>171</v>
      </c>
      <c r="E55" s="93" t="s">
        <v>341</v>
      </c>
      <c r="F55" s="93" t="s">
        <v>390</v>
      </c>
      <c r="G55" s="93" t="s">
        <v>347</v>
      </c>
      <c r="H55" s="93" t="s">
        <v>344</v>
      </c>
      <c r="I55" s="94">
        <v>3</v>
      </c>
      <c r="J55" s="95">
        <v>180</v>
      </c>
    </row>
    <row r="56" spans="1:10" x14ac:dyDescent="0.25">
      <c r="A56" s="92">
        <v>45749</v>
      </c>
      <c r="B56" s="93" t="s">
        <v>323</v>
      </c>
      <c r="C56" s="89" t="s">
        <v>40</v>
      </c>
      <c r="D56" s="93" t="s">
        <v>200</v>
      </c>
      <c r="E56" s="93" t="s">
        <v>36</v>
      </c>
      <c r="F56" s="93" t="s">
        <v>391</v>
      </c>
      <c r="G56" s="93" t="s">
        <v>346</v>
      </c>
      <c r="H56" s="93" t="s">
        <v>342</v>
      </c>
      <c r="I56" s="94">
        <v>0.33</v>
      </c>
      <c r="J56" s="95">
        <v>19.8</v>
      </c>
    </row>
    <row r="57" spans="1:10" x14ac:dyDescent="0.25">
      <c r="A57" s="92">
        <v>45749</v>
      </c>
      <c r="B57" s="93" t="s">
        <v>323</v>
      </c>
      <c r="C57" s="89" t="s">
        <v>40</v>
      </c>
      <c r="D57" s="93" t="s">
        <v>212</v>
      </c>
      <c r="E57" s="93" t="s">
        <v>36</v>
      </c>
      <c r="F57" s="93" t="s">
        <v>392</v>
      </c>
      <c r="G57" s="93" t="s">
        <v>346</v>
      </c>
      <c r="H57" s="93" t="s">
        <v>342</v>
      </c>
      <c r="I57" s="94">
        <v>0.25</v>
      </c>
      <c r="J57" s="95">
        <v>15</v>
      </c>
    </row>
    <row r="58" spans="1:10" x14ac:dyDescent="0.25">
      <c r="A58" s="92">
        <v>45749</v>
      </c>
      <c r="B58" s="93" t="s">
        <v>329</v>
      </c>
      <c r="C58" s="89" t="s">
        <v>40</v>
      </c>
      <c r="D58" s="93" t="s">
        <v>316</v>
      </c>
      <c r="E58" s="93" t="s">
        <v>35</v>
      </c>
      <c r="F58" s="93" t="s">
        <v>338</v>
      </c>
      <c r="G58" s="93" t="s">
        <v>337</v>
      </c>
      <c r="H58" s="93" t="s">
        <v>352</v>
      </c>
      <c r="I58" s="94">
        <v>0.25</v>
      </c>
      <c r="J58" s="95">
        <v>18.75</v>
      </c>
    </row>
    <row r="59" spans="1:10" x14ac:dyDescent="0.25">
      <c r="A59" s="92">
        <v>45749</v>
      </c>
      <c r="B59" s="93" t="s">
        <v>333</v>
      </c>
      <c r="C59" s="89" t="s">
        <v>40</v>
      </c>
      <c r="D59" s="93" t="s">
        <v>320</v>
      </c>
      <c r="E59" s="93" t="s">
        <v>35</v>
      </c>
      <c r="F59" s="93" t="s">
        <v>322</v>
      </c>
      <c r="G59" s="93" t="s">
        <v>319</v>
      </c>
      <c r="H59" s="93" t="s">
        <v>352</v>
      </c>
      <c r="I59" s="94">
        <v>7.4</v>
      </c>
      <c r="J59" s="95">
        <v>236.8</v>
      </c>
    </row>
    <row r="60" spans="1:10" x14ac:dyDescent="0.25">
      <c r="A60" s="92">
        <v>45749</v>
      </c>
      <c r="B60" s="93" t="s">
        <v>327</v>
      </c>
      <c r="C60" s="89" t="s">
        <v>40</v>
      </c>
      <c r="D60" s="93" t="s">
        <v>320</v>
      </c>
      <c r="E60" s="93" t="s">
        <v>35</v>
      </c>
      <c r="F60" s="93" t="s">
        <v>322</v>
      </c>
      <c r="G60" s="93" t="s">
        <v>319</v>
      </c>
      <c r="H60" s="93" t="s">
        <v>352</v>
      </c>
      <c r="I60" s="94">
        <v>7.58</v>
      </c>
      <c r="J60" s="95">
        <v>242.56</v>
      </c>
    </row>
    <row r="61" spans="1:10" x14ac:dyDescent="0.25">
      <c r="A61" s="92">
        <v>45749</v>
      </c>
      <c r="B61" s="93" t="s">
        <v>323</v>
      </c>
      <c r="C61" s="89" t="s">
        <v>40</v>
      </c>
      <c r="D61" s="93" t="s">
        <v>232</v>
      </c>
      <c r="E61" s="93" t="s">
        <v>36</v>
      </c>
      <c r="F61" s="93" t="s">
        <v>393</v>
      </c>
      <c r="G61" s="93" t="s">
        <v>346</v>
      </c>
      <c r="H61" s="93" t="s">
        <v>342</v>
      </c>
      <c r="I61" s="94">
        <v>1</v>
      </c>
      <c r="J61" s="95">
        <v>60</v>
      </c>
    </row>
    <row r="62" spans="1:10" x14ac:dyDescent="0.25">
      <c r="A62" s="92">
        <v>45749</v>
      </c>
      <c r="B62" s="93" t="s">
        <v>323</v>
      </c>
      <c r="C62" s="89" t="s">
        <v>40</v>
      </c>
      <c r="D62" s="93" t="s">
        <v>266</v>
      </c>
      <c r="E62" s="93" t="s">
        <v>36</v>
      </c>
      <c r="F62" s="93" t="s">
        <v>394</v>
      </c>
      <c r="G62" s="93" t="s">
        <v>346</v>
      </c>
      <c r="H62" s="93" t="s">
        <v>342</v>
      </c>
      <c r="I62" s="94">
        <v>0.25</v>
      </c>
      <c r="J62" s="95">
        <v>15</v>
      </c>
    </row>
    <row r="63" spans="1:10" x14ac:dyDescent="0.25">
      <c r="A63" s="92">
        <v>45749</v>
      </c>
      <c r="B63" s="93" t="s">
        <v>323</v>
      </c>
      <c r="C63" s="89" t="s">
        <v>40</v>
      </c>
      <c r="D63" s="93" t="s">
        <v>201</v>
      </c>
      <c r="E63" s="93" t="s">
        <v>341</v>
      </c>
      <c r="F63" s="93" t="s">
        <v>395</v>
      </c>
      <c r="G63" s="93" t="s">
        <v>346</v>
      </c>
      <c r="H63" s="93" t="s">
        <v>344</v>
      </c>
      <c r="I63" s="94">
        <v>1</v>
      </c>
      <c r="J63" s="95">
        <v>60</v>
      </c>
    </row>
    <row r="64" spans="1:10" x14ac:dyDescent="0.25">
      <c r="A64" s="92">
        <v>45749</v>
      </c>
      <c r="B64" s="93" t="s">
        <v>329</v>
      </c>
      <c r="C64" s="89" t="s">
        <v>40</v>
      </c>
      <c r="D64" s="93" t="s">
        <v>197</v>
      </c>
      <c r="E64" s="93" t="s">
        <v>34</v>
      </c>
      <c r="F64" s="93" t="s">
        <v>366</v>
      </c>
      <c r="G64" s="93" t="s">
        <v>347</v>
      </c>
      <c r="H64" s="93" t="s">
        <v>343</v>
      </c>
      <c r="I64" s="94">
        <v>0.08</v>
      </c>
      <c r="J64" s="95">
        <v>6</v>
      </c>
    </row>
    <row r="65" spans="1:10" x14ac:dyDescent="0.25">
      <c r="A65" s="92">
        <v>45749</v>
      </c>
      <c r="B65" s="93" t="s">
        <v>329</v>
      </c>
      <c r="C65" s="89" t="s">
        <v>40</v>
      </c>
      <c r="D65" s="93" t="s">
        <v>181</v>
      </c>
      <c r="E65" s="93" t="s">
        <v>34</v>
      </c>
      <c r="F65" s="93" t="s">
        <v>396</v>
      </c>
      <c r="G65" s="93" t="s">
        <v>347</v>
      </c>
      <c r="H65" s="93" t="s">
        <v>343</v>
      </c>
      <c r="I65" s="94">
        <v>0.17</v>
      </c>
      <c r="J65" s="95">
        <v>12.750000000000002</v>
      </c>
    </row>
    <row r="66" spans="1:10" x14ac:dyDescent="0.25">
      <c r="A66" s="92">
        <v>45749</v>
      </c>
      <c r="B66" s="93" t="s">
        <v>329</v>
      </c>
      <c r="C66" s="89" t="s">
        <v>40</v>
      </c>
      <c r="D66" s="93" t="s">
        <v>183</v>
      </c>
      <c r="E66" s="93" t="s">
        <v>34</v>
      </c>
      <c r="F66" s="93" t="s">
        <v>368</v>
      </c>
      <c r="G66" s="93" t="s">
        <v>347</v>
      </c>
      <c r="H66" s="93" t="s">
        <v>343</v>
      </c>
      <c r="I66" s="94">
        <v>0.5</v>
      </c>
      <c r="J66" s="95">
        <v>37.5</v>
      </c>
    </row>
    <row r="67" spans="1:10" x14ac:dyDescent="0.25">
      <c r="A67" s="92">
        <v>45749</v>
      </c>
      <c r="B67" s="93" t="s">
        <v>329</v>
      </c>
      <c r="C67" s="89" t="s">
        <v>40</v>
      </c>
      <c r="D67" s="93" t="s">
        <v>186</v>
      </c>
      <c r="E67" s="93" t="s">
        <v>34</v>
      </c>
      <c r="F67" s="93" t="s">
        <v>397</v>
      </c>
      <c r="G67" s="93" t="s">
        <v>347</v>
      </c>
      <c r="H67" s="93" t="s">
        <v>343</v>
      </c>
      <c r="I67" s="94">
        <v>0.25</v>
      </c>
      <c r="J67" s="95">
        <v>18.75</v>
      </c>
    </row>
    <row r="68" spans="1:10" x14ac:dyDescent="0.25">
      <c r="A68" s="92">
        <v>45749</v>
      </c>
      <c r="B68" s="93" t="s">
        <v>329</v>
      </c>
      <c r="C68" s="89" t="s">
        <v>40</v>
      </c>
      <c r="D68" s="93" t="s">
        <v>206</v>
      </c>
      <c r="E68" s="93" t="s">
        <v>34</v>
      </c>
      <c r="F68" s="93" t="s">
        <v>367</v>
      </c>
      <c r="G68" s="93" t="s">
        <v>347</v>
      </c>
      <c r="H68" s="93" t="s">
        <v>343</v>
      </c>
      <c r="I68" s="94">
        <v>0.25</v>
      </c>
      <c r="J68" s="95">
        <v>18.75</v>
      </c>
    </row>
    <row r="69" spans="1:10" x14ac:dyDescent="0.25">
      <c r="A69" s="92">
        <v>45749</v>
      </c>
      <c r="B69" s="93" t="s">
        <v>329</v>
      </c>
      <c r="C69" s="89" t="s">
        <v>40</v>
      </c>
      <c r="D69" s="93" t="s">
        <v>302</v>
      </c>
      <c r="E69" s="93" t="s">
        <v>34</v>
      </c>
      <c r="F69" s="93" t="s">
        <v>398</v>
      </c>
      <c r="G69" s="93" t="s">
        <v>347</v>
      </c>
      <c r="H69" s="93" t="s">
        <v>343</v>
      </c>
      <c r="I69" s="94">
        <v>0.17</v>
      </c>
      <c r="J69" s="95">
        <v>12.750000000000002</v>
      </c>
    </row>
    <row r="70" spans="1:10" x14ac:dyDescent="0.25">
      <c r="A70" s="92">
        <v>45749</v>
      </c>
      <c r="B70" s="93" t="s">
        <v>329</v>
      </c>
      <c r="C70" s="89" t="s">
        <v>40</v>
      </c>
      <c r="D70" s="93" t="s">
        <v>221</v>
      </c>
      <c r="E70" s="93" t="s">
        <v>34</v>
      </c>
      <c r="F70" s="93" t="s">
        <v>369</v>
      </c>
      <c r="G70" s="93" t="s">
        <v>347</v>
      </c>
      <c r="H70" s="93" t="s">
        <v>343</v>
      </c>
      <c r="I70" s="94">
        <v>0.17</v>
      </c>
      <c r="J70" s="95">
        <v>12.750000000000002</v>
      </c>
    </row>
    <row r="71" spans="1:10" x14ac:dyDescent="0.25">
      <c r="A71" s="92">
        <v>45749</v>
      </c>
      <c r="B71" s="93" t="s">
        <v>329</v>
      </c>
      <c r="C71" s="89" t="s">
        <v>40</v>
      </c>
      <c r="D71" s="93" t="s">
        <v>301</v>
      </c>
      <c r="E71" s="93" t="s">
        <v>34</v>
      </c>
      <c r="F71" s="93" t="s">
        <v>371</v>
      </c>
      <c r="G71" s="93" t="s">
        <v>347</v>
      </c>
      <c r="H71" s="93" t="s">
        <v>343</v>
      </c>
      <c r="I71" s="94">
        <v>0.17</v>
      </c>
      <c r="J71" s="95">
        <v>12.750000000000002</v>
      </c>
    </row>
    <row r="72" spans="1:10" x14ac:dyDescent="0.25">
      <c r="A72" s="92">
        <v>45749</v>
      </c>
      <c r="B72" s="93" t="s">
        <v>325</v>
      </c>
      <c r="C72" s="89" t="s">
        <v>40</v>
      </c>
      <c r="D72" s="93" t="s">
        <v>210</v>
      </c>
      <c r="E72" s="93" t="s">
        <v>34</v>
      </c>
      <c r="F72" s="93" t="s">
        <v>399</v>
      </c>
      <c r="G72" s="93" t="s">
        <v>347</v>
      </c>
      <c r="H72" s="93" t="s">
        <v>343</v>
      </c>
      <c r="I72" s="94">
        <v>0.25</v>
      </c>
      <c r="J72" s="95">
        <v>18.75</v>
      </c>
    </row>
    <row r="73" spans="1:10" x14ac:dyDescent="0.25">
      <c r="A73" s="92">
        <v>45749</v>
      </c>
      <c r="B73" s="93" t="s">
        <v>329</v>
      </c>
      <c r="C73" s="89" t="s">
        <v>40</v>
      </c>
      <c r="D73" s="93" t="s">
        <v>303</v>
      </c>
      <c r="E73" s="93" t="s">
        <v>34</v>
      </c>
      <c r="F73" s="93" t="s">
        <v>400</v>
      </c>
      <c r="G73" s="93" t="s">
        <v>347</v>
      </c>
      <c r="H73" s="93" t="s">
        <v>343</v>
      </c>
      <c r="I73" s="94">
        <v>0.17</v>
      </c>
      <c r="J73" s="95">
        <v>12.750000000000002</v>
      </c>
    </row>
    <row r="74" spans="1:10" x14ac:dyDescent="0.25">
      <c r="A74" s="92">
        <v>45749</v>
      </c>
      <c r="B74" s="93" t="s">
        <v>329</v>
      </c>
      <c r="C74" s="89" t="s">
        <v>40</v>
      </c>
      <c r="D74" s="93" t="s">
        <v>229</v>
      </c>
      <c r="E74" s="93" t="s">
        <v>34</v>
      </c>
      <c r="F74" s="93" t="s">
        <v>373</v>
      </c>
      <c r="G74" s="93" t="s">
        <v>347</v>
      </c>
      <c r="H74" s="93" t="s">
        <v>343</v>
      </c>
      <c r="I74" s="94">
        <v>0.25</v>
      </c>
      <c r="J74" s="95">
        <v>18.75</v>
      </c>
    </row>
    <row r="75" spans="1:10" x14ac:dyDescent="0.25">
      <c r="A75" s="92">
        <v>45749</v>
      </c>
      <c r="B75" s="93" t="s">
        <v>325</v>
      </c>
      <c r="C75" s="89" t="s">
        <v>40</v>
      </c>
      <c r="D75" s="93" t="s">
        <v>226</v>
      </c>
      <c r="E75" s="93" t="s">
        <v>34</v>
      </c>
      <c r="F75" s="93" t="s">
        <v>401</v>
      </c>
      <c r="G75" s="93" t="s">
        <v>347</v>
      </c>
      <c r="H75" s="93" t="s">
        <v>343</v>
      </c>
      <c r="I75" s="94">
        <v>0.25</v>
      </c>
      <c r="J75" s="95">
        <v>18.75</v>
      </c>
    </row>
    <row r="76" spans="1:10" x14ac:dyDescent="0.25">
      <c r="A76" s="92">
        <v>45749</v>
      </c>
      <c r="B76" s="93" t="s">
        <v>329</v>
      </c>
      <c r="C76" s="89" t="s">
        <v>40</v>
      </c>
      <c r="D76" s="93" t="s">
        <v>240</v>
      </c>
      <c r="E76" s="93" t="s">
        <v>34</v>
      </c>
      <c r="F76" s="93" t="s">
        <v>402</v>
      </c>
      <c r="G76" s="93" t="s">
        <v>347</v>
      </c>
      <c r="H76" s="93" t="s">
        <v>343</v>
      </c>
      <c r="I76" s="94">
        <v>0.17</v>
      </c>
      <c r="J76" s="95">
        <v>12.750000000000002</v>
      </c>
    </row>
    <row r="77" spans="1:10" x14ac:dyDescent="0.25">
      <c r="A77" s="92">
        <v>45749</v>
      </c>
      <c r="B77" s="93" t="s">
        <v>329</v>
      </c>
      <c r="C77" s="89" t="s">
        <v>40</v>
      </c>
      <c r="D77" s="93" t="s">
        <v>241</v>
      </c>
      <c r="E77" s="93" t="s">
        <v>34</v>
      </c>
      <c r="F77" s="93" t="s">
        <v>403</v>
      </c>
      <c r="G77" s="93" t="s">
        <v>347</v>
      </c>
      <c r="H77" s="93" t="s">
        <v>343</v>
      </c>
      <c r="I77" s="94">
        <v>0.17</v>
      </c>
      <c r="J77" s="95">
        <v>12.750000000000002</v>
      </c>
    </row>
    <row r="78" spans="1:10" x14ac:dyDescent="0.25">
      <c r="A78" s="92">
        <v>45749</v>
      </c>
      <c r="B78" s="93" t="s">
        <v>329</v>
      </c>
      <c r="C78" s="89" t="s">
        <v>40</v>
      </c>
      <c r="D78" s="93" t="s">
        <v>238</v>
      </c>
      <c r="E78" s="93" t="s">
        <v>34</v>
      </c>
      <c r="F78" s="93" t="s">
        <v>374</v>
      </c>
      <c r="G78" s="93" t="s">
        <v>347</v>
      </c>
      <c r="H78" s="93" t="s">
        <v>343</v>
      </c>
      <c r="I78" s="94">
        <v>0.17</v>
      </c>
      <c r="J78" s="95">
        <v>12.750000000000002</v>
      </c>
    </row>
    <row r="79" spans="1:10" x14ac:dyDescent="0.25">
      <c r="A79" s="92">
        <v>45749</v>
      </c>
      <c r="B79" s="93" t="s">
        <v>329</v>
      </c>
      <c r="C79" s="89" t="s">
        <v>40</v>
      </c>
      <c r="D79" s="93" t="s">
        <v>242</v>
      </c>
      <c r="E79" s="93" t="s">
        <v>34</v>
      </c>
      <c r="F79" s="93" t="s">
        <v>404</v>
      </c>
      <c r="G79" s="93" t="s">
        <v>347</v>
      </c>
      <c r="H79" s="93" t="s">
        <v>343</v>
      </c>
      <c r="I79" s="94">
        <v>0.08</v>
      </c>
      <c r="J79" s="95">
        <v>6</v>
      </c>
    </row>
    <row r="80" spans="1:10" x14ac:dyDescent="0.25">
      <c r="A80" s="92">
        <v>45749</v>
      </c>
      <c r="B80" s="93" t="s">
        <v>329</v>
      </c>
      <c r="C80" s="89" t="s">
        <v>40</v>
      </c>
      <c r="D80" s="93" t="s">
        <v>247</v>
      </c>
      <c r="E80" s="93" t="s">
        <v>34</v>
      </c>
      <c r="F80" s="93" t="s">
        <v>375</v>
      </c>
      <c r="G80" s="93" t="s">
        <v>347</v>
      </c>
      <c r="H80" s="93" t="s">
        <v>343</v>
      </c>
      <c r="I80" s="94">
        <v>0.67</v>
      </c>
      <c r="J80" s="95">
        <v>50.25</v>
      </c>
    </row>
    <row r="81" spans="1:10" x14ac:dyDescent="0.25">
      <c r="A81" s="92">
        <v>45749</v>
      </c>
      <c r="B81" s="93" t="s">
        <v>329</v>
      </c>
      <c r="C81" s="89" t="s">
        <v>40</v>
      </c>
      <c r="D81" s="93" t="s">
        <v>293</v>
      </c>
      <c r="E81" s="93" t="s">
        <v>34</v>
      </c>
      <c r="F81" s="93" t="s">
        <v>376</v>
      </c>
      <c r="G81" s="93" t="s">
        <v>347</v>
      </c>
      <c r="H81" s="93" t="s">
        <v>343</v>
      </c>
      <c r="I81" s="94">
        <v>0.17</v>
      </c>
      <c r="J81" s="95">
        <v>12.750000000000002</v>
      </c>
    </row>
    <row r="82" spans="1:10" x14ac:dyDescent="0.25">
      <c r="A82" s="92">
        <v>45749</v>
      </c>
      <c r="B82" s="93" t="s">
        <v>329</v>
      </c>
      <c r="C82" s="89" t="s">
        <v>40</v>
      </c>
      <c r="D82" s="93" t="s">
        <v>294</v>
      </c>
      <c r="E82" s="93" t="s">
        <v>34</v>
      </c>
      <c r="F82" s="93" t="s">
        <v>377</v>
      </c>
      <c r="G82" s="93" t="s">
        <v>347</v>
      </c>
      <c r="H82" s="93" t="s">
        <v>343</v>
      </c>
      <c r="I82" s="94">
        <v>0.17</v>
      </c>
      <c r="J82" s="95">
        <v>12.750000000000002</v>
      </c>
    </row>
    <row r="83" spans="1:10" x14ac:dyDescent="0.25">
      <c r="A83" s="92">
        <v>45749</v>
      </c>
      <c r="B83" s="93" t="s">
        <v>329</v>
      </c>
      <c r="C83" s="89" t="s">
        <v>40</v>
      </c>
      <c r="D83" s="93" t="s">
        <v>288</v>
      </c>
      <c r="E83" s="93" t="s">
        <v>34</v>
      </c>
      <c r="F83" s="93" t="s">
        <v>405</v>
      </c>
      <c r="G83" s="93" t="s">
        <v>347</v>
      </c>
      <c r="H83" s="93" t="s">
        <v>343</v>
      </c>
      <c r="I83" s="94">
        <v>0.08</v>
      </c>
      <c r="J83" s="95">
        <v>6</v>
      </c>
    </row>
    <row r="84" spans="1:10" x14ac:dyDescent="0.25">
      <c r="A84" s="92">
        <v>45749</v>
      </c>
      <c r="B84" s="93" t="s">
        <v>325</v>
      </c>
      <c r="C84" s="89" t="s">
        <v>40</v>
      </c>
      <c r="D84" s="93" t="s">
        <v>287</v>
      </c>
      <c r="E84" s="93" t="s">
        <v>34</v>
      </c>
      <c r="F84" s="93" t="s">
        <v>378</v>
      </c>
      <c r="G84" s="93" t="s">
        <v>347</v>
      </c>
      <c r="H84" s="93" t="s">
        <v>343</v>
      </c>
      <c r="I84" s="94">
        <v>0.17</v>
      </c>
      <c r="J84" s="95">
        <v>12.750000000000002</v>
      </c>
    </row>
    <row r="85" spans="1:10" x14ac:dyDescent="0.25">
      <c r="A85" s="92">
        <v>45749</v>
      </c>
      <c r="B85" s="93" t="s">
        <v>329</v>
      </c>
      <c r="C85" s="89" t="s">
        <v>40</v>
      </c>
      <c r="D85" s="93" t="s">
        <v>295</v>
      </c>
      <c r="E85" s="93" t="s">
        <v>34</v>
      </c>
      <c r="F85" s="93" t="s">
        <v>379</v>
      </c>
      <c r="G85" s="93" t="s">
        <v>347</v>
      </c>
      <c r="H85" s="93" t="s">
        <v>343</v>
      </c>
      <c r="I85" s="94">
        <v>0.17</v>
      </c>
      <c r="J85" s="95">
        <v>12.750000000000002</v>
      </c>
    </row>
    <row r="86" spans="1:10" x14ac:dyDescent="0.25">
      <c r="A86" s="92">
        <v>45749</v>
      </c>
      <c r="B86" s="93" t="s">
        <v>325</v>
      </c>
      <c r="C86" s="89" t="s">
        <v>40</v>
      </c>
      <c r="D86" s="93" t="s">
        <v>298</v>
      </c>
      <c r="E86" s="93" t="s">
        <v>34</v>
      </c>
      <c r="F86" s="93" t="s">
        <v>406</v>
      </c>
      <c r="G86" s="93" t="s">
        <v>347</v>
      </c>
      <c r="H86" s="93" t="s">
        <v>343</v>
      </c>
      <c r="I86" s="94">
        <v>0.17</v>
      </c>
      <c r="J86" s="95">
        <v>12.750000000000002</v>
      </c>
    </row>
    <row r="87" spans="1:10" x14ac:dyDescent="0.25">
      <c r="A87" s="92">
        <v>45749</v>
      </c>
      <c r="B87" s="93" t="s">
        <v>329</v>
      </c>
      <c r="C87" s="89" t="s">
        <v>40</v>
      </c>
      <c r="D87" s="93" t="s">
        <v>258</v>
      </c>
      <c r="E87" s="93" t="s">
        <v>34</v>
      </c>
      <c r="F87" s="93" t="s">
        <v>381</v>
      </c>
      <c r="G87" s="93" t="s">
        <v>347</v>
      </c>
      <c r="H87" s="93" t="s">
        <v>343</v>
      </c>
      <c r="I87" s="94">
        <v>0.17</v>
      </c>
      <c r="J87" s="95">
        <v>12.750000000000002</v>
      </c>
    </row>
    <row r="88" spans="1:10" x14ac:dyDescent="0.25">
      <c r="A88" s="92">
        <v>45749</v>
      </c>
      <c r="B88" s="93" t="s">
        <v>329</v>
      </c>
      <c r="C88" s="89" t="s">
        <v>40</v>
      </c>
      <c r="D88" s="93" t="s">
        <v>259</v>
      </c>
      <c r="E88" s="93" t="s">
        <v>34</v>
      </c>
      <c r="F88" s="93" t="s">
        <v>407</v>
      </c>
      <c r="G88" s="93" t="s">
        <v>347</v>
      </c>
      <c r="H88" s="93" t="s">
        <v>343</v>
      </c>
      <c r="I88" s="94">
        <v>0.08</v>
      </c>
      <c r="J88" s="95">
        <v>6</v>
      </c>
    </row>
    <row r="89" spans="1:10" x14ac:dyDescent="0.25">
      <c r="A89" s="92">
        <v>45749</v>
      </c>
      <c r="B89" s="93" t="s">
        <v>330</v>
      </c>
      <c r="C89" s="89" t="s">
        <v>40</v>
      </c>
      <c r="D89" s="93" t="s">
        <v>263</v>
      </c>
      <c r="E89" s="93" t="s">
        <v>34</v>
      </c>
      <c r="F89" s="93" t="s">
        <v>383</v>
      </c>
      <c r="G89" s="93" t="s">
        <v>347</v>
      </c>
      <c r="H89" s="93" t="s">
        <v>343</v>
      </c>
      <c r="I89" s="94">
        <v>0.25</v>
      </c>
      <c r="J89" s="95">
        <v>15</v>
      </c>
    </row>
    <row r="90" spans="1:10" x14ac:dyDescent="0.25">
      <c r="A90" s="92">
        <v>45749</v>
      </c>
      <c r="B90" s="93" t="s">
        <v>325</v>
      </c>
      <c r="C90" s="89" t="s">
        <v>40</v>
      </c>
      <c r="D90" s="93" t="s">
        <v>264</v>
      </c>
      <c r="E90" s="93" t="s">
        <v>34</v>
      </c>
      <c r="F90" s="93" t="s">
        <v>384</v>
      </c>
      <c r="G90" s="93" t="s">
        <v>347</v>
      </c>
      <c r="H90" s="93" t="s">
        <v>343</v>
      </c>
      <c r="I90" s="94">
        <v>0.17</v>
      </c>
      <c r="J90" s="95">
        <v>12.750000000000002</v>
      </c>
    </row>
    <row r="91" spans="1:10" x14ac:dyDescent="0.25">
      <c r="A91" s="92">
        <v>45749</v>
      </c>
      <c r="B91" s="93" t="s">
        <v>325</v>
      </c>
      <c r="C91" s="89" t="s">
        <v>40</v>
      </c>
      <c r="D91" s="93" t="s">
        <v>253</v>
      </c>
      <c r="E91" s="93" t="s">
        <v>34</v>
      </c>
      <c r="F91" s="93" t="s">
        <v>408</v>
      </c>
      <c r="G91" s="93" t="s">
        <v>347</v>
      </c>
      <c r="H91" s="93" t="s">
        <v>343</v>
      </c>
      <c r="I91" s="94">
        <v>0.17</v>
      </c>
      <c r="J91" s="95">
        <v>12.750000000000002</v>
      </c>
    </row>
    <row r="92" spans="1:10" x14ac:dyDescent="0.25">
      <c r="A92" s="92">
        <v>45749</v>
      </c>
      <c r="B92" s="93" t="s">
        <v>325</v>
      </c>
      <c r="C92" s="89" t="s">
        <v>40</v>
      </c>
      <c r="D92" s="93" t="s">
        <v>249</v>
      </c>
      <c r="E92" s="93" t="s">
        <v>34</v>
      </c>
      <c r="F92" s="93" t="s">
        <v>409</v>
      </c>
      <c r="G92" s="93" t="s">
        <v>347</v>
      </c>
      <c r="H92" s="93" t="s">
        <v>343</v>
      </c>
      <c r="I92" s="94">
        <v>0.25</v>
      </c>
      <c r="J92" s="95">
        <v>18.75</v>
      </c>
    </row>
    <row r="93" spans="1:10" x14ac:dyDescent="0.25">
      <c r="A93" s="92">
        <v>45749</v>
      </c>
      <c r="B93" s="93" t="s">
        <v>329</v>
      </c>
      <c r="C93" s="89" t="s">
        <v>40</v>
      </c>
      <c r="D93" s="93" t="s">
        <v>248</v>
      </c>
      <c r="E93" s="93" t="s">
        <v>34</v>
      </c>
      <c r="F93" s="93" t="s">
        <v>385</v>
      </c>
      <c r="G93" s="93" t="s">
        <v>347</v>
      </c>
      <c r="H93" s="93" t="s">
        <v>343</v>
      </c>
      <c r="I93" s="94">
        <v>0.17</v>
      </c>
      <c r="J93" s="95">
        <v>12.750000000000002</v>
      </c>
    </row>
    <row r="94" spans="1:10" x14ac:dyDescent="0.25">
      <c r="A94" s="92">
        <v>45749</v>
      </c>
      <c r="B94" s="93" t="s">
        <v>329</v>
      </c>
      <c r="C94" s="89" t="s">
        <v>40</v>
      </c>
      <c r="D94" s="93" t="s">
        <v>230</v>
      </c>
      <c r="E94" s="93" t="s">
        <v>34</v>
      </c>
      <c r="F94" s="93" t="s">
        <v>410</v>
      </c>
      <c r="G94" s="93" t="s">
        <v>347</v>
      </c>
      <c r="H94" s="93" t="s">
        <v>343</v>
      </c>
      <c r="I94" s="94">
        <v>0.17</v>
      </c>
      <c r="J94" s="95">
        <v>12.750000000000002</v>
      </c>
    </row>
    <row r="95" spans="1:10" x14ac:dyDescent="0.25">
      <c r="A95" s="92">
        <v>45749</v>
      </c>
      <c r="B95" s="93" t="s">
        <v>329</v>
      </c>
      <c r="C95" s="89" t="s">
        <v>40</v>
      </c>
      <c r="D95" s="93" t="s">
        <v>268</v>
      </c>
      <c r="E95" s="93" t="s">
        <v>34</v>
      </c>
      <c r="F95" s="93" t="s">
        <v>386</v>
      </c>
      <c r="G95" s="93" t="s">
        <v>347</v>
      </c>
      <c r="H95" s="93" t="s">
        <v>343</v>
      </c>
      <c r="I95" s="94">
        <v>0.17</v>
      </c>
      <c r="J95" s="95">
        <v>12.750000000000002</v>
      </c>
    </row>
    <row r="96" spans="1:10" x14ac:dyDescent="0.25">
      <c r="A96" s="92">
        <v>45749</v>
      </c>
      <c r="B96" s="93" t="s">
        <v>329</v>
      </c>
      <c r="C96" s="89" t="s">
        <v>40</v>
      </c>
      <c r="D96" s="93" t="s">
        <v>296</v>
      </c>
      <c r="E96" s="93" t="s">
        <v>341</v>
      </c>
      <c r="F96" s="93" t="s">
        <v>411</v>
      </c>
      <c r="G96" s="93" t="s">
        <v>347</v>
      </c>
      <c r="H96" s="93" t="s">
        <v>344</v>
      </c>
      <c r="I96" s="94">
        <v>2</v>
      </c>
      <c r="J96" s="95">
        <v>150</v>
      </c>
    </row>
    <row r="97" spans="1:10" x14ac:dyDescent="0.25">
      <c r="A97" s="92">
        <v>45749</v>
      </c>
      <c r="B97" s="93" t="s">
        <v>325</v>
      </c>
      <c r="C97" s="89" t="s">
        <v>40</v>
      </c>
      <c r="D97" s="93" t="s">
        <v>291</v>
      </c>
      <c r="E97" s="93" t="s">
        <v>341</v>
      </c>
      <c r="F97" s="93" t="s">
        <v>412</v>
      </c>
      <c r="G97" s="93" t="s">
        <v>347</v>
      </c>
      <c r="H97" s="93" t="s">
        <v>344</v>
      </c>
      <c r="I97" s="94">
        <v>0.57999999999999996</v>
      </c>
      <c r="J97" s="95">
        <v>43.5</v>
      </c>
    </row>
    <row r="98" spans="1:10" x14ac:dyDescent="0.25">
      <c r="A98" s="92">
        <v>45749</v>
      </c>
      <c r="B98" s="93" t="s">
        <v>325</v>
      </c>
      <c r="C98" s="89" t="s">
        <v>40</v>
      </c>
      <c r="D98" s="93" t="s">
        <v>315</v>
      </c>
      <c r="E98" s="93" t="s">
        <v>35</v>
      </c>
      <c r="F98" s="93" t="s">
        <v>354</v>
      </c>
      <c r="G98" s="93" t="s">
        <v>347</v>
      </c>
      <c r="H98" s="93" t="s">
        <v>352</v>
      </c>
      <c r="I98" s="94">
        <v>0.5</v>
      </c>
      <c r="J98" s="95">
        <v>37.5</v>
      </c>
    </row>
    <row r="99" spans="1:10" x14ac:dyDescent="0.25">
      <c r="A99" s="92">
        <v>45749</v>
      </c>
      <c r="B99" s="93" t="s">
        <v>326</v>
      </c>
      <c r="C99" s="89" t="s">
        <v>40</v>
      </c>
      <c r="D99" s="93" t="s">
        <v>188</v>
      </c>
      <c r="E99" s="93" t="s">
        <v>34</v>
      </c>
      <c r="F99" s="93" t="s">
        <v>356</v>
      </c>
      <c r="G99" s="93" t="s">
        <v>348</v>
      </c>
      <c r="H99" s="93" t="s">
        <v>343</v>
      </c>
      <c r="I99" s="94">
        <v>1</v>
      </c>
      <c r="J99" s="95">
        <v>60</v>
      </c>
    </row>
    <row r="100" spans="1:10" x14ac:dyDescent="0.25">
      <c r="A100" s="92">
        <v>45749</v>
      </c>
      <c r="B100" s="93" t="s">
        <v>332</v>
      </c>
      <c r="C100" s="89" t="s">
        <v>40</v>
      </c>
      <c r="D100" s="93" t="s">
        <v>314</v>
      </c>
      <c r="E100" s="93" t="s">
        <v>35</v>
      </c>
      <c r="F100" s="93" t="s">
        <v>359</v>
      </c>
      <c r="G100" s="93" t="s">
        <v>339</v>
      </c>
      <c r="H100" s="93" t="s">
        <v>352</v>
      </c>
      <c r="I100" s="94">
        <v>9.17</v>
      </c>
      <c r="J100" s="95">
        <v>366.8</v>
      </c>
    </row>
    <row r="101" spans="1:10" x14ac:dyDescent="0.25">
      <c r="A101" s="92">
        <v>45749</v>
      </c>
      <c r="B101" s="93" t="s">
        <v>324</v>
      </c>
      <c r="C101" s="89" t="s">
        <v>40</v>
      </c>
      <c r="D101" s="93" t="s">
        <v>314</v>
      </c>
      <c r="E101" s="93" t="s">
        <v>35</v>
      </c>
      <c r="F101" s="93" t="s">
        <v>359</v>
      </c>
      <c r="G101" s="93" t="s">
        <v>339</v>
      </c>
      <c r="H101" s="93" t="s">
        <v>352</v>
      </c>
      <c r="I101" s="94">
        <v>5.5</v>
      </c>
      <c r="J101" s="95">
        <v>412.5</v>
      </c>
    </row>
    <row r="102" spans="1:10" x14ac:dyDescent="0.25">
      <c r="A102" s="92">
        <v>45750</v>
      </c>
      <c r="B102" s="93" t="s">
        <v>323</v>
      </c>
      <c r="C102" s="89" t="s">
        <v>40</v>
      </c>
      <c r="D102" s="93" t="s">
        <v>201</v>
      </c>
      <c r="E102" s="93" t="s">
        <v>36</v>
      </c>
      <c r="F102" s="93" t="s">
        <v>395</v>
      </c>
      <c r="G102" s="93" t="s">
        <v>346</v>
      </c>
      <c r="H102" s="93" t="s">
        <v>342</v>
      </c>
      <c r="I102" s="94">
        <v>0.33</v>
      </c>
      <c r="J102" s="95">
        <v>19.8</v>
      </c>
    </row>
    <row r="103" spans="1:10" x14ac:dyDescent="0.25">
      <c r="A103" s="92">
        <v>45750</v>
      </c>
      <c r="B103" s="93" t="s">
        <v>329</v>
      </c>
      <c r="C103" s="89" t="s">
        <v>40</v>
      </c>
      <c r="D103" s="93" t="s">
        <v>316</v>
      </c>
      <c r="E103" s="93" t="s">
        <v>35</v>
      </c>
      <c r="F103" s="93" t="s">
        <v>338</v>
      </c>
      <c r="G103" s="93" t="s">
        <v>337</v>
      </c>
      <c r="H103" s="93" t="s">
        <v>352</v>
      </c>
      <c r="I103" s="94">
        <v>1.75</v>
      </c>
      <c r="J103" s="95">
        <v>131.25</v>
      </c>
    </row>
    <row r="104" spans="1:10" x14ac:dyDescent="0.25">
      <c r="A104" s="92">
        <v>45750</v>
      </c>
      <c r="B104" s="93" t="s">
        <v>333</v>
      </c>
      <c r="C104" s="89" t="s">
        <v>40</v>
      </c>
      <c r="D104" s="93" t="s">
        <v>320</v>
      </c>
      <c r="E104" s="93" t="s">
        <v>35</v>
      </c>
      <c r="F104" s="93" t="s">
        <v>322</v>
      </c>
      <c r="G104" s="93" t="s">
        <v>319</v>
      </c>
      <c r="H104" s="93" t="s">
        <v>352</v>
      </c>
      <c r="I104" s="94">
        <v>7.58</v>
      </c>
      <c r="J104" s="95">
        <v>242.56</v>
      </c>
    </row>
    <row r="105" spans="1:10" x14ac:dyDescent="0.25">
      <c r="A105" s="92">
        <v>45750</v>
      </c>
      <c r="B105" s="93" t="s">
        <v>327</v>
      </c>
      <c r="C105" s="89" t="s">
        <v>40</v>
      </c>
      <c r="D105" s="93" t="s">
        <v>320</v>
      </c>
      <c r="E105" s="93" t="s">
        <v>35</v>
      </c>
      <c r="F105" s="93" t="s">
        <v>322</v>
      </c>
      <c r="G105" s="93" t="s">
        <v>319</v>
      </c>
      <c r="H105" s="93" t="s">
        <v>352</v>
      </c>
      <c r="I105" s="94">
        <v>7.42</v>
      </c>
      <c r="J105" s="95">
        <v>237.44</v>
      </c>
    </row>
    <row r="106" spans="1:10" x14ac:dyDescent="0.25">
      <c r="A106" s="92">
        <v>45750</v>
      </c>
      <c r="B106" s="93" t="s">
        <v>325</v>
      </c>
      <c r="C106" s="89" t="s">
        <v>40</v>
      </c>
      <c r="D106" s="93" t="s">
        <v>198</v>
      </c>
      <c r="E106" s="93" t="s">
        <v>34</v>
      </c>
      <c r="F106" s="93" t="s">
        <v>413</v>
      </c>
      <c r="G106" s="93" t="s">
        <v>347</v>
      </c>
      <c r="H106" s="93" t="s">
        <v>343</v>
      </c>
      <c r="I106" s="94">
        <v>0.17</v>
      </c>
      <c r="J106" s="95">
        <v>12.750000000000002</v>
      </c>
    </row>
    <row r="107" spans="1:10" x14ac:dyDescent="0.25">
      <c r="A107" s="92">
        <v>45750</v>
      </c>
      <c r="B107" s="93" t="s">
        <v>330</v>
      </c>
      <c r="C107" s="89" t="s">
        <v>40</v>
      </c>
      <c r="D107" s="93" t="s">
        <v>199</v>
      </c>
      <c r="E107" s="93" t="s">
        <v>34</v>
      </c>
      <c r="F107" s="93" t="s">
        <v>414</v>
      </c>
      <c r="G107" s="93" t="s">
        <v>347</v>
      </c>
      <c r="H107" s="93" t="s">
        <v>343</v>
      </c>
      <c r="I107" s="94">
        <v>1</v>
      </c>
      <c r="J107" s="95">
        <v>60</v>
      </c>
    </row>
    <row r="108" spans="1:10" x14ac:dyDescent="0.25">
      <c r="A108" s="92">
        <v>45750</v>
      </c>
      <c r="B108" s="93" t="s">
        <v>330</v>
      </c>
      <c r="C108" s="89" t="s">
        <v>40</v>
      </c>
      <c r="D108" s="93" t="s">
        <v>284</v>
      </c>
      <c r="E108" s="93" t="s">
        <v>36</v>
      </c>
      <c r="F108" s="93" t="s">
        <v>415</v>
      </c>
      <c r="G108" s="93" t="s">
        <v>347</v>
      </c>
      <c r="H108" s="93" t="s">
        <v>342</v>
      </c>
      <c r="I108" s="94">
        <v>0.5</v>
      </c>
      <c r="J108" s="95">
        <v>30</v>
      </c>
    </row>
    <row r="109" spans="1:10" x14ac:dyDescent="0.25">
      <c r="A109" s="92">
        <v>45750</v>
      </c>
      <c r="B109" s="93" t="s">
        <v>330</v>
      </c>
      <c r="C109" s="89" t="s">
        <v>40</v>
      </c>
      <c r="D109" s="93" t="s">
        <v>252</v>
      </c>
      <c r="E109" s="93" t="s">
        <v>36</v>
      </c>
      <c r="F109" s="93" t="s">
        <v>416</v>
      </c>
      <c r="G109" s="93" t="s">
        <v>347</v>
      </c>
      <c r="H109" s="93" t="s">
        <v>342</v>
      </c>
      <c r="I109" s="94">
        <v>1</v>
      </c>
      <c r="J109" s="95">
        <v>60</v>
      </c>
    </row>
    <row r="110" spans="1:10" x14ac:dyDescent="0.25">
      <c r="A110" s="92">
        <v>45750</v>
      </c>
      <c r="B110" s="93" t="s">
        <v>330</v>
      </c>
      <c r="C110" s="89" t="s">
        <v>40</v>
      </c>
      <c r="D110" s="93" t="s">
        <v>171</v>
      </c>
      <c r="E110" s="93" t="s">
        <v>34</v>
      </c>
      <c r="F110" s="93" t="s">
        <v>390</v>
      </c>
      <c r="G110" s="93" t="s">
        <v>347</v>
      </c>
      <c r="H110" s="93" t="s">
        <v>343</v>
      </c>
      <c r="I110" s="94">
        <v>0.5</v>
      </c>
      <c r="J110" s="95">
        <v>30</v>
      </c>
    </row>
    <row r="111" spans="1:10" x14ac:dyDescent="0.25">
      <c r="A111" s="92">
        <v>45750</v>
      </c>
      <c r="B111" s="93" t="s">
        <v>329</v>
      </c>
      <c r="C111" s="89" t="s">
        <v>40</v>
      </c>
      <c r="D111" s="93" t="s">
        <v>183</v>
      </c>
      <c r="E111" s="93" t="s">
        <v>34</v>
      </c>
      <c r="F111" s="93" t="s">
        <v>368</v>
      </c>
      <c r="G111" s="93" t="s">
        <v>347</v>
      </c>
      <c r="H111" s="93" t="s">
        <v>343</v>
      </c>
      <c r="I111" s="94">
        <v>0.17</v>
      </c>
      <c r="J111" s="95">
        <v>12.750000000000002</v>
      </c>
    </row>
    <row r="112" spans="1:10" x14ac:dyDescent="0.25">
      <c r="A112" s="92">
        <v>45750</v>
      </c>
      <c r="B112" s="93" t="s">
        <v>329</v>
      </c>
      <c r="C112" s="89" t="s">
        <v>40</v>
      </c>
      <c r="D112" s="93" t="s">
        <v>221</v>
      </c>
      <c r="E112" s="93" t="s">
        <v>34</v>
      </c>
      <c r="F112" s="93" t="s">
        <v>369</v>
      </c>
      <c r="G112" s="93" t="s">
        <v>347</v>
      </c>
      <c r="H112" s="93" t="s">
        <v>343</v>
      </c>
      <c r="I112" s="94">
        <v>1</v>
      </c>
      <c r="J112" s="95">
        <v>75</v>
      </c>
    </row>
    <row r="113" spans="1:10" x14ac:dyDescent="0.25">
      <c r="A113" s="92">
        <v>45750</v>
      </c>
      <c r="B113" s="93" t="s">
        <v>329</v>
      </c>
      <c r="C113" s="89" t="s">
        <v>40</v>
      </c>
      <c r="D113" s="93" t="s">
        <v>229</v>
      </c>
      <c r="E113" s="93" t="s">
        <v>34</v>
      </c>
      <c r="F113" s="93" t="s">
        <v>373</v>
      </c>
      <c r="G113" s="93" t="s">
        <v>347</v>
      </c>
      <c r="H113" s="93" t="s">
        <v>343</v>
      </c>
      <c r="I113" s="94">
        <v>0.17</v>
      </c>
      <c r="J113" s="95">
        <v>12.750000000000002</v>
      </c>
    </row>
    <row r="114" spans="1:10" x14ac:dyDescent="0.25">
      <c r="A114" s="92">
        <v>45750</v>
      </c>
      <c r="B114" s="93" t="s">
        <v>325</v>
      </c>
      <c r="C114" s="89" t="s">
        <v>40</v>
      </c>
      <c r="D114" s="93" t="s">
        <v>226</v>
      </c>
      <c r="E114" s="93" t="s">
        <v>34</v>
      </c>
      <c r="F114" s="93" t="s">
        <v>401</v>
      </c>
      <c r="G114" s="93" t="s">
        <v>347</v>
      </c>
      <c r="H114" s="93" t="s">
        <v>343</v>
      </c>
      <c r="I114" s="94">
        <v>0.17</v>
      </c>
      <c r="J114" s="95">
        <v>12.750000000000002</v>
      </c>
    </row>
    <row r="115" spans="1:10" x14ac:dyDescent="0.25">
      <c r="A115" s="92">
        <v>45750</v>
      </c>
      <c r="B115" s="93" t="s">
        <v>329</v>
      </c>
      <c r="C115" s="89" t="s">
        <v>40</v>
      </c>
      <c r="D115" s="93" t="s">
        <v>241</v>
      </c>
      <c r="E115" s="93" t="s">
        <v>34</v>
      </c>
      <c r="F115" s="93" t="s">
        <v>403</v>
      </c>
      <c r="G115" s="93" t="s">
        <v>347</v>
      </c>
      <c r="H115" s="93" t="s">
        <v>343</v>
      </c>
      <c r="I115" s="94">
        <v>0.25</v>
      </c>
      <c r="J115" s="95">
        <v>18.75</v>
      </c>
    </row>
    <row r="116" spans="1:10" x14ac:dyDescent="0.25">
      <c r="A116" s="92">
        <v>45750</v>
      </c>
      <c r="B116" s="93" t="s">
        <v>329</v>
      </c>
      <c r="C116" s="89" t="s">
        <v>40</v>
      </c>
      <c r="D116" s="93" t="s">
        <v>238</v>
      </c>
      <c r="E116" s="93" t="s">
        <v>34</v>
      </c>
      <c r="F116" s="93" t="s">
        <v>374</v>
      </c>
      <c r="G116" s="93" t="s">
        <v>347</v>
      </c>
      <c r="H116" s="93" t="s">
        <v>343</v>
      </c>
      <c r="I116" s="94">
        <v>0.08</v>
      </c>
      <c r="J116" s="95">
        <v>6</v>
      </c>
    </row>
    <row r="117" spans="1:10" x14ac:dyDescent="0.25">
      <c r="A117" s="92">
        <v>45750</v>
      </c>
      <c r="B117" s="93" t="s">
        <v>325</v>
      </c>
      <c r="C117" s="89" t="s">
        <v>40</v>
      </c>
      <c r="D117" s="93" t="s">
        <v>298</v>
      </c>
      <c r="E117" s="93" t="s">
        <v>34</v>
      </c>
      <c r="F117" s="93" t="s">
        <v>406</v>
      </c>
      <c r="G117" s="93" t="s">
        <v>347</v>
      </c>
      <c r="H117" s="93" t="s">
        <v>343</v>
      </c>
      <c r="I117" s="94">
        <v>0.17</v>
      </c>
      <c r="J117" s="95">
        <v>12.750000000000002</v>
      </c>
    </row>
    <row r="118" spans="1:10" x14ac:dyDescent="0.25">
      <c r="A118" s="92">
        <v>45750</v>
      </c>
      <c r="B118" s="93" t="s">
        <v>329</v>
      </c>
      <c r="C118" s="89" t="s">
        <v>40</v>
      </c>
      <c r="D118" s="93" t="s">
        <v>230</v>
      </c>
      <c r="E118" s="93" t="s">
        <v>34</v>
      </c>
      <c r="F118" s="93" t="s">
        <v>410</v>
      </c>
      <c r="G118" s="93" t="s">
        <v>347</v>
      </c>
      <c r="H118" s="93" t="s">
        <v>343</v>
      </c>
      <c r="I118" s="94">
        <v>0.08</v>
      </c>
      <c r="J118" s="95">
        <v>6</v>
      </c>
    </row>
    <row r="119" spans="1:10" x14ac:dyDescent="0.25">
      <c r="A119" s="92">
        <v>45750</v>
      </c>
      <c r="B119" s="93" t="s">
        <v>329</v>
      </c>
      <c r="C119" s="89" t="s">
        <v>40</v>
      </c>
      <c r="D119" s="93" t="s">
        <v>268</v>
      </c>
      <c r="E119" s="93" t="s">
        <v>34</v>
      </c>
      <c r="F119" s="93" t="s">
        <v>386</v>
      </c>
      <c r="G119" s="93" t="s">
        <v>347</v>
      </c>
      <c r="H119" s="93" t="s">
        <v>343</v>
      </c>
      <c r="I119" s="94">
        <v>1.75</v>
      </c>
      <c r="J119" s="95">
        <v>131.25</v>
      </c>
    </row>
    <row r="120" spans="1:10" x14ac:dyDescent="0.25">
      <c r="A120" s="92">
        <v>45750</v>
      </c>
      <c r="B120" s="93" t="s">
        <v>326</v>
      </c>
      <c r="C120" s="89" t="s">
        <v>40</v>
      </c>
      <c r="D120" s="93" t="s">
        <v>207</v>
      </c>
      <c r="E120" s="93" t="s">
        <v>36</v>
      </c>
      <c r="F120" s="93" t="s">
        <v>417</v>
      </c>
      <c r="G120" s="93" t="s">
        <v>348</v>
      </c>
      <c r="H120" s="93" t="s">
        <v>342</v>
      </c>
      <c r="I120" s="94">
        <v>0.75</v>
      </c>
      <c r="J120" s="95">
        <v>45</v>
      </c>
    </row>
    <row r="121" spans="1:10" x14ac:dyDescent="0.25">
      <c r="A121" s="92">
        <v>45750</v>
      </c>
      <c r="B121" s="93" t="s">
        <v>326</v>
      </c>
      <c r="C121" s="89" t="s">
        <v>40</v>
      </c>
      <c r="D121" s="93" t="s">
        <v>268</v>
      </c>
      <c r="E121" s="93" t="s">
        <v>36</v>
      </c>
      <c r="F121" s="93" t="s">
        <v>418</v>
      </c>
      <c r="G121" s="93" t="s">
        <v>348</v>
      </c>
      <c r="H121" s="93" t="s">
        <v>342</v>
      </c>
      <c r="I121" s="94">
        <v>1</v>
      </c>
      <c r="J121" s="95">
        <v>60</v>
      </c>
    </row>
    <row r="122" spans="1:10" x14ac:dyDescent="0.25">
      <c r="A122" s="92">
        <v>45750</v>
      </c>
      <c r="B122" s="93" t="s">
        <v>332</v>
      </c>
      <c r="C122" s="89" t="s">
        <v>40</v>
      </c>
      <c r="D122" s="93" t="s">
        <v>314</v>
      </c>
      <c r="E122" s="93" t="s">
        <v>35</v>
      </c>
      <c r="F122" s="93" t="s">
        <v>359</v>
      </c>
      <c r="G122" s="93" t="s">
        <v>339</v>
      </c>
      <c r="H122" s="93" t="s">
        <v>352</v>
      </c>
      <c r="I122" s="94">
        <v>8.5</v>
      </c>
      <c r="J122" s="95">
        <v>340</v>
      </c>
    </row>
    <row r="123" spans="1:10" x14ac:dyDescent="0.25">
      <c r="A123" s="92">
        <v>45750</v>
      </c>
      <c r="B123" s="93" t="s">
        <v>324</v>
      </c>
      <c r="C123" s="89" t="s">
        <v>40</v>
      </c>
      <c r="D123" s="93" t="s">
        <v>314</v>
      </c>
      <c r="E123" s="93" t="s">
        <v>35</v>
      </c>
      <c r="F123" s="93" t="s">
        <v>359</v>
      </c>
      <c r="G123" s="93" t="s">
        <v>339</v>
      </c>
      <c r="H123" s="93" t="s">
        <v>352</v>
      </c>
      <c r="I123" s="94">
        <v>5.25</v>
      </c>
      <c r="J123" s="95">
        <v>393.75</v>
      </c>
    </row>
    <row r="124" spans="1:10" x14ac:dyDescent="0.25">
      <c r="A124" s="92">
        <v>45751</v>
      </c>
      <c r="B124" s="93" t="s">
        <v>323</v>
      </c>
      <c r="C124" s="89" t="s">
        <v>40</v>
      </c>
      <c r="D124" s="93" t="s">
        <v>168</v>
      </c>
      <c r="E124" s="93" t="s">
        <v>36</v>
      </c>
      <c r="F124" s="93" t="s">
        <v>419</v>
      </c>
      <c r="G124" s="93" t="s">
        <v>346</v>
      </c>
      <c r="H124" s="93" t="s">
        <v>342</v>
      </c>
      <c r="I124" s="94">
        <v>0.5</v>
      </c>
      <c r="J124" s="95">
        <v>30</v>
      </c>
    </row>
    <row r="125" spans="1:10" x14ac:dyDescent="0.25">
      <c r="A125" s="92">
        <v>45751</v>
      </c>
      <c r="B125" s="93" t="s">
        <v>323</v>
      </c>
      <c r="C125" s="89" t="s">
        <v>40</v>
      </c>
      <c r="D125" s="93" t="s">
        <v>201</v>
      </c>
      <c r="E125" s="93" t="s">
        <v>36</v>
      </c>
      <c r="F125" s="93" t="s">
        <v>395</v>
      </c>
      <c r="G125" s="93" t="s">
        <v>346</v>
      </c>
      <c r="H125" s="93" t="s">
        <v>342</v>
      </c>
      <c r="I125" s="94">
        <v>0.17</v>
      </c>
      <c r="J125" s="95">
        <v>10.200000000000001</v>
      </c>
    </row>
    <row r="126" spans="1:10" x14ac:dyDescent="0.25">
      <c r="A126" s="92">
        <v>45751</v>
      </c>
      <c r="B126" s="93" t="s">
        <v>329</v>
      </c>
      <c r="C126" s="89" t="s">
        <v>40</v>
      </c>
      <c r="D126" s="93" t="s">
        <v>316</v>
      </c>
      <c r="E126" s="93" t="s">
        <v>35</v>
      </c>
      <c r="F126" s="93" t="s">
        <v>338</v>
      </c>
      <c r="G126" s="93" t="s">
        <v>337</v>
      </c>
      <c r="H126" s="93" t="s">
        <v>352</v>
      </c>
      <c r="I126" s="94">
        <v>1</v>
      </c>
      <c r="J126" s="95">
        <v>75</v>
      </c>
    </row>
    <row r="127" spans="1:10" x14ac:dyDescent="0.25">
      <c r="A127" s="92">
        <v>45751</v>
      </c>
      <c r="B127" s="93" t="s">
        <v>333</v>
      </c>
      <c r="C127" s="89" t="s">
        <v>40</v>
      </c>
      <c r="D127" s="93" t="s">
        <v>320</v>
      </c>
      <c r="E127" s="93" t="s">
        <v>35</v>
      </c>
      <c r="F127" s="93" t="s">
        <v>322</v>
      </c>
      <c r="G127" s="93" t="s">
        <v>319</v>
      </c>
      <c r="H127" s="93" t="s">
        <v>352</v>
      </c>
      <c r="I127" s="94">
        <v>7.67</v>
      </c>
      <c r="J127" s="95">
        <v>245.44</v>
      </c>
    </row>
    <row r="128" spans="1:10" x14ac:dyDescent="0.25">
      <c r="A128" s="92">
        <v>45751</v>
      </c>
      <c r="B128" s="93" t="s">
        <v>327</v>
      </c>
      <c r="C128" s="89" t="s">
        <v>40</v>
      </c>
      <c r="D128" s="93" t="s">
        <v>320</v>
      </c>
      <c r="E128" s="93" t="s">
        <v>35</v>
      </c>
      <c r="F128" s="93" t="s">
        <v>322</v>
      </c>
      <c r="G128" s="93" t="s">
        <v>319</v>
      </c>
      <c r="H128" s="93" t="s">
        <v>352</v>
      </c>
      <c r="I128" s="94">
        <v>7.25</v>
      </c>
      <c r="J128" s="95">
        <v>232</v>
      </c>
    </row>
    <row r="129" spans="1:10" x14ac:dyDescent="0.25">
      <c r="A129" s="92">
        <v>45751</v>
      </c>
      <c r="B129" s="93" t="s">
        <v>323</v>
      </c>
      <c r="C129" s="89" t="s">
        <v>40</v>
      </c>
      <c r="D129" s="93" t="s">
        <v>231</v>
      </c>
      <c r="E129" s="93" t="s">
        <v>36</v>
      </c>
      <c r="F129" s="93" t="s">
        <v>420</v>
      </c>
      <c r="G129" s="93" t="s">
        <v>346</v>
      </c>
      <c r="H129" s="93" t="s">
        <v>342</v>
      </c>
      <c r="I129" s="94">
        <v>0.25</v>
      </c>
      <c r="J129" s="95">
        <v>15</v>
      </c>
    </row>
    <row r="130" spans="1:10" x14ac:dyDescent="0.25">
      <c r="A130" s="92">
        <v>45751</v>
      </c>
      <c r="B130" s="93" t="s">
        <v>323</v>
      </c>
      <c r="C130" s="89" t="s">
        <v>40</v>
      </c>
      <c r="D130" s="93" t="s">
        <v>232</v>
      </c>
      <c r="E130" s="93" t="s">
        <v>36</v>
      </c>
      <c r="F130" s="93" t="s">
        <v>393</v>
      </c>
      <c r="G130" s="93" t="s">
        <v>346</v>
      </c>
      <c r="H130" s="93" t="s">
        <v>342</v>
      </c>
      <c r="I130" s="94">
        <v>0.25</v>
      </c>
      <c r="J130" s="95">
        <v>15</v>
      </c>
    </row>
    <row r="131" spans="1:10" x14ac:dyDescent="0.25">
      <c r="A131" s="92">
        <v>45751</v>
      </c>
      <c r="B131" s="93" t="s">
        <v>323</v>
      </c>
      <c r="C131" s="89" t="s">
        <v>40</v>
      </c>
      <c r="D131" s="93" t="s">
        <v>266</v>
      </c>
      <c r="E131" s="93" t="s">
        <v>36</v>
      </c>
      <c r="F131" s="93" t="s">
        <v>394</v>
      </c>
      <c r="G131" s="93" t="s">
        <v>346</v>
      </c>
      <c r="H131" s="93" t="s">
        <v>342</v>
      </c>
      <c r="I131" s="94">
        <v>0.33</v>
      </c>
      <c r="J131" s="95">
        <v>19.8</v>
      </c>
    </row>
    <row r="132" spans="1:10" x14ac:dyDescent="0.25">
      <c r="A132" s="92">
        <v>45751</v>
      </c>
      <c r="B132" s="93" t="s">
        <v>323</v>
      </c>
      <c r="C132" s="89" t="s">
        <v>40</v>
      </c>
      <c r="D132" s="93" t="s">
        <v>274</v>
      </c>
      <c r="E132" s="93" t="s">
        <v>36</v>
      </c>
      <c r="F132" s="93" t="s">
        <v>421</v>
      </c>
      <c r="G132" s="93" t="s">
        <v>346</v>
      </c>
      <c r="H132" s="93" t="s">
        <v>342</v>
      </c>
      <c r="I132" s="94">
        <v>0.5</v>
      </c>
      <c r="J132" s="95">
        <v>30</v>
      </c>
    </row>
    <row r="133" spans="1:10" x14ac:dyDescent="0.25">
      <c r="A133" s="92">
        <v>45751</v>
      </c>
      <c r="B133" s="93" t="s">
        <v>325</v>
      </c>
      <c r="C133" s="89" t="s">
        <v>40</v>
      </c>
      <c r="D133" s="93" t="s">
        <v>198</v>
      </c>
      <c r="E133" s="93" t="s">
        <v>34</v>
      </c>
      <c r="F133" s="93" t="s">
        <v>413</v>
      </c>
      <c r="G133" s="93" t="s">
        <v>347</v>
      </c>
      <c r="H133" s="93" t="s">
        <v>343</v>
      </c>
      <c r="I133" s="94">
        <v>0.17</v>
      </c>
      <c r="J133" s="95">
        <v>12.750000000000002</v>
      </c>
    </row>
    <row r="134" spans="1:10" x14ac:dyDescent="0.25">
      <c r="A134" s="92">
        <v>45751</v>
      </c>
      <c r="B134" s="93" t="s">
        <v>330</v>
      </c>
      <c r="C134" s="89" t="s">
        <v>40</v>
      </c>
      <c r="D134" s="93" t="s">
        <v>252</v>
      </c>
      <c r="E134" s="93" t="s">
        <v>36</v>
      </c>
      <c r="F134" s="93" t="s">
        <v>416</v>
      </c>
      <c r="G134" s="93" t="s">
        <v>347</v>
      </c>
      <c r="H134" s="93" t="s">
        <v>342</v>
      </c>
      <c r="I134" s="94">
        <v>3</v>
      </c>
      <c r="J134" s="95">
        <v>180</v>
      </c>
    </row>
    <row r="135" spans="1:10" x14ac:dyDescent="0.25">
      <c r="A135" s="92">
        <v>45751</v>
      </c>
      <c r="B135" s="93" t="s">
        <v>325</v>
      </c>
      <c r="C135" s="89" t="s">
        <v>40</v>
      </c>
      <c r="D135" s="93" t="s">
        <v>179</v>
      </c>
      <c r="E135" s="93" t="s">
        <v>34</v>
      </c>
      <c r="F135" s="93" t="s">
        <v>422</v>
      </c>
      <c r="G135" s="93" t="s">
        <v>347</v>
      </c>
      <c r="H135" s="93" t="s">
        <v>343</v>
      </c>
      <c r="I135" s="94">
        <v>0.25</v>
      </c>
      <c r="J135" s="95">
        <v>18.75</v>
      </c>
    </row>
    <row r="136" spans="1:10" x14ac:dyDescent="0.25">
      <c r="A136" s="92">
        <v>45751</v>
      </c>
      <c r="B136" s="93" t="s">
        <v>329</v>
      </c>
      <c r="C136" s="89" t="s">
        <v>40</v>
      </c>
      <c r="D136" s="93" t="s">
        <v>221</v>
      </c>
      <c r="E136" s="93" t="s">
        <v>34</v>
      </c>
      <c r="F136" s="93" t="s">
        <v>369</v>
      </c>
      <c r="G136" s="93" t="s">
        <v>347</v>
      </c>
      <c r="H136" s="93" t="s">
        <v>343</v>
      </c>
      <c r="I136" s="94">
        <v>0.17</v>
      </c>
      <c r="J136" s="95">
        <v>12.750000000000002</v>
      </c>
    </row>
    <row r="137" spans="1:10" x14ac:dyDescent="0.25">
      <c r="A137" s="92">
        <v>45751</v>
      </c>
      <c r="B137" s="93" t="s">
        <v>325</v>
      </c>
      <c r="C137" s="89" t="s">
        <v>40</v>
      </c>
      <c r="D137" s="93" t="s">
        <v>224</v>
      </c>
      <c r="E137" s="93" t="s">
        <v>34</v>
      </c>
      <c r="F137" s="93" t="s">
        <v>423</v>
      </c>
      <c r="G137" s="93" t="s">
        <v>347</v>
      </c>
      <c r="H137" s="93" t="s">
        <v>343</v>
      </c>
      <c r="I137" s="94">
        <v>0.17</v>
      </c>
      <c r="J137" s="95">
        <v>12.750000000000002</v>
      </c>
    </row>
    <row r="138" spans="1:10" x14ac:dyDescent="0.25">
      <c r="A138" s="92">
        <v>45751</v>
      </c>
      <c r="B138" s="93" t="s">
        <v>329</v>
      </c>
      <c r="C138" s="89" t="s">
        <v>40</v>
      </c>
      <c r="D138" s="93" t="s">
        <v>268</v>
      </c>
      <c r="E138" s="93" t="s">
        <v>34</v>
      </c>
      <c r="F138" s="93" t="s">
        <v>386</v>
      </c>
      <c r="G138" s="93" t="s">
        <v>347</v>
      </c>
      <c r="H138" s="93" t="s">
        <v>343</v>
      </c>
      <c r="I138" s="94">
        <v>1</v>
      </c>
      <c r="J138" s="95">
        <v>75</v>
      </c>
    </row>
    <row r="139" spans="1:10" x14ac:dyDescent="0.25">
      <c r="A139" s="92">
        <v>45751</v>
      </c>
      <c r="B139" s="93" t="s">
        <v>326</v>
      </c>
      <c r="C139" s="89" t="s">
        <v>40</v>
      </c>
      <c r="D139" s="93" t="s">
        <v>188</v>
      </c>
      <c r="E139" s="93" t="s">
        <v>34</v>
      </c>
      <c r="F139" s="93" t="s">
        <v>356</v>
      </c>
      <c r="G139" s="93" t="s">
        <v>348</v>
      </c>
      <c r="H139" s="93" t="s">
        <v>343</v>
      </c>
      <c r="I139" s="94">
        <v>1.33</v>
      </c>
      <c r="J139" s="95">
        <v>79.800000000000011</v>
      </c>
    </row>
    <row r="140" spans="1:10" x14ac:dyDescent="0.25">
      <c r="A140" s="92">
        <v>45751</v>
      </c>
      <c r="B140" s="93" t="s">
        <v>326</v>
      </c>
      <c r="C140" s="89" t="s">
        <v>40</v>
      </c>
      <c r="D140" s="93" t="s">
        <v>236</v>
      </c>
      <c r="E140" s="93" t="s">
        <v>34</v>
      </c>
      <c r="F140" s="93" t="s">
        <v>357</v>
      </c>
      <c r="G140" s="93" t="s">
        <v>348</v>
      </c>
      <c r="H140" s="93" t="s">
        <v>343</v>
      </c>
      <c r="I140" s="94">
        <v>0.67</v>
      </c>
      <c r="J140" s="95">
        <v>40.200000000000003</v>
      </c>
    </row>
    <row r="141" spans="1:10" x14ac:dyDescent="0.25">
      <c r="A141" s="92">
        <v>45751</v>
      </c>
      <c r="B141" s="93" t="s">
        <v>332</v>
      </c>
      <c r="C141" s="89" t="s">
        <v>40</v>
      </c>
      <c r="D141" s="93" t="s">
        <v>314</v>
      </c>
      <c r="E141" s="93" t="s">
        <v>35</v>
      </c>
      <c r="F141" s="93" t="s">
        <v>359</v>
      </c>
      <c r="G141" s="93" t="s">
        <v>339</v>
      </c>
      <c r="H141" s="93" t="s">
        <v>352</v>
      </c>
      <c r="I141" s="94">
        <v>8</v>
      </c>
      <c r="J141" s="95">
        <v>320</v>
      </c>
    </row>
    <row r="142" spans="1:10" x14ac:dyDescent="0.25">
      <c r="A142" s="92">
        <v>45751</v>
      </c>
      <c r="B142" s="93" t="s">
        <v>324</v>
      </c>
      <c r="C142" s="89" t="s">
        <v>40</v>
      </c>
      <c r="D142" s="93" t="s">
        <v>314</v>
      </c>
      <c r="E142" s="93" t="s">
        <v>35</v>
      </c>
      <c r="F142" s="93" t="s">
        <v>359</v>
      </c>
      <c r="G142" s="93" t="s">
        <v>339</v>
      </c>
      <c r="H142" s="93" t="s">
        <v>352</v>
      </c>
      <c r="I142" s="94">
        <v>6.75</v>
      </c>
      <c r="J142" s="95">
        <v>506.25</v>
      </c>
    </row>
    <row r="143" spans="1:10" x14ac:dyDescent="0.25">
      <c r="A143" s="92">
        <v>45752</v>
      </c>
      <c r="B143" s="93" t="s">
        <v>332</v>
      </c>
      <c r="C143" s="89" t="s">
        <v>40</v>
      </c>
      <c r="D143" s="93" t="s">
        <v>314</v>
      </c>
      <c r="E143" s="93" t="s">
        <v>35</v>
      </c>
      <c r="F143" s="93" t="s">
        <v>359</v>
      </c>
      <c r="G143" s="93" t="s">
        <v>339</v>
      </c>
      <c r="H143" s="93" t="s">
        <v>352</v>
      </c>
      <c r="I143" s="94">
        <v>4</v>
      </c>
      <c r="J143" s="95">
        <v>160</v>
      </c>
    </row>
    <row r="144" spans="1:10" x14ac:dyDescent="0.25">
      <c r="A144" s="92">
        <v>45754</v>
      </c>
      <c r="B144" s="93" t="s">
        <v>333</v>
      </c>
      <c r="C144" s="89" t="s">
        <v>40</v>
      </c>
      <c r="D144" s="93" t="s">
        <v>320</v>
      </c>
      <c r="E144" s="93" t="s">
        <v>35</v>
      </c>
      <c r="F144" s="93" t="s">
        <v>322</v>
      </c>
      <c r="G144" s="93" t="s">
        <v>319</v>
      </c>
      <c r="H144" s="93" t="s">
        <v>352</v>
      </c>
      <c r="I144" s="94">
        <v>3.35</v>
      </c>
      <c r="J144" s="95">
        <v>107.2</v>
      </c>
    </row>
    <row r="145" spans="1:10" x14ac:dyDescent="0.25">
      <c r="A145" s="92">
        <v>45754</v>
      </c>
      <c r="B145" s="93" t="s">
        <v>327</v>
      </c>
      <c r="C145" s="89" t="s">
        <v>40</v>
      </c>
      <c r="D145" s="93" t="s">
        <v>320</v>
      </c>
      <c r="E145" s="93" t="s">
        <v>35</v>
      </c>
      <c r="F145" s="93" t="s">
        <v>322</v>
      </c>
      <c r="G145" s="93" t="s">
        <v>319</v>
      </c>
      <c r="H145" s="93" t="s">
        <v>352</v>
      </c>
      <c r="I145" s="94">
        <v>7.5</v>
      </c>
      <c r="J145" s="95">
        <v>240</v>
      </c>
    </row>
    <row r="146" spans="1:10" x14ac:dyDescent="0.25">
      <c r="A146" s="92">
        <v>45754</v>
      </c>
      <c r="B146" s="93" t="s">
        <v>325</v>
      </c>
      <c r="C146" s="89" t="s">
        <v>40</v>
      </c>
      <c r="D146" s="93" t="s">
        <v>170</v>
      </c>
      <c r="E146" s="93" t="s">
        <v>34</v>
      </c>
      <c r="F146" s="93" t="s">
        <v>424</v>
      </c>
      <c r="G146" s="93" t="s">
        <v>347</v>
      </c>
      <c r="H146" s="93" t="s">
        <v>343</v>
      </c>
      <c r="I146" s="94">
        <v>0.17</v>
      </c>
      <c r="J146" s="95">
        <v>12.750000000000002</v>
      </c>
    </row>
    <row r="147" spans="1:10" x14ac:dyDescent="0.25">
      <c r="A147" s="92">
        <v>45754</v>
      </c>
      <c r="B147" s="93" t="s">
        <v>325</v>
      </c>
      <c r="C147" s="89" t="s">
        <v>40</v>
      </c>
      <c r="D147" s="93" t="s">
        <v>276</v>
      </c>
      <c r="E147" s="93" t="s">
        <v>34</v>
      </c>
      <c r="F147" s="93" t="s">
        <v>425</v>
      </c>
      <c r="G147" s="93" t="s">
        <v>347</v>
      </c>
      <c r="H147" s="93" t="s">
        <v>343</v>
      </c>
      <c r="I147" s="94">
        <v>0.17</v>
      </c>
      <c r="J147" s="95">
        <v>12.750000000000002</v>
      </c>
    </row>
    <row r="148" spans="1:10" x14ac:dyDescent="0.25">
      <c r="A148" s="92">
        <v>45754</v>
      </c>
      <c r="B148" s="93" t="s">
        <v>326</v>
      </c>
      <c r="C148" s="89" t="s">
        <v>40</v>
      </c>
      <c r="D148" s="93" t="s">
        <v>175</v>
      </c>
      <c r="E148" s="93" t="s">
        <v>34</v>
      </c>
      <c r="F148" s="93" t="s">
        <v>388</v>
      </c>
      <c r="G148" s="93" t="s">
        <v>348</v>
      </c>
      <c r="H148" s="93" t="s">
        <v>343</v>
      </c>
      <c r="I148" s="94">
        <v>0.33</v>
      </c>
      <c r="J148" s="95">
        <v>19.8</v>
      </c>
    </row>
    <row r="149" spans="1:10" x14ac:dyDescent="0.25">
      <c r="A149" s="92">
        <v>45754</v>
      </c>
      <c r="B149" s="93" t="s">
        <v>326</v>
      </c>
      <c r="C149" s="89" t="s">
        <v>40</v>
      </c>
      <c r="D149" s="93" t="s">
        <v>265</v>
      </c>
      <c r="E149" s="93" t="s">
        <v>34</v>
      </c>
      <c r="F149" s="93" t="s">
        <v>358</v>
      </c>
      <c r="G149" s="93" t="s">
        <v>348</v>
      </c>
      <c r="H149" s="93" t="s">
        <v>343</v>
      </c>
      <c r="I149" s="94">
        <v>0.33</v>
      </c>
      <c r="J149" s="95">
        <v>19.8</v>
      </c>
    </row>
    <row r="150" spans="1:10" x14ac:dyDescent="0.25">
      <c r="A150" s="92">
        <v>45754</v>
      </c>
      <c r="B150" s="93" t="s">
        <v>326</v>
      </c>
      <c r="C150" s="89" t="s">
        <v>40</v>
      </c>
      <c r="D150" s="93" t="s">
        <v>188</v>
      </c>
      <c r="E150" s="93" t="s">
        <v>341</v>
      </c>
      <c r="F150" s="93" t="s">
        <v>356</v>
      </c>
      <c r="G150" s="93" t="s">
        <v>348</v>
      </c>
      <c r="H150" s="93" t="s">
        <v>344</v>
      </c>
      <c r="I150" s="94">
        <v>1.17</v>
      </c>
      <c r="J150" s="95">
        <v>70.199999999999989</v>
      </c>
    </row>
    <row r="151" spans="1:10" x14ac:dyDescent="0.25">
      <c r="A151" s="92">
        <v>45755</v>
      </c>
      <c r="B151" s="93" t="s">
        <v>329</v>
      </c>
      <c r="C151" s="89" t="s">
        <v>40</v>
      </c>
      <c r="D151" s="93" t="s">
        <v>269</v>
      </c>
      <c r="E151" s="93" t="s">
        <v>34</v>
      </c>
      <c r="F151" s="93" t="s">
        <v>361</v>
      </c>
      <c r="G151" s="93" t="s">
        <v>347</v>
      </c>
      <c r="H151" s="93" t="s">
        <v>343</v>
      </c>
      <c r="I151" s="94">
        <v>0.17</v>
      </c>
      <c r="J151" s="95">
        <v>12.750000000000002</v>
      </c>
    </row>
    <row r="152" spans="1:10" x14ac:dyDescent="0.25">
      <c r="A152" s="92">
        <v>45755</v>
      </c>
      <c r="B152" s="93" t="s">
        <v>329</v>
      </c>
      <c r="C152" s="89" t="s">
        <v>40</v>
      </c>
      <c r="D152" s="93" t="s">
        <v>247</v>
      </c>
      <c r="E152" s="93" t="s">
        <v>341</v>
      </c>
      <c r="F152" s="93" t="s">
        <v>375</v>
      </c>
      <c r="G152" s="93" t="s">
        <v>347</v>
      </c>
      <c r="H152" s="93" t="s">
        <v>344</v>
      </c>
      <c r="I152" s="94">
        <v>2</v>
      </c>
      <c r="J152" s="95">
        <v>150</v>
      </c>
    </row>
    <row r="153" spans="1:10" x14ac:dyDescent="0.25">
      <c r="A153" s="92">
        <v>45755</v>
      </c>
      <c r="B153" s="93" t="s">
        <v>323</v>
      </c>
      <c r="C153" s="89" t="s">
        <v>40</v>
      </c>
      <c r="D153" s="93" t="s">
        <v>168</v>
      </c>
      <c r="E153" s="93" t="s">
        <v>36</v>
      </c>
      <c r="F153" s="93" t="s">
        <v>419</v>
      </c>
      <c r="G153" s="93" t="s">
        <v>346</v>
      </c>
      <c r="H153" s="93" t="s">
        <v>342</v>
      </c>
      <c r="I153" s="94">
        <v>0.5</v>
      </c>
      <c r="J153" s="95">
        <v>30</v>
      </c>
    </row>
    <row r="154" spans="1:10" x14ac:dyDescent="0.25">
      <c r="A154" s="92">
        <v>45755</v>
      </c>
      <c r="B154" s="93" t="s">
        <v>329</v>
      </c>
      <c r="C154" s="89" t="s">
        <v>40</v>
      </c>
      <c r="D154" s="93" t="s">
        <v>316</v>
      </c>
      <c r="E154" s="93" t="s">
        <v>35</v>
      </c>
      <c r="F154" s="93" t="s">
        <v>338</v>
      </c>
      <c r="G154" s="93" t="s">
        <v>337</v>
      </c>
      <c r="H154" s="93" t="s">
        <v>352</v>
      </c>
      <c r="I154" s="94">
        <v>1.33</v>
      </c>
      <c r="J154" s="95">
        <v>99.75</v>
      </c>
    </row>
    <row r="155" spans="1:10" x14ac:dyDescent="0.25">
      <c r="A155" s="92">
        <v>45755</v>
      </c>
      <c r="B155" s="93" t="s">
        <v>333</v>
      </c>
      <c r="C155" s="89" t="s">
        <v>40</v>
      </c>
      <c r="D155" s="93" t="s">
        <v>320</v>
      </c>
      <c r="E155" s="93" t="s">
        <v>35</v>
      </c>
      <c r="F155" s="93" t="s">
        <v>322</v>
      </c>
      <c r="G155" s="93" t="s">
        <v>319</v>
      </c>
      <c r="H155" s="93" t="s">
        <v>352</v>
      </c>
      <c r="I155" s="94">
        <v>6.6</v>
      </c>
      <c r="J155" s="95">
        <v>211.2</v>
      </c>
    </row>
    <row r="156" spans="1:10" x14ac:dyDescent="0.25">
      <c r="A156" s="92">
        <v>45755</v>
      </c>
      <c r="B156" s="93" t="s">
        <v>327</v>
      </c>
      <c r="C156" s="89" t="s">
        <v>40</v>
      </c>
      <c r="D156" s="93" t="s">
        <v>320</v>
      </c>
      <c r="E156" s="93" t="s">
        <v>35</v>
      </c>
      <c r="F156" s="93" t="s">
        <v>322</v>
      </c>
      <c r="G156" s="93" t="s">
        <v>319</v>
      </c>
      <c r="H156" s="93" t="s">
        <v>352</v>
      </c>
      <c r="I156" s="94">
        <v>7.25</v>
      </c>
      <c r="J156" s="95">
        <v>232</v>
      </c>
    </row>
    <row r="157" spans="1:10" x14ac:dyDescent="0.25">
      <c r="A157" s="92">
        <v>45755</v>
      </c>
      <c r="B157" s="93" t="s">
        <v>323</v>
      </c>
      <c r="C157" s="89" t="s">
        <v>40</v>
      </c>
      <c r="D157" s="93" t="s">
        <v>232</v>
      </c>
      <c r="E157" s="93" t="s">
        <v>36</v>
      </c>
      <c r="F157" s="93" t="s">
        <v>393</v>
      </c>
      <c r="G157" s="93" t="s">
        <v>346</v>
      </c>
      <c r="H157" s="93" t="s">
        <v>342</v>
      </c>
      <c r="I157" s="94">
        <v>0.25</v>
      </c>
      <c r="J157" s="95">
        <v>15</v>
      </c>
    </row>
    <row r="158" spans="1:10" x14ac:dyDescent="0.25">
      <c r="A158" s="92">
        <v>45755</v>
      </c>
      <c r="B158" s="93" t="s">
        <v>330</v>
      </c>
      <c r="C158" s="89" t="s">
        <v>40</v>
      </c>
      <c r="D158" s="93" t="s">
        <v>225</v>
      </c>
      <c r="E158" s="93" t="s">
        <v>36</v>
      </c>
      <c r="F158" s="93" t="s">
        <v>365</v>
      </c>
      <c r="G158" s="93" t="s">
        <v>347</v>
      </c>
      <c r="H158" s="93" t="s">
        <v>342</v>
      </c>
      <c r="I158" s="94">
        <v>1.42</v>
      </c>
      <c r="J158" s="95">
        <v>85.199999999999989</v>
      </c>
    </row>
    <row r="159" spans="1:10" x14ac:dyDescent="0.25">
      <c r="A159" s="92">
        <v>45755</v>
      </c>
      <c r="B159" s="93" t="s">
        <v>329</v>
      </c>
      <c r="C159" s="89" t="s">
        <v>40</v>
      </c>
      <c r="D159" s="93" t="s">
        <v>197</v>
      </c>
      <c r="E159" s="93" t="s">
        <v>34</v>
      </c>
      <c r="F159" s="93" t="s">
        <v>366</v>
      </c>
      <c r="G159" s="93" t="s">
        <v>347</v>
      </c>
      <c r="H159" s="93" t="s">
        <v>343</v>
      </c>
      <c r="I159" s="94">
        <v>0.25</v>
      </c>
      <c r="J159" s="95">
        <v>18.75</v>
      </c>
    </row>
    <row r="160" spans="1:10" x14ac:dyDescent="0.25">
      <c r="A160" s="92">
        <v>45755</v>
      </c>
      <c r="B160" s="93" t="s">
        <v>330</v>
      </c>
      <c r="C160" s="89" t="s">
        <v>40</v>
      </c>
      <c r="D160" s="93" t="s">
        <v>252</v>
      </c>
      <c r="E160" s="93" t="s">
        <v>36</v>
      </c>
      <c r="F160" s="93" t="s">
        <v>416</v>
      </c>
      <c r="G160" s="93" t="s">
        <v>347</v>
      </c>
      <c r="H160" s="93" t="s">
        <v>342</v>
      </c>
      <c r="I160" s="94">
        <v>3.5</v>
      </c>
      <c r="J160" s="95">
        <v>210</v>
      </c>
    </row>
    <row r="161" spans="1:10" x14ac:dyDescent="0.25">
      <c r="A161" s="92">
        <v>45755</v>
      </c>
      <c r="B161" s="93" t="s">
        <v>325</v>
      </c>
      <c r="C161" s="89" t="s">
        <v>40</v>
      </c>
      <c r="D161" s="93" t="s">
        <v>179</v>
      </c>
      <c r="E161" s="93" t="s">
        <v>34</v>
      </c>
      <c r="F161" s="93" t="s">
        <v>422</v>
      </c>
      <c r="G161" s="93" t="s">
        <v>347</v>
      </c>
      <c r="H161" s="93" t="s">
        <v>343</v>
      </c>
      <c r="I161" s="94">
        <v>0.25</v>
      </c>
      <c r="J161" s="95">
        <v>18.75</v>
      </c>
    </row>
    <row r="162" spans="1:10" x14ac:dyDescent="0.25">
      <c r="A162" s="92">
        <v>45755</v>
      </c>
      <c r="B162" s="93" t="s">
        <v>329</v>
      </c>
      <c r="C162" s="89" t="s">
        <v>40</v>
      </c>
      <c r="D162" s="93" t="s">
        <v>183</v>
      </c>
      <c r="E162" s="93" t="s">
        <v>34</v>
      </c>
      <c r="F162" s="93" t="s">
        <v>368</v>
      </c>
      <c r="G162" s="93" t="s">
        <v>347</v>
      </c>
      <c r="H162" s="93" t="s">
        <v>343</v>
      </c>
      <c r="I162" s="94">
        <v>0.08</v>
      </c>
      <c r="J162" s="95">
        <v>6</v>
      </c>
    </row>
    <row r="163" spans="1:10" x14ac:dyDescent="0.25">
      <c r="A163" s="92">
        <v>45755</v>
      </c>
      <c r="B163" s="93" t="s">
        <v>329</v>
      </c>
      <c r="C163" s="89" t="s">
        <v>40</v>
      </c>
      <c r="D163" s="93" t="s">
        <v>206</v>
      </c>
      <c r="E163" s="93" t="s">
        <v>34</v>
      </c>
      <c r="F163" s="93" t="s">
        <v>367</v>
      </c>
      <c r="G163" s="93" t="s">
        <v>347</v>
      </c>
      <c r="H163" s="93" t="s">
        <v>343</v>
      </c>
      <c r="I163" s="94">
        <v>0.08</v>
      </c>
      <c r="J163" s="95">
        <v>6</v>
      </c>
    </row>
    <row r="164" spans="1:10" x14ac:dyDescent="0.25">
      <c r="A164" s="92">
        <v>45755</v>
      </c>
      <c r="B164" s="93" t="s">
        <v>329</v>
      </c>
      <c r="C164" s="89" t="s">
        <v>40</v>
      </c>
      <c r="D164" s="93" t="s">
        <v>301</v>
      </c>
      <c r="E164" s="93" t="s">
        <v>34</v>
      </c>
      <c r="F164" s="93" t="s">
        <v>371</v>
      </c>
      <c r="G164" s="93" t="s">
        <v>347</v>
      </c>
      <c r="H164" s="93" t="s">
        <v>343</v>
      </c>
      <c r="I164" s="94">
        <v>0.17</v>
      </c>
      <c r="J164" s="95">
        <v>12.750000000000002</v>
      </c>
    </row>
    <row r="165" spans="1:10" x14ac:dyDescent="0.25">
      <c r="A165" s="92">
        <v>45755</v>
      </c>
      <c r="B165" s="93" t="s">
        <v>329</v>
      </c>
      <c r="C165" s="89" t="s">
        <v>40</v>
      </c>
      <c r="D165" s="93" t="s">
        <v>303</v>
      </c>
      <c r="E165" s="93" t="s">
        <v>34</v>
      </c>
      <c r="F165" s="93" t="s">
        <v>400</v>
      </c>
      <c r="G165" s="93" t="s">
        <v>347</v>
      </c>
      <c r="H165" s="93" t="s">
        <v>343</v>
      </c>
      <c r="I165" s="94">
        <v>0.17</v>
      </c>
      <c r="J165" s="95">
        <v>12.750000000000002</v>
      </c>
    </row>
    <row r="166" spans="1:10" x14ac:dyDescent="0.25">
      <c r="A166" s="92">
        <v>45755</v>
      </c>
      <c r="B166" s="93" t="s">
        <v>329</v>
      </c>
      <c r="C166" s="89" t="s">
        <v>40</v>
      </c>
      <c r="D166" s="93" t="s">
        <v>229</v>
      </c>
      <c r="E166" s="93" t="s">
        <v>34</v>
      </c>
      <c r="F166" s="93" t="s">
        <v>373</v>
      </c>
      <c r="G166" s="93" t="s">
        <v>347</v>
      </c>
      <c r="H166" s="93" t="s">
        <v>343</v>
      </c>
      <c r="I166" s="94">
        <v>0.08</v>
      </c>
      <c r="J166" s="95">
        <v>6</v>
      </c>
    </row>
    <row r="167" spans="1:10" x14ac:dyDescent="0.25">
      <c r="A167" s="92">
        <v>45755</v>
      </c>
      <c r="B167" s="93" t="s">
        <v>329</v>
      </c>
      <c r="C167" s="89" t="s">
        <v>40</v>
      </c>
      <c r="D167" s="93" t="s">
        <v>240</v>
      </c>
      <c r="E167" s="93" t="s">
        <v>34</v>
      </c>
      <c r="F167" s="93" t="s">
        <v>402</v>
      </c>
      <c r="G167" s="93" t="s">
        <v>347</v>
      </c>
      <c r="H167" s="93" t="s">
        <v>343</v>
      </c>
      <c r="I167" s="94">
        <v>0.17</v>
      </c>
      <c r="J167" s="95">
        <v>12.750000000000002</v>
      </c>
    </row>
    <row r="168" spans="1:10" x14ac:dyDescent="0.25">
      <c r="A168" s="92">
        <v>45755</v>
      </c>
      <c r="B168" s="93" t="s">
        <v>329</v>
      </c>
      <c r="C168" s="89" t="s">
        <v>40</v>
      </c>
      <c r="D168" s="93" t="s">
        <v>238</v>
      </c>
      <c r="E168" s="93" t="s">
        <v>34</v>
      </c>
      <c r="F168" s="93" t="s">
        <v>374</v>
      </c>
      <c r="G168" s="93" t="s">
        <v>347</v>
      </c>
      <c r="H168" s="93" t="s">
        <v>343</v>
      </c>
      <c r="I168" s="94">
        <v>0.17</v>
      </c>
      <c r="J168" s="95">
        <v>12.750000000000002</v>
      </c>
    </row>
    <row r="169" spans="1:10" x14ac:dyDescent="0.25">
      <c r="A169" s="92">
        <v>45755</v>
      </c>
      <c r="B169" s="93" t="s">
        <v>329</v>
      </c>
      <c r="C169" s="89" t="s">
        <v>40</v>
      </c>
      <c r="D169" s="93" t="s">
        <v>247</v>
      </c>
      <c r="E169" s="93" t="s">
        <v>34</v>
      </c>
      <c r="F169" s="93" t="s">
        <v>375</v>
      </c>
      <c r="G169" s="93" t="s">
        <v>347</v>
      </c>
      <c r="H169" s="93" t="s">
        <v>343</v>
      </c>
      <c r="I169" s="94">
        <v>0.5</v>
      </c>
      <c r="J169" s="95">
        <v>37.5</v>
      </c>
    </row>
    <row r="170" spans="1:10" x14ac:dyDescent="0.25">
      <c r="A170" s="92">
        <v>45755</v>
      </c>
      <c r="B170" s="93" t="s">
        <v>329</v>
      </c>
      <c r="C170" s="89" t="s">
        <v>40</v>
      </c>
      <c r="D170" s="93" t="s">
        <v>293</v>
      </c>
      <c r="E170" s="93" t="s">
        <v>34</v>
      </c>
      <c r="F170" s="93" t="s">
        <v>376</v>
      </c>
      <c r="G170" s="93" t="s">
        <v>347</v>
      </c>
      <c r="H170" s="93" t="s">
        <v>343</v>
      </c>
      <c r="I170" s="94">
        <v>0.17</v>
      </c>
      <c r="J170" s="95">
        <v>12.750000000000002</v>
      </c>
    </row>
    <row r="171" spans="1:10" x14ac:dyDescent="0.25">
      <c r="A171" s="92">
        <v>45755</v>
      </c>
      <c r="B171" s="93" t="s">
        <v>329</v>
      </c>
      <c r="C171" s="89" t="s">
        <v>40</v>
      </c>
      <c r="D171" s="93" t="s">
        <v>248</v>
      </c>
      <c r="E171" s="93" t="s">
        <v>34</v>
      </c>
      <c r="F171" s="93" t="s">
        <v>385</v>
      </c>
      <c r="G171" s="93" t="s">
        <v>347</v>
      </c>
      <c r="H171" s="93" t="s">
        <v>343</v>
      </c>
      <c r="I171" s="94">
        <v>0.75</v>
      </c>
      <c r="J171" s="95">
        <v>56.25</v>
      </c>
    </row>
    <row r="172" spans="1:10" x14ac:dyDescent="0.25">
      <c r="A172" s="92">
        <v>45755</v>
      </c>
      <c r="B172" s="93" t="s">
        <v>325</v>
      </c>
      <c r="C172" s="89" t="s">
        <v>40</v>
      </c>
      <c r="D172" s="93" t="s">
        <v>277</v>
      </c>
      <c r="E172" s="93" t="s">
        <v>34</v>
      </c>
      <c r="F172" s="93" t="s">
        <v>353</v>
      </c>
      <c r="G172" s="93" t="s">
        <v>347</v>
      </c>
      <c r="H172" s="93" t="s">
        <v>343</v>
      </c>
      <c r="I172" s="94">
        <v>0.17</v>
      </c>
      <c r="J172" s="95">
        <v>12.750000000000002</v>
      </c>
    </row>
    <row r="173" spans="1:10" x14ac:dyDescent="0.25">
      <c r="A173" s="92">
        <v>45755</v>
      </c>
      <c r="B173" s="93" t="s">
        <v>329</v>
      </c>
      <c r="C173" s="89" t="s">
        <v>40</v>
      </c>
      <c r="D173" s="93" t="s">
        <v>268</v>
      </c>
      <c r="E173" s="93" t="s">
        <v>34</v>
      </c>
      <c r="F173" s="93" t="s">
        <v>386</v>
      </c>
      <c r="G173" s="93" t="s">
        <v>347</v>
      </c>
      <c r="H173" s="93" t="s">
        <v>343</v>
      </c>
      <c r="I173" s="94">
        <v>0.17</v>
      </c>
      <c r="J173" s="95">
        <v>12.750000000000002</v>
      </c>
    </row>
    <row r="174" spans="1:10" x14ac:dyDescent="0.25">
      <c r="A174" s="92">
        <v>45755</v>
      </c>
      <c r="B174" s="93" t="s">
        <v>329</v>
      </c>
      <c r="C174" s="89" t="s">
        <v>40</v>
      </c>
      <c r="D174" s="93" t="s">
        <v>248</v>
      </c>
      <c r="E174" s="93" t="s">
        <v>341</v>
      </c>
      <c r="F174" s="93" t="s">
        <v>385</v>
      </c>
      <c r="G174" s="93" t="s">
        <v>347</v>
      </c>
      <c r="H174" s="93" t="s">
        <v>344</v>
      </c>
      <c r="I174" s="94">
        <v>1.5</v>
      </c>
      <c r="J174" s="95">
        <v>112.5</v>
      </c>
    </row>
    <row r="175" spans="1:10" x14ac:dyDescent="0.25">
      <c r="A175" s="92">
        <v>45755</v>
      </c>
      <c r="B175" s="93" t="s">
        <v>332</v>
      </c>
      <c r="C175" s="89" t="s">
        <v>40</v>
      </c>
      <c r="D175" s="93" t="s">
        <v>314</v>
      </c>
      <c r="E175" s="93" t="s">
        <v>35</v>
      </c>
      <c r="F175" s="93" t="s">
        <v>359</v>
      </c>
      <c r="G175" s="93" t="s">
        <v>339</v>
      </c>
      <c r="H175" s="93" t="s">
        <v>352</v>
      </c>
      <c r="I175" s="94">
        <v>1.33</v>
      </c>
      <c r="J175" s="95">
        <v>53.2</v>
      </c>
    </row>
    <row r="176" spans="1:10" x14ac:dyDescent="0.25">
      <c r="A176" s="92">
        <v>45756</v>
      </c>
      <c r="B176" s="93" t="s">
        <v>329</v>
      </c>
      <c r="C176" s="89" t="s">
        <v>40</v>
      </c>
      <c r="D176" s="93" t="s">
        <v>270</v>
      </c>
      <c r="E176" s="93" t="s">
        <v>34</v>
      </c>
      <c r="F176" s="93" t="s">
        <v>360</v>
      </c>
      <c r="G176" s="93" t="s">
        <v>347</v>
      </c>
      <c r="H176" s="93" t="s">
        <v>343</v>
      </c>
      <c r="I176" s="94">
        <v>0.08</v>
      </c>
      <c r="J176" s="95">
        <v>6</v>
      </c>
    </row>
    <row r="177" spans="1:10" x14ac:dyDescent="0.25">
      <c r="A177" s="92">
        <v>45756</v>
      </c>
      <c r="B177" s="93" t="s">
        <v>330</v>
      </c>
      <c r="C177" s="89" t="s">
        <v>40</v>
      </c>
      <c r="D177" s="93" t="s">
        <v>225</v>
      </c>
      <c r="E177" s="93" t="s">
        <v>341</v>
      </c>
      <c r="F177" s="93" t="s">
        <v>365</v>
      </c>
      <c r="G177" s="93" t="s">
        <v>347</v>
      </c>
      <c r="H177" s="93" t="s">
        <v>344</v>
      </c>
      <c r="I177" s="94">
        <v>1.25</v>
      </c>
      <c r="J177" s="95">
        <v>75</v>
      </c>
    </row>
    <row r="178" spans="1:10" x14ac:dyDescent="0.25">
      <c r="A178" s="92">
        <v>45756</v>
      </c>
      <c r="B178" s="93" t="s">
        <v>329</v>
      </c>
      <c r="C178" s="89" t="s">
        <v>40</v>
      </c>
      <c r="D178" s="93" t="s">
        <v>316</v>
      </c>
      <c r="E178" s="93" t="s">
        <v>35</v>
      </c>
      <c r="F178" s="93" t="s">
        <v>338</v>
      </c>
      <c r="G178" s="93" t="s">
        <v>337</v>
      </c>
      <c r="H178" s="93" t="s">
        <v>352</v>
      </c>
      <c r="I178" s="94">
        <v>2</v>
      </c>
      <c r="J178" s="95">
        <v>150</v>
      </c>
    </row>
    <row r="179" spans="1:10" x14ac:dyDescent="0.25">
      <c r="A179" s="92">
        <v>45756</v>
      </c>
      <c r="B179" s="93" t="s">
        <v>333</v>
      </c>
      <c r="C179" s="89" t="s">
        <v>40</v>
      </c>
      <c r="D179" s="93" t="s">
        <v>320</v>
      </c>
      <c r="E179" s="93" t="s">
        <v>35</v>
      </c>
      <c r="F179" s="93" t="s">
        <v>322</v>
      </c>
      <c r="G179" s="93" t="s">
        <v>319</v>
      </c>
      <c r="H179" s="93" t="s">
        <v>352</v>
      </c>
      <c r="I179" s="94">
        <v>7.43</v>
      </c>
      <c r="J179" s="95">
        <v>237.76</v>
      </c>
    </row>
    <row r="180" spans="1:10" x14ac:dyDescent="0.25">
      <c r="A180" s="92">
        <v>45756</v>
      </c>
      <c r="B180" s="93" t="s">
        <v>327</v>
      </c>
      <c r="C180" s="89" t="s">
        <v>40</v>
      </c>
      <c r="D180" s="93" t="s">
        <v>320</v>
      </c>
      <c r="E180" s="93" t="s">
        <v>35</v>
      </c>
      <c r="F180" s="93" t="s">
        <v>322</v>
      </c>
      <c r="G180" s="93" t="s">
        <v>319</v>
      </c>
      <c r="H180" s="93" t="s">
        <v>352</v>
      </c>
      <c r="I180" s="94">
        <v>7.42</v>
      </c>
      <c r="J180" s="95">
        <v>237.44</v>
      </c>
    </row>
    <row r="181" spans="1:10" x14ac:dyDescent="0.25">
      <c r="A181" s="92">
        <v>45756</v>
      </c>
      <c r="B181" s="93" t="s">
        <v>330</v>
      </c>
      <c r="C181" s="89" t="s">
        <v>40</v>
      </c>
      <c r="D181" s="93" t="s">
        <v>252</v>
      </c>
      <c r="E181" s="93" t="s">
        <v>36</v>
      </c>
      <c r="F181" s="93" t="s">
        <v>416</v>
      </c>
      <c r="G181" s="93" t="s">
        <v>347</v>
      </c>
      <c r="H181" s="93" t="s">
        <v>342</v>
      </c>
      <c r="I181" s="94">
        <v>1</v>
      </c>
      <c r="J181" s="95">
        <v>60</v>
      </c>
    </row>
    <row r="182" spans="1:10" x14ac:dyDescent="0.25">
      <c r="A182" s="92">
        <v>45756</v>
      </c>
      <c r="B182" s="93" t="s">
        <v>329</v>
      </c>
      <c r="C182" s="89" t="s">
        <v>40</v>
      </c>
      <c r="D182" s="93" t="s">
        <v>181</v>
      </c>
      <c r="E182" s="93" t="s">
        <v>34</v>
      </c>
      <c r="F182" s="93" t="s">
        <v>396</v>
      </c>
      <c r="G182" s="93" t="s">
        <v>347</v>
      </c>
      <c r="H182" s="93" t="s">
        <v>343</v>
      </c>
      <c r="I182" s="94">
        <v>0.17</v>
      </c>
      <c r="J182" s="95">
        <v>12.750000000000002</v>
      </c>
    </row>
    <row r="183" spans="1:10" x14ac:dyDescent="0.25">
      <c r="A183" s="92">
        <v>45756</v>
      </c>
      <c r="B183" s="93" t="s">
        <v>329</v>
      </c>
      <c r="C183" s="89" t="s">
        <v>40</v>
      </c>
      <c r="D183" s="93" t="s">
        <v>302</v>
      </c>
      <c r="E183" s="93" t="s">
        <v>34</v>
      </c>
      <c r="F183" s="93" t="s">
        <v>398</v>
      </c>
      <c r="G183" s="93" t="s">
        <v>347</v>
      </c>
      <c r="H183" s="93" t="s">
        <v>343</v>
      </c>
      <c r="I183" s="94">
        <v>0.08</v>
      </c>
      <c r="J183" s="95">
        <v>6</v>
      </c>
    </row>
    <row r="184" spans="1:10" x14ac:dyDescent="0.25">
      <c r="A184" s="92">
        <v>45756</v>
      </c>
      <c r="B184" s="93" t="s">
        <v>329</v>
      </c>
      <c r="C184" s="89" t="s">
        <v>40</v>
      </c>
      <c r="D184" s="93" t="s">
        <v>303</v>
      </c>
      <c r="E184" s="93" t="s">
        <v>34</v>
      </c>
      <c r="F184" s="93" t="s">
        <v>400</v>
      </c>
      <c r="G184" s="93" t="s">
        <v>347</v>
      </c>
      <c r="H184" s="93" t="s">
        <v>343</v>
      </c>
      <c r="I184" s="94">
        <v>0.08</v>
      </c>
      <c r="J184" s="95">
        <v>6</v>
      </c>
    </row>
    <row r="185" spans="1:10" x14ac:dyDescent="0.25">
      <c r="A185" s="92">
        <v>45756</v>
      </c>
      <c r="B185" s="93" t="s">
        <v>329</v>
      </c>
      <c r="C185" s="89" t="s">
        <v>40</v>
      </c>
      <c r="D185" s="93" t="s">
        <v>229</v>
      </c>
      <c r="E185" s="93" t="s">
        <v>34</v>
      </c>
      <c r="F185" s="93" t="s">
        <v>373</v>
      </c>
      <c r="G185" s="93" t="s">
        <v>347</v>
      </c>
      <c r="H185" s="93" t="s">
        <v>343</v>
      </c>
      <c r="I185" s="94">
        <v>0.17</v>
      </c>
      <c r="J185" s="95">
        <v>12.750000000000002</v>
      </c>
    </row>
    <row r="186" spans="1:10" x14ac:dyDescent="0.25">
      <c r="A186" s="92">
        <v>45756</v>
      </c>
      <c r="B186" s="93" t="s">
        <v>330</v>
      </c>
      <c r="C186" s="89" t="s">
        <v>40</v>
      </c>
      <c r="D186" s="93" t="s">
        <v>225</v>
      </c>
      <c r="E186" s="93" t="s">
        <v>34</v>
      </c>
      <c r="F186" s="93" t="s">
        <v>365</v>
      </c>
      <c r="G186" s="93" t="s">
        <v>347</v>
      </c>
      <c r="H186" s="93" t="s">
        <v>343</v>
      </c>
      <c r="I186" s="94">
        <v>1.5</v>
      </c>
      <c r="J186" s="95">
        <v>90</v>
      </c>
    </row>
    <row r="187" spans="1:10" x14ac:dyDescent="0.25">
      <c r="A187" s="92">
        <v>45756</v>
      </c>
      <c r="B187" s="93" t="s">
        <v>329</v>
      </c>
      <c r="C187" s="89" t="s">
        <v>40</v>
      </c>
      <c r="D187" s="93" t="s">
        <v>240</v>
      </c>
      <c r="E187" s="93" t="s">
        <v>34</v>
      </c>
      <c r="F187" s="93" t="s">
        <v>402</v>
      </c>
      <c r="G187" s="93" t="s">
        <v>347</v>
      </c>
      <c r="H187" s="93" t="s">
        <v>343</v>
      </c>
      <c r="I187" s="94">
        <v>0.08</v>
      </c>
      <c r="J187" s="95">
        <v>6</v>
      </c>
    </row>
    <row r="188" spans="1:10" x14ac:dyDescent="0.25">
      <c r="A188" s="92">
        <v>45756</v>
      </c>
      <c r="B188" s="93" t="s">
        <v>329</v>
      </c>
      <c r="C188" s="89" t="s">
        <v>40</v>
      </c>
      <c r="D188" s="93" t="s">
        <v>242</v>
      </c>
      <c r="E188" s="93" t="s">
        <v>34</v>
      </c>
      <c r="F188" s="93" t="s">
        <v>404</v>
      </c>
      <c r="G188" s="93" t="s">
        <v>347</v>
      </c>
      <c r="H188" s="93" t="s">
        <v>343</v>
      </c>
      <c r="I188" s="94">
        <v>0.08</v>
      </c>
      <c r="J188" s="95">
        <v>6</v>
      </c>
    </row>
    <row r="189" spans="1:10" x14ac:dyDescent="0.25">
      <c r="A189" s="92">
        <v>45756</v>
      </c>
      <c r="B189" s="93" t="s">
        <v>329</v>
      </c>
      <c r="C189" s="89" t="s">
        <v>40</v>
      </c>
      <c r="D189" s="93" t="s">
        <v>247</v>
      </c>
      <c r="E189" s="93" t="s">
        <v>34</v>
      </c>
      <c r="F189" s="93" t="s">
        <v>375</v>
      </c>
      <c r="G189" s="93" t="s">
        <v>347</v>
      </c>
      <c r="H189" s="93" t="s">
        <v>343</v>
      </c>
      <c r="I189" s="94">
        <v>0.17</v>
      </c>
      <c r="J189" s="95">
        <v>12.750000000000002</v>
      </c>
    </row>
    <row r="190" spans="1:10" x14ac:dyDescent="0.25">
      <c r="A190" s="92">
        <v>45756</v>
      </c>
      <c r="B190" s="93" t="s">
        <v>329</v>
      </c>
      <c r="C190" s="89" t="s">
        <v>40</v>
      </c>
      <c r="D190" s="93" t="s">
        <v>294</v>
      </c>
      <c r="E190" s="93" t="s">
        <v>34</v>
      </c>
      <c r="F190" s="93" t="s">
        <v>377</v>
      </c>
      <c r="G190" s="93" t="s">
        <v>347</v>
      </c>
      <c r="H190" s="93" t="s">
        <v>343</v>
      </c>
      <c r="I190" s="94">
        <v>0.17</v>
      </c>
      <c r="J190" s="95">
        <v>12.750000000000002</v>
      </c>
    </row>
    <row r="191" spans="1:10" x14ac:dyDescent="0.25">
      <c r="A191" s="92">
        <v>45756</v>
      </c>
      <c r="B191" s="93" t="s">
        <v>329</v>
      </c>
      <c r="C191" s="89" t="s">
        <v>40</v>
      </c>
      <c r="D191" s="93" t="s">
        <v>296</v>
      </c>
      <c r="E191" s="93" t="s">
        <v>34</v>
      </c>
      <c r="F191" s="93" t="s">
        <v>411</v>
      </c>
      <c r="G191" s="93" t="s">
        <v>347</v>
      </c>
      <c r="H191" s="93" t="s">
        <v>343</v>
      </c>
      <c r="I191" s="94">
        <v>0.17</v>
      </c>
      <c r="J191" s="95">
        <v>12.750000000000002</v>
      </c>
    </row>
    <row r="192" spans="1:10" x14ac:dyDescent="0.25">
      <c r="A192" s="92">
        <v>45756</v>
      </c>
      <c r="B192" s="93" t="s">
        <v>329</v>
      </c>
      <c r="C192" s="89" t="s">
        <v>40</v>
      </c>
      <c r="D192" s="93" t="s">
        <v>258</v>
      </c>
      <c r="E192" s="93" t="s">
        <v>34</v>
      </c>
      <c r="F192" s="93" t="s">
        <v>381</v>
      </c>
      <c r="G192" s="93" t="s">
        <v>347</v>
      </c>
      <c r="H192" s="93" t="s">
        <v>343</v>
      </c>
      <c r="I192" s="94">
        <v>0.08</v>
      </c>
      <c r="J192" s="95">
        <v>6</v>
      </c>
    </row>
    <row r="193" spans="1:10" x14ac:dyDescent="0.25">
      <c r="A193" s="92">
        <v>45756</v>
      </c>
      <c r="B193" s="93" t="s">
        <v>329</v>
      </c>
      <c r="C193" s="89" t="s">
        <v>40</v>
      </c>
      <c r="D193" s="93" t="s">
        <v>248</v>
      </c>
      <c r="E193" s="93" t="s">
        <v>34</v>
      </c>
      <c r="F193" s="93" t="s">
        <v>385</v>
      </c>
      <c r="G193" s="93" t="s">
        <v>347</v>
      </c>
      <c r="H193" s="93" t="s">
        <v>343</v>
      </c>
      <c r="I193" s="94">
        <v>0.25</v>
      </c>
      <c r="J193" s="95">
        <v>18.75</v>
      </c>
    </row>
    <row r="194" spans="1:10" x14ac:dyDescent="0.25">
      <c r="A194" s="92">
        <v>45756</v>
      </c>
      <c r="B194" s="93" t="s">
        <v>329</v>
      </c>
      <c r="C194" s="89" t="s">
        <v>40</v>
      </c>
      <c r="D194" s="93" t="s">
        <v>230</v>
      </c>
      <c r="E194" s="93" t="s">
        <v>34</v>
      </c>
      <c r="F194" s="93" t="s">
        <v>410</v>
      </c>
      <c r="G194" s="93" t="s">
        <v>347</v>
      </c>
      <c r="H194" s="93" t="s">
        <v>343</v>
      </c>
      <c r="I194" s="94">
        <v>0.17</v>
      </c>
      <c r="J194" s="95">
        <v>12.750000000000002</v>
      </c>
    </row>
    <row r="195" spans="1:10" x14ac:dyDescent="0.25">
      <c r="A195" s="92">
        <v>45756</v>
      </c>
      <c r="B195" s="93" t="s">
        <v>329</v>
      </c>
      <c r="C195" s="89" t="s">
        <v>40</v>
      </c>
      <c r="D195" s="93" t="s">
        <v>268</v>
      </c>
      <c r="E195" s="93" t="s">
        <v>34</v>
      </c>
      <c r="F195" s="93" t="s">
        <v>386</v>
      </c>
      <c r="G195" s="93" t="s">
        <v>347</v>
      </c>
      <c r="H195" s="93" t="s">
        <v>343</v>
      </c>
      <c r="I195" s="94">
        <v>0.08</v>
      </c>
      <c r="J195" s="95">
        <v>6</v>
      </c>
    </row>
    <row r="196" spans="1:10" x14ac:dyDescent="0.25">
      <c r="A196" s="92">
        <v>45756</v>
      </c>
      <c r="B196" s="93" t="s">
        <v>330</v>
      </c>
      <c r="C196" s="89" t="s">
        <v>40</v>
      </c>
      <c r="D196" s="93" t="s">
        <v>263</v>
      </c>
      <c r="E196" s="93" t="s">
        <v>341</v>
      </c>
      <c r="F196" s="93" t="s">
        <v>383</v>
      </c>
      <c r="G196" s="93" t="s">
        <v>347</v>
      </c>
      <c r="H196" s="93" t="s">
        <v>344</v>
      </c>
      <c r="I196" s="94">
        <v>0.5</v>
      </c>
      <c r="J196" s="95">
        <v>30</v>
      </c>
    </row>
    <row r="197" spans="1:10" x14ac:dyDescent="0.25">
      <c r="A197" s="92">
        <v>45756</v>
      </c>
      <c r="B197" s="93" t="s">
        <v>332</v>
      </c>
      <c r="C197" s="89" t="s">
        <v>40</v>
      </c>
      <c r="D197" s="93" t="s">
        <v>314</v>
      </c>
      <c r="E197" s="93" t="s">
        <v>35</v>
      </c>
      <c r="F197" s="93" t="s">
        <v>359</v>
      </c>
      <c r="G197" s="93" t="s">
        <v>339</v>
      </c>
      <c r="H197" s="93" t="s">
        <v>352</v>
      </c>
      <c r="I197" s="94">
        <v>8.17</v>
      </c>
      <c r="J197" s="95">
        <v>326.8</v>
      </c>
    </row>
    <row r="198" spans="1:10" x14ac:dyDescent="0.25">
      <c r="A198" s="92">
        <v>45756</v>
      </c>
      <c r="B198" s="93" t="s">
        <v>324</v>
      </c>
      <c r="C198" s="89" t="s">
        <v>40</v>
      </c>
      <c r="D198" s="93" t="s">
        <v>314</v>
      </c>
      <c r="E198" s="93" t="s">
        <v>35</v>
      </c>
      <c r="F198" s="93" t="s">
        <v>359</v>
      </c>
      <c r="G198" s="93" t="s">
        <v>339</v>
      </c>
      <c r="H198" s="93" t="s">
        <v>352</v>
      </c>
      <c r="I198" s="94">
        <v>4.5</v>
      </c>
      <c r="J198" s="95">
        <v>337.5</v>
      </c>
    </row>
    <row r="199" spans="1:10" x14ac:dyDescent="0.25">
      <c r="A199" s="92">
        <v>45757</v>
      </c>
      <c r="B199" s="93" t="s">
        <v>329</v>
      </c>
      <c r="C199" s="89" t="s">
        <v>40</v>
      </c>
      <c r="D199" s="93" t="s">
        <v>269</v>
      </c>
      <c r="E199" s="93" t="s">
        <v>34</v>
      </c>
      <c r="F199" s="93" t="s">
        <v>361</v>
      </c>
      <c r="G199" s="93" t="s">
        <v>347</v>
      </c>
      <c r="H199" s="93" t="s">
        <v>343</v>
      </c>
      <c r="I199" s="94">
        <v>0.17</v>
      </c>
      <c r="J199" s="95">
        <v>12.750000000000002</v>
      </c>
    </row>
    <row r="200" spans="1:10" x14ac:dyDescent="0.25">
      <c r="A200" s="92">
        <v>45757</v>
      </c>
      <c r="B200" s="93" t="s">
        <v>329</v>
      </c>
      <c r="C200" s="89" t="s">
        <v>40</v>
      </c>
      <c r="D200" s="93" t="s">
        <v>316</v>
      </c>
      <c r="E200" s="93" t="s">
        <v>35</v>
      </c>
      <c r="F200" s="93" t="s">
        <v>338</v>
      </c>
      <c r="G200" s="93" t="s">
        <v>337</v>
      </c>
      <c r="H200" s="93" t="s">
        <v>352</v>
      </c>
      <c r="I200" s="94">
        <v>0.67</v>
      </c>
      <c r="J200" s="95">
        <v>50.25</v>
      </c>
    </row>
    <row r="201" spans="1:10" x14ac:dyDescent="0.25">
      <c r="A201" s="92">
        <v>45757</v>
      </c>
      <c r="B201" s="93" t="s">
        <v>333</v>
      </c>
      <c r="C201" s="89" t="s">
        <v>40</v>
      </c>
      <c r="D201" s="93" t="s">
        <v>320</v>
      </c>
      <c r="E201" s="93" t="s">
        <v>35</v>
      </c>
      <c r="F201" s="93" t="s">
        <v>322</v>
      </c>
      <c r="G201" s="93" t="s">
        <v>319</v>
      </c>
      <c r="H201" s="93" t="s">
        <v>352</v>
      </c>
      <c r="I201" s="94">
        <v>7.35</v>
      </c>
      <c r="J201" s="95">
        <v>235.2</v>
      </c>
    </row>
    <row r="202" spans="1:10" x14ac:dyDescent="0.25">
      <c r="A202" s="92">
        <v>45757</v>
      </c>
      <c r="B202" s="93" t="s">
        <v>327</v>
      </c>
      <c r="C202" s="89" t="s">
        <v>40</v>
      </c>
      <c r="D202" s="93" t="s">
        <v>320</v>
      </c>
      <c r="E202" s="93" t="s">
        <v>35</v>
      </c>
      <c r="F202" s="93" t="s">
        <v>322</v>
      </c>
      <c r="G202" s="93" t="s">
        <v>319</v>
      </c>
      <c r="H202" s="93" t="s">
        <v>352</v>
      </c>
      <c r="I202" s="94">
        <v>7.17</v>
      </c>
      <c r="J202" s="95">
        <v>229.44</v>
      </c>
    </row>
    <row r="203" spans="1:10" x14ac:dyDescent="0.25">
      <c r="A203" s="92">
        <v>45757</v>
      </c>
      <c r="B203" s="93" t="s">
        <v>323</v>
      </c>
      <c r="C203" s="89" t="s">
        <v>40</v>
      </c>
      <c r="D203" s="93" t="s">
        <v>201</v>
      </c>
      <c r="E203" s="93" t="s">
        <v>341</v>
      </c>
      <c r="F203" s="93" t="s">
        <v>395</v>
      </c>
      <c r="G203" s="93" t="s">
        <v>346</v>
      </c>
      <c r="H203" s="93" t="s">
        <v>344</v>
      </c>
      <c r="I203" s="94">
        <v>1</v>
      </c>
      <c r="J203" s="95">
        <v>60</v>
      </c>
    </row>
    <row r="204" spans="1:10" x14ac:dyDescent="0.25">
      <c r="A204" s="92">
        <v>45757</v>
      </c>
      <c r="B204" s="93" t="s">
        <v>329</v>
      </c>
      <c r="C204" s="89" t="s">
        <v>40</v>
      </c>
      <c r="D204" s="93" t="s">
        <v>247</v>
      </c>
      <c r="E204" s="93" t="s">
        <v>34</v>
      </c>
      <c r="F204" s="93" t="s">
        <v>375</v>
      </c>
      <c r="G204" s="93" t="s">
        <v>347</v>
      </c>
      <c r="H204" s="93" t="s">
        <v>343</v>
      </c>
      <c r="I204" s="94">
        <v>0.25</v>
      </c>
      <c r="J204" s="95">
        <v>18.75</v>
      </c>
    </row>
    <row r="205" spans="1:10" x14ac:dyDescent="0.25">
      <c r="A205" s="92">
        <v>45757</v>
      </c>
      <c r="B205" s="93" t="s">
        <v>329</v>
      </c>
      <c r="C205" s="89" t="s">
        <v>40</v>
      </c>
      <c r="D205" s="93" t="s">
        <v>293</v>
      </c>
      <c r="E205" s="93" t="s">
        <v>34</v>
      </c>
      <c r="F205" s="93" t="s">
        <v>376</v>
      </c>
      <c r="G205" s="93" t="s">
        <v>347</v>
      </c>
      <c r="H205" s="93" t="s">
        <v>343</v>
      </c>
      <c r="I205" s="94">
        <v>0.17</v>
      </c>
      <c r="J205" s="95">
        <v>12.750000000000002</v>
      </c>
    </row>
    <row r="206" spans="1:10" x14ac:dyDescent="0.25">
      <c r="A206" s="92">
        <v>45757</v>
      </c>
      <c r="B206" s="93" t="s">
        <v>329</v>
      </c>
      <c r="C206" s="89" t="s">
        <v>40</v>
      </c>
      <c r="D206" s="93" t="s">
        <v>295</v>
      </c>
      <c r="E206" s="93" t="s">
        <v>34</v>
      </c>
      <c r="F206" s="93" t="s">
        <v>379</v>
      </c>
      <c r="G206" s="93" t="s">
        <v>347</v>
      </c>
      <c r="H206" s="93" t="s">
        <v>343</v>
      </c>
      <c r="I206" s="94">
        <v>0.75</v>
      </c>
      <c r="J206" s="95">
        <v>56.25</v>
      </c>
    </row>
    <row r="207" spans="1:10" x14ac:dyDescent="0.25">
      <c r="A207" s="92">
        <v>45757</v>
      </c>
      <c r="B207" s="93" t="s">
        <v>329</v>
      </c>
      <c r="C207" s="89" t="s">
        <v>40</v>
      </c>
      <c r="D207" s="93" t="s">
        <v>248</v>
      </c>
      <c r="E207" s="93" t="s">
        <v>34</v>
      </c>
      <c r="F207" s="93" t="s">
        <v>385</v>
      </c>
      <c r="G207" s="93" t="s">
        <v>347</v>
      </c>
      <c r="H207" s="93" t="s">
        <v>343</v>
      </c>
      <c r="I207" s="94">
        <v>0.17</v>
      </c>
      <c r="J207" s="95">
        <v>12.750000000000002</v>
      </c>
    </row>
    <row r="208" spans="1:10" x14ac:dyDescent="0.25">
      <c r="A208" s="92">
        <v>45757</v>
      </c>
      <c r="B208" s="93" t="s">
        <v>332</v>
      </c>
      <c r="C208" s="89" t="s">
        <v>40</v>
      </c>
      <c r="D208" s="93" t="s">
        <v>314</v>
      </c>
      <c r="E208" s="93" t="s">
        <v>35</v>
      </c>
      <c r="F208" s="93" t="s">
        <v>359</v>
      </c>
      <c r="G208" s="93" t="s">
        <v>339</v>
      </c>
      <c r="H208" s="93" t="s">
        <v>352</v>
      </c>
      <c r="I208" s="94">
        <v>10</v>
      </c>
      <c r="J208" s="95">
        <v>400</v>
      </c>
    </row>
    <row r="209" spans="1:10" x14ac:dyDescent="0.25">
      <c r="A209" s="92">
        <v>45757</v>
      </c>
      <c r="B209" s="93" t="s">
        <v>324</v>
      </c>
      <c r="C209" s="89" t="s">
        <v>40</v>
      </c>
      <c r="D209" s="93" t="s">
        <v>314</v>
      </c>
      <c r="E209" s="93" t="s">
        <v>35</v>
      </c>
      <c r="F209" s="93" t="s">
        <v>359</v>
      </c>
      <c r="G209" s="93" t="s">
        <v>339</v>
      </c>
      <c r="H209" s="93" t="s">
        <v>352</v>
      </c>
      <c r="I209" s="94">
        <v>6</v>
      </c>
      <c r="J209" s="95">
        <v>450</v>
      </c>
    </row>
    <row r="210" spans="1:10" x14ac:dyDescent="0.25">
      <c r="A210" s="92">
        <v>45758</v>
      </c>
      <c r="B210" s="93" t="s">
        <v>323</v>
      </c>
      <c r="C210" s="89" t="s">
        <v>40</v>
      </c>
      <c r="D210" s="93" t="s">
        <v>172</v>
      </c>
      <c r="E210" s="93" t="s">
        <v>36</v>
      </c>
      <c r="F210" s="93" t="s">
        <v>426</v>
      </c>
      <c r="G210" s="93" t="s">
        <v>346</v>
      </c>
      <c r="H210" s="93" t="s">
        <v>342</v>
      </c>
      <c r="I210" s="94">
        <v>0.33</v>
      </c>
      <c r="J210" s="95">
        <v>19.8</v>
      </c>
    </row>
    <row r="211" spans="1:10" x14ac:dyDescent="0.25">
      <c r="A211" s="92">
        <v>45758</v>
      </c>
      <c r="B211" s="93" t="s">
        <v>329</v>
      </c>
      <c r="C211" s="89" t="s">
        <v>40</v>
      </c>
      <c r="D211" s="93" t="s">
        <v>316</v>
      </c>
      <c r="E211" s="93" t="s">
        <v>35</v>
      </c>
      <c r="F211" s="93" t="s">
        <v>338</v>
      </c>
      <c r="G211" s="93" t="s">
        <v>337</v>
      </c>
      <c r="H211" s="93" t="s">
        <v>352</v>
      </c>
      <c r="I211" s="94">
        <v>0.17</v>
      </c>
      <c r="J211" s="95">
        <v>12.750000000000002</v>
      </c>
    </row>
    <row r="212" spans="1:10" x14ac:dyDescent="0.25">
      <c r="A212" s="92">
        <v>45758</v>
      </c>
      <c r="B212" s="93" t="s">
        <v>327</v>
      </c>
      <c r="C212" s="89" t="s">
        <v>40</v>
      </c>
      <c r="D212" s="93" t="s">
        <v>320</v>
      </c>
      <c r="E212" s="93" t="s">
        <v>35</v>
      </c>
      <c r="F212" s="93" t="s">
        <v>322</v>
      </c>
      <c r="G212" s="93" t="s">
        <v>319</v>
      </c>
      <c r="H212" s="93" t="s">
        <v>352</v>
      </c>
      <c r="I212" s="94">
        <v>8.42</v>
      </c>
      <c r="J212" s="95">
        <v>269.44</v>
      </c>
    </row>
    <row r="213" spans="1:10" x14ac:dyDescent="0.25">
      <c r="A213" s="92">
        <v>45758</v>
      </c>
      <c r="B213" s="93" t="s">
        <v>325</v>
      </c>
      <c r="C213" s="89" t="s">
        <v>40</v>
      </c>
      <c r="D213" s="93" t="s">
        <v>179</v>
      </c>
      <c r="E213" s="93" t="s">
        <v>34</v>
      </c>
      <c r="F213" s="93" t="s">
        <v>422</v>
      </c>
      <c r="G213" s="93" t="s">
        <v>347</v>
      </c>
      <c r="H213" s="93" t="s">
        <v>343</v>
      </c>
      <c r="I213" s="94">
        <v>0.17</v>
      </c>
      <c r="J213" s="95">
        <v>12.750000000000002</v>
      </c>
    </row>
    <row r="214" spans="1:10" x14ac:dyDescent="0.25">
      <c r="A214" s="92">
        <v>45758</v>
      </c>
      <c r="B214" s="93" t="s">
        <v>329</v>
      </c>
      <c r="C214" s="89" t="s">
        <v>40</v>
      </c>
      <c r="D214" s="93" t="s">
        <v>293</v>
      </c>
      <c r="E214" s="93" t="s">
        <v>34</v>
      </c>
      <c r="F214" s="93" t="s">
        <v>376</v>
      </c>
      <c r="G214" s="93" t="s">
        <v>347</v>
      </c>
      <c r="H214" s="93" t="s">
        <v>343</v>
      </c>
      <c r="I214" s="94">
        <v>0.08</v>
      </c>
      <c r="J214" s="95">
        <v>6</v>
      </c>
    </row>
    <row r="215" spans="1:10" x14ac:dyDescent="0.25">
      <c r="A215" s="92">
        <v>45758</v>
      </c>
      <c r="B215" s="93" t="s">
        <v>326</v>
      </c>
      <c r="C215" s="89" t="s">
        <v>40</v>
      </c>
      <c r="D215" s="93" t="s">
        <v>236</v>
      </c>
      <c r="E215" s="93" t="s">
        <v>34</v>
      </c>
      <c r="F215" s="93" t="s">
        <v>357</v>
      </c>
      <c r="G215" s="93" t="s">
        <v>348</v>
      </c>
      <c r="H215" s="93" t="s">
        <v>343</v>
      </c>
      <c r="I215" s="94">
        <v>0.57999999999999996</v>
      </c>
      <c r="J215" s="95">
        <v>34.799999999999997</v>
      </c>
    </row>
    <row r="216" spans="1:10" x14ac:dyDescent="0.25">
      <c r="A216" s="92">
        <v>45758</v>
      </c>
      <c r="B216" s="93" t="s">
        <v>326</v>
      </c>
      <c r="C216" s="89" t="s">
        <v>40</v>
      </c>
      <c r="D216" s="93" t="s">
        <v>265</v>
      </c>
      <c r="E216" s="93" t="s">
        <v>34</v>
      </c>
      <c r="F216" s="93" t="s">
        <v>358</v>
      </c>
      <c r="G216" s="93" t="s">
        <v>348</v>
      </c>
      <c r="H216" s="93" t="s">
        <v>343</v>
      </c>
      <c r="I216" s="94">
        <v>0.33</v>
      </c>
      <c r="J216" s="95">
        <v>19.8</v>
      </c>
    </row>
    <row r="217" spans="1:10" x14ac:dyDescent="0.25">
      <c r="A217" s="92">
        <v>45758</v>
      </c>
      <c r="B217" s="93" t="s">
        <v>332</v>
      </c>
      <c r="C217" s="89" t="s">
        <v>40</v>
      </c>
      <c r="D217" s="93" t="s">
        <v>314</v>
      </c>
      <c r="E217" s="93" t="s">
        <v>35</v>
      </c>
      <c r="F217" s="93" t="s">
        <v>359</v>
      </c>
      <c r="G217" s="93" t="s">
        <v>339</v>
      </c>
      <c r="H217" s="93" t="s">
        <v>352</v>
      </c>
      <c r="I217" s="94">
        <v>9.33</v>
      </c>
      <c r="J217" s="95">
        <v>373.2</v>
      </c>
    </row>
    <row r="218" spans="1:10" x14ac:dyDescent="0.25">
      <c r="A218" s="92">
        <v>45758</v>
      </c>
      <c r="B218" s="93" t="s">
        <v>324</v>
      </c>
      <c r="C218" s="89" t="s">
        <v>40</v>
      </c>
      <c r="D218" s="93" t="s">
        <v>314</v>
      </c>
      <c r="E218" s="93" t="s">
        <v>35</v>
      </c>
      <c r="F218" s="93" t="s">
        <v>359</v>
      </c>
      <c r="G218" s="93" t="s">
        <v>339</v>
      </c>
      <c r="H218" s="93" t="s">
        <v>352</v>
      </c>
      <c r="I218" s="94">
        <v>2</v>
      </c>
      <c r="J218" s="95">
        <v>150</v>
      </c>
    </row>
    <row r="219" spans="1:10" x14ac:dyDescent="0.25">
      <c r="A219" s="92">
        <v>45759</v>
      </c>
      <c r="B219" s="93" t="s">
        <v>332</v>
      </c>
      <c r="C219" s="89" t="s">
        <v>40</v>
      </c>
      <c r="D219" s="93" t="s">
        <v>314</v>
      </c>
      <c r="E219" s="93" t="s">
        <v>35</v>
      </c>
      <c r="F219" s="93" t="s">
        <v>359</v>
      </c>
      <c r="G219" s="93" t="s">
        <v>339</v>
      </c>
      <c r="H219" s="93" t="s">
        <v>352</v>
      </c>
      <c r="I219" s="94">
        <v>4</v>
      </c>
      <c r="J219" s="95">
        <v>160</v>
      </c>
    </row>
    <row r="220" spans="1:10" x14ac:dyDescent="0.25">
      <c r="A220" s="92">
        <v>45761</v>
      </c>
      <c r="B220" s="93" t="s">
        <v>331</v>
      </c>
      <c r="C220" s="89" t="s">
        <v>40</v>
      </c>
      <c r="D220" s="93" t="s">
        <v>316</v>
      </c>
      <c r="E220" s="93" t="s">
        <v>35</v>
      </c>
      <c r="F220" s="93" t="s">
        <v>338</v>
      </c>
      <c r="G220" s="93" t="s">
        <v>337</v>
      </c>
      <c r="H220" s="93" t="s">
        <v>352</v>
      </c>
      <c r="I220" s="94">
        <v>2.17</v>
      </c>
      <c r="J220" s="95">
        <v>69.44</v>
      </c>
    </row>
    <row r="221" spans="1:10" x14ac:dyDescent="0.25">
      <c r="A221" s="92">
        <v>45761</v>
      </c>
      <c r="B221" s="93" t="s">
        <v>333</v>
      </c>
      <c r="C221" s="89" t="s">
        <v>40</v>
      </c>
      <c r="D221" s="93" t="s">
        <v>320</v>
      </c>
      <c r="E221" s="93" t="s">
        <v>35</v>
      </c>
      <c r="F221" s="93" t="s">
        <v>322</v>
      </c>
      <c r="G221" s="93" t="s">
        <v>319</v>
      </c>
      <c r="H221" s="93" t="s">
        <v>352</v>
      </c>
      <c r="I221" s="94">
        <v>4.13</v>
      </c>
      <c r="J221" s="95">
        <v>132.16</v>
      </c>
    </row>
    <row r="222" spans="1:10" x14ac:dyDescent="0.25">
      <c r="A222" s="92">
        <v>45761</v>
      </c>
      <c r="B222" s="93" t="s">
        <v>327</v>
      </c>
      <c r="C222" s="89" t="s">
        <v>40</v>
      </c>
      <c r="D222" s="93" t="s">
        <v>320</v>
      </c>
      <c r="E222" s="93" t="s">
        <v>35</v>
      </c>
      <c r="F222" s="93" t="s">
        <v>322</v>
      </c>
      <c r="G222" s="93" t="s">
        <v>319</v>
      </c>
      <c r="H222" s="93" t="s">
        <v>352</v>
      </c>
      <c r="I222" s="94">
        <v>7.5</v>
      </c>
      <c r="J222" s="95">
        <v>240</v>
      </c>
    </row>
    <row r="223" spans="1:10" x14ac:dyDescent="0.25">
      <c r="A223" s="92">
        <v>45761</v>
      </c>
      <c r="B223" s="93" t="s">
        <v>326</v>
      </c>
      <c r="C223" s="89" t="s">
        <v>40</v>
      </c>
      <c r="D223" s="93" t="s">
        <v>268</v>
      </c>
      <c r="E223" s="93" t="s">
        <v>36</v>
      </c>
      <c r="F223" s="93" t="s">
        <v>418</v>
      </c>
      <c r="G223" s="93" t="s">
        <v>348</v>
      </c>
      <c r="H223" s="93" t="s">
        <v>342</v>
      </c>
      <c r="I223" s="94">
        <v>0.75</v>
      </c>
      <c r="J223" s="95">
        <v>45</v>
      </c>
    </row>
    <row r="224" spans="1:10" x14ac:dyDescent="0.25">
      <c r="A224" s="92">
        <v>45761</v>
      </c>
      <c r="B224" s="93" t="s">
        <v>326</v>
      </c>
      <c r="C224" s="89" t="s">
        <v>40</v>
      </c>
      <c r="D224" s="93" t="s">
        <v>237</v>
      </c>
      <c r="E224" s="93" t="s">
        <v>34</v>
      </c>
      <c r="F224" s="93" t="s">
        <v>427</v>
      </c>
      <c r="G224" s="93" t="s">
        <v>348</v>
      </c>
      <c r="H224" s="93" t="s">
        <v>343</v>
      </c>
      <c r="I224" s="94">
        <v>0.83</v>
      </c>
      <c r="J224" s="95">
        <v>49.8</v>
      </c>
    </row>
    <row r="225" spans="1:10" x14ac:dyDescent="0.25">
      <c r="A225" s="92">
        <v>45761</v>
      </c>
      <c r="B225" s="93" t="s">
        <v>332</v>
      </c>
      <c r="C225" s="89" t="s">
        <v>40</v>
      </c>
      <c r="D225" s="93" t="s">
        <v>314</v>
      </c>
      <c r="E225" s="93" t="s">
        <v>35</v>
      </c>
      <c r="F225" s="93" t="s">
        <v>359</v>
      </c>
      <c r="G225" s="93" t="s">
        <v>339</v>
      </c>
      <c r="H225" s="93" t="s">
        <v>352</v>
      </c>
      <c r="I225" s="94">
        <v>8.83</v>
      </c>
      <c r="J225" s="95">
        <v>353.2</v>
      </c>
    </row>
    <row r="226" spans="1:10" x14ac:dyDescent="0.25">
      <c r="A226" s="92">
        <v>45761</v>
      </c>
      <c r="B226" s="93" t="s">
        <v>324</v>
      </c>
      <c r="C226" s="89" t="s">
        <v>40</v>
      </c>
      <c r="D226" s="93" t="s">
        <v>314</v>
      </c>
      <c r="E226" s="93" t="s">
        <v>35</v>
      </c>
      <c r="F226" s="93" t="s">
        <v>359</v>
      </c>
      <c r="G226" s="93" t="s">
        <v>339</v>
      </c>
      <c r="H226" s="93" t="s">
        <v>352</v>
      </c>
      <c r="I226" s="94">
        <v>3.75</v>
      </c>
      <c r="J226" s="95">
        <v>281.25</v>
      </c>
    </row>
    <row r="227" spans="1:10" x14ac:dyDescent="0.25">
      <c r="A227" s="92">
        <v>45762</v>
      </c>
      <c r="B227" s="93" t="s">
        <v>333</v>
      </c>
      <c r="C227" s="89" t="s">
        <v>40</v>
      </c>
      <c r="D227" s="93" t="s">
        <v>320</v>
      </c>
      <c r="E227" s="93" t="s">
        <v>35</v>
      </c>
      <c r="F227" s="93" t="s">
        <v>322</v>
      </c>
      <c r="G227" s="93" t="s">
        <v>319</v>
      </c>
      <c r="H227" s="93" t="s">
        <v>352</v>
      </c>
      <c r="I227" s="94">
        <v>6.42</v>
      </c>
      <c r="J227" s="95">
        <v>205.44</v>
      </c>
    </row>
    <row r="228" spans="1:10" x14ac:dyDescent="0.25">
      <c r="A228" s="92">
        <v>45762</v>
      </c>
      <c r="B228" s="93" t="s">
        <v>327</v>
      </c>
      <c r="C228" s="89" t="s">
        <v>40</v>
      </c>
      <c r="D228" s="93" t="s">
        <v>320</v>
      </c>
      <c r="E228" s="93" t="s">
        <v>35</v>
      </c>
      <c r="F228" s="93" t="s">
        <v>322</v>
      </c>
      <c r="G228" s="93" t="s">
        <v>319</v>
      </c>
      <c r="H228" s="93" t="s">
        <v>352</v>
      </c>
      <c r="I228" s="94">
        <v>7.42</v>
      </c>
      <c r="J228" s="95">
        <v>237.44</v>
      </c>
    </row>
    <row r="229" spans="1:10" x14ac:dyDescent="0.25">
      <c r="A229" s="92">
        <v>45762</v>
      </c>
      <c r="B229" s="93" t="s">
        <v>325</v>
      </c>
      <c r="C229" s="89" t="s">
        <v>40</v>
      </c>
      <c r="D229" s="93" t="s">
        <v>276</v>
      </c>
      <c r="E229" s="93" t="s">
        <v>36</v>
      </c>
      <c r="F229" s="93" t="s">
        <v>425</v>
      </c>
      <c r="G229" s="93" t="s">
        <v>347</v>
      </c>
      <c r="H229" s="93" t="s">
        <v>342</v>
      </c>
      <c r="I229" s="94">
        <v>0.17</v>
      </c>
      <c r="J229" s="95">
        <v>12.750000000000002</v>
      </c>
    </row>
    <row r="230" spans="1:10" x14ac:dyDescent="0.25">
      <c r="A230" s="92">
        <v>45762</v>
      </c>
      <c r="B230" s="93" t="s">
        <v>326</v>
      </c>
      <c r="C230" s="89" t="s">
        <v>40</v>
      </c>
      <c r="D230" s="93" t="s">
        <v>188</v>
      </c>
      <c r="E230" s="93" t="s">
        <v>36</v>
      </c>
      <c r="F230" s="93" t="s">
        <v>356</v>
      </c>
      <c r="G230" s="93" t="s">
        <v>348</v>
      </c>
      <c r="H230" s="93" t="s">
        <v>342</v>
      </c>
      <c r="I230" s="94">
        <v>2</v>
      </c>
      <c r="J230" s="95">
        <v>120</v>
      </c>
    </row>
    <row r="231" spans="1:10" x14ac:dyDescent="0.25">
      <c r="A231" s="92">
        <v>45762</v>
      </c>
      <c r="B231" s="93" t="s">
        <v>326</v>
      </c>
      <c r="C231" s="89" t="s">
        <v>40</v>
      </c>
      <c r="D231" s="93" t="s">
        <v>188</v>
      </c>
      <c r="E231" s="93" t="s">
        <v>34</v>
      </c>
      <c r="F231" s="93" t="s">
        <v>356</v>
      </c>
      <c r="G231" s="93" t="s">
        <v>348</v>
      </c>
      <c r="H231" s="93" t="s">
        <v>343</v>
      </c>
      <c r="I231" s="94">
        <v>1.42</v>
      </c>
      <c r="J231" s="95">
        <v>85.199999999999989</v>
      </c>
    </row>
    <row r="232" spans="1:10" x14ac:dyDescent="0.25">
      <c r="A232" s="92">
        <v>45762</v>
      </c>
      <c r="B232" s="93" t="s">
        <v>332</v>
      </c>
      <c r="C232" s="89" t="s">
        <v>40</v>
      </c>
      <c r="D232" s="93" t="s">
        <v>314</v>
      </c>
      <c r="E232" s="93" t="s">
        <v>35</v>
      </c>
      <c r="F232" s="93" t="s">
        <v>359</v>
      </c>
      <c r="G232" s="93" t="s">
        <v>339</v>
      </c>
      <c r="H232" s="93" t="s">
        <v>352</v>
      </c>
      <c r="I232" s="94">
        <v>7.83</v>
      </c>
      <c r="J232" s="95">
        <v>313.2</v>
      </c>
    </row>
    <row r="233" spans="1:10" x14ac:dyDescent="0.25">
      <c r="A233" s="92">
        <v>45762</v>
      </c>
      <c r="B233" s="93" t="s">
        <v>324</v>
      </c>
      <c r="C233" s="89" t="s">
        <v>40</v>
      </c>
      <c r="D233" s="93" t="s">
        <v>314</v>
      </c>
      <c r="E233" s="93" t="s">
        <v>35</v>
      </c>
      <c r="F233" s="93" t="s">
        <v>359</v>
      </c>
      <c r="G233" s="93" t="s">
        <v>339</v>
      </c>
      <c r="H233" s="93" t="s">
        <v>352</v>
      </c>
      <c r="I233" s="94">
        <v>6.5</v>
      </c>
      <c r="J233" s="95">
        <v>487.5</v>
      </c>
    </row>
    <row r="234" spans="1:10" x14ac:dyDescent="0.25">
      <c r="A234" s="92">
        <v>45763</v>
      </c>
      <c r="B234" s="93" t="s">
        <v>330</v>
      </c>
      <c r="C234" s="89" t="s">
        <v>40</v>
      </c>
      <c r="D234" s="93" t="s">
        <v>225</v>
      </c>
      <c r="E234" s="93" t="s">
        <v>341</v>
      </c>
      <c r="F234" s="93" t="s">
        <v>365</v>
      </c>
      <c r="G234" s="93" t="s">
        <v>347</v>
      </c>
      <c r="H234" s="93" t="s">
        <v>344</v>
      </c>
      <c r="I234" s="94">
        <v>1.5</v>
      </c>
      <c r="J234" s="95">
        <v>90</v>
      </c>
    </row>
    <row r="235" spans="1:10" x14ac:dyDescent="0.25">
      <c r="A235" s="92">
        <v>45763</v>
      </c>
      <c r="B235" s="93" t="s">
        <v>333</v>
      </c>
      <c r="C235" s="89" t="s">
        <v>40</v>
      </c>
      <c r="D235" s="93" t="s">
        <v>320</v>
      </c>
      <c r="E235" s="93" t="s">
        <v>35</v>
      </c>
      <c r="F235" s="93" t="s">
        <v>322</v>
      </c>
      <c r="G235" s="93" t="s">
        <v>319</v>
      </c>
      <c r="H235" s="93" t="s">
        <v>352</v>
      </c>
      <c r="I235" s="94">
        <v>7.6</v>
      </c>
      <c r="J235" s="95">
        <v>243.2</v>
      </c>
    </row>
    <row r="236" spans="1:10" x14ac:dyDescent="0.25">
      <c r="A236" s="92">
        <v>45763</v>
      </c>
      <c r="B236" s="93" t="s">
        <v>327</v>
      </c>
      <c r="C236" s="89" t="s">
        <v>40</v>
      </c>
      <c r="D236" s="93" t="s">
        <v>320</v>
      </c>
      <c r="E236" s="93" t="s">
        <v>35</v>
      </c>
      <c r="F236" s="93" t="s">
        <v>322</v>
      </c>
      <c r="G236" s="93" t="s">
        <v>319</v>
      </c>
      <c r="H236" s="93" t="s">
        <v>352</v>
      </c>
      <c r="I236" s="94">
        <v>7.25</v>
      </c>
      <c r="J236" s="95">
        <v>232</v>
      </c>
    </row>
    <row r="237" spans="1:10" x14ac:dyDescent="0.25">
      <c r="A237" s="92">
        <v>45763</v>
      </c>
      <c r="B237" s="93" t="s">
        <v>332</v>
      </c>
      <c r="C237" s="89" t="s">
        <v>40</v>
      </c>
      <c r="D237" s="93" t="s">
        <v>314</v>
      </c>
      <c r="E237" s="93" t="s">
        <v>35</v>
      </c>
      <c r="F237" s="93" t="s">
        <v>359</v>
      </c>
      <c r="G237" s="93" t="s">
        <v>339</v>
      </c>
      <c r="H237" s="93" t="s">
        <v>352</v>
      </c>
      <c r="I237" s="94">
        <v>8.83</v>
      </c>
      <c r="J237" s="95">
        <v>353.2</v>
      </c>
    </row>
    <row r="238" spans="1:10" x14ac:dyDescent="0.25">
      <c r="A238" s="92">
        <v>45763</v>
      </c>
      <c r="B238" s="93" t="s">
        <v>324</v>
      </c>
      <c r="C238" s="89" t="s">
        <v>40</v>
      </c>
      <c r="D238" s="93" t="s">
        <v>314</v>
      </c>
      <c r="E238" s="93" t="s">
        <v>35</v>
      </c>
      <c r="F238" s="93" t="s">
        <v>359</v>
      </c>
      <c r="G238" s="93" t="s">
        <v>339</v>
      </c>
      <c r="H238" s="93" t="s">
        <v>352</v>
      </c>
      <c r="I238" s="94">
        <v>5.75</v>
      </c>
      <c r="J238" s="95">
        <v>431.25</v>
      </c>
    </row>
    <row r="239" spans="1:10" x14ac:dyDescent="0.25">
      <c r="A239" s="92">
        <v>45764</v>
      </c>
      <c r="B239" s="93" t="s">
        <v>333</v>
      </c>
      <c r="C239" s="89" t="s">
        <v>40</v>
      </c>
      <c r="D239" s="93" t="s">
        <v>320</v>
      </c>
      <c r="E239" s="93" t="s">
        <v>35</v>
      </c>
      <c r="F239" s="93" t="s">
        <v>322</v>
      </c>
      <c r="G239" s="93" t="s">
        <v>319</v>
      </c>
      <c r="H239" s="93" t="s">
        <v>352</v>
      </c>
      <c r="I239" s="94">
        <v>7.55</v>
      </c>
      <c r="J239" s="95">
        <v>241.6</v>
      </c>
    </row>
    <row r="240" spans="1:10" x14ac:dyDescent="0.25">
      <c r="A240" s="92">
        <v>45764</v>
      </c>
      <c r="B240" s="93" t="s">
        <v>327</v>
      </c>
      <c r="C240" s="89" t="s">
        <v>40</v>
      </c>
      <c r="D240" s="93" t="s">
        <v>320</v>
      </c>
      <c r="E240" s="93" t="s">
        <v>35</v>
      </c>
      <c r="F240" s="93" t="s">
        <v>322</v>
      </c>
      <c r="G240" s="93" t="s">
        <v>319</v>
      </c>
      <c r="H240" s="93" t="s">
        <v>352</v>
      </c>
      <c r="I240" s="94">
        <v>3.7</v>
      </c>
      <c r="J240" s="95">
        <v>118.4</v>
      </c>
    </row>
    <row r="241" spans="1:10" x14ac:dyDescent="0.25">
      <c r="A241" s="92">
        <v>45764</v>
      </c>
      <c r="B241" s="93" t="s">
        <v>325</v>
      </c>
      <c r="C241" s="89" t="s">
        <v>40</v>
      </c>
      <c r="D241" s="93" t="s">
        <v>198</v>
      </c>
      <c r="E241" s="93" t="s">
        <v>34</v>
      </c>
      <c r="F241" s="93" t="s">
        <v>413</v>
      </c>
      <c r="G241" s="93" t="s">
        <v>347</v>
      </c>
      <c r="H241" s="93" t="s">
        <v>343</v>
      </c>
      <c r="I241" s="94">
        <v>0.25</v>
      </c>
      <c r="J241" s="95">
        <v>18.75</v>
      </c>
    </row>
    <row r="242" spans="1:10" x14ac:dyDescent="0.25">
      <c r="A242" s="92">
        <v>45764</v>
      </c>
      <c r="B242" s="93" t="s">
        <v>325</v>
      </c>
      <c r="C242" s="89" t="s">
        <v>40</v>
      </c>
      <c r="D242" s="93" t="s">
        <v>290</v>
      </c>
      <c r="E242" s="93" t="s">
        <v>36</v>
      </c>
      <c r="F242" s="93" t="s">
        <v>428</v>
      </c>
      <c r="G242" s="93" t="s">
        <v>347</v>
      </c>
      <c r="H242" s="93" t="s">
        <v>342</v>
      </c>
      <c r="I242" s="94">
        <v>0.25</v>
      </c>
      <c r="J242" s="95">
        <v>18.75</v>
      </c>
    </row>
    <row r="243" spans="1:10" x14ac:dyDescent="0.25">
      <c r="A243" s="92">
        <v>45764</v>
      </c>
      <c r="B243" s="93" t="s">
        <v>330</v>
      </c>
      <c r="C243" s="89" t="s">
        <v>40</v>
      </c>
      <c r="D243" s="93" t="s">
        <v>268</v>
      </c>
      <c r="E243" s="93" t="s">
        <v>341</v>
      </c>
      <c r="F243" s="93" t="s">
        <v>386</v>
      </c>
      <c r="G243" s="93" t="s">
        <v>347</v>
      </c>
      <c r="H243" s="93" t="s">
        <v>344</v>
      </c>
      <c r="I243" s="94">
        <v>0.5</v>
      </c>
      <c r="J243" s="95">
        <v>30</v>
      </c>
    </row>
    <row r="244" spans="1:10" x14ac:dyDescent="0.25">
      <c r="A244" s="92">
        <v>45764</v>
      </c>
      <c r="B244" s="93" t="s">
        <v>326</v>
      </c>
      <c r="C244" s="89" t="s">
        <v>40</v>
      </c>
      <c r="D244" s="93" t="s">
        <v>175</v>
      </c>
      <c r="E244" s="93" t="s">
        <v>36</v>
      </c>
      <c r="F244" s="93" t="s">
        <v>388</v>
      </c>
      <c r="G244" s="93" t="s">
        <v>348</v>
      </c>
      <c r="H244" s="93" t="s">
        <v>342</v>
      </c>
      <c r="I244" s="94">
        <v>1.42</v>
      </c>
      <c r="J244" s="95">
        <v>85.199999999999989</v>
      </c>
    </row>
    <row r="245" spans="1:10" x14ac:dyDescent="0.25">
      <c r="A245" s="92">
        <v>45764</v>
      </c>
      <c r="B245" s="93" t="s">
        <v>326</v>
      </c>
      <c r="C245" s="89" t="s">
        <v>40</v>
      </c>
      <c r="D245" s="93" t="s">
        <v>207</v>
      </c>
      <c r="E245" s="93" t="s">
        <v>36</v>
      </c>
      <c r="F245" s="93" t="s">
        <v>417</v>
      </c>
      <c r="G245" s="93" t="s">
        <v>348</v>
      </c>
      <c r="H245" s="93" t="s">
        <v>342</v>
      </c>
      <c r="I245" s="94">
        <v>0.75</v>
      </c>
      <c r="J245" s="95">
        <v>45</v>
      </c>
    </row>
    <row r="246" spans="1:10" x14ac:dyDescent="0.25">
      <c r="A246" s="92">
        <v>45764</v>
      </c>
      <c r="B246" s="93" t="s">
        <v>326</v>
      </c>
      <c r="C246" s="89" t="s">
        <v>40</v>
      </c>
      <c r="D246" s="93" t="s">
        <v>188</v>
      </c>
      <c r="E246" s="93" t="s">
        <v>34</v>
      </c>
      <c r="F246" s="93" t="s">
        <v>356</v>
      </c>
      <c r="G246" s="93" t="s">
        <v>348</v>
      </c>
      <c r="H246" s="93" t="s">
        <v>343</v>
      </c>
      <c r="I246" s="94">
        <v>1.42</v>
      </c>
      <c r="J246" s="95">
        <v>85.199999999999989</v>
      </c>
    </row>
    <row r="247" spans="1:10" x14ac:dyDescent="0.25">
      <c r="A247" s="92">
        <v>45764</v>
      </c>
      <c r="B247" s="93" t="s">
        <v>332</v>
      </c>
      <c r="C247" s="89" t="s">
        <v>40</v>
      </c>
      <c r="D247" s="93" t="s">
        <v>314</v>
      </c>
      <c r="E247" s="93" t="s">
        <v>35</v>
      </c>
      <c r="F247" s="93" t="s">
        <v>359</v>
      </c>
      <c r="G247" s="93" t="s">
        <v>339</v>
      </c>
      <c r="H247" s="93" t="s">
        <v>352</v>
      </c>
      <c r="I247" s="94">
        <v>9.33</v>
      </c>
      <c r="J247" s="95">
        <v>373.2</v>
      </c>
    </row>
    <row r="248" spans="1:10" x14ac:dyDescent="0.25">
      <c r="A248" s="92">
        <v>45764</v>
      </c>
      <c r="B248" s="93" t="s">
        <v>324</v>
      </c>
      <c r="C248" s="89" t="s">
        <v>40</v>
      </c>
      <c r="D248" s="93" t="s">
        <v>314</v>
      </c>
      <c r="E248" s="93" t="s">
        <v>35</v>
      </c>
      <c r="F248" s="93" t="s">
        <v>359</v>
      </c>
      <c r="G248" s="93" t="s">
        <v>339</v>
      </c>
      <c r="H248" s="93" t="s">
        <v>352</v>
      </c>
      <c r="I248" s="94">
        <v>4</v>
      </c>
      <c r="J248" s="95">
        <v>300</v>
      </c>
    </row>
    <row r="249" spans="1:10" x14ac:dyDescent="0.25">
      <c r="A249" s="92">
        <v>45766</v>
      </c>
      <c r="B249" s="93" t="s">
        <v>332</v>
      </c>
      <c r="C249" s="89" t="s">
        <v>40</v>
      </c>
      <c r="D249" s="93" t="s">
        <v>314</v>
      </c>
      <c r="E249" s="93" t="s">
        <v>35</v>
      </c>
      <c r="F249" s="93" t="s">
        <v>359</v>
      </c>
      <c r="G249" s="93" t="s">
        <v>339</v>
      </c>
      <c r="H249" s="93" t="s">
        <v>352</v>
      </c>
      <c r="I249" s="94">
        <v>4</v>
      </c>
      <c r="J249" s="95">
        <v>160</v>
      </c>
    </row>
    <row r="250" spans="1:10" x14ac:dyDescent="0.25">
      <c r="A250" s="92">
        <v>45769</v>
      </c>
      <c r="B250" s="93" t="s">
        <v>329</v>
      </c>
      <c r="C250" s="89" t="s">
        <v>40</v>
      </c>
      <c r="D250" s="93" t="s">
        <v>301</v>
      </c>
      <c r="E250" s="93" t="s">
        <v>341</v>
      </c>
      <c r="F250" s="93" t="s">
        <v>371</v>
      </c>
      <c r="G250" s="93" t="s">
        <v>347</v>
      </c>
      <c r="H250" s="93" t="s">
        <v>344</v>
      </c>
      <c r="I250" s="94">
        <v>1.5</v>
      </c>
      <c r="J250" s="95">
        <v>112.5</v>
      </c>
    </row>
    <row r="251" spans="1:10" x14ac:dyDescent="0.25">
      <c r="A251" s="92">
        <v>45769</v>
      </c>
      <c r="B251" s="93" t="s">
        <v>329</v>
      </c>
      <c r="C251" s="89" t="s">
        <v>40</v>
      </c>
      <c r="D251" s="93" t="s">
        <v>270</v>
      </c>
      <c r="E251" s="93" t="s">
        <v>341</v>
      </c>
      <c r="F251" s="93" t="s">
        <v>360</v>
      </c>
      <c r="G251" s="93" t="s">
        <v>347</v>
      </c>
      <c r="H251" s="93" t="s">
        <v>344</v>
      </c>
      <c r="I251" s="94">
        <v>2</v>
      </c>
      <c r="J251" s="95">
        <v>150</v>
      </c>
    </row>
    <row r="252" spans="1:10" x14ac:dyDescent="0.25">
      <c r="A252" s="92">
        <v>45769</v>
      </c>
      <c r="B252" s="93" t="s">
        <v>329</v>
      </c>
      <c r="C252" s="89" t="s">
        <v>40</v>
      </c>
      <c r="D252" s="93" t="s">
        <v>316</v>
      </c>
      <c r="E252" s="93" t="s">
        <v>35</v>
      </c>
      <c r="F252" s="93" t="s">
        <v>338</v>
      </c>
      <c r="G252" s="93" t="s">
        <v>337</v>
      </c>
      <c r="H252" s="93" t="s">
        <v>352</v>
      </c>
      <c r="I252" s="94">
        <v>1</v>
      </c>
      <c r="J252" s="95">
        <v>75</v>
      </c>
    </row>
    <row r="253" spans="1:10" x14ac:dyDescent="0.25">
      <c r="A253" s="92">
        <v>45769</v>
      </c>
      <c r="B253" s="93" t="s">
        <v>333</v>
      </c>
      <c r="C253" s="89" t="s">
        <v>40</v>
      </c>
      <c r="D253" s="93" t="s">
        <v>320</v>
      </c>
      <c r="E253" s="93" t="s">
        <v>35</v>
      </c>
      <c r="F253" s="93" t="s">
        <v>322</v>
      </c>
      <c r="G253" s="93" t="s">
        <v>319</v>
      </c>
      <c r="H253" s="93" t="s">
        <v>352</v>
      </c>
      <c r="I253" s="94">
        <v>8.6300000000000008</v>
      </c>
      <c r="J253" s="95">
        <v>276.16000000000003</v>
      </c>
    </row>
    <row r="254" spans="1:10" x14ac:dyDescent="0.25">
      <c r="A254" s="92">
        <v>45769</v>
      </c>
      <c r="B254" s="93" t="s">
        <v>323</v>
      </c>
      <c r="C254" s="89" t="s">
        <v>40</v>
      </c>
      <c r="D254" s="93" t="s">
        <v>283</v>
      </c>
      <c r="E254" s="93" t="s">
        <v>36</v>
      </c>
      <c r="F254" s="93" t="s">
        <v>429</v>
      </c>
      <c r="G254" s="93" t="s">
        <v>346</v>
      </c>
      <c r="H254" s="93" t="s">
        <v>342</v>
      </c>
      <c r="I254" s="94">
        <v>0.25</v>
      </c>
      <c r="J254" s="95">
        <v>15</v>
      </c>
    </row>
    <row r="255" spans="1:10" x14ac:dyDescent="0.25">
      <c r="A255" s="92">
        <v>45769</v>
      </c>
      <c r="B255" s="93" t="s">
        <v>323</v>
      </c>
      <c r="C255" s="89" t="s">
        <v>40</v>
      </c>
      <c r="D255" s="93" t="s">
        <v>281</v>
      </c>
      <c r="E255" s="93" t="s">
        <v>341</v>
      </c>
      <c r="F255" s="93" t="s">
        <v>430</v>
      </c>
      <c r="G255" s="93" t="s">
        <v>346</v>
      </c>
      <c r="H255" s="93" t="s">
        <v>344</v>
      </c>
      <c r="I255" s="94">
        <v>1</v>
      </c>
      <c r="J255" s="95">
        <v>60</v>
      </c>
    </row>
    <row r="256" spans="1:10" x14ac:dyDescent="0.25">
      <c r="A256" s="92">
        <v>45769</v>
      </c>
      <c r="B256" s="93" t="s">
        <v>330</v>
      </c>
      <c r="C256" s="89" t="s">
        <v>40</v>
      </c>
      <c r="D256" s="93" t="s">
        <v>225</v>
      </c>
      <c r="E256" s="93" t="s">
        <v>36</v>
      </c>
      <c r="F256" s="93" t="s">
        <v>365</v>
      </c>
      <c r="G256" s="93" t="s">
        <v>347</v>
      </c>
      <c r="H256" s="93" t="s">
        <v>342</v>
      </c>
      <c r="I256" s="94">
        <v>0.5</v>
      </c>
      <c r="J256" s="95">
        <v>30</v>
      </c>
    </row>
    <row r="257" spans="1:10" x14ac:dyDescent="0.25">
      <c r="A257" s="92">
        <v>45769</v>
      </c>
      <c r="B257" s="93" t="s">
        <v>329</v>
      </c>
      <c r="C257" s="89" t="s">
        <v>40</v>
      </c>
      <c r="D257" s="93" t="s">
        <v>197</v>
      </c>
      <c r="E257" s="93" t="s">
        <v>34</v>
      </c>
      <c r="F257" s="93" t="s">
        <v>366</v>
      </c>
      <c r="G257" s="93" t="s">
        <v>347</v>
      </c>
      <c r="H257" s="93" t="s">
        <v>343</v>
      </c>
      <c r="I257" s="94">
        <v>0.5</v>
      </c>
      <c r="J257" s="95">
        <v>37.5</v>
      </c>
    </row>
    <row r="258" spans="1:10" x14ac:dyDescent="0.25">
      <c r="A258" s="92">
        <v>45769</v>
      </c>
      <c r="B258" s="93" t="s">
        <v>329</v>
      </c>
      <c r="C258" s="89" t="s">
        <v>40</v>
      </c>
      <c r="D258" s="93" t="s">
        <v>186</v>
      </c>
      <c r="E258" s="93" t="s">
        <v>34</v>
      </c>
      <c r="F258" s="93" t="s">
        <v>397</v>
      </c>
      <c r="G258" s="93" t="s">
        <v>347</v>
      </c>
      <c r="H258" s="93" t="s">
        <v>343</v>
      </c>
      <c r="I258" s="94">
        <v>0.08</v>
      </c>
      <c r="J258" s="95">
        <v>6</v>
      </c>
    </row>
    <row r="259" spans="1:10" x14ac:dyDescent="0.25">
      <c r="A259" s="92">
        <v>45769</v>
      </c>
      <c r="B259" s="93" t="s">
        <v>329</v>
      </c>
      <c r="C259" s="89" t="s">
        <v>40</v>
      </c>
      <c r="D259" s="93" t="s">
        <v>206</v>
      </c>
      <c r="E259" s="93" t="s">
        <v>34</v>
      </c>
      <c r="F259" s="93" t="s">
        <v>367</v>
      </c>
      <c r="G259" s="93" t="s">
        <v>347</v>
      </c>
      <c r="H259" s="93" t="s">
        <v>343</v>
      </c>
      <c r="I259" s="94">
        <v>0.08</v>
      </c>
      <c r="J259" s="95">
        <v>6</v>
      </c>
    </row>
    <row r="260" spans="1:10" x14ac:dyDescent="0.25">
      <c r="A260" s="92">
        <v>45769</v>
      </c>
      <c r="B260" s="93" t="s">
        <v>329</v>
      </c>
      <c r="C260" s="89" t="s">
        <v>40</v>
      </c>
      <c r="D260" s="93" t="s">
        <v>221</v>
      </c>
      <c r="E260" s="93" t="s">
        <v>34</v>
      </c>
      <c r="F260" s="93" t="s">
        <v>369</v>
      </c>
      <c r="G260" s="93" t="s">
        <v>347</v>
      </c>
      <c r="H260" s="93" t="s">
        <v>343</v>
      </c>
      <c r="I260" s="94">
        <v>0.08</v>
      </c>
      <c r="J260" s="95">
        <v>6</v>
      </c>
    </row>
    <row r="261" spans="1:10" x14ac:dyDescent="0.25">
      <c r="A261" s="92">
        <v>45769</v>
      </c>
      <c r="B261" s="93" t="s">
        <v>329</v>
      </c>
      <c r="C261" s="89" t="s">
        <v>40</v>
      </c>
      <c r="D261" s="93" t="s">
        <v>229</v>
      </c>
      <c r="E261" s="93" t="s">
        <v>34</v>
      </c>
      <c r="F261" s="93" t="s">
        <v>373</v>
      </c>
      <c r="G261" s="93" t="s">
        <v>347</v>
      </c>
      <c r="H261" s="93" t="s">
        <v>343</v>
      </c>
      <c r="I261" s="94">
        <v>0.08</v>
      </c>
      <c r="J261" s="95">
        <v>6</v>
      </c>
    </row>
    <row r="262" spans="1:10" x14ac:dyDescent="0.25">
      <c r="A262" s="92">
        <v>45769</v>
      </c>
      <c r="B262" s="93" t="s">
        <v>329</v>
      </c>
      <c r="C262" s="89" t="s">
        <v>40</v>
      </c>
      <c r="D262" s="93" t="s">
        <v>241</v>
      </c>
      <c r="E262" s="93" t="s">
        <v>34</v>
      </c>
      <c r="F262" s="93" t="s">
        <v>403</v>
      </c>
      <c r="G262" s="93" t="s">
        <v>347</v>
      </c>
      <c r="H262" s="93" t="s">
        <v>343</v>
      </c>
      <c r="I262" s="94">
        <v>0.08</v>
      </c>
      <c r="J262" s="95">
        <v>6</v>
      </c>
    </row>
    <row r="263" spans="1:10" x14ac:dyDescent="0.25">
      <c r="A263" s="92">
        <v>45769</v>
      </c>
      <c r="B263" s="93" t="s">
        <v>329</v>
      </c>
      <c r="C263" s="89" t="s">
        <v>40</v>
      </c>
      <c r="D263" s="93" t="s">
        <v>242</v>
      </c>
      <c r="E263" s="93" t="s">
        <v>34</v>
      </c>
      <c r="F263" s="93" t="s">
        <v>404</v>
      </c>
      <c r="G263" s="93" t="s">
        <v>347</v>
      </c>
      <c r="H263" s="93" t="s">
        <v>343</v>
      </c>
      <c r="I263" s="94">
        <v>0.33</v>
      </c>
      <c r="J263" s="95">
        <v>24.75</v>
      </c>
    </row>
    <row r="264" spans="1:10" x14ac:dyDescent="0.25">
      <c r="A264" s="92">
        <v>45769</v>
      </c>
      <c r="B264" s="93" t="s">
        <v>329</v>
      </c>
      <c r="C264" s="89" t="s">
        <v>40</v>
      </c>
      <c r="D264" s="93" t="s">
        <v>247</v>
      </c>
      <c r="E264" s="93" t="s">
        <v>34</v>
      </c>
      <c r="F264" s="93" t="s">
        <v>375</v>
      </c>
      <c r="G264" s="93" t="s">
        <v>347</v>
      </c>
      <c r="H264" s="93" t="s">
        <v>343</v>
      </c>
      <c r="I264" s="94">
        <v>0.25</v>
      </c>
      <c r="J264" s="95">
        <v>18.75</v>
      </c>
    </row>
    <row r="265" spans="1:10" x14ac:dyDescent="0.25">
      <c r="A265" s="92">
        <v>45769</v>
      </c>
      <c r="B265" s="93" t="s">
        <v>325</v>
      </c>
      <c r="C265" s="89" t="s">
        <v>40</v>
      </c>
      <c r="D265" s="93" t="s">
        <v>290</v>
      </c>
      <c r="E265" s="93" t="s">
        <v>34</v>
      </c>
      <c r="F265" s="93" t="s">
        <v>428</v>
      </c>
      <c r="G265" s="93" t="s">
        <v>347</v>
      </c>
      <c r="H265" s="93" t="s">
        <v>343</v>
      </c>
      <c r="I265" s="94">
        <v>0.25</v>
      </c>
      <c r="J265" s="95">
        <v>18.75</v>
      </c>
    </row>
    <row r="266" spans="1:10" x14ac:dyDescent="0.25">
      <c r="A266" s="92">
        <v>45769</v>
      </c>
      <c r="B266" s="93" t="s">
        <v>329</v>
      </c>
      <c r="C266" s="89" t="s">
        <v>40</v>
      </c>
      <c r="D266" s="93" t="s">
        <v>294</v>
      </c>
      <c r="E266" s="93" t="s">
        <v>34</v>
      </c>
      <c r="F266" s="93" t="s">
        <v>377</v>
      </c>
      <c r="G266" s="93" t="s">
        <v>347</v>
      </c>
      <c r="H266" s="93" t="s">
        <v>343</v>
      </c>
      <c r="I266" s="94">
        <v>0.08</v>
      </c>
      <c r="J266" s="95">
        <v>6</v>
      </c>
    </row>
    <row r="267" spans="1:10" x14ac:dyDescent="0.25">
      <c r="A267" s="92">
        <v>45769</v>
      </c>
      <c r="B267" s="93" t="s">
        <v>329</v>
      </c>
      <c r="C267" s="89" t="s">
        <v>40</v>
      </c>
      <c r="D267" s="93" t="s">
        <v>288</v>
      </c>
      <c r="E267" s="93" t="s">
        <v>34</v>
      </c>
      <c r="F267" s="93" t="s">
        <v>405</v>
      </c>
      <c r="G267" s="93" t="s">
        <v>347</v>
      </c>
      <c r="H267" s="93" t="s">
        <v>343</v>
      </c>
      <c r="I267" s="94">
        <v>0.08</v>
      </c>
      <c r="J267" s="95">
        <v>6</v>
      </c>
    </row>
    <row r="268" spans="1:10" x14ac:dyDescent="0.25">
      <c r="A268" s="92">
        <v>45769</v>
      </c>
      <c r="B268" s="93" t="s">
        <v>329</v>
      </c>
      <c r="C268" s="89" t="s">
        <v>40</v>
      </c>
      <c r="D268" s="93" t="s">
        <v>295</v>
      </c>
      <c r="E268" s="93" t="s">
        <v>34</v>
      </c>
      <c r="F268" s="93" t="s">
        <v>379</v>
      </c>
      <c r="G268" s="93" t="s">
        <v>347</v>
      </c>
      <c r="H268" s="93" t="s">
        <v>343</v>
      </c>
      <c r="I268" s="94">
        <v>0.08</v>
      </c>
      <c r="J268" s="95">
        <v>6</v>
      </c>
    </row>
    <row r="269" spans="1:10" x14ac:dyDescent="0.25">
      <c r="A269" s="92">
        <v>45769</v>
      </c>
      <c r="B269" s="93" t="s">
        <v>329</v>
      </c>
      <c r="C269" s="89" t="s">
        <v>40</v>
      </c>
      <c r="D269" s="93" t="s">
        <v>248</v>
      </c>
      <c r="E269" s="93" t="s">
        <v>34</v>
      </c>
      <c r="F269" s="93" t="s">
        <v>385</v>
      </c>
      <c r="G269" s="93" t="s">
        <v>347</v>
      </c>
      <c r="H269" s="93" t="s">
        <v>343</v>
      </c>
      <c r="I269" s="94">
        <v>0.25</v>
      </c>
      <c r="J269" s="95">
        <v>18.75</v>
      </c>
    </row>
    <row r="270" spans="1:10" x14ac:dyDescent="0.25">
      <c r="A270" s="92">
        <v>45769</v>
      </c>
      <c r="B270" s="93" t="s">
        <v>325</v>
      </c>
      <c r="C270" s="89" t="s">
        <v>40</v>
      </c>
      <c r="D270" s="93" t="s">
        <v>276</v>
      </c>
      <c r="E270" s="93" t="s">
        <v>34</v>
      </c>
      <c r="F270" s="93" t="s">
        <v>425</v>
      </c>
      <c r="G270" s="93" t="s">
        <v>347</v>
      </c>
      <c r="H270" s="93" t="s">
        <v>343</v>
      </c>
      <c r="I270" s="94">
        <v>0.17</v>
      </c>
      <c r="J270" s="95">
        <v>12.750000000000002</v>
      </c>
    </row>
    <row r="271" spans="1:10" x14ac:dyDescent="0.25">
      <c r="A271" s="92">
        <v>45769</v>
      </c>
      <c r="B271" s="93" t="s">
        <v>329</v>
      </c>
      <c r="C271" s="89" t="s">
        <v>40</v>
      </c>
      <c r="D271" s="93" t="s">
        <v>268</v>
      </c>
      <c r="E271" s="93" t="s">
        <v>341</v>
      </c>
      <c r="F271" s="93" t="s">
        <v>386</v>
      </c>
      <c r="G271" s="93" t="s">
        <v>347</v>
      </c>
      <c r="H271" s="93" t="s">
        <v>344</v>
      </c>
      <c r="I271" s="94">
        <v>0.75</v>
      </c>
      <c r="J271" s="95">
        <v>56.25</v>
      </c>
    </row>
    <row r="272" spans="1:10" x14ac:dyDescent="0.25">
      <c r="A272" s="92">
        <v>45769</v>
      </c>
      <c r="B272" s="93" t="s">
        <v>325</v>
      </c>
      <c r="C272" s="89" t="s">
        <v>40</v>
      </c>
      <c r="D272" s="93" t="s">
        <v>315</v>
      </c>
      <c r="E272" s="93" t="s">
        <v>35</v>
      </c>
      <c r="F272" s="93" t="s">
        <v>354</v>
      </c>
      <c r="G272" s="93" t="s">
        <v>347</v>
      </c>
      <c r="H272" s="93" t="s">
        <v>352</v>
      </c>
      <c r="I272" s="94">
        <v>0.17</v>
      </c>
      <c r="J272" s="95">
        <v>12.750000000000002</v>
      </c>
    </row>
    <row r="273" spans="1:10" x14ac:dyDescent="0.25">
      <c r="A273" s="92">
        <v>45769</v>
      </c>
      <c r="B273" s="93" t="s">
        <v>332</v>
      </c>
      <c r="C273" s="89" t="s">
        <v>40</v>
      </c>
      <c r="D273" s="93" t="s">
        <v>314</v>
      </c>
      <c r="E273" s="93" t="s">
        <v>35</v>
      </c>
      <c r="F273" s="93" t="s">
        <v>359</v>
      </c>
      <c r="G273" s="93" t="s">
        <v>339</v>
      </c>
      <c r="H273" s="93" t="s">
        <v>352</v>
      </c>
      <c r="I273" s="94">
        <v>8.83</v>
      </c>
      <c r="J273" s="95">
        <v>353.2</v>
      </c>
    </row>
    <row r="274" spans="1:10" x14ac:dyDescent="0.25">
      <c r="A274" s="92">
        <v>45769</v>
      </c>
      <c r="B274" s="93" t="s">
        <v>324</v>
      </c>
      <c r="C274" s="89" t="s">
        <v>40</v>
      </c>
      <c r="D274" s="93" t="s">
        <v>314</v>
      </c>
      <c r="E274" s="93" t="s">
        <v>35</v>
      </c>
      <c r="F274" s="93" t="s">
        <v>359</v>
      </c>
      <c r="G274" s="93" t="s">
        <v>339</v>
      </c>
      <c r="H274" s="93" t="s">
        <v>352</v>
      </c>
      <c r="I274" s="94">
        <v>6</v>
      </c>
      <c r="J274" s="95">
        <v>450</v>
      </c>
    </row>
    <row r="275" spans="1:10" x14ac:dyDescent="0.25">
      <c r="A275" s="92">
        <v>45770</v>
      </c>
      <c r="B275" s="93" t="s">
        <v>323</v>
      </c>
      <c r="C275" s="89" t="s">
        <v>40</v>
      </c>
      <c r="D275" s="93" t="s">
        <v>202</v>
      </c>
      <c r="E275" s="93" t="s">
        <v>36</v>
      </c>
      <c r="F275" s="93" t="s">
        <v>431</v>
      </c>
      <c r="G275" s="93" t="s">
        <v>346</v>
      </c>
      <c r="H275" s="93" t="s">
        <v>342</v>
      </c>
      <c r="I275" s="94">
        <v>0.33</v>
      </c>
      <c r="J275" s="95">
        <v>19.8</v>
      </c>
    </row>
    <row r="276" spans="1:10" x14ac:dyDescent="0.25">
      <c r="A276" s="92">
        <v>45770</v>
      </c>
      <c r="B276" s="93" t="s">
        <v>323</v>
      </c>
      <c r="C276" s="89" t="s">
        <v>40</v>
      </c>
      <c r="D276" s="93" t="s">
        <v>212</v>
      </c>
      <c r="E276" s="93" t="s">
        <v>36</v>
      </c>
      <c r="F276" s="93" t="s">
        <v>392</v>
      </c>
      <c r="G276" s="93" t="s">
        <v>346</v>
      </c>
      <c r="H276" s="93" t="s">
        <v>342</v>
      </c>
      <c r="I276" s="94">
        <v>0.25</v>
      </c>
      <c r="J276" s="95">
        <v>15</v>
      </c>
    </row>
    <row r="277" spans="1:10" x14ac:dyDescent="0.25">
      <c r="A277" s="92">
        <v>45770</v>
      </c>
      <c r="B277" s="93" t="s">
        <v>323</v>
      </c>
      <c r="C277" s="89" t="s">
        <v>40</v>
      </c>
      <c r="D277" s="93" t="s">
        <v>219</v>
      </c>
      <c r="E277" s="93" t="s">
        <v>36</v>
      </c>
      <c r="F277" s="93" t="s">
        <v>432</v>
      </c>
      <c r="G277" s="93" t="s">
        <v>346</v>
      </c>
      <c r="H277" s="93" t="s">
        <v>342</v>
      </c>
      <c r="I277" s="94">
        <v>0.25</v>
      </c>
      <c r="J277" s="95">
        <v>15</v>
      </c>
    </row>
    <row r="278" spans="1:10" x14ac:dyDescent="0.25">
      <c r="A278" s="92">
        <v>45770</v>
      </c>
      <c r="B278" s="93" t="s">
        <v>329</v>
      </c>
      <c r="C278" s="89" t="s">
        <v>40</v>
      </c>
      <c r="D278" s="93" t="s">
        <v>316</v>
      </c>
      <c r="E278" s="93" t="s">
        <v>35</v>
      </c>
      <c r="F278" s="93" t="s">
        <v>338</v>
      </c>
      <c r="G278" s="93" t="s">
        <v>337</v>
      </c>
      <c r="H278" s="93" t="s">
        <v>352</v>
      </c>
      <c r="I278" s="94">
        <v>2.33</v>
      </c>
      <c r="J278" s="95">
        <v>174.75</v>
      </c>
    </row>
    <row r="279" spans="1:10" x14ac:dyDescent="0.25">
      <c r="A279" s="92">
        <v>45770</v>
      </c>
      <c r="B279" s="93" t="s">
        <v>333</v>
      </c>
      <c r="C279" s="89" t="s">
        <v>40</v>
      </c>
      <c r="D279" s="93" t="s">
        <v>320</v>
      </c>
      <c r="E279" s="93" t="s">
        <v>35</v>
      </c>
      <c r="F279" s="93" t="s">
        <v>322</v>
      </c>
      <c r="G279" s="93" t="s">
        <v>319</v>
      </c>
      <c r="H279" s="93" t="s">
        <v>352</v>
      </c>
      <c r="I279" s="94">
        <v>7.65</v>
      </c>
      <c r="J279" s="95">
        <v>244.8</v>
      </c>
    </row>
    <row r="280" spans="1:10" x14ac:dyDescent="0.25">
      <c r="A280" s="92">
        <v>45770</v>
      </c>
      <c r="B280" s="93" t="s">
        <v>327</v>
      </c>
      <c r="C280" s="89" t="s">
        <v>40</v>
      </c>
      <c r="D280" s="93" t="s">
        <v>320</v>
      </c>
      <c r="E280" s="93" t="s">
        <v>35</v>
      </c>
      <c r="F280" s="93" t="s">
        <v>322</v>
      </c>
      <c r="G280" s="93" t="s">
        <v>319</v>
      </c>
      <c r="H280" s="93" t="s">
        <v>352</v>
      </c>
      <c r="I280" s="94">
        <v>7.5</v>
      </c>
      <c r="J280" s="95">
        <v>240</v>
      </c>
    </row>
    <row r="281" spans="1:10" x14ac:dyDescent="0.25">
      <c r="A281" s="92">
        <v>45770</v>
      </c>
      <c r="B281" s="93" t="s">
        <v>323</v>
      </c>
      <c r="C281" s="89" t="s">
        <v>40</v>
      </c>
      <c r="D281" s="93" t="s">
        <v>169</v>
      </c>
      <c r="E281" s="93" t="s">
        <v>34</v>
      </c>
      <c r="F281" s="93" t="s">
        <v>433</v>
      </c>
      <c r="G281" s="93" t="s">
        <v>346</v>
      </c>
      <c r="H281" s="93" t="s">
        <v>343</v>
      </c>
      <c r="I281" s="94">
        <v>0.33</v>
      </c>
      <c r="J281" s="95">
        <v>19.8</v>
      </c>
    </row>
    <row r="282" spans="1:10" x14ac:dyDescent="0.25">
      <c r="A282" s="92">
        <v>45770</v>
      </c>
      <c r="B282" s="93" t="s">
        <v>323</v>
      </c>
      <c r="C282" s="89" t="s">
        <v>40</v>
      </c>
      <c r="D282" s="93" t="s">
        <v>286</v>
      </c>
      <c r="E282" s="93" t="s">
        <v>34</v>
      </c>
      <c r="F282" s="93" t="s">
        <v>434</v>
      </c>
      <c r="G282" s="93" t="s">
        <v>346</v>
      </c>
      <c r="H282" s="93" t="s">
        <v>343</v>
      </c>
      <c r="I282" s="94">
        <v>0.25</v>
      </c>
      <c r="J282" s="95">
        <v>15</v>
      </c>
    </row>
    <row r="283" spans="1:10" x14ac:dyDescent="0.25">
      <c r="A283" s="92">
        <v>45770</v>
      </c>
      <c r="B283" s="93" t="s">
        <v>329</v>
      </c>
      <c r="C283" s="89" t="s">
        <v>40</v>
      </c>
      <c r="D283" s="93" t="s">
        <v>197</v>
      </c>
      <c r="E283" s="93" t="s">
        <v>34</v>
      </c>
      <c r="F283" s="93" t="s">
        <v>366</v>
      </c>
      <c r="G283" s="93" t="s">
        <v>347</v>
      </c>
      <c r="H283" s="93" t="s">
        <v>343</v>
      </c>
      <c r="I283" s="94">
        <v>0.5</v>
      </c>
      <c r="J283" s="95">
        <v>37.5</v>
      </c>
    </row>
    <row r="284" spans="1:10" x14ac:dyDescent="0.25">
      <c r="A284" s="92">
        <v>45770</v>
      </c>
      <c r="B284" s="93" t="s">
        <v>329</v>
      </c>
      <c r="C284" s="89" t="s">
        <v>40</v>
      </c>
      <c r="D284" s="93" t="s">
        <v>183</v>
      </c>
      <c r="E284" s="93" t="s">
        <v>34</v>
      </c>
      <c r="F284" s="93" t="s">
        <v>368</v>
      </c>
      <c r="G284" s="93" t="s">
        <v>347</v>
      </c>
      <c r="H284" s="93" t="s">
        <v>343</v>
      </c>
      <c r="I284" s="94">
        <v>0.17</v>
      </c>
      <c r="J284" s="95">
        <v>12.750000000000002</v>
      </c>
    </row>
    <row r="285" spans="1:10" x14ac:dyDescent="0.25">
      <c r="A285" s="92">
        <v>45770</v>
      </c>
      <c r="B285" s="93" t="s">
        <v>329</v>
      </c>
      <c r="C285" s="89" t="s">
        <v>40</v>
      </c>
      <c r="D285" s="93" t="s">
        <v>302</v>
      </c>
      <c r="E285" s="93" t="s">
        <v>34</v>
      </c>
      <c r="F285" s="93" t="s">
        <v>398</v>
      </c>
      <c r="G285" s="93" t="s">
        <v>347</v>
      </c>
      <c r="H285" s="93" t="s">
        <v>343</v>
      </c>
      <c r="I285" s="94">
        <v>0.08</v>
      </c>
      <c r="J285" s="95">
        <v>6</v>
      </c>
    </row>
    <row r="286" spans="1:10" x14ac:dyDescent="0.25">
      <c r="A286" s="92">
        <v>45770</v>
      </c>
      <c r="B286" s="93" t="s">
        <v>329</v>
      </c>
      <c r="C286" s="89" t="s">
        <v>40</v>
      </c>
      <c r="D286" s="93" t="s">
        <v>221</v>
      </c>
      <c r="E286" s="93" t="s">
        <v>34</v>
      </c>
      <c r="F286" s="93" t="s">
        <v>369</v>
      </c>
      <c r="G286" s="93" t="s">
        <v>347</v>
      </c>
      <c r="H286" s="93" t="s">
        <v>343</v>
      </c>
      <c r="I286" s="94">
        <v>0.5</v>
      </c>
      <c r="J286" s="95">
        <v>37.5</v>
      </c>
    </row>
    <row r="287" spans="1:10" x14ac:dyDescent="0.25">
      <c r="A287" s="92">
        <v>45770</v>
      </c>
      <c r="B287" s="93" t="s">
        <v>329</v>
      </c>
      <c r="C287" s="89" t="s">
        <v>40</v>
      </c>
      <c r="D287" s="93" t="s">
        <v>229</v>
      </c>
      <c r="E287" s="93" t="s">
        <v>34</v>
      </c>
      <c r="F287" s="93" t="s">
        <v>373</v>
      </c>
      <c r="G287" s="93" t="s">
        <v>347</v>
      </c>
      <c r="H287" s="93" t="s">
        <v>343</v>
      </c>
      <c r="I287" s="94">
        <v>0.25</v>
      </c>
      <c r="J287" s="95">
        <v>18.75</v>
      </c>
    </row>
    <row r="288" spans="1:10" x14ac:dyDescent="0.25">
      <c r="A288" s="92">
        <v>45770</v>
      </c>
      <c r="B288" s="93" t="s">
        <v>329</v>
      </c>
      <c r="C288" s="89" t="s">
        <v>40</v>
      </c>
      <c r="D288" s="93" t="s">
        <v>238</v>
      </c>
      <c r="E288" s="93" t="s">
        <v>34</v>
      </c>
      <c r="F288" s="93" t="s">
        <v>374</v>
      </c>
      <c r="G288" s="93" t="s">
        <v>347</v>
      </c>
      <c r="H288" s="93" t="s">
        <v>343</v>
      </c>
      <c r="I288" s="94">
        <v>0.33</v>
      </c>
      <c r="J288" s="95">
        <v>24.75</v>
      </c>
    </row>
    <row r="289" spans="1:10" x14ac:dyDescent="0.25">
      <c r="A289" s="92">
        <v>45770</v>
      </c>
      <c r="B289" s="93" t="s">
        <v>329</v>
      </c>
      <c r="C289" s="89" t="s">
        <v>40</v>
      </c>
      <c r="D289" s="93" t="s">
        <v>247</v>
      </c>
      <c r="E289" s="93" t="s">
        <v>34</v>
      </c>
      <c r="F289" s="93" t="s">
        <v>375</v>
      </c>
      <c r="G289" s="93" t="s">
        <v>347</v>
      </c>
      <c r="H289" s="93" t="s">
        <v>343</v>
      </c>
      <c r="I289" s="94">
        <v>0.33</v>
      </c>
      <c r="J289" s="95">
        <v>24.75</v>
      </c>
    </row>
    <row r="290" spans="1:10" x14ac:dyDescent="0.25">
      <c r="A290" s="92">
        <v>45770</v>
      </c>
      <c r="B290" s="93" t="s">
        <v>329</v>
      </c>
      <c r="C290" s="89" t="s">
        <v>40</v>
      </c>
      <c r="D290" s="93" t="s">
        <v>293</v>
      </c>
      <c r="E290" s="93" t="s">
        <v>34</v>
      </c>
      <c r="F290" s="93" t="s">
        <v>376</v>
      </c>
      <c r="G290" s="93" t="s">
        <v>347</v>
      </c>
      <c r="H290" s="93" t="s">
        <v>343</v>
      </c>
      <c r="I290" s="94">
        <v>0.42</v>
      </c>
      <c r="J290" s="95">
        <v>31.5</v>
      </c>
    </row>
    <row r="291" spans="1:10" x14ac:dyDescent="0.25">
      <c r="A291" s="92">
        <v>45770</v>
      </c>
      <c r="B291" s="93" t="s">
        <v>325</v>
      </c>
      <c r="C291" s="89" t="s">
        <v>40</v>
      </c>
      <c r="D291" s="93" t="s">
        <v>287</v>
      </c>
      <c r="E291" s="93" t="s">
        <v>34</v>
      </c>
      <c r="F291" s="93" t="s">
        <v>378</v>
      </c>
      <c r="G291" s="93" t="s">
        <v>347</v>
      </c>
      <c r="H291" s="93" t="s">
        <v>343</v>
      </c>
      <c r="I291" s="94">
        <v>0.25</v>
      </c>
      <c r="J291" s="95">
        <v>18.75</v>
      </c>
    </row>
    <row r="292" spans="1:10" x14ac:dyDescent="0.25">
      <c r="A292" s="92">
        <v>45770</v>
      </c>
      <c r="B292" s="93" t="s">
        <v>329</v>
      </c>
      <c r="C292" s="89" t="s">
        <v>40</v>
      </c>
      <c r="D292" s="93" t="s">
        <v>295</v>
      </c>
      <c r="E292" s="93" t="s">
        <v>34</v>
      </c>
      <c r="F292" s="93" t="s">
        <v>379</v>
      </c>
      <c r="G292" s="93" t="s">
        <v>347</v>
      </c>
      <c r="H292" s="93" t="s">
        <v>343</v>
      </c>
      <c r="I292" s="94">
        <v>0.17</v>
      </c>
      <c r="J292" s="95">
        <v>12.750000000000002</v>
      </c>
    </row>
    <row r="293" spans="1:10" x14ac:dyDescent="0.25">
      <c r="A293" s="92">
        <v>45770</v>
      </c>
      <c r="B293" s="93" t="s">
        <v>329</v>
      </c>
      <c r="C293" s="89" t="s">
        <v>40</v>
      </c>
      <c r="D293" s="93" t="s">
        <v>248</v>
      </c>
      <c r="E293" s="93" t="s">
        <v>34</v>
      </c>
      <c r="F293" s="93" t="s">
        <v>385</v>
      </c>
      <c r="G293" s="93" t="s">
        <v>347</v>
      </c>
      <c r="H293" s="93" t="s">
        <v>343</v>
      </c>
      <c r="I293" s="94">
        <v>0.33</v>
      </c>
      <c r="J293" s="95">
        <v>24.75</v>
      </c>
    </row>
    <row r="294" spans="1:10" x14ac:dyDescent="0.25">
      <c r="A294" s="92">
        <v>45770</v>
      </c>
      <c r="B294" s="93" t="s">
        <v>329</v>
      </c>
      <c r="C294" s="89" t="s">
        <v>40</v>
      </c>
      <c r="D294" s="93" t="s">
        <v>268</v>
      </c>
      <c r="E294" s="93" t="s">
        <v>34</v>
      </c>
      <c r="F294" s="93" t="s">
        <v>386</v>
      </c>
      <c r="G294" s="93" t="s">
        <v>347</v>
      </c>
      <c r="H294" s="93" t="s">
        <v>343</v>
      </c>
      <c r="I294" s="94">
        <v>0.33</v>
      </c>
      <c r="J294" s="95">
        <v>24.75</v>
      </c>
    </row>
    <row r="295" spans="1:10" x14ac:dyDescent="0.25">
      <c r="A295" s="92">
        <v>45770</v>
      </c>
      <c r="B295" s="93" t="s">
        <v>332</v>
      </c>
      <c r="C295" s="89" t="s">
        <v>40</v>
      </c>
      <c r="D295" s="93" t="s">
        <v>314</v>
      </c>
      <c r="E295" s="93" t="s">
        <v>35</v>
      </c>
      <c r="F295" s="93" t="s">
        <v>359</v>
      </c>
      <c r="G295" s="93" t="s">
        <v>339</v>
      </c>
      <c r="H295" s="93" t="s">
        <v>352</v>
      </c>
      <c r="I295" s="94">
        <v>8.67</v>
      </c>
      <c r="J295" s="95">
        <v>346.8</v>
      </c>
    </row>
    <row r="296" spans="1:10" x14ac:dyDescent="0.25">
      <c r="A296" s="92">
        <v>45770</v>
      </c>
      <c r="B296" s="93" t="s">
        <v>324</v>
      </c>
      <c r="C296" s="89" t="s">
        <v>40</v>
      </c>
      <c r="D296" s="93" t="s">
        <v>314</v>
      </c>
      <c r="E296" s="93" t="s">
        <v>35</v>
      </c>
      <c r="F296" s="93" t="s">
        <v>359</v>
      </c>
      <c r="G296" s="93" t="s">
        <v>339</v>
      </c>
      <c r="H296" s="93" t="s">
        <v>352</v>
      </c>
      <c r="I296" s="94">
        <v>3.5</v>
      </c>
      <c r="J296" s="95">
        <v>262.5</v>
      </c>
    </row>
    <row r="297" spans="1:10" x14ac:dyDescent="0.25">
      <c r="A297" s="92">
        <v>45771</v>
      </c>
      <c r="B297" s="93" t="s">
        <v>329</v>
      </c>
      <c r="C297" s="89" t="s">
        <v>40</v>
      </c>
      <c r="D297" s="93" t="s">
        <v>247</v>
      </c>
      <c r="E297" s="93" t="s">
        <v>341</v>
      </c>
      <c r="F297" s="93" t="s">
        <v>375</v>
      </c>
      <c r="G297" s="93" t="s">
        <v>347</v>
      </c>
      <c r="H297" s="93" t="s">
        <v>344</v>
      </c>
      <c r="I297" s="94">
        <v>2.5</v>
      </c>
      <c r="J297" s="95">
        <v>187.5</v>
      </c>
    </row>
    <row r="298" spans="1:10" x14ac:dyDescent="0.25">
      <c r="A298" s="92">
        <v>45771</v>
      </c>
      <c r="B298" s="93" t="s">
        <v>329</v>
      </c>
      <c r="C298" s="89" t="s">
        <v>40</v>
      </c>
      <c r="D298" s="93" t="s">
        <v>316</v>
      </c>
      <c r="E298" s="93" t="s">
        <v>35</v>
      </c>
      <c r="F298" s="93" t="s">
        <v>338</v>
      </c>
      <c r="G298" s="93" t="s">
        <v>337</v>
      </c>
      <c r="H298" s="93" t="s">
        <v>352</v>
      </c>
      <c r="I298" s="94">
        <v>1.17</v>
      </c>
      <c r="J298" s="95">
        <v>87.75</v>
      </c>
    </row>
    <row r="299" spans="1:10" x14ac:dyDescent="0.25">
      <c r="A299" s="92">
        <v>45771</v>
      </c>
      <c r="B299" s="93" t="s">
        <v>333</v>
      </c>
      <c r="C299" s="89" t="s">
        <v>40</v>
      </c>
      <c r="D299" s="93" t="s">
        <v>320</v>
      </c>
      <c r="E299" s="93" t="s">
        <v>35</v>
      </c>
      <c r="F299" s="93" t="s">
        <v>322</v>
      </c>
      <c r="G299" s="93" t="s">
        <v>319</v>
      </c>
      <c r="H299" s="93" t="s">
        <v>352</v>
      </c>
      <c r="I299" s="94">
        <v>9.1300000000000008</v>
      </c>
      <c r="J299" s="95">
        <v>292.16000000000003</v>
      </c>
    </row>
    <row r="300" spans="1:10" x14ac:dyDescent="0.25">
      <c r="A300" s="92">
        <v>45771</v>
      </c>
      <c r="B300" s="93" t="s">
        <v>323</v>
      </c>
      <c r="C300" s="89" t="s">
        <v>40</v>
      </c>
      <c r="D300" s="93" t="s">
        <v>212</v>
      </c>
      <c r="E300" s="93" t="s">
        <v>341</v>
      </c>
      <c r="F300" s="93" t="s">
        <v>392</v>
      </c>
      <c r="G300" s="93" t="s">
        <v>346</v>
      </c>
      <c r="H300" s="93" t="s">
        <v>344</v>
      </c>
      <c r="I300" s="94">
        <v>1.5</v>
      </c>
      <c r="J300" s="95">
        <v>90</v>
      </c>
    </row>
    <row r="301" spans="1:10" x14ac:dyDescent="0.25">
      <c r="A301" s="92">
        <v>45771</v>
      </c>
      <c r="B301" s="93" t="s">
        <v>329</v>
      </c>
      <c r="C301" s="89" t="s">
        <v>40</v>
      </c>
      <c r="D301" s="93" t="s">
        <v>247</v>
      </c>
      <c r="E301" s="93" t="s">
        <v>34</v>
      </c>
      <c r="F301" s="93" t="s">
        <v>375</v>
      </c>
      <c r="G301" s="93" t="s">
        <v>347</v>
      </c>
      <c r="H301" s="93" t="s">
        <v>343</v>
      </c>
      <c r="I301" s="94">
        <v>0.17</v>
      </c>
      <c r="J301" s="95">
        <v>12.750000000000002</v>
      </c>
    </row>
    <row r="302" spans="1:10" x14ac:dyDescent="0.25">
      <c r="A302" s="92">
        <v>45771</v>
      </c>
      <c r="B302" s="93" t="s">
        <v>329</v>
      </c>
      <c r="C302" s="89" t="s">
        <v>40</v>
      </c>
      <c r="D302" s="93" t="s">
        <v>293</v>
      </c>
      <c r="E302" s="93" t="s">
        <v>34</v>
      </c>
      <c r="F302" s="93" t="s">
        <v>376</v>
      </c>
      <c r="G302" s="93" t="s">
        <v>347</v>
      </c>
      <c r="H302" s="93" t="s">
        <v>343</v>
      </c>
      <c r="I302" s="94">
        <v>0.17</v>
      </c>
      <c r="J302" s="95">
        <v>12.750000000000002</v>
      </c>
    </row>
    <row r="303" spans="1:10" x14ac:dyDescent="0.25">
      <c r="A303" s="92">
        <v>45771</v>
      </c>
      <c r="B303" s="93" t="s">
        <v>329</v>
      </c>
      <c r="C303" s="89" t="s">
        <v>40</v>
      </c>
      <c r="D303" s="93" t="s">
        <v>295</v>
      </c>
      <c r="E303" s="93" t="s">
        <v>34</v>
      </c>
      <c r="F303" s="93" t="s">
        <v>379</v>
      </c>
      <c r="G303" s="93" t="s">
        <v>347</v>
      </c>
      <c r="H303" s="93" t="s">
        <v>343</v>
      </c>
      <c r="I303" s="94">
        <v>0.17</v>
      </c>
      <c r="J303" s="95">
        <v>12.750000000000002</v>
      </c>
    </row>
    <row r="304" spans="1:10" x14ac:dyDescent="0.25">
      <c r="A304" s="92">
        <v>45771</v>
      </c>
      <c r="B304" s="93" t="s">
        <v>325</v>
      </c>
      <c r="C304" s="89" t="s">
        <v>40</v>
      </c>
      <c r="D304" s="93" t="s">
        <v>305</v>
      </c>
      <c r="E304" s="93" t="s">
        <v>34</v>
      </c>
      <c r="F304" s="93" t="s">
        <v>382</v>
      </c>
      <c r="G304" s="93" t="s">
        <v>347</v>
      </c>
      <c r="H304" s="93" t="s">
        <v>343</v>
      </c>
      <c r="I304" s="94">
        <v>0.25</v>
      </c>
      <c r="J304" s="95">
        <v>18.75</v>
      </c>
    </row>
    <row r="305" spans="1:10" x14ac:dyDescent="0.25">
      <c r="A305" s="92">
        <v>45771</v>
      </c>
      <c r="B305" s="93" t="s">
        <v>329</v>
      </c>
      <c r="C305" s="89" t="s">
        <v>40</v>
      </c>
      <c r="D305" s="93" t="s">
        <v>248</v>
      </c>
      <c r="E305" s="93" t="s">
        <v>34</v>
      </c>
      <c r="F305" s="93" t="s">
        <v>385</v>
      </c>
      <c r="G305" s="93" t="s">
        <v>347</v>
      </c>
      <c r="H305" s="93" t="s">
        <v>343</v>
      </c>
      <c r="I305" s="94">
        <v>0.17</v>
      </c>
      <c r="J305" s="95">
        <v>12.750000000000002</v>
      </c>
    </row>
    <row r="306" spans="1:10" x14ac:dyDescent="0.25">
      <c r="A306" s="92">
        <v>45771</v>
      </c>
      <c r="B306" s="93" t="s">
        <v>329</v>
      </c>
      <c r="C306" s="89" t="s">
        <v>40</v>
      </c>
      <c r="D306" s="93" t="s">
        <v>248</v>
      </c>
      <c r="E306" s="93" t="s">
        <v>341</v>
      </c>
      <c r="F306" s="93" t="s">
        <v>385</v>
      </c>
      <c r="G306" s="93" t="s">
        <v>347</v>
      </c>
      <c r="H306" s="93" t="s">
        <v>344</v>
      </c>
      <c r="I306" s="94">
        <v>2</v>
      </c>
      <c r="J306" s="95">
        <v>150</v>
      </c>
    </row>
    <row r="307" spans="1:10" x14ac:dyDescent="0.25">
      <c r="A307" s="92">
        <v>45771</v>
      </c>
      <c r="B307" s="93" t="s">
        <v>326</v>
      </c>
      <c r="C307" s="89" t="s">
        <v>40</v>
      </c>
      <c r="D307" s="93" t="s">
        <v>207</v>
      </c>
      <c r="E307" s="93" t="s">
        <v>36</v>
      </c>
      <c r="F307" s="93" t="s">
        <v>417</v>
      </c>
      <c r="G307" s="93" t="s">
        <v>348</v>
      </c>
      <c r="H307" s="93" t="s">
        <v>342</v>
      </c>
      <c r="I307" s="94">
        <v>0.5</v>
      </c>
      <c r="J307" s="95">
        <v>30</v>
      </c>
    </row>
    <row r="308" spans="1:10" x14ac:dyDescent="0.25">
      <c r="A308" s="92">
        <v>45771</v>
      </c>
      <c r="B308" s="93" t="s">
        <v>326</v>
      </c>
      <c r="C308" s="89" t="s">
        <v>40</v>
      </c>
      <c r="D308" s="93" t="s">
        <v>265</v>
      </c>
      <c r="E308" s="93" t="s">
        <v>36</v>
      </c>
      <c r="F308" s="93" t="s">
        <v>358</v>
      </c>
      <c r="G308" s="93" t="s">
        <v>348</v>
      </c>
      <c r="H308" s="93" t="s">
        <v>342</v>
      </c>
      <c r="I308" s="94">
        <v>0.5</v>
      </c>
      <c r="J308" s="95">
        <v>30</v>
      </c>
    </row>
    <row r="309" spans="1:10" x14ac:dyDescent="0.25">
      <c r="A309" s="92">
        <v>45771</v>
      </c>
      <c r="B309" s="93" t="s">
        <v>326</v>
      </c>
      <c r="C309" s="89" t="s">
        <v>40</v>
      </c>
      <c r="D309" s="93" t="s">
        <v>237</v>
      </c>
      <c r="E309" s="93" t="s">
        <v>34</v>
      </c>
      <c r="F309" s="93" t="s">
        <v>427</v>
      </c>
      <c r="G309" s="93" t="s">
        <v>348</v>
      </c>
      <c r="H309" s="93" t="s">
        <v>343</v>
      </c>
      <c r="I309" s="94">
        <v>0.5</v>
      </c>
      <c r="J309" s="95">
        <v>30</v>
      </c>
    </row>
    <row r="310" spans="1:10" x14ac:dyDescent="0.25">
      <c r="A310" s="92">
        <v>45771</v>
      </c>
      <c r="B310" s="93" t="s">
        <v>326</v>
      </c>
      <c r="C310" s="89" t="s">
        <v>40</v>
      </c>
      <c r="D310" s="93" t="s">
        <v>188</v>
      </c>
      <c r="E310" s="93" t="s">
        <v>34</v>
      </c>
      <c r="F310" s="93" t="s">
        <v>356</v>
      </c>
      <c r="G310" s="93" t="s">
        <v>348</v>
      </c>
      <c r="H310" s="93" t="s">
        <v>343</v>
      </c>
      <c r="I310" s="94">
        <v>0.75</v>
      </c>
      <c r="J310" s="95">
        <v>45</v>
      </c>
    </row>
    <row r="311" spans="1:10" x14ac:dyDescent="0.25">
      <c r="A311" s="92">
        <v>45771</v>
      </c>
      <c r="B311" s="93" t="s">
        <v>326</v>
      </c>
      <c r="C311" s="89" t="s">
        <v>40</v>
      </c>
      <c r="D311" s="93" t="s">
        <v>233</v>
      </c>
      <c r="E311" s="93" t="s">
        <v>34</v>
      </c>
      <c r="F311" s="93" t="s">
        <v>387</v>
      </c>
      <c r="G311" s="93" t="s">
        <v>348</v>
      </c>
      <c r="H311" s="93" t="s">
        <v>343</v>
      </c>
      <c r="I311" s="94">
        <v>0.5</v>
      </c>
      <c r="J311" s="95">
        <v>30</v>
      </c>
    </row>
    <row r="312" spans="1:10" x14ac:dyDescent="0.25">
      <c r="A312" s="92">
        <v>45771</v>
      </c>
      <c r="B312" s="93" t="s">
        <v>326</v>
      </c>
      <c r="C312" s="89" t="s">
        <v>40</v>
      </c>
      <c r="D312" s="93" t="s">
        <v>236</v>
      </c>
      <c r="E312" s="93" t="s">
        <v>34</v>
      </c>
      <c r="F312" s="93" t="s">
        <v>357</v>
      </c>
      <c r="G312" s="93" t="s">
        <v>348</v>
      </c>
      <c r="H312" s="93" t="s">
        <v>343</v>
      </c>
      <c r="I312" s="94">
        <v>0.67</v>
      </c>
      <c r="J312" s="95">
        <v>40.200000000000003</v>
      </c>
    </row>
    <row r="313" spans="1:10" x14ac:dyDescent="0.25">
      <c r="A313" s="92">
        <v>45771</v>
      </c>
      <c r="B313" s="93" t="s">
        <v>332</v>
      </c>
      <c r="C313" s="89" t="s">
        <v>40</v>
      </c>
      <c r="D313" s="93" t="s">
        <v>314</v>
      </c>
      <c r="E313" s="93" t="s">
        <v>35</v>
      </c>
      <c r="F313" s="93" t="s">
        <v>359</v>
      </c>
      <c r="G313" s="93" t="s">
        <v>339</v>
      </c>
      <c r="H313" s="93" t="s">
        <v>352</v>
      </c>
      <c r="I313" s="94">
        <v>7.5</v>
      </c>
      <c r="J313" s="95">
        <v>300</v>
      </c>
    </row>
    <row r="314" spans="1:10" x14ac:dyDescent="0.25">
      <c r="A314" s="92">
        <v>45771</v>
      </c>
      <c r="B314" s="93" t="s">
        <v>324</v>
      </c>
      <c r="C314" s="89" t="s">
        <v>40</v>
      </c>
      <c r="D314" s="93" t="s">
        <v>314</v>
      </c>
      <c r="E314" s="93" t="s">
        <v>35</v>
      </c>
      <c r="F314" s="93" t="s">
        <v>359</v>
      </c>
      <c r="G314" s="93" t="s">
        <v>339</v>
      </c>
      <c r="H314" s="93" t="s">
        <v>352</v>
      </c>
      <c r="I314" s="94">
        <v>7</v>
      </c>
      <c r="J314" s="95">
        <v>525</v>
      </c>
    </row>
    <row r="315" spans="1:10" x14ac:dyDescent="0.25">
      <c r="A315" s="92">
        <v>45772</v>
      </c>
      <c r="B315" s="93" t="s">
        <v>323</v>
      </c>
      <c r="C315" s="89" t="s">
        <v>40</v>
      </c>
      <c r="D315" s="93" t="s">
        <v>202</v>
      </c>
      <c r="E315" s="93" t="s">
        <v>36</v>
      </c>
      <c r="F315" s="93" t="s">
        <v>431</v>
      </c>
      <c r="G315" s="93" t="s">
        <v>346</v>
      </c>
      <c r="H315" s="93" t="s">
        <v>342</v>
      </c>
      <c r="I315" s="94">
        <v>0.5</v>
      </c>
      <c r="J315" s="95">
        <v>30</v>
      </c>
    </row>
    <row r="316" spans="1:10" x14ac:dyDescent="0.25">
      <c r="A316" s="92">
        <v>45772</v>
      </c>
      <c r="B316" s="93" t="s">
        <v>329</v>
      </c>
      <c r="C316" s="89" t="s">
        <v>40</v>
      </c>
      <c r="D316" s="93" t="s">
        <v>316</v>
      </c>
      <c r="E316" s="93" t="s">
        <v>35</v>
      </c>
      <c r="F316" s="93" t="s">
        <v>338</v>
      </c>
      <c r="G316" s="93" t="s">
        <v>337</v>
      </c>
      <c r="H316" s="93" t="s">
        <v>352</v>
      </c>
      <c r="I316" s="94">
        <v>1</v>
      </c>
      <c r="J316" s="95">
        <v>75</v>
      </c>
    </row>
    <row r="317" spans="1:10" x14ac:dyDescent="0.25">
      <c r="A317" s="92">
        <v>45772</v>
      </c>
      <c r="B317" s="93" t="s">
        <v>333</v>
      </c>
      <c r="C317" s="89" t="s">
        <v>40</v>
      </c>
      <c r="D317" s="93" t="s">
        <v>320</v>
      </c>
      <c r="E317" s="93" t="s">
        <v>35</v>
      </c>
      <c r="F317" s="93" t="s">
        <v>322</v>
      </c>
      <c r="G317" s="93" t="s">
        <v>319</v>
      </c>
      <c r="H317" s="93" t="s">
        <v>352</v>
      </c>
      <c r="I317" s="94">
        <v>7.37</v>
      </c>
      <c r="J317" s="95">
        <v>235.84</v>
      </c>
    </row>
    <row r="318" spans="1:10" x14ac:dyDescent="0.25">
      <c r="A318" s="92">
        <v>45772</v>
      </c>
      <c r="B318" s="93" t="s">
        <v>327</v>
      </c>
      <c r="C318" s="89" t="s">
        <v>40</v>
      </c>
      <c r="D318" s="93" t="s">
        <v>320</v>
      </c>
      <c r="E318" s="93" t="s">
        <v>35</v>
      </c>
      <c r="F318" s="93" t="s">
        <v>322</v>
      </c>
      <c r="G318" s="93" t="s">
        <v>319</v>
      </c>
      <c r="H318" s="93" t="s">
        <v>352</v>
      </c>
      <c r="I318" s="94">
        <v>7.25</v>
      </c>
      <c r="J318" s="95">
        <v>232</v>
      </c>
    </row>
    <row r="319" spans="1:10" x14ac:dyDescent="0.25">
      <c r="A319" s="92">
        <v>45772</v>
      </c>
      <c r="B319" s="93" t="s">
        <v>323</v>
      </c>
      <c r="C319" s="89" t="s">
        <v>40</v>
      </c>
      <c r="D319" s="93" t="s">
        <v>245</v>
      </c>
      <c r="E319" s="93" t="s">
        <v>36</v>
      </c>
      <c r="F319" s="93" t="s">
        <v>435</v>
      </c>
      <c r="G319" s="93" t="s">
        <v>346</v>
      </c>
      <c r="H319" s="93" t="s">
        <v>342</v>
      </c>
      <c r="I319" s="94">
        <v>0.25</v>
      </c>
      <c r="J319" s="95">
        <v>15</v>
      </c>
    </row>
    <row r="320" spans="1:10" x14ac:dyDescent="0.25">
      <c r="A320" s="92">
        <v>45772</v>
      </c>
      <c r="B320" s="93" t="s">
        <v>323</v>
      </c>
      <c r="C320" s="89" t="s">
        <v>40</v>
      </c>
      <c r="D320" s="93" t="s">
        <v>283</v>
      </c>
      <c r="E320" s="93" t="s">
        <v>36</v>
      </c>
      <c r="F320" s="93" t="s">
        <v>429</v>
      </c>
      <c r="G320" s="93" t="s">
        <v>346</v>
      </c>
      <c r="H320" s="93" t="s">
        <v>342</v>
      </c>
      <c r="I320" s="94">
        <v>0.25</v>
      </c>
      <c r="J320" s="95">
        <v>15</v>
      </c>
    </row>
    <row r="321" spans="1:10" x14ac:dyDescent="0.25">
      <c r="A321" s="92">
        <v>45772</v>
      </c>
      <c r="B321" s="93" t="s">
        <v>323</v>
      </c>
      <c r="C321" s="89" t="s">
        <v>40</v>
      </c>
      <c r="D321" s="93" t="s">
        <v>267</v>
      </c>
      <c r="E321" s="93" t="s">
        <v>36</v>
      </c>
      <c r="F321" s="93" t="s">
        <v>436</v>
      </c>
      <c r="G321" s="93" t="s">
        <v>346</v>
      </c>
      <c r="H321" s="93" t="s">
        <v>342</v>
      </c>
      <c r="I321" s="94">
        <v>0.25</v>
      </c>
      <c r="J321" s="95">
        <v>15</v>
      </c>
    </row>
    <row r="322" spans="1:10" x14ac:dyDescent="0.25">
      <c r="A322" s="92">
        <v>45772</v>
      </c>
      <c r="B322" s="93" t="s">
        <v>323</v>
      </c>
      <c r="C322" s="89" t="s">
        <v>40</v>
      </c>
      <c r="D322" s="93" t="s">
        <v>231</v>
      </c>
      <c r="E322" s="93" t="s">
        <v>34</v>
      </c>
      <c r="F322" s="93" t="s">
        <v>420</v>
      </c>
      <c r="G322" s="93" t="s">
        <v>346</v>
      </c>
      <c r="H322" s="93" t="s">
        <v>343</v>
      </c>
      <c r="I322" s="94">
        <v>0.25</v>
      </c>
      <c r="J322" s="95">
        <v>15</v>
      </c>
    </row>
    <row r="323" spans="1:10" x14ac:dyDescent="0.25">
      <c r="A323" s="92">
        <v>45772</v>
      </c>
      <c r="B323" s="93" t="s">
        <v>323</v>
      </c>
      <c r="C323" s="89" t="s">
        <v>40</v>
      </c>
      <c r="D323" s="93" t="s">
        <v>168</v>
      </c>
      <c r="E323" s="93" t="s">
        <v>34</v>
      </c>
      <c r="F323" s="93" t="s">
        <v>419</v>
      </c>
      <c r="G323" s="93" t="s">
        <v>346</v>
      </c>
      <c r="H323" s="93" t="s">
        <v>343</v>
      </c>
      <c r="I323" s="94">
        <v>0.25</v>
      </c>
      <c r="J323" s="95">
        <v>15</v>
      </c>
    </row>
    <row r="324" spans="1:10" x14ac:dyDescent="0.25">
      <c r="A324" s="92">
        <v>45772</v>
      </c>
      <c r="B324" s="93" t="s">
        <v>329</v>
      </c>
      <c r="C324" s="89" t="s">
        <v>40</v>
      </c>
      <c r="D324" s="93" t="s">
        <v>197</v>
      </c>
      <c r="E324" s="93" t="s">
        <v>34</v>
      </c>
      <c r="F324" s="93" t="s">
        <v>366</v>
      </c>
      <c r="G324" s="93" t="s">
        <v>347</v>
      </c>
      <c r="H324" s="93" t="s">
        <v>343</v>
      </c>
      <c r="I324" s="94">
        <v>0.75</v>
      </c>
      <c r="J324" s="95">
        <v>56.25</v>
      </c>
    </row>
    <row r="325" spans="1:10" x14ac:dyDescent="0.25">
      <c r="A325" s="92">
        <v>45772</v>
      </c>
      <c r="B325" s="93" t="s">
        <v>329</v>
      </c>
      <c r="C325" s="89" t="s">
        <v>40</v>
      </c>
      <c r="D325" s="93" t="s">
        <v>186</v>
      </c>
      <c r="E325" s="93" t="s">
        <v>34</v>
      </c>
      <c r="F325" s="93" t="s">
        <v>397</v>
      </c>
      <c r="G325" s="93" t="s">
        <v>347</v>
      </c>
      <c r="H325" s="93" t="s">
        <v>343</v>
      </c>
      <c r="I325" s="94">
        <v>0.17</v>
      </c>
      <c r="J325" s="95">
        <v>12.750000000000002</v>
      </c>
    </row>
    <row r="326" spans="1:10" x14ac:dyDescent="0.25">
      <c r="A326" s="92">
        <v>45772</v>
      </c>
      <c r="B326" s="93" t="s">
        <v>330</v>
      </c>
      <c r="C326" s="89" t="s">
        <v>40</v>
      </c>
      <c r="D326" s="93" t="s">
        <v>211</v>
      </c>
      <c r="E326" s="93" t="s">
        <v>34</v>
      </c>
      <c r="F326" s="93" t="s">
        <v>437</v>
      </c>
      <c r="G326" s="93" t="s">
        <v>347</v>
      </c>
      <c r="H326" s="93" t="s">
        <v>343</v>
      </c>
      <c r="I326" s="94">
        <v>1</v>
      </c>
      <c r="J326" s="95">
        <v>60</v>
      </c>
    </row>
    <row r="327" spans="1:10" x14ac:dyDescent="0.25">
      <c r="A327" s="92">
        <v>45772</v>
      </c>
      <c r="B327" s="93" t="s">
        <v>329</v>
      </c>
      <c r="C327" s="89" t="s">
        <v>40</v>
      </c>
      <c r="D327" s="93" t="s">
        <v>229</v>
      </c>
      <c r="E327" s="93" t="s">
        <v>34</v>
      </c>
      <c r="F327" s="93" t="s">
        <v>373</v>
      </c>
      <c r="G327" s="93" t="s">
        <v>347</v>
      </c>
      <c r="H327" s="93" t="s">
        <v>343</v>
      </c>
      <c r="I327" s="94">
        <v>0.17</v>
      </c>
      <c r="J327" s="95">
        <v>12.750000000000002</v>
      </c>
    </row>
    <row r="328" spans="1:10" x14ac:dyDescent="0.25">
      <c r="A328" s="92">
        <v>45772</v>
      </c>
      <c r="B328" s="93" t="s">
        <v>329</v>
      </c>
      <c r="C328" s="89" t="s">
        <v>40</v>
      </c>
      <c r="D328" s="93" t="s">
        <v>241</v>
      </c>
      <c r="E328" s="93" t="s">
        <v>34</v>
      </c>
      <c r="F328" s="93" t="s">
        <v>403</v>
      </c>
      <c r="G328" s="93" t="s">
        <v>347</v>
      </c>
      <c r="H328" s="93" t="s">
        <v>343</v>
      </c>
      <c r="I328" s="94">
        <v>0.75</v>
      </c>
      <c r="J328" s="95">
        <v>56.25</v>
      </c>
    </row>
    <row r="329" spans="1:10" x14ac:dyDescent="0.25">
      <c r="A329" s="92">
        <v>45772</v>
      </c>
      <c r="B329" s="93" t="s">
        <v>329</v>
      </c>
      <c r="C329" s="89" t="s">
        <v>40</v>
      </c>
      <c r="D329" s="93" t="s">
        <v>294</v>
      </c>
      <c r="E329" s="93" t="s">
        <v>34</v>
      </c>
      <c r="F329" s="93" t="s">
        <v>377</v>
      </c>
      <c r="G329" s="93" t="s">
        <v>347</v>
      </c>
      <c r="H329" s="93" t="s">
        <v>343</v>
      </c>
      <c r="I329" s="94">
        <v>0.17</v>
      </c>
      <c r="J329" s="95">
        <v>12.750000000000002</v>
      </c>
    </row>
    <row r="330" spans="1:10" x14ac:dyDescent="0.25">
      <c r="A330" s="92">
        <v>45772</v>
      </c>
      <c r="B330" s="93" t="s">
        <v>329</v>
      </c>
      <c r="C330" s="89" t="s">
        <v>40</v>
      </c>
      <c r="D330" s="93" t="s">
        <v>296</v>
      </c>
      <c r="E330" s="93" t="s">
        <v>34</v>
      </c>
      <c r="F330" s="93" t="s">
        <v>411</v>
      </c>
      <c r="G330" s="93" t="s">
        <v>347</v>
      </c>
      <c r="H330" s="93" t="s">
        <v>343</v>
      </c>
      <c r="I330" s="94">
        <v>0.17</v>
      </c>
      <c r="J330" s="95">
        <v>12.750000000000002</v>
      </c>
    </row>
    <row r="331" spans="1:10" x14ac:dyDescent="0.25">
      <c r="A331" s="92">
        <v>45772</v>
      </c>
      <c r="B331" s="93" t="s">
        <v>329</v>
      </c>
      <c r="C331" s="89" t="s">
        <v>40</v>
      </c>
      <c r="D331" s="93" t="s">
        <v>248</v>
      </c>
      <c r="E331" s="93" t="s">
        <v>34</v>
      </c>
      <c r="F331" s="93" t="s">
        <v>385</v>
      </c>
      <c r="G331" s="93" t="s">
        <v>347</v>
      </c>
      <c r="H331" s="93" t="s">
        <v>343</v>
      </c>
      <c r="I331" s="94">
        <v>0.75</v>
      </c>
      <c r="J331" s="95">
        <v>56.25</v>
      </c>
    </row>
    <row r="332" spans="1:10" x14ac:dyDescent="0.25">
      <c r="A332" s="92">
        <v>45772</v>
      </c>
      <c r="B332" s="93" t="s">
        <v>326</v>
      </c>
      <c r="C332" s="89" t="s">
        <v>40</v>
      </c>
      <c r="D332" s="93" t="s">
        <v>207</v>
      </c>
      <c r="E332" s="93" t="s">
        <v>36</v>
      </c>
      <c r="F332" s="93" t="s">
        <v>417</v>
      </c>
      <c r="G332" s="93" t="s">
        <v>348</v>
      </c>
      <c r="H332" s="93" t="s">
        <v>342</v>
      </c>
      <c r="I332" s="94">
        <v>0.5</v>
      </c>
      <c r="J332" s="95">
        <v>30</v>
      </c>
    </row>
    <row r="333" spans="1:10" x14ac:dyDescent="0.25">
      <c r="A333" s="92">
        <v>45772</v>
      </c>
      <c r="B333" s="93" t="s">
        <v>332</v>
      </c>
      <c r="C333" s="89" t="s">
        <v>40</v>
      </c>
      <c r="D333" s="93" t="s">
        <v>314</v>
      </c>
      <c r="E333" s="93" t="s">
        <v>35</v>
      </c>
      <c r="F333" s="93" t="s">
        <v>359</v>
      </c>
      <c r="G333" s="93" t="s">
        <v>339</v>
      </c>
      <c r="H333" s="93" t="s">
        <v>352</v>
      </c>
      <c r="I333" s="94">
        <v>7.5</v>
      </c>
      <c r="J333" s="95">
        <v>300</v>
      </c>
    </row>
    <row r="334" spans="1:10" x14ac:dyDescent="0.25">
      <c r="A334" s="92">
        <v>45772</v>
      </c>
      <c r="B334" s="93" t="s">
        <v>324</v>
      </c>
      <c r="C334" s="89" t="s">
        <v>40</v>
      </c>
      <c r="D334" s="93" t="s">
        <v>314</v>
      </c>
      <c r="E334" s="93" t="s">
        <v>35</v>
      </c>
      <c r="F334" s="93" t="s">
        <v>359</v>
      </c>
      <c r="G334" s="93" t="s">
        <v>339</v>
      </c>
      <c r="H334" s="93" t="s">
        <v>352</v>
      </c>
      <c r="I334" s="94">
        <v>6.33</v>
      </c>
      <c r="J334" s="95">
        <v>474.75</v>
      </c>
    </row>
    <row r="335" spans="1:10" x14ac:dyDescent="0.25">
      <c r="A335" s="92">
        <v>45773</v>
      </c>
      <c r="B335" s="93" t="s">
        <v>332</v>
      </c>
      <c r="C335" s="89" t="s">
        <v>40</v>
      </c>
      <c r="D335" s="93" t="s">
        <v>314</v>
      </c>
      <c r="E335" s="93" t="s">
        <v>35</v>
      </c>
      <c r="F335" s="93" t="s">
        <v>359</v>
      </c>
      <c r="G335" s="93" t="s">
        <v>339</v>
      </c>
      <c r="H335" s="93" t="s">
        <v>352</v>
      </c>
      <c r="I335" s="94">
        <v>4</v>
      </c>
      <c r="J335" s="95">
        <v>160</v>
      </c>
    </row>
    <row r="336" spans="1:10" x14ac:dyDescent="0.25">
      <c r="A336" s="92">
        <v>45775</v>
      </c>
      <c r="B336" s="93" t="s">
        <v>329</v>
      </c>
      <c r="C336" s="89" t="s">
        <v>40</v>
      </c>
      <c r="D336" s="93" t="s">
        <v>269</v>
      </c>
      <c r="E336" s="93" t="s">
        <v>34</v>
      </c>
      <c r="F336" s="93" t="s">
        <v>361</v>
      </c>
      <c r="G336" s="93" t="s">
        <v>347</v>
      </c>
      <c r="H336" s="93" t="s">
        <v>343</v>
      </c>
      <c r="I336" s="94">
        <v>0.17</v>
      </c>
      <c r="J336" s="95">
        <v>12.750000000000002</v>
      </c>
    </row>
    <row r="337" spans="1:10" x14ac:dyDescent="0.25">
      <c r="A337" s="92">
        <v>45775</v>
      </c>
      <c r="B337" s="93" t="s">
        <v>329</v>
      </c>
      <c r="C337" s="89" t="s">
        <v>40</v>
      </c>
      <c r="D337" s="93" t="s">
        <v>241</v>
      </c>
      <c r="E337" s="93" t="s">
        <v>341</v>
      </c>
      <c r="F337" s="93" t="s">
        <v>403</v>
      </c>
      <c r="G337" s="93" t="s">
        <v>347</v>
      </c>
      <c r="H337" s="93" t="s">
        <v>344</v>
      </c>
      <c r="I337" s="94">
        <v>2.5</v>
      </c>
      <c r="J337" s="95">
        <v>187.5</v>
      </c>
    </row>
    <row r="338" spans="1:10" x14ac:dyDescent="0.25">
      <c r="A338" s="92">
        <v>45775</v>
      </c>
      <c r="B338" s="93" t="s">
        <v>330</v>
      </c>
      <c r="C338" s="89" t="s">
        <v>40</v>
      </c>
      <c r="D338" s="93" t="s">
        <v>190</v>
      </c>
      <c r="E338" s="93" t="s">
        <v>341</v>
      </c>
      <c r="F338" s="93" t="s">
        <v>438</v>
      </c>
      <c r="G338" s="93" t="s">
        <v>347</v>
      </c>
      <c r="H338" s="93" t="s">
        <v>344</v>
      </c>
      <c r="I338" s="94">
        <v>1</v>
      </c>
      <c r="J338" s="95">
        <v>60</v>
      </c>
    </row>
    <row r="339" spans="1:10" x14ac:dyDescent="0.25">
      <c r="A339" s="92">
        <v>45775</v>
      </c>
      <c r="B339" s="93" t="s">
        <v>330</v>
      </c>
      <c r="C339" s="89" t="s">
        <v>40</v>
      </c>
      <c r="D339" s="93" t="s">
        <v>211</v>
      </c>
      <c r="E339" s="93" t="s">
        <v>341</v>
      </c>
      <c r="F339" s="93" t="s">
        <v>437</v>
      </c>
      <c r="G339" s="93" t="s">
        <v>347</v>
      </c>
      <c r="H339" s="93" t="s">
        <v>344</v>
      </c>
      <c r="I339" s="94">
        <v>1.25</v>
      </c>
      <c r="J339" s="95">
        <v>75</v>
      </c>
    </row>
    <row r="340" spans="1:10" x14ac:dyDescent="0.25">
      <c r="A340" s="92">
        <v>45775</v>
      </c>
      <c r="B340" s="93" t="s">
        <v>330</v>
      </c>
      <c r="C340" s="89" t="s">
        <v>40</v>
      </c>
      <c r="D340" s="93" t="s">
        <v>189</v>
      </c>
      <c r="E340" s="93" t="s">
        <v>341</v>
      </c>
      <c r="F340" s="93" t="s">
        <v>439</v>
      </c>
      <c r="G340" s="93" t="s">
        <v>347</v>
      </c>
      <c r="H340" s="93" t="s">
        <v>344</v>
      </c>
      <c r="I340" s="94">
        <v>1</v>
      </c>
      <c r="J340" s="95">
        <v>60</v>
      </c>
    </row>
    <row r="341" spans="1:10" x14ac:dyDescent="0.25">
      <c r="A341" s="92">
        <v>45775</v>
      </c>
      <c r="B341" s="93" t="s">
        <v>329</v>
      </c>
      <c r="C341" s="89" t="s">
        <v>40</v>
      </c>
      <c r="D341" s="93" t="s">
        <v>316</v>
      </c>
      <c r="E341" s="93" t="s">
        <v>35</v>
      </c>
      <c r="F341" s="93" t="s">
        <v>338</v>
      </c>
      <c r="G341" s="93" t="s">
        <v>337</v>
      </c>
      <c r="H341" s="93" t="s">
        <v>352</v>
      </c>
      <c r="I341" s="94">
        <v>1.75</v>
      </c>
      <c r="J341" s="95">
        <v>131.25</v>
      </c>
    </row>
    <row r="342" spans="1:10" x14ac:dyDescent="0.25">
      <c r="A342" s="92">
        <v>45775</v>
      </c>
      <c r="B342" s="93" t="s">
        <v>333</v>
      </c>
      <c r="C342" s="89" t="s">
        <v>40</v>
      </c>
      <c r="D342" s="93" t="s">
        <v>320</v>
      </c>
      <c r="E342" s="93" t="s">
        <v>35</v>
      </c>
      <c r="F342" s="93" t="s">
        <v>322</v>
      </c>
      <c r="G342" s="93" t="s">
        <v>319</v>
      </c>
      <c r="H342" s="93" t="s">
        <v>352</v>
      </c>
      <c r="I342" s="94">
        <v>6</v>
      </c>
      <c r="J342" s="95">
        <v>192</v>
      </c>
    </row>
    <row r="343" spans="1:10" x14ac:dyDescent="0.25">
      <c r="A343" s="92">
        <v>45775</v>
      </c>
      <c r="B343" s="93" t="s">
        <v>327</v>
      </c>
      <c r="C343" s="89" t="s">
        <v>40</v>
      </c>
      <c r="D343" s="93" t="s">
        <v>320</v>
      </c>
      <c r="E343" s="93" t="s">
        <v>35</v>
      </c>
      <c r="F343" s="93" t="s">
        <v>322</v>
      </c>
      <c r="G343" s="93" t="s">
        <v>319</v>
      </c>
      <c r="H343" s="93" t="s">
        <v>352</v>
      </c>
      <c r="I343" s="94">
        <v>7.42</v>
      </c>
      <c r="J343" s="95">
        <v>237.44</v>
      </c>
    </row>
    <row r="344" spans="1:10" x14ac:dyDescent="0.25">
      <c r="A344" s="92">
        <v>45775</v>
      </c>
      <c r="B344" s="93" t="s">
        <v>329</v>
      </c>
      <c r="C344" s="89" t="s">
        <v>40</v>
      </c>
      <c r="D344" s="93" t="s">
        <v>197</v>
      </c>
      <c r="E344" s="93" t="s">
        <v>34</v>
      </c>
      <c r="F344" s="93" t="s">
        <v>366</v>
      </c>
      <c r="G344" s="93" t="s">
        <v>347</v>
      </c>
      <c r="H344" s="93" t="s">
        <v>343</v>
      </c>
      <c r="I344" s="94">
        <v>0.08</v>
      </c>
      <c r="J344" s="95">
        <v>6</v>
      </c>
    </row>
    <row r="345" spans="1:10" x14ac:dyDescent="0.25">
      <c r="A345" s="92">
        <v>45775</v>
      </c>
      <c r="B345" s="93" t="s">
        <v>330</v>
      </c>
      <c r="C345" s="89" t="s">
        <v>40</v>
      </c>
      <c r="D345" s="93" t="s">
        <v>284</v>
      </c>
      <c r="E345" s="93" t="s">
        <v>36</v>
      </c>
      <c r="F345" s="93" t="s">
        <v>415</v>
      </c>
      <c r="G345" s="93" t="s">
        <v>347</v>
      </c>
      <c r="H345" s="93" t="s">
        <v>342</v>
      </c>
      <c r="I345" s="94">
        <v>0.25</v>
      </c>
      <c r="J345" s="95">
        <v>15</v>
      </c>
    </row>
    <row r="346" spans="1:10" x14ac:dyDescent="0.25">
      <c r="A346" s="92">
        <v>45775</v>
      </c>
      <c r="B346" s="93" t="s">
        <v>329</v>
      </c>
      <c r="C346" s="89" t="s">
        <v>40</v>
      </c>
      <c r="D346" s="93" t="s">
        <v>206</v>
      </c>
      <c r="E346" s="93" t="s">
        <v>34</v>
      </c>
      <c r="F346" s="93" t="s">
        <v>367</v>
      </c>
      <c r="G346" s="93" t="s">
        <v>347</v>
      </c>
      <c r="H346" s="93" t="s">
        <v>343</v>
      </c>
      <c r="I346" s="94">
        <v>0.08</v>
      </c>
      <c r="J346" s="95">
        <v>6</v>
      </c>
    </row>
    <row r="347" spans="1:10" x14ac:dyDescent="0.25">
      <c r="A347" s="92">
        <v>45775</v>
      </c>
      <c r="B347" s="93" t="s">
        <v>329</v>
      </c>
      <c r="C347" s="89" t="s">
        <v>40</v>
      </c>
      <c r="D347" s="93" t="s">
        <v>301</v>
      </c>
      <c r="E347" s="93" t="s">
        <v>34</v>
      </c>
      <c r="F347" s="93" t="s">
        <v>371</v>
      </c>
      <c r="G347" s="93" t="s">
        <v>347</v>
      </c>
      <c r="H347" s="93" t="s">
        <v>343</v>
      </c>
      <c r="I347" s="94">
        <v>0.25</v>
      </c>
      <c r="J347" s="95">
        <v>18.75</v>
      </c>
    </row>
    <row r="348" spans="1:10" x14ac:dyDescent="0.25">
      <c r="A348" s="92">
        <v>45775</v>
      </c>
      <c r="B348" s="93" t="s">
        <v>329</v>
      </c>
      <c r="C348" s="89" t="s">
        <v>40</v>
      </c>
      <c r="D348" s="93" t="s">
        <v>221</v>
      </c>
      <c r="E348" s="93" t="s">
        <v>34</v>
      </c>
      <c r="F348" s="93" t="s">
        <v>369</v>
      </c>
      <c r="G348" s="93" t="s">
        <v>347</v>
      </c>
      <c r="H348" s="93" t="s">
        <v>343</v>
      </c>
      <c r="I348" s="94">
        <v>0.17</v>
      </c>
      <c r="J348" s="95">
        <v>12.750000000000002</v>
      </c>
    </row>
    <row r="349" spans="1:10" x14ac:dyDescent="0.25">
      <c r="A349" s="92">
        <v>45775</v>
      </c>
      <c r="B349" s="93" t="s">
        <v>329</v>
      </c>
      <c r="C349" s="89" t="s">
        <v>40</v>
      </c>
      <c r="D349" s="93" t="s">
        <v>229</v>
      </c>
      <c r="E349" s="93" t="s">
        <v>34</v>
      </c>
      <c r="F349" s="93" t="s">
        <v>373</v>
      </c>
      <c r="G349" s="93" t="s">
        <v>347</v>
      </c>
      <c r="H349" s="93" t="s">
        <v>343</v>
      </c>
      <c r="I349" s="94">
        <v>0.17</v>
      </c>
      <c r="J349" s="95">
        <v>12.750000000000002</v>
      </c>
    </row>
    <row r="350" spans="1:10" x14ac:dyDescent="0.25">
      <c r="A350" s="92">
        <v>45775</v>
      </c>
      <c r="B350" s="93" t="s">
        <v>329</v>
      </c>
      <c r="C350" s="89" t="s">
        <v>40</v>
      </c>
      <c r="D350" s="93" t="s">
        <v>241</v>
      </c>
      <c r="E350" s="93" t="s">
        <v>34</v>
      </c>
      <c r="F350" s="93" t="s">
        <v>403</v>
      </c>
      <c r="G350" s="93" t="s">
        <v>347</v>
      </c>
      <c r="H350" s="93" t="s">
        <v>343</v>
      </c>
      <c r="I350" s="94">
        <v>0.17</v>
      </c>
      <c r="J350" s="95">
        <v>12.750000000000002</v>
      </c>
    </row>
    <row r="351" spans="1:10" x14ac:dyDescent="0.25">
      <c r="A351" s="92">
        <v>45775</v>
      </c>
      <c r="B351" s="93" t="s">
        <v>329</v>
      </c>
      <c r="C351" s="89" t="s">
        <v>40</v>
      </c>
      <c r="D351" s="93" t="s">
        <v>238</v>
      </c>
      <c r="E351" s="93" t="s">
        <v>34</v>
      </c>
      <c r="F351" s="93" t="s">
        <v>374</v>
      </c>
      <c r="G351" s="93" t="s">
        <v>347</v>
      </c>
      <c r="H351" s="93" t="s">
        <v>343</v>
      </c>
      <c r="I351" s="94">
        <v>0.08</v>
      </c>
      <c r="J351" s="95">
        <v>6</v>
      </c>
    </row>
    <row r="352" spans="1:10" x14ac:dyDescent="0.25">
      <c r="A352" s="92">
        <v>45775</v>
      </c>
      <c r="B352" s="93" t="s">
        <v>329</v>
      </c>
      <c r="C352" s="89" t="s">
        <v>40</v>
      </c>
      <c r="D352" s="93" t="s">
        <v>242</v>
      </c>
      <c r="E352" s="93" t="s">
        <v>34</v>
      </c>
      <c r="F352" s="93" t="s">
        <v>404</v>
      </c>
      <c r="G352" s="93" t="s">
        <v>347</v>
      </c>
      <c r="H352" s="93" t="s">
        <v>343</v>
      </c>
      <c r="I352" s="94">
        <v>0.08</v>
      </c>
      <c r="J352" s="95">
        <v>6</v>
      </c>
    </row>
    <row r="353" spans="1:10" x14ac:dyDescent="0.25">
      <c r="A353" s="92">
        <v>45775</v>
      </c>
      <c r="B353" s="93" t="s">
        <v>329</v>
      </c>
      <c r="C353" s="89" t="s">
        <v>40</v>
      </c>
      <c r="D353" s="93" t="s">
        <v>247</v>
      </c>
      <c r="E353" s="93" t="s">
        <v>34</v>
      </c>
      <c r="F353" s="93" t="s">
        <v>375</v>
      </c>
      <c r="G353" s="93" t="s">
        <v>347</v>
      </c>
      <c r="H353" s="93" t="s">
        <v>343</v>
      </c>
      <c r="I353" s="94">
        <v>0.33</v>
      </c>
      <c r="J353" s="95">
        <v>24.75</v>
      </c>
    </row>
    <row r="354" spans="1:10" x14ac:dyDescent="0.25">
      <c r="A354" s="92">
        <v>45775</v>
      </c>
      <c r="B354" s="93" t="s">
        <v>329</v>
      </c>
      <c r="C354" s="89" t="s">
        <v>40</v>
      </c>
      <c r="D354" s="93" t="s">
        <v>293</v>
      </c>
      <c r="E354" s="93" t="s">
        <v>34</v>
      </c>
      <c r="F354" s="93" t="s">
        <v>376</v>
      </c>
      <c r="G354" s="93" t="s">
        <v>347</v>
      </c>
      <c r="H354" s="93" t="s">
        <v>343</v>
      </c>
      <c r="I354" s="94">
        <v>0.17</v>
      </c>
      <c r="J354" s="95">
        <v>12.750000000000002</v>
      </c>
    </row>
    <row r="355" spans="1:10" x14ac:dyDescent="0.25">
      <c r="A355" s="92">
        <v>45775</v>
      </c>
      <c r="B355" s="93" t="s">
        <v>329</v>
      </c>
      <c r="C355" s="89" t="s">
        <v>40</v>
      </c>
      <c r="D355" s="93" t="s">
        <v>294</v>
      </c>
      <c r="E355" s="93" t="s">
        <v>34</v>
      </c>
      <c r="F355" s="93" t="s">
        <v>377</v>
      </c>
      <c r="G355" s="93" t="s">
        <v>347</v>
      </c>
      <c r="H355" s="93" t="s">
        <v>343</v>
      </c>
      <c r="I355" s="94">
        <v>0.25</v>
      </c>
      <c r="J355" s="95">
        <v>18.75</v>
      </c>
    </row>
    <row r="356" spans="1:10" x14ac:dyDescent="0.25">
      <c r="A356" s="92">
        <v>45775</v>
      </c>
      <c r="B356" s="93" t="s">
        <v>329</v>
      </c>
      <c r="C356" s="89" t="s">
        <v>40</v>
      </c>
      <c r="D356" s="93" t="s">
        <v>288</v>
      </c>
      <c r="E356" s="93" t="s">
        <v>34</v>
      </c>
      <c r="F356" s="93" t="s">
        <v>405</v>
      </c>
      <c r="G356" s="93" t="s">
        <v>347</v>
      </c>
      <c r="H356" s="93" t="s">
        <v>343</v>
      </c>
      <c r="I356" s="94">
        <v>0.08</v>
      </c>
      <c r="J356" s="95">
        <v>6</v>
      </c>
    </row>
    <row r="357" spans="1:10" x14ac:dyDescent="0.25">
      <c r="A357" s="92">
        <v>45775</v>
      </c>
      <c r="B357" s="93" t="s">
        <v>329</v>
      </c>
      <c r="C357" s="89" t="s">
        <v>40</v>
      </c>
      <c r="D357" s="93" t="s">
        <v>258</v>
      </c>
      <c r="E357" s="93" t="s">
        <v>34</v>
      </c>
      <c r="F357" s="93" t="s">
        <v>381</v>
      </c>
      <c r="G357" s="93" t="s">
        <v>347</v>
      </c>
      <c r="H357" s="93" t="s">
        <v>343</v>
      </c>
      <c r="I357" s="94">
        <v>0.17</v>
      </c>
      <c r="J357" s="95">
        <v>12.750000000000002</v>
      </c>
    </row>
    <row r="358" spans="1:10" x14ac:dyDescent="0.25">
      <c r="A358" s="92">
        <v>45775</v>
      </c>
      <c r="B358" s="93" t="s">
        <v>329</v>
      </c>
      <c r="C358" s="89" t="s">
        <v>40</v>
      </c>
      <c r="D358" s="93" t="s">
        <v>259</v>
      </c>
      <c r="E358" s="93" t="s">
        <v>34</v>
      </c>
      <c r="F358" s="93" t="s">
        <v>407</v>
      </c>
      <c r="G358" s="93" t="s">
        <v>347</v>
      </c>
      <c r="H358" s="93" t="s">
        <v>343</v>
      </c>
      <c r="I358" s="94">
        <v>0.17</v>
      </c>
      <c r="J358" s="95">
        <v>12.750000000000002</v>
      </c>
    </row>
    <row r="359" spans="1:10" x14ac:dyDescent="0.25">
      <c r="A359" s="92">
        <v>45775</v>
      </c>
      <c r="B359" s="93" t="s">
        <v>325</v>
      </c>
      <c r="C359" s="89" t="s">
        <v>40</v>
      </c>
      <c r="D359" s="93" t="s">
        <v>249</v>
      </c>
      <c r="E359" s="93" t="s">
        <v>34</v>
      </c>
      <c r="F359" s="93" t="s">
        <v>409</v>
      </c>
      <c r="G359" s="93" t="s">
        <v>347</v>
      </c>
      <c r="H359" s="93" t="s">
        <v>343</v>
      </c>
      <c r="I359" s="94">
        <v>0.17</v>
      </c>
      <c r="J359" s="95">
        <v>12.750000000000002</v>
      </c>
    </row>
    <row r="360" spans="1:10" x14ac:dyDescent="0.25">
      <c r="A360" s="92">
        <v>45775</v>
      </c>
      <c r="B360" s="93" t="s">
        <v>329</v>
      </c>
      <c r="C360" s="89" t="s">
        <v>40</v>
      </c>
      <c r="D360" s="93" t="s">
        <v>248</v>
      </c>
      <c r="E360" s="93" t="s">
        <v>34</v>
      </c>
      <c r="F360" s="93" t="s">
        <v>385</v>
      </c>
      <c r="G360" s="93" t="s">
        <v>347</v>
      </c>
      <c r="H360" s="93" t="s">
        <v>343</v>
      </c>
      <c r="I360" s="94">
        <v>0.25</v>
      </c>
      <c r="J360" s="95">
        <v>18.75</v>
      </c>
    </row>
    <row r="361" spans="1:10" x14ac:dyDescent="0.25">
      <c r="A361" s="92">
        <v>45775</v>
      </c>
      <c r="B361" s="93" t="s">
        <v>329</v>
      </c>
      <c r="C361" s="89" t="s">
        <v>40</v>
      </c>
      <c r="D361" s="93" t="s">
        <v>268</v>
      </c>
      <c r="E361" s="93" t="s">
        <v>34</v>
      </c>
      <c r="F361" s="93" t="s">
        <v>386</v>
      </c>
      <c r="G361" s="93" t="s">
        <v>347</v>
      </c>
      <c r="H361" s="93" t="s">
        <v>343</v>
      </c>
      <c r="I361" s="94">
        <v>0.17</v>
      </c>
      <c r="J361" s="95">
        <v>12.750000000000002</v>
      </c>
    </row>
    <row r="362" spans="1:10" x14ac:dyDescent="0.25">
      <c r="A362" s="92">
        <v>45775</v>
      </c>
      <c r="B362" s="93" t="s">
        <v>326</v>
      </c>
      <c r="C362" s="89" t="s">
        <v>40</v>
      </c>
      <c r="D362" s="93" t="s">
        <v>236</v>
      </c>
      <c r="E362" s="93" t="s">
        <v>36</v>
      </c>
      <c r="F362" s="93" t="s">
        <v>357</v>
      </c>
      <c r="G362" s="93" t="s">
        <v>348</v>
      </c>
      <c r="H362" s="93" t="s">
        <v>342</v>
      </c>
      <c r="I362" s="94">
        <v>0.75</v>
      </c>
      <c r="J362" s="95">
        <v>45</v>
      </c>
    </row>
    <row r="363" spans="1:10" x14ac:dyDescent="0.25">
      <c r="A363" s="92">
        <v>45775</v>
      </c>
      <c r="B363" s="93" t="s">
        <v>326</v>
      </c>
      <c r="C363" s="89" t="s">
        <v>40</v>
      </c>
      <c r="D363" s="93" t="s">
        <v>237</v>
      </c>
      <c r="E363" s="93" t="s">
        <v>34</v>
      </c>
      <c r="F363" s="93" t="s">
        <v>427</v>
      </c>
      <c r="G363" s="93" t="s">
        <v>348</v>
      </c>
      <c r="H363" s="93" t="s">
        <v>343</v>
      </c>
      <c r="I363" s="94">
        <v>0.75</v>
      </c>
      <c r="J363" s="95">
        <v>45</v>
      </c>
    </row>
    <row r="364" spans="1:10" x14ac:dyDescent="0.25">
      <c r="A364" s="92">
        <v>45775</v>
      </c>
      <c r="B364" s="93" t="s">
        <v>326</v>
      </c>
      <c r="C364" s="89" t="s">
        <v>40</v>
      </c>
      <c r="D364" s="93" t="s">
        <v>257</v>
      </c>
      <c r="E364" s="93" t="s">
        <v>34</v>
      </c>
      <c r="F364" s="93" t="s">
        <v>440</v>
      </c>
      <c r="G364" s="93" t="s">
        <v>348</v>
      </c>
      <c r="H364" s="93" t="s">
        <v>343</v>
      </c>
      <c r="I364" s="94">
        <v>0.5</v>
      </c>
      <c r="J364" s="95">
        <v>30</v>
      </c>
    </row>
    <row r="365" spans="1:10" x14ac:dyDescent="0.25">
      <c r="A365" s="92">
        <v>45775</v>
      </c>
      <c r="B365" s="93" t="s">
        <v>332</v>
      </c>
      <c r="C365" s="89" t="s">
        <v>40</v>
      </c>
      <c r="D365" s="93" t="s">
        <v>314</v>
      </c>
      <c r="E365" s="93" t="s">
        <v>35</v>
      </c>
      <c r="F365" s="93" t="s">
        <v>359</v>
      </c>
      <c r="G365" s="93" t="s">
        <v>339</v>
      </c>
      <c r="H365" s="93" t="s">
        <v>352</v>
      </c>
      <c r="I365" s="94">
        <v>8.83</v>
      </c>
      <c r="J365" s="95">
        <v>353.2</v>
      </c>
    </row>
    <row r="366" spans="1:10" x14ac:dyDescent="0.25">
      <c r="A366" s="92">
        <v>45775</v>
      </c>
      <c r="B366" s="93" t="s">
        <v>324</v>
      </c>
      <c r="C366" s="89" t="s">
        <v>40</v>
      </c>
      <c r="D366" s="93" t="s">
        <v>314</v>
      </c>
      <c r="E366" s="93" t="s">
        <v>35</v>
      </c>
      <c r="F366" s="93" t="s">
        <v>359</v>
      </c>
      <c r="G366" s="93" t="s">
        <v>339</v>
      </c>
      <c r="H366" s="93" t="s">
        <v>352</v>
      </c>
      <c r="I366" s="94">
        <v>5.42</v>
      </c>
      <c r="J366" s="95">
        <v>406.5</v>
      </c>
    </row>
    <row r="367" spans="1:10" x14ac:dyDescent="0.25">
      <c r="A367" s="92">
        <v>45776</v>
      </c>
      <c r="B367" s="93" t="s">
        <v>329</v>
      </c>
      <c r="C367" s="89" t="s">
        <v>40</v>
      </c>
      <c r="D367" s="93" t="s">
        <v>270</v>
      </c>
      <c r="E367" s="93" t="s">
        <v>34</v>
      </c>
      <c r="F367" s="93" t="s">
        <v>360</v>
      </c>
      <c r="G367" s="93" t="s">
        <v>347</v>
      </c>
      <c r="H367" s="93" t="s">
        <v>343</v>
      </c>
      <c r="I367" s="94">
        <v>0.5</v>
      </c>
      <c r="J367" s="95">
        <v>37.5</v>
      </c>
    </row>
    <row r="368" spans="1:10" x14ac:dyDescent="0.25">
      <c r="A368" s="92">
        <v>45776</v>
      </c>
      <c r="B368" s="93" t="s">
        <v>329</v>
      </c>
      <c r="C368" s="89" t="s">
        <v>40</v>
      </c>
      <c r="D368" s="93" t="s">
        <v>247</v>
      </c>
      <c r="E368" s="93" t="s">
        <v>341</v>
      </c>
      <c r="F368" s="93" t="s">
        <v>375</v>
      </c>
      <c r="G368" s="93" t="s">
        <v>347</v>
      </c>
      <c r="H368" s="93" t="s">
        <v>344</v>
      </c>
      <c r="I368" s="94">
        <v>2</v>
      </c>
      <c r="J368" s="95">
        <v>150</v>
      </c>
    </row>
    <row r="369" spans="1:10" x14ac:dyDescent="0.25">
      <c r="A369" s="92">
        <v>45776</v>
      </c>
      <c r="B369" s="93" t="s">
        <v>329</v>
      </c>
      <c r="C369" s="89" t="s">
        <v>40</v>
      </c>
      <c r="D369" s="93" t="s">
        <v>186</v>
      </c>
      <c r="E369" s="93" t="s">
        <v>341</v>
      </c>
      <c r="F369" s="93" t="s">
        <v>397</v>
      </c>
      <c r="G369" s="93" t="s">
        <v>347</v>
      </c>
      <c r="H369" s="93" t="s">
        <v>344</v>
      </c>
      <c r="I369" s="94">
        <v>2.75</v>
      </c>
      <c r="J369" s="95">
        <v>206.25</v>
      </c>
    </row>
    <row r="370" spans="1:10" x14ac:dyDescent="0.25">
      <c r="A370" s="92">
        <v>45776</v>
      </c>
      <c r="B370" s="93" t="s">
        <v>323</v>
      </c>
      <c r="C370" s="89" t="s">
        <v>40</v>
      </c>
      <c r="D370" s="93" t="s">
        <v>168</v>
      </c>
      <c r="E370" s="93" t="s">
        <v>36</v>
      </c>
      <c r="F370" s="93" t="s">
        <v>419</v>
      </c>
      <c r="G370" s="93" t="s">
        <v>346</v>
      </c>
      <c r="H370" s="93" t="s">
        <v>342</v>
      </c>
      <c r="I370" s="94">
        <v>0.25</v>
      </c>
      <c r="J370" s="95">
        <v>15</v>
      </c>
    </row>
    <row r="371" spans="1:10" x14ac:dyDescent="0.25">
      <c r="A371" s="92">
        <v>45776</v>
      </c>
      <c r="B371" s="93" t="s">
        <v>329</v>
      </c>
      <c r="C371" s="89" t="s">
        <v>40</v>
      </c>
      <c r="D371" s="93" t="s">
        <v>316</v>
      </c>
      <c r="E371" s="93" t="s">
        <v>35</v>
      </c>
      <c r="F371" s="93" t="s">
        <v>338</v>
      </c>
      <c r="G371" s="93" t="s">
        <v>337</v>
      </c>
      <c r="H371" s="93" t="s">
        <v>352</v>
      </c>
      <c r="I371" s="94">
        <v>1.17</v>
      </c>
      <c r="J371" s="95">
        <v>87.75</v>
      </c>
    </row>
    <row r="372" spans="1:10" x14ac:dyDescent="0.25">
      <c r="A372" s="92">
        <v>45776</v>
      </c>
      <c r="B372" s="93" t="s">
        <v>333</v>
      </c>
      <c r="C372" s="89" t="s">
        <v>40</v>
      </c>
      <c r="D372" s="93" t="s">
        <v>320</v>
      </c>
      <c r="E372" s="93" t="s">
        <v>35</v>
      </c>
      <c r="F372" s="93" t="s">
        <v>322</v>
      </c>
      <c r="G372" s="93" t="s">
        <v>319</v>
      </c>
      <c r="H372" s="93" t="s">
        <v>352</v>
      </c>
      <c r="I372" s="94">
        <v>6.55</v>
      </c>
      <c r="J372" s="95">
        <v>209.6</v>
      </c>
    </row>
    <row r="373" spans="1:10" x14ac:dyDescent="0.25">
      <c r="A373" s="92">
        <v>45776</v>
      </c>
      <c r="B373" s="93" t="s">
        <v>327</v>
      </c>
      <c r="C373" s="89" t="s">
        <v>40</v>
      </c>
      <c r="D373" s="93" t="s">
        <v>320</v>
      </c>
      <c r="E373" s="93" t="s">
        <v>35</v>
      </c>
      <c r="F373" s="93" t="s">
        <v>322</v>
      </c>
      <c r="G373" s="93" t="s">
        <v>319</v>
      </c>
      <c r="H373" s="93" t="s">
        <v>352</v>
      </c>
      <c r="I373" s="94">
        <v>7.5</v>
      </c>
      <c r="J373" s="95">
        <v>240</v>
      </c>
    </row>
    <row r="374" spans="1:10" x14ac:dyDescent="0.25">
      <c r="A374" s="92">
        <v>45776</v>
      </c>
      <c r="B374" s="93" t="s">
        <v>323</v>
      </c>
      <c r="C374" s="89" t="s">
        <v>40</v>
      </c>
      <c r="D374" s="93" t="s">
        <v>245</v>
      </c>
      <c r="E374" s="93" t="s">
        <v>34</v>
      </c>
      <c r="F374" s="93" t="s">
        <v>435</v>
      </c>
      <c r="G374" s="93" t="s">
        <v>346</v>
      </c>
      <c r="H374" s="93" t="s">
        <v>343</v>
      </c>
      <c r="I374" s="94">
        <v>0.33</v>
      </c>
      <c r="J374" s="95">
        <v>19.8</v>
      </c>
    </row>
    <row r="375" spans="1:10" x14ac:dyDescent="0.25">
      <c r="A375" s="92">
        <v>45776</v>
      </c>
      <c r="B375" s="93" t="s">
        <v>329</v>
      </c>
      <c r="C375" s="89" t="s">
        <v>40</v>
      </c>
      <c r="D375" s="93" t="s">
        <v>197</v>
      </c>
      <c r="E375" s="93" t="s">
        <v>34</v>
      </c>
      <c r="F375" s="93" t="s">
        <v>366</v>
      </c>
      <c r="G375" s="93" t="s">
        <v>347</v>
      </c>
      <c r="H375" s="93" t="s">
        <v>343</v>
      </c>
      <c r="I375" s="94">
        <v>0.17</v>
      </c>
      <c r="J375" s="95">
        <v>12.750000000000002</v>
      </c>
    </row>
    <row r="376" spans="1:10" x14ac:dyDescent="0.25">
      <c r="A376" s="92">
        <v>45776</v>
      </c>
      <c r="B376" s="93" t="s">
        <v>329</v>
      </c>
      <c r="C376" s="89" t="s">
        <v>40</v>
      </c>
      <c r="D376" s="93" t="s">
        <v>221</v>
      </c>
      <c r="E376" s="93" t="s">
        <v>34</v>
      </c>
      <c r="F376" s="93" t="s">
        <v>369</v>
      </c>
      <c r="G376" s="93" t="s">
        <v>347</v>
      </c>
      <c r="H376" s="93" t="s">
        <v>343</v>
      </c>
      <c r="I376" s="94">
        <v>0.08</v>
      </c>
      <c r="J376" s="95">
        <v>6</v>
      </c>
    </row>
    <row r="377" spans="1:10" x14ac:dyDescent="0.25">
      <c r="A377" s="92">
        <v>45776</v>
      </c>
      <c r="B377" s="93" t="s">
        <v>325</v>
      </c>
      <c r="C377" s="89" t="s">
        <v>40</v>
      </c>
      <c r="D377" s="93" t="s">
        <v>210</v>
      </c>
      <c r="E377" s="93" t="s">
        <v>34</v>
      </c>
      <c r="F377" s="93" t="s">
        <v>399</v>
      </c>
      <c r="G377" s="93" t="s">
        <v>347</v>
      </c>
      <c r="H377" s="93" t="s">
        <v>343</v>
      </c>
      <c r="I377" s="94">
        <v>0.17</v>
      </c>
      <c r="J377" s="95">
        <v>12.750000000000002</v>
      </c>
    </row>
    <row r="378" spans="1:10" x14ac:dyDescent="0.25">
      <c r="A378" s="92">
        <v>45776</v>
      </c>
      <c r="B378" s="93" t="s">
        <v>329</v>
      </c>
      <c r="C378" s="89" t="s">
        <v>40</v>
      </c>
      <c r="D378" s="93" t="s">
        <v>293</v>
      </c>
      <c r="E378" s="93" t="s">
        <v>34</v>
      </c>
      <c r="F378" s="93" t="s">
        <v>376</v>
      </c>
      <c r="G378" s="93" t="s">
        <v>347</v>
      </c>
      <c r="H378" s="93" t="s">
        <v>343</v>
      </c>
      <c r="I378" s="94">
        <v>0.25</v>
      </c>
      <c r="J378" s="95">
        <v>18.75</v>
      </c>
    </row>
    <row r="379" spans="1:10" x14ac:dyDescent="0.25">
      <c r="A379" s="92">
        <v>45776</v>
      </c>
      <c r="B379" s="93" t="s">
        <v>329</v>
      </c>
      <c r="C379" s="89" t="s">
        <v>40</v>
      </c>
      <c r="D379" s="93" t="s">
        <v>295</v>
      </c>
      <c r="E379" s="93" t="s">
        <v>34</v>
      </c>
      <c r="F379" s="93" t="s">
        <v>379</v>
      </c>
      <c r="G379" s="93" t="s">
        <v>347</v>
      </c>
      <c r="H379" s="93" t="s">
        <v>343</v>
      </c>
      <c r="I379" s="94">
        <v>0.25</v>
      </c>
      <c r="J379" s="95">
        <v>18.75</v>
      </c>
    </row>
    <row r="380" spans="1:10" x14ac:dyDescent="0.25">
      <c r="A380" s="92">
        <v>45776</v>
      </c>
      <c r="B380" s="93" t="s">
        <v>325</v>
      </c>
      <c r="C380" s="89" t="s">
        <v>40</v>
      </c>
      <c r="D380" s="93" t="s">
        <v>291</v>
      </c>
      <c r="E380" s="93" t="s">
        <v>34</v>
      </c>
      <c r="F380" s="93" t="s">
        <v>412</v>
      </c>
      <c r="G380" s="93" t="s">
        <v>347</v>
      </c>
      <c r="H380" s="93" t="s">
        <v>343</v>
      </c>
      <c r="I380" s="94">
        <v>0.57999999999999996</v>
      </c>
      <c r="J380" s="95">
        <v>43.5</v>
      </c>
    </row>
    <row r="381" spans="1:10" x14ac:dyDescent="0.25">
      <c r="A381" s="92">
        <v>45776</v>
      </c>
      <c r="B381" s="93" t="s">
        <v>329</v>
      </c>
      <c r="C381" s="89" t="s">
        <v>40</v>
      </c>
      <c r="D381" s="93" t="s">
        <v>248</v>
      </c>
      <c r="E381" s="93" t="s">
        <v>34</v>
      </c>
      <c r="F381" s="93" t="s">
        <v>385</v>
      </c>
      <c r="G381" s="93" t="s">
        <v>347</v>
      </c>
      <c r="H381" s="93" t="s">
        <v>343</v>
      </c>
      <c r="I381" s="94">
        <v>0.17</v>
      </c>
      <c r="J381" s="95">
        <v>12.750000000000002</v>
      </c>
    </row>
    <row r="382" spans="1:10" x14ac:dyDescent="0.25">
      <c r="A382" s="92">
        <v>45776</v>
      </c>
      <c r="B382" s="93" t="s">
        <v>329</v>
      </c>
      <c r="C382" s="89" t="s">
        <v>40</v>
      </c>
      <c r="D382" s="93" t="s">
        <v>230</v>
      </c>
      <c r="E382" s="93" t="s">
        <v>34</v>
      </c>
      <c r="F382" s="93" t="s">
        <v>410</v>
      </c>
      <c r="G382" s="93" t="s">
        <v>347</v>
      </c>
      <c r="H382" s="93" t="s">
        <v>343</v>
      </c>
      <c r="I382" s="94">
        <v>0.33</v>
      </c>
      <c r="J382" s="95">
        <v>24.75</v>
      </c>
    </row>
    <row r="383" spans="1:10" x14ac:dyDescent="0.25">
      <c r="A383" s="92">
        <v>45776</v>
      </c>
      <c r="B383" s="93" t="s">
        <v>326</v>
      </c>
      <c r="C383" s="89" t="s">
        <v>40</v>
      </c>
      <c r="D383" s="93" t="s">
        <v>236</v>
      </c>
      <c r="E383" s="93" t="s">
        <v>36</v>
      </c>
      <c r="F383" s="93" t="s">
        <v>357</v>
      </c>
      <c r="G383" s="93" t="s">
        <v>348</v>
      </c>
      <c r="H383" s="93" t="s">
        <v>342</v>
      </c>
      <c r="I383" s="94">
        <v>0.5</v>
      </c>
      <c r="J383" s="95">
        <v>30</v>
      </c>
    </row>
    <row r="384" spans="1:10" x14ac:dyDescent="0.25">
      <c r="A384" s="92">
        <v>45776</v>
      </c>
      <c r="B384" s="93" t="s">
        <v>326</v>
      </c>
      <c r="C384" s="89" t="s">
        <v>40</v>
      </c>
      <c r="D384" s="93" t="s">
        <v>235</v>
      </c>
      <c r="E384" s="93" t="s">
        <v>34</v>
      </c>
      <c r="F384" s="93" t="s">
        <v>355</v>
      </c>
      <c r="G384" s="93" t="s">
        <v>348</v>
      </c>
      <c r="H384" s="93" t="s">
        <v>343</v>
      </c>
      <c r="I384" s="94">
        <v>0.83</v>
      </c>
      <c r="J384" s="95">
        <v>49.8</v>
      </c>
    </row>
    <row r="385" spans="1:10" x14ac:dyDescent="0.25">
      <c r="A385" s="92">
        <v>45776</v>
      </c>
      <c r="B385" s="93" t="s">
        <v>326</v>
      </c>
      <c r="C385" s="89" t="s">
        <v>40</v>
      </c>
      <c r="D385" s="93" t="s">
        <v>233</v>
      </c>
      <c r="E385" s="93" t="s">
        <v>34</v>
      </c>
      <c r="F385" s="93" t="s">
        <v>387</v>
      </c>
      <c r="G385" s="93" t="s">
        <v>348</v>
      </c>
      <c r="H385" s="93" t="s">
        <v>343</v>
      </c>
      <c r="I385" s="94">
        <v>0.75</v>
      </c>
      <c r="J385" s="95">
        <v>45</v>
      </c>
    </row>
    <row r="386" spans="1:10" x14ac:dyDescent="0.25">
      <c r="A386" s="92">
        <v>45776</v>
      </c>
      <c r="B386" s="93" t="s">
        <v>332</v>
      </c>
      <c r="C386" s="89" t="s">
        <v>40</v>
      </c>
      <c r="D386" s="93" t="s">
        <v>314</v>
      </c>
      <c r="E386" s="93" t="s">
        <v>35</v>
      </c>
      <c r="F386" s="93" t="s">
        <v>359</v>
      </c>
      <c r="G386" s="93" t="s">
        <v>339</v>
      </c>
      <c r="H386" s="93" t="s">
        <v>352</v>
      </c>
      <c r="I386" s="94">
        <v>7.5</v>
      </c>
      <c r="J386" s="95">
        <v>300</v>
      </c>
    </row>
    <row r="387" spans="1:10" x14ac:dyDescent="0.25">
      <c r="A387" s="92">
        <v>45776</v>
      </c>
      <c r="B387" s="93" t="s">
        <v>324</v>
      </c>
      <c r="C387" s="89" t="s">
        <v>40</v>
      </c>
      <c r="D387" s="93" t="s">
        <v>314</v>
      </c>
      <c r="E387" s="93" t="s">
        <v>35</v>
      </c>
      <c r="F387" s="93" t="s">
        <v>359</v>
      </c>
      <c r="G387" s="93" t="s">
        <v>339</v>
      </c>
      <c r="H387" s="93" t="s">
        <v>352</v>
      </c>
      <c r="I387" s="94">
        <v>5.75</v>
      </c>
      <c r="J387" s="95">
        <v>431.25</v>
      </c>
    </row>
    <row r="388" spans="1:10" x14ac:dyDescent="0.25">
      <c r="A388" s="92">
        <v>45777</v>
      </c>
      <c r="B388" s="93" t="s">
        <v>329</v>
      </c>
      <c r="C388" s="89" t="s">
        <v>40</v>
      </c>
      <c r="D388" s="93" t="s">
        <v>269</v>
      </c>
      <c r="E388" s="93" t="s">
        <v>34</v>
      </c>
      <c r="F388" s="93" t="s">
        <v>361</v>
      </c>
      <c r="G388" s="93" t="s">
        <v>347</v>
      </c>
      <c r="H388" s="93" t="s">
        <v>343</v>
      </c>
      <c r="I388" s="94">
        <v>0.25</v>
      </c>
      <c r="J388" s="95">
        <v>18.75</v>
      </c>
    </row>
    <row r="389" spans="1:10" x14ac:dyDescent="0.25">
      <c r="A389" s="92">
        <v>45777</v>
      </c>
      <c r="B389" s="93" t="s">
        <v>329</v>
      </c>
      <c r="C389" s="89" t="s">
        <v>40</v>
      </c>
      <c r="D389" s="93" t="s">
        <v>316</v>
      </c>
      <c r="E389" s="93" t="s">
        <v>35</v>
      </c>
      <c r="F389" s="93" t="s">
        <v>338</v>
      </c>
      <c r="G389" s="93" t="s">
        <v>337</v>
      </c>
      <c r="H389" s="93" t="s">
        <v>352</v>
      </c>
      <c r="I389" s="94">
        <v>0.75</v>
      </c>
      <c r="J389" s="95">
        <v>56.25</v>
      </c>
    </row>
    <row r="390" spans="1:10" x14ac:dyDescent="0.25">
      <c r="A390" s="92">
        <v>45777</v>
      </c>
      <c r="B390" s="93" t="s">
        <v>333</v>
      </c>
      <c r="C390" s="89" t="s">
        <v>40</v>
      </c>
      <c r="D390" s="93" t="s">
        <v>320</v>
      </c>
      <c r="E390" s="93" t="s">
        <v>35</v>
      </c>
      <c r="F390" s="93" t="s">
        <v>322</v>
      </c>
      <c r="G390" s="93" t="s">
        <v>319</v>
      </c>
      <c r="H390" s="93" t="s">
        <v>352</v>
      </c>
      <c r="I390" s="94">
        <v>7.32</v>
      </c>
      <c r="J390" s="95">
        <v>234.24</v>
      </c>
    </row>
    <row r="391" spans="1:10" x14ac:dyDescent="0.25">
      <c r="A391" s="92">
        <v>45777</v>
      </c>
      <c r="B391" s="93" t="s">
        <v>327</v>
      </c>
      <c r="C391" s="89" t="s">
        <v>40</v>
      </c>
      <c r="D391" s="93" t="s">
        <v>320</v>
      </c>
      <c r="E391" s="93" t="s">
        <v>35</v>
      </c>
      <c r="F391" s="93" t="s">
        <v>322</v>
      </c>
      <c r="G391" s="93" t="s">
        <v>319</v>
      </c>
      <c r="H391" s="93" t="s">
        <v>352</v>
      </c>
      <c r="I391" s="94">
        <v>4</v>
      </c>
      <c r="J391" s="95">
        <v>128</v>
      </c>
    </row>
    <row r="392" spans="1:10" x14ac:dyDescent="0.25">
      <c r="A392" s="92">
        <v>45777</v>
      </c>
      <c r="B392" s="93" t="s">
        <v>329</v>
      </c>
      <c r="C392" s="89" t="s">
        <v>40</v>
      </c>
      <c r="D392" s="93" t="s">
        <v>186</v>
      </c>
      <c r="E392" s="93" t="s">
        <v>34</v>
      </c>
      <c r="F392" s="93" t="s">
        <v>397</v>
      </c>
      <c r="G392" s="93" t="s">
        <v>347</v>
      </c>
      <c r="H392" s="93" t="s">
        <v>343</v>
      </c>
      <c r="I392" s="94">
        <v>2</v>
      </c>
      <c r="J392" s="95">
        <v>150</v>
      </c>
    </row>
    <row r="393" spans="1:10" x14ac:dyDescent="0.25">
      <c r="A393" s="92">
        <v>45777</v>
      </c>
      <c r="B393" s="93" t="s">
        <v>329</v>
      </c>
      <c r="C393" s="89" t="s">
        <v>40</v>
      </c>
      <c r="D393" s="93" t="s">
        <v>197</v>
      </c>
      <c r="E393" s="93" t="s">
        <v>34</v>
      </c>
      <c r="F393" s="93" t="s">
        <v>366</v>
      </c>
      <c r="G393" s="93" t="s">
        <v>347</v>
      </c>
      <c r="H393" s="93" t="s">
        <v>343</v>
      </c>
      <c r="I393" s="94">
        <v>0.33</v>
      </c>
      <c r="J393" s="95">
        <v>24.75</v>
      </c>
    </row>
    <row r="394" spans="1:10" x14ac:dyDescent="0.25">
      <c r="A394" s="92">
        <v>45777</v>
      </c>
      <c r="B394" s="93" t="s">
        <v>329</v>
      </c>
      <c r="C394" s="89" t="s">
        <v>40</v>
      </c>
      <c r="D394" s="93" t="s">
        <v>247</v>
      </c>
      <c r="E394" s="93" t="s">
        <v>34</v>
      </c>
      <c r="F394" s="93" t="s">
        <v>375</v>
      </c>
      <c r="G394" s="93" t="s">
        <v>347</v>
      </c>
      <c r="H394" s="93" t="s">
        <v>343</v>
      </c>
      <c r="I394" s="94">
        <v>0.5</v>
      </c>
      <c r="J394" s="95">
        <v>37.5</v>
      </c>
    </row>
    <row r="395" spans="1:10" x14ac:dyDescent="0.25">
      <c r="A395" s="92">
        <v>45777</v>
      </c>
      <c r="B395" s="93" t="s">
        <v>325</v>
      </c>
      <c r="C395" s="89" t="s">
        <v>40</v>
      </c>
      <c r="D395" s="93" t="s">
        <v>254</v>
      </c>
      <c r="E395" s="93" t="s">
        <v>34</v>
      </c>
      <c r="F395" s="93" t="s">
        <v>441</v>
      </c>
      <c r="G395" s="93" t="s">
        <v>347</v>
      </c>
      <c r="H395" s="93" t="s">
        <v>343</v>
      </c>
      <c r="I395" s="94">
        <v>0.17</v>
      </c>
      <c r="J395" s="95">
        <v>12.750000000000002</v>
      </c>
    </row>
    <row r="396" spans="1:10" x14ac:dyDescent="0.25">
      <c r="A396" s="92">
        <v>45777</v>
      </c>
      <c r="B396" s="93" t="s">
        <v>325</v>
      </c>
      <c r="C396" s="89" t="s">
        <v>40</v>
      </c>
      <c r="D396" s="93" t="s">
        <v>262</v>
      </c>
      <c r="E396" s="93" t="s">
        <v>34</v>
      </c>
      <c r="F396" s="93" t="s">
        <v>442</v>
      </c>
      <c r="G396" s="93" t="s">
        <v>347</v>
      </c>
      <c r="H396" s="93" t="s">
        <v>343</v>
      </c>
      <c r="I396" s="94">
        <v>0.17</v>
      </c>
      <c r="J396" s="95">
        <v>12.750000000000002</v>
      </c>
    </row>
    <row r="397" spans="1:10" x14ac:dyDescent="0.25">
      <c r="A397" s="92">
        <v>45777</v>
      </c>
      <c r="B397" s="93" t="s">
        <v>329</v>
      </c>
      <c r="C397" s="89" t="s">
        <v>40</v>
      </c>
      <c r="D397" s="93" t="s">
        <v>230</v>
      </c>
      <c r="E397" s="93" t="s">
        <v>34</v>
      </c>
      <c r="F397" s="93" t="s">
        <v>410</v>
      </c>
      <c r="G397" s="93" t="s">
        <v>347</v>
      </c>
      <c r="H397" s="93" t="s">
        <v>343</v>
      </c>
      <c r="I397" s="94">
        <v>0.08</v>
      </c>
      <c r="J397" s="95">
        <v>6</v>
      </c>
    </row>
    <row r="398" spans="1:10" x14ac:dyDescent="0.25">
      <c r="A398" s="92">
        <v>45777</v>
      </c>
      <c r="B398" s="93" t="s">
        <v>329</v>
      </c>
      <c r="C398" s="89" t="s">
        <v>40</v>
      </c>
      <c r="D398" s="93" t="s">
        <v>268</v>
      </c>
      <c r="E398" s="93" t="s">
        <v>34</v>
      </c>
      <c r="F398" s="93" t="s">
        <v>386</v>
      </c>
      <c r="G398" s="93" t="s">
        <v>347</v>
      </c>
      <c r="H398" s="93" t="s">
        <v>343</v>
      </c>
      <c r="I398" s="94">
        <v>0.25</v>
      </c>
      <c r="J398" s="95">
        <v>18.75</v>
      </c>
    </row>
    <row r="399" spans="1:10" x14ac:dyDescent="0.25">
      <c r="A399" s="92">
        <v>45777</v>
      </c>
      <c r="B399" s="93" t="s">
        <v>332</v>
      </c>
      <c r="C399" s="89" t="s">
        <v>40</v>
      </c>
      <c r="D399" s="93" t="s">
        <v>314</v>
      </c>
      <c r="E399" s="93" t="s">
        <v>35</v>
      </c>
      <c r="F399" s="93" t="s">
        <v>359</v>
      </c>
      <c r="G399" s="93" t="s">
        <v>339</v>
      </c>
      <c r="H399" s="93" t="s">
        <v>352</v>
      </c>
      <c r="I399" s="94">
        <v>9.33</v>
      </c>
      <c r="J399" s="95">
        <v>373.2</v>
      </c>
    </row>
    <row r="400" spans="1:10" x14ac:dyDescent="0.25">
      <c r="A400" s="92">
        <v>45777</v>
      </c>
      <c r="B400" s="93" t="s">
        <v>324</v>
      </c>
      <c r="C400" s="89" t="s">
        <v>40</v>
      </c>
      <c r="D400" s="93" t="s">
        <v>314</v>
      </c>
      <c r="E400" s="93" t="s">
        <v>35</v>
      </c>
      <c r="F400" s="93" t="s">
        <v>359</v>
      </c>
      <c r="G400" s="93" t="s">
        <v>339</v>
      </c>
      <c r="H400" s="93" t="s">
        <v>352</v>
      </c>
      <c r="I400" s="94">
        <v>6</v>
      </c>
      <c r="J400" s="95">
        <v>450</v>
      </c>
    </row>
    <row r="401" spans="1:10" x14ac:dyDescent="0.25">
      <c r="A401" s="92">
        <v>45778</v>
      </c>
      <c r="B401" s="93" t="s">
        <v>329</v>
      </c>
      <c r="C401" s="89" t="s">
        <v>40</v>
      </c>
      <c r="D401" s="93" t="s">
        <v>270</v>
      </c>
      <c r="E401" s="93" t="s">
        <v>34</v>
      </c>
      <c r="F401" s="93" t="s">
        <v>360</v>
      </c>
      <c r="G401" s="93" t="s">
        <v>347</v>
      </c>
      <c r="H401" s="93" t="s">
        <v>343</v>
      </c>
      <c r="I401" s="94">
        <v>0.08</v>
      </c>
      <c r="J401" s="95">
        <v>6</v>
      </c>
    </row>
    <row r="402" spans="1:10" x14ac:dyDescent="0.25">
      <c r="A402" s="92">
        <v>45778</v>
      </c>
      <c r="B402" s="93" t="s">
        <v>329</v>
      </c>
      <c r="C402" s="89" t="s">
        <v>40</v>
      </c>
      <c r="D402" s="93" t="s">
        <v>316</v>
      </c>
      <c r="E402" s="93" t="s">
        <v>35</v>
      </c>
      <c r="F402" s="93" t="s">
        <v>338</v>
      </c>
      <c r="G402" s="93" t="s">
        <v>337</v>
      </c>
      <c r="H402" s="93" t="s">
        <v>352</v>
      </c>
      <c r="I402" s="94">
        <v>1.5</v>
      </c>
      <c r="J402" s="95">
        <v>112.5</v>
      </c>
    </row>
    <row r="403" spans="1:10" x14ac:dyDescent="0.25">
      <c r="A403" s="92">
        <v>45778</v>
      </c>
      <c r="B403" s="93" t="s">
        <v>333</v>
      </c>
      <c r="C403" s="89" t="s">
        <v>40</v>
      </c>
      <c r="D403" s="93" t="s">
        <v>320</v>
      </c>
      <c r="E403" s="93" t="s">
        <v>35</v>
      </c>
      <c r="F403" s="93" t="s">
        <v>322</v>
      </c>
      <c r="G403" s="93" t="s">
        <v>319</v>
      </c>
      <c r="H403" s="93" t="s">
        <v>352</v>
      </c>
      <c r="I403" s="94">
        <v>7.67</v>
      </c>
      <c r="J403" s="95">
        <v>245.44</v>
      </c>
    </row>
    <row r="404" spans="1:10" x14ac:dyDescent="0.25">
      <c r="A404" s="92">
        <v>45778</v>
      </c>
      <c r="B404" s="93" t="s">
        <v>327</v>
      </c>
      <c r="C404" s="89" t="s">
        <v>40</v>
      </c>
      <c r="D404" s="93" t="s">
        <v>320</v>
      </c>
      <c r="E404" s="93" t="s">
        <v>35</v>
      </c>
      <c r="F404" s="93" t="s">
        <v>322</v>
      </c>
      <c r="G404" s="93" t="s">
        <v>319</v>
      </c>
      <c r="H404" s="93" t="s">
        <v>352</v>
      </c>
      <c r="I404" s="94">
        <v>7.42</v>
      </c>
      <c r="J404" s="95">
        <v>237.44</v>
      </c>
    </row>
    <row r="405" spans="1:10" x14ac:dyDescent="0.25">
      <c r="A405" s="92">
        <v>45778</v>
      </c>
      <c r="B405" s="93" t="s">
        <v>329</v>
      </c>
      <c r="C405" s="89" t="s">
        <v>40</v>
      </c>
      <c r="D405" s="93" t="s">
        <v>186</v>
      </c>
      <c r="E405" s="93" t="s">
        <v>34</v>
      </c>
      <c r="F405" s="93" t="s">
        <v>397</v>
      </c>
      <c r="G405" s="93" t="s">
        <v>347</v>
      </c>
      <c r="H405" s="93" t="s">
        <v>343</v>
      </c>
      <c r="I405" s="94">
        <v>0.5</v>
      </c>
      <c r="J405" s="95">
        <v>37.5</v>
      </c>
    </row>
    <row r="406" spans="1:10" x14ac:dyDescent="0.25">
      <c r="A406" s="92">
        <v>45778</v>
      </c>
      <c r="B406" s="93" t="s">
        <v>330</v>
      </c>
      <c r="C406" s="89" t="s">
        <v>40</v>
      </c>
      <c r="D406" s="93" t="s">
        <v>189</v>
      </c>
      <c r="E406" s="93" t="s">
        <v>34</v>
      </c>
      <c r="F406" s="93" t="s">
        <v>439</v>
      </c>
      <c r="G406" s="93" t="s">
        <v>347</v>
      </c>
      <c r="H406" s="93" t="s">
        <v>343</v>
      </c>
      <c r="I406" s="94">
        <v>0.25</v>
      </c>
      <c r="J406" s="95">
        <v>15</v>
      </c>
    </row>
    <row r="407" spans="1:10" x14ac:dyDescent="0.25">
      <c r="A407" s="92">
        <v>45778</v>
      </c>
      <c r="B407" s="93" t="s">
        <v>325</v>
      </c>
      <c r="C407" s="89" t="s">
        <v>40</v>
      </c>
      <c r="D407" s="93" t="s">
        <v>198</v>
      </c>
      <c r="E407" s="93" t="s">
        <v>34</v>
      </c>
      <c r="F407" s="93" t="s">
        <v>413</v>
      </c>
      <c r="G407" s="93" t="s">
        <v>347</v>
      </c>
      <c r="H407" s="93" t="s">
        <v>343</v>
      </c>
      <c r="I407" s="94">
        <v>0.17</v>
      </c>
      <c r="J407" s="95">
        <v>12.750000000000002</v>
      </c>
    </row>
    <row r="408" spans="1:10" x14ac:dyDescent="0.25">
      <c r="A408" s="92">
        <v>45778</v>
      </c>
      <c r="B408" s="93" t="s">
        <v>330</v>
      </c>
      <c r="C408" s="89" t="s">
        <v>40</v>
      </c>
      <c r="D408" s="93" t="s">
        <v>199</v>
      </c>
      <c r="E408" s="93" t="s">
        <v>34</v>
      </c>
      <c r="F408" s="93" t="s">
        <v>414</v>
      </c>
      <c r="G408" s="93" t="s">
        <v>347</v>
      </c>
      <c r="H408" s="93" t="s">
        <v>343</v>
      </c>
      <c r="I408" s="94">
        <v>0.5</v>
      </c>
      <c r="J408" s="95">
        <v>30</v>
      </c>
    </row>
    <row r="409" spans="1:10" x14ac:dyDescent="0.25">
      <c r="A409" s="92">
        <v>45778</v>
      </c>
      <c r="B409" s="93" t="s">
        <v>330</v>
      </c>
      <c r="C409" s="89" t="s">
        <v>40</v>
      </c>
      <c r="D409" s="93" t="s">
        <v>211</v>
      </c>
      <c r="E409" s="93" t="s">
        <v>34</v>
      </c>
      <c r="F409" s="93" t="s">
        <v>437</v>
      </c>
      <c r="G409" s="93" t="s">
        <v>347</v>
      </c>
      <c r="H409" s="93" t="s">
        <v>343</v>
      </c>
      <c r="I409" s="94">
        <v>0.25</v>
      </c>
      <c r="J409" s="95">
        <v>15</v>
      </c>
    </row>
    <row r="410" spans="1:10" x14ac:dyDescent="0.25">
      <c r="A410" s="92">
        <v>45778</v>
      </c>
      <c r="B410" s="93" t="s">
        <v>329</v>
      </c>
      <c r="C410" s="89" t="s">
        <v>40</v>
      </c>
      <c r="D410" s="93" t="s">
        <v>303</v>
      </c>
      <c r="E410" s="93" t="s">
        <v>34</v>
      </c>
      <c r="F410" s="93" t="s">
        <v>400</v>
      </c>
      <c r="G410" s="93" t="s">
        <v>347</v>
      </c>
      <c r="H410" s="93" t="s">
        <v>343</v>
      </c>
      <c r="I410" s="94">
        <v>0.08</v>
      </c>
      <c r="J410" s="95">
        <v>6</v>
      </c>
    </row>
    <row r="411" spans="1:10" x14ac:dyDescent="0.25">
      <c r="A411" s="92">
        <v>45778</v>
      </c>
      <c r="B411" s="93" t="s">
        <v>329</v>
      </c>
      <c r="C411" s="89" t="s">
        <v>40</v>
      </c>
      <c r="D411" s="93" t="s">
        <v>229</v>
      </c>
      <c r="E411" s="93" t="s">
        <v>34</v>
      </c>
      <c r="F411" s="93" t="s">
        <v>373</v>
      </c>
      <c r="G411" s="93" t="s">
        <v>347</v>
      </c>
      <c r="H411" s="93" t="s">
        <v>343</v>
      </c>
      <c r="I411" s="94">
        <v>0.5</v>
      </c>
      <c r="J411" s="95">
        <v>37.5</v>
      </c>
    </row>
    <row r="412" spans="1:10" x14ac:dyDescent="0.25">
      <c r="A412" s="92">
        <v>45778</v>
      </c>
      <c r="B412" s="93" t="s">
        <v>330</v>
      </c>
      <c r="C412" s="89" t="s">
        <v>40</v>
      </c>
      <c r="D412" s="93" t="s">
        <v>190</v>
      </c>
      <c r="E412" s="93" t="s">
        <v>34</v>
      </c>
      <c r="F412" s="93" t="s">
        <v>438</v>
      </c>
      <c r="G412" s="93" t="s">
        <v>347</v>
      </c>
      <c r="H412" s="93" t="s">
        <v>343</v>
      </c>
      <c r="I412" s="94">
        <v>0.25</v>
      </c>
      <c r="J412" s="95">
        <v>15</v>
      </c>
    </row>
    <row r="413" spans="1:10" x14ac:dyDescent="0.25">
      <c r="A413" s="92">
        <v>45778</v>
      </c>
      <c r="B413" s="93" t="s">
        <v>329</v>
      </c>
      <c r="C413" s="89" t="s">
        <v>40</v>
      </c>
      <c r="D413" s="93" t="s">
        <v>247</v>
      </c>
      <c r="E413" s="93" t="s">
        <v>34</v>
      </c>
      <c r="F413" s="93" t="s">
        <v>375</v>
      </c>
      <c r="G413" s="93" t="s">
        <v>347</v>
      </c>
      <c r="H413" s="93" t="s">
        <v>343</v>
      </c>
      <c r="I413" s="94">
        <v>0.33</v>
      </c>
      <c r="J413" s="95">
        <v>24.75</v>
      </c>
    </row>
    <row r="414" spans="1:10" x14ac:dyDescent="0.25">
      <c r="A414" s="92">
        <v>45778</v>
      </c>
      <c r="B414" s="93" t="s">
        <v>325</v>
      </c>
      <c r="C414" s="89" t="s">
        <v>40</v>
      </c>
      <c r="D414" s="93" t="s">
        <v>287</v>
      </c>
      <c r="E414" s="93" t="s">
        <v>34</v>
      </c>
      <c r="F414" s="93" t="s">
        <v>378</v>
      </c>
      <c r="G414" s="93" t="s">
        <v>347</v>
      </c>
      <c r="H414" s="93" t="s">
        <v>343</v>
      </c>
      <c r="I414" s="94">
        <v>0.17</v>
      </c>
      <c r="J414" s="95">
        <v>12.750000000000002</v>
      </c>
    </row>
    <row r="415" spans="1:10" x14ac:dyDescent="0.25">
      <c r="A415" s="92">
        <v>45778</v>
      </c>
      <c r="B415" s="93" t="s">
        <v>325</v>
      </c>
      <c r="C415" s="89" t="s">
        <v>40</v>
      </c>
      <c r="D415" s="93" t="s">
        <v>253</v>
      </c>
      <c r="E415" s="93" t="s">
        <v>34</v>
      </c>
      <c r="F415" s="93" t="s">
        <v>408</v>
      </c>
      <c r="G415" s="93" t="s">
        <v>347</v>
      </c>
      <c r="H415" s="93" t="s">
        <v>343</v>
      </c>
      <c r="I415" s="94">
        <v>0.17</v>
      </c>
      <c r="J415" s="95">
        <v>12.750000000000002</v>
      </c>
    </row>
    <row r="416" spans="1:10" x14ac:dyDescent="0.25">
      <c r="A416" s="92">
        <v>45778</v>
      </c>
      <c r="B416" s="93" t="s">
        <v>329</v>
      </c>
      <c r="C416" s="89" t="s">
        <v>40</v>
      </c>
      <c r="D416" s="93" t="s">
        <v>248</v>
      </c>
      <c r="E416" s="93" t="s">
        <v>34</v>
      </c>
      <c r="F416" s="93" t="s">
        <v>385</v>
      </c>
      <c r="G416" s="93" t="s">
        <v>347</v>
      </c>
      <c r="H416" s="93" t="s">
        <v>343</v>
      </c>
      <c r="I416" s="94">
        <v>0.17</v>
      </c>
      <c r="J416" s="95">
        <v>12.750000000000002</v>
      </c>
    </row>
    <row r="417" spans="1:10" x14ac:dyDescent="0.25">
      <c r="A417" s="92">
        <v>45778</v>
      </c>
      <c r="B417" s="93" t="s">
        <v>330</v>
      </c>
      <c r="C417" s="89" t="s">
        <v>40</v>
      </c>
      <c r="D417" s="93" t="s">
        <v>275</v>
      </c>
      <c r="E417" s="93" t="s">
        <v>34</v>
      </c>
      <c r="F417" s="93" t="s">
        <v>443</v>
      </c>
      <c r="G417" s="93" t="s">
        <v>347</v>
      </c>
      <c r="H417" s="93" t="s">
        <v>343</v>
      </c>
      <c r="I417" s="94">
        <v>0.25</v>
      </c>
      <c r="J417" s="95">
        <v>15</v>
      </c>
    </row>
    <row r="418" spans="1:10" x14ac:dyDescent="0.25">
      <c r="A418" s="92">
        <v>45778</v>
      </c>
      <c r="B418" s="93" t="s">
        <v>330</v>
      </c>
      <c r="C418" s="89" t="s">
        <v>40</v>
      </c>
      <c r="D418" s="93" t="s">
        <v>284</v>
      </c>
      <c r="E418" s="93" t="s">
        <v>34</v>
      </c>
      <c r="F418" s="93" t="s">
        <v>415</v>
      </c>
      <c r="G418" s="93" t="s">
        <v>347</v>
      </c>
      <c r="H418" s="93" t="s">
        <v>343</v>
      </c>
      <c r="I418" s="94">
        <v>0.25</v>
      </c>
      <c r="J418" s="95">
        <v>15</v>
      </c>
    </row>
    <row r="419" spans="1:10" x14ac:dyDescent="0.25">
      <c r="A419" s="92">
        <v>45778</v>
      </c>
      <c r="B419" s="93" t="s">
        <v>329</v>
      </c>
      <c r="C419" s="89" t="s">
        <v>40</v>
      </c>
      <c r="D419" s="93" t="s">
        <v>230</v>
      </c>
      <c r="E419" s="93" t="s">
        <v>34</v>
      </c>
      <c r="F419" s="93" t="s">
        <v>410</v>
      </c>
      <c r="G419" s="93" t="s">
        <v>347</v>
      </c>
      <c r="H419" s="93" t="s">
        <v>343</v>
      </c>
      <c r="I419" s="94">
        <v>0.42</v>
      </c>
      <c r="J419" s="95">
        <v>31.5</v>
      </c>
    </row>
    <row r="420" spans="1:10" x14ac:dyDescent="0.25">
      <c r="A420" s="92">
        <v>45778</v>
      </c>
      <c r="B420" s="93" t="s">
        <v>326</v>
      </c>
      <c r="C420" s="89" t="s">
        <v>40</v>
      </c>
      <c r="D420" s="93" t="s">
        <v>265</v>
      </c>
      <c r="E420" s="93" t="s">
        <v>36</v>
      </c>
      <c r="F420" s="93" t="s">
        <v>358</v>
      </c>
      <c r="G420" s="93" t="s">
        <v>348</v>
      </c>
      <c r="H420" s="93" t="s">
        <v>342</v>
      </c>
      <c r="I420" s="94">
        <v>1</v>
      </c>
      <c r="J420" s="95">
        <v>60</v>
      </c>
    </row>
    <row r="421" spans="1:10" x14ac:dyDescent="0.25">
      <c r="A421" s="92">
        <v>45778</v>
      </c>
      <c r="B421" s="93" t="s">
        <v>326</v>
      </c>
      <c r="C421" s="89" t="s">
        <v>40</v>
      </c>
      <c r="D421" s="93" t="s">
        <v>188</v>
      </c>
      <c r="E421" s="93" t="s">
        <v>34</v>
      </c>
      <c r="F421" s="93" t="s">
        <v>356</v>
      </c>
      <c r="G421" s="93" t="s">
        <v>348</v>
      </c>
      <c r="H421" s="93" t="s">
        <v>343</v>
      </c>
      <c r="I421" s="94">
        <v>0.67</v>
      </c>
      <c r="J421" s="95">
        <v>40.200000000000003</v>
      </c>
    </row>
    <row r="422" spans="1:10" x14ac:dyDescent="0.25">
      <c r="A422" s="92">
        <v>45778</v>
      </c>
      <c r="B422" s="93" t="s">
        <v>326</v>
      </c>
      <c r="C422" s="89" t="s">
        <v>40</v>
      </c>
      <c r="D422" s="93" t="s">
        <v>265</v>
      </c>
      <c r="E422" s="93" t="s">
        <v>34</v>
      </c>
      <c r="F422" s="93" t="s">
        <v>358</v>
      </c>
      <c r="G422" s="93" t="s">
        <v>348</v>
      </c>
      <c r="H422" s="93" t="s">
        <v>343</v>
      </c>
      <c r="I422" s="94">
        <v>0.75</v>
      </c>
      <c r="J422" s="95">
        <v>45</v>
      </c>
    </row>
    <row r="423" spans="1:10" x14ac:dyDescent="0.25">
      <c r="A423" s="92">
        <v>45778</v>
      </c>
      <c r="B423" s="93" t="s">
        <v>332</v>
      </c>
      <c r="C423" s="89" t="s">
        <v>40</v>
      </c>
      <c r="D423" s="93" t="s">
        <v>314</v>
      </c>
      <c r="E423" s="93" t="s">
        <v>35</v>
      </c>
      <c r="F423" s="93" t="s">
        <v>359</v>
      </c>
      <c r="G423" s="93" t="s">
        <v>339</v>
      </c>
      <c r="H423" s="93" t="s">
        <v>352</v>
      </c>
      <c r="I423" s="94">
        <v>6.5</v>
      </c>
      <c r="J423" s="95">
        <v>260</v>
      </c>
    </row>
    <row r="424" spans="1:10" x14ac:dyDescent="0.25">
      <c r="A424" s="92">
        <v>45778</v>
      </c>
      <c r="B424" s="93" t="s">
        <v>324</v>
      </c>
      <c r="C424" s="89" t="s">
        <v>40</v>
      </c>
      <c r="D424" s="93" t="s">
        <v>314</v>
      </c>
      <c r="E424" s="93" t="s">
        <v>35</v>
      </c>
      <c r="F424" s="93" t="s">
        <v>359</v>
      </c>
      <c r="G424" s="93" t="s">
        <v>339</v>
      </c>
      <c r="H424" s="93" t="s">
        <v>352</v>
      </c>
      <c r="I424" s="94">
        <v>4.75</v>
      </c>
      <c r="J424" s="95">
        <v>356.25</v>
      </c>
    </row>
    <row r="425" spans="1:10" x14ac:dyDescent="0.25">
      <c r="A425" s="92">
        <v>45779</v>
      </c>
      <c r="B425" s="93" t="s">
        <v>329</v>
      </c>
      <c r="C425" s="89" t="s">
        <v>40</v>
      </c>
      <c r="D425" s="93" t="s">
        <v>270</v>
      </c>
      <c r="E425" s="93" t="s">
        <v>34</v>
      </c>
      <c r="F425" s="93" t="s">
        <v>360</v>
      </c>
      <c r="G425" s="93" t="s">
        <v>347</v>
      </c>
      <c r="H425" s="93" t="s">
        <v>343</v>
      </c>
      <c r="I425" s="94">
        <v>0.42</v>
      </c>
      <c r="J425" s="95">
        <v>31.5</v>
      </c>
    </row>
    <row r="426" spans="1:10" x14ac:dyDescent="0.25">
      <c r="A426" s="92">
        <v>45779</v>
      </c>
      <c r="B426" s="93" t="s">
        <v>329</v>
      </c>
      <c r="C426" s="89" t="s">
        <v>40</v>
      </c>
      <c r="D426" s="93" t="s">
        <v>316</v>
      </c>
      <c r="E426" s="93" t="s">
        <v>35</v>
      </c>
      <c r="F426" s="93" t="s">
        <v>338</v>
      </c>
      <c r="G426" s="93" t="s">
        <v>337</v>
      </c>
      <c r="H426" s="93" t="s">
        <v>352</v>
      </c>
      <c r="I426" s="94">
        <v>1</v>
      </c>
      <c r="J426" s="95">
        <v>75</v>
      </c>
    </row>
    <row r="427" spans="1:10" x14ac:dyDescent="0.25">
      <c r="A427" s="92">
        <v>45779</v>
      </c>
      <c r="B427" s="93" t="s">
        <v>333</v>
      </c>
      <c r="C427" s="89" t="s">
        <v>40</v>
      </c>
      <c r="D427" s="93" t="s">
        <v>320</v>
      </c>
      <c r="E427" s="93" t="s">
        <v>35</v>
      </c>
      <c r="F427" s="93" t="s">
        <v>322</v>
      </c>
      <c r="G427" s="93" t="s">
        <v>319</v>
      </c>
      <c r="H427" s="93" t="s">
        <v>352</v>
      </c>
      <c r="I427" s="94">
        <v>8.77</v>
      </c>
      <c r="J427" s="95">
        <v>280.64</v>
      </c>
    </row>
    <row r="428" spans="1:10" x14ac:dyDescent="0.25">
      <c r="A428" s="92">
        <v>45779</v>
      </c>
      <c r="B428" s="93" t="s">
        <v>323</v>
      </c>
      <c r="C428" s="89" t="s">
        <v>40</v>
      </c>
      <c r="D428" s="93" t="s">
        <v>267</v>
      </c>
      <c r="E428" s="93" t="s">
        <v>36</v>
      </c>
      <c r="F428" s="93" t="s">
        <v>436</v>
      </c>
      <c r="G428" s="93" t="s">
        <v>346</v>
      </c>
      <c r="H428" s="93" t="s">
        <v>342</v>
      </c>
      <c r="I428" s="94">
        <v>0.25</v>
      </c>
      <c r="J428" s="95">
        <v>15</v>
      </c>
    </row>
    <row r="429" spans="1:10" x14ac:dyDescent="0.25">
      <c r="A429" s="92">
        <v>45779</v>
      </c>
      <c r="B429" s="93" t="s">
        <v>323</v>
      </c>
      <c r="C429" s="89" t="s">
        <v>40</v>
      </c>
      <c r="D429" s="93" t="s">
        <v>202</v>
      </c>
      <c r="E429" s="93" t="s">
        <v>34</v>
      </c>
      <c r="F429" s="93" t="s">
        <v>431</v>
      </c>
      <c r="G429" s="93" t="s">
        <v>346</v>
      </c>
      <c r="H429" s="93" t="s">
        <v>343</v>
      </c>
      <c r="I429" s="94">
        <v>0.25</v>
      </c>
      <c r="J429" s="95">
        <v>15</v>
      </c>
    </row>
    <row r="430" spans="1:10" x14ac:dyDescent="0.25">
      <c r="A430" s="92">
        <v>45779</v>
      </c>
      <c r="B430" s="93" t="s">
        <v>329</v>
      </c>
      <c r="C430" s="89" t="s">
        <v>40</v>
      </c>
      <c r="D430" s="93" t="s">
        <v>186</v>
      </c>
      <c r="E430" s="93" t="s">
        <v>34</v>
      </c>
      <c r="F430" s="93" t="s">
        <v>397</v>
      </c>
      <c r="G430" s="93" t="s">
        <v>347</v>
      </c>
      <c r="H430" s="93" t="s">
        <v>343</v>
      </c>
      <c r="I430" s="94">
        <v>0.17</v>
      </c>
      <c r="J430" s="95">
        <v>12.750000000000002</v>
      </c>
    </row>
    <row r="431" spans="1:10" x14ac:dyDescent="0.25">
      <c r="A431" s="92">
        <v>45779</v>
      </c>
      <c r="B431" s="93" t="s">
        <v>329</v>
      </c>
      <c r="C431" s="89" t="s">
        <v>40</v>
      </c>
      <c r="D431" s="93" t="s">
        <v>197</v>
      </c>
      <c r="E431" s="93" t="s">
        <v>34</v>
      </c>
      <c r="F431" s="93" t="s">
        <v>366</v>
      </c>
      <c r="G431" s="93" t="s">
        <v>347</v>
      </c>
      <c r="H431" s="93" t="s">
        <v>343</v>
      </c>
      <c r="I431" s="94">
        <v>0.17</v>
      </c>
      <c r="J431" s="95">
        <v>12.750000000000002</v>
      </c>
    </row>
    <row r="432" spans="1:10" x14ac:dyDescent="0.25">
      <c r="A432" s="92">
        <v>45779</v>
      </c>
      <c r="B432" s="93" t="s">
        <v>325</v>
      </c>
      <c r="C432" s="89" t="s">
        <v>40</v>
      </c>
      <c r="D432" s="93" t="s">
        <v>290</v>
      </c>
      <c r="E432" s="93" t="s">
        <v>36</v>
      </c>
      <c r="F432" s="93" t="s">
        <v>428</v>
      </c>
      <c r="G432" s="93" t="s">
        <v>347</v>
      </c>
      <c r="H432" s="93" t="s">
        <v>342</v>
      </c>
      <c r="I432" s="94">
        <v>0.92</v>
      </c>
      <c r="J432" s="95">
        <v>69</v>
      </c>
    </row>
    <row r="433" spans="1:10" x14ac:dyDescent="0.25">
      <c r="A433" s="92">
        <v>45779</v>
      </c>
      <c r="B433" s="93" t="s">
        <v>325</v>
      </c>
      <c r="C433" s="89" t="s">
        <v>40</v>
      </c>
      <c r="D433" s="93" t="s">
        <v>170</v>
      </c>
      <c r="E433" s="93" t="s">
        <v>34</v>
      </c>
      <c r="F433" s="93" t="s">
        <v>424</v>
      </c>
      <c r="G433" s="93" t="s">
        <v>347</v>
      </c>
      <c r="H433" s="93" t="s">
        <v>343</v>
      </c>
      <c r="I433" s="94">
        <v>0.17</v>
      </c>
      <c r="J433" s="95">
        <v>12.750000000000002</v>
      </c>
    </row>
    <row r="434" spans="1:10" x14ac:dyDescent="0.25">
      <c r="A434" s="92">
        <v>45779</v>
      </c>
      <c r="B434" s="93" t="s">
        <v>329</v>
      </c>
      <c r="C434" s="89" t="s">
        <v>40</v>
      </c>
      <c r="D434" s="93" t="s">
        <v>221</v>
      </c>
      <c r="E434" s="93" t="s">
        <v>34</v>
      </c>
      <c r="F434" s="93" t="s">
        <v>369</v>
      </c>
      <c r="G434" s="93" t="s">
        <v>347</v>
      </c>
      <c r="H434" s="93" t="s">
        <v>343</v>
      </c>
      <c r="I434" s="94">
        <v>0.17</v>
      </c>
      <c r="J434" s="95">
        <v>12.750000000000002</v>
      </c>
    </row>
    <row r="435" spans="1:10" x14ac:dyDescent="0.25">
      <c r="A435" s="92">
        <v>45779</v>
      </c>
      <c r="B435" s="93" t="s">
        <v>329</v>
      </c>
      <c r="C435" s="89" t="s">
        <v>40</v>
      </c>
      <c r="D435" s="93" t="s">
        <v>229</v>
      </c>
      <c r="E435" s="93" t="s">
        <v>34</v>
      </c>
      <c r="F435" s="93" t="s">
        <v>373</v>
      </c>
      <c r="G435" s="93" t="s">
        <v>347</v>
      </c>
      <c r="H435" s="93" t="s">
        <v>343</v>
      </c>
      <c r="I435" s="94">
        <v>0.08</v>
      </c>
      <c r="J435" s="95">
        <v>6</v>
      </c>
    </row>
    <row r="436" spans="1:10" x14ac:dyDescent="0.25">
      <c r="A436" s="92">
        <v>45779</v>
      </c>
      <c r="B436" s="93" t="s">
        <v>329</v>
      </c>
      <c r="C436" s="89" t="s">
        <v>40</v>
      </c>
      <c r="D436" s="93" t="s">
        <v>247</v>
      </c>
      <c r="E436" s="93" t="s">
        <v>34</v>
      </c>
      <c r="F436" s="93" t="s">
        <v>375</v>
      </c>
      <c r="G436" s="93" t="s">
        <v>347</v>
      </c>
      <c r="H436" s="93" t="s">
        <v>343</v>
      </c>
      <c r="I436" s="94">
        <v>0.08</v>
      </c>
      <c r="J436" s="95">
        <v>6</v>
      </c>
    </row>
    <row r="437" spans="1:10" x14ac:dyDescent="0.25">
      <c r="A437" s="92">
        <v>45779</v>
      </c>
      <c r="B437" s="93" t="s">
        <v>325</v>
      </c>
      <c r="C437" s="89" t="s">
        <v>40</v>
      </c>
      <c r="D437" s="93" t="s">
        <v>287</v>
      </c>
      <c r="E437" s="93" t="s">
        <v>34</v>
      </c>
      <c r="F437" s="93" t="s">
        <v>378</v>
      </c>
      <c r="G437" s="93" t="s">
        <v>347</v>
      </c>
      <c r="H437" s="93" t="s">
        <v>343</v>
      </c>
      <c r="I437" s="94">
        <v>0.17</v>
      </c>
      <c r="J437" s="95">
        <v>12.750000000000002</v>
      </c>
    </row>
    <row r="438" spans="1:10" x14ac:dyDescent="0.25">
      <c r="A438" s="92">
        <v>45779</v>
      </c>
      <c r="B438" s="93" t="s">
        <v>329</v>
      </c>
      <c r="C438" s="89" t="s">
        <v>40</v>
      </c>
      <c r="D438" s="93" t="s">
        <v>295</v>
      </c>
      <c r="E438" s="93" t="s">
        <v>34</v>
      </c>
      <c r="F438" s="93" t="s">
        <v>379</v>
      </c>
      <c r="G438" s="93" t="s">
        <v>347</v>
      </c>
      <c r="H438" s="93" t="s">
        <v>343</v>
      </c>
      <c r="I438" s="94">
        <v>0.17</v>
      </c>
      <c r="J438" s="95">
        <v>12.750000000000002</v>
      </c>
    </row>
    <row r="439" spans="1:10" x14ac:dyDescent="0.25">
      <c r="A439" s="92">
        <v>45779</v>
      </c>
      <c r="B439" s="93" t="s">
        <v>330</v>
      </c>
      <c r="C439" s="89" t="s">
        <v>40</v>
      </c>
      <c r="D439" s="93" t="s">
        <v>261</v>
      </c>
      <c r="E439" s="93" t="s">
        <v>34</v>
      </c>
      <c r="F439" s="93" t="s">
        <v>444</v>
      </c>
      <c r="G439" s="93" t="s">
        <v>347</v>
      </c>
      <c r="H439" s="93" t="s">
        <v>343</v>
      </c>
      <c r="I439" s="94">
        <v>0.5</v>
      </c>
      <c r="J439" s="95">
        <v>30</v>
      </c>
    </row>
    <row r="440" spans="1:10" x14ac:dyDescent="0.25">
      <c r="A440" s="92">
        <v>45779</v>
      </c>
      <c r="B440" s="93" t="s">
        <v>326</v>
      </c>
      <c r="C440" s="89" t="s">
        <v>40</v>
      </c>
      <c r="D440" s="93" t="s">
        <v>207</v>
      </c>
      <c r="E440" s="93" t="s">
        <v>36</v>
      </c>
      <c r="F440" s="93" t="s">
        <v>417</v>
      </c>
      <c r="G440" s="93" t="s">
        <v>348</v>
      </c>
      <c r="H440" s="93" t="s">
        <v>342</v>
      </c>
      <c r="I440" s="94">
        <v>0.25</v>
      </c>
      <c r="J440" s="95">
        <v>15</v>
      </c>
    </row>
    <row r="441" spans="1:10" x14ac:dyDescent="0.25">
      <c r="A441" s="92">
        <v>45779</v>
      </c>
      <c r="B441" s="93" t="s">
        <v>326</v>
      </c>
      <c r="C441" s="89" t="s">
        <v>40</v>
      </c>
      <c r="D441" s="93" t="s">
        <v>207</v>
      </c>
      <c r="E441" s="93" t="s">
        <v>34</v>
      </c>
      <c r="F441" s="93" t="s">
        <v>417</v>
      </c>
      <c r="G441" s="93" t="s">
        <v>348</v>
      </c>
      <c r="H441" s="93" t="s">
        <v>343</v>
      </c>
      <c r="I441" s="94">
        <v>0.25</v>
      </c>
      <c r="J441" s="95">
        <v>15</v>
      </c>
    </row>
    <row r="442" spans="1:10" x14ac:dyDescent="0.25">
      <c r="A442" s="92">
        <v>45779</v>
      </c>
      <c r="B442" s="93" t="s">
        <v>326</v>
      </c>
      <c r="C442" s="89" t="s">
        <v>40</v>
      </c>
      <c r="D442" s="93" t="s">
        <v>265</v>
      </c>
      <c r="E442" s="93" t="s">
        <v>34</v>
      </c>
      <c r="F442" s="93" t="s">
        <v>358</v>
      </c>
      <c r="G442" s="93" t="s">
        <v>348</v>
      </c>
      <c r="H442" s="93" t="s">
        <v>343</v>
      </c>
      <c r="I442" s="94">
        <v>1</v>
      </c>
      <c r="J442" s="95">
        <v>60</v>
      </c>
    </row>
    <row r="443" spans="1:10" x14ac:dyDescent="0.25">
      <c r="A443" s="92">
        <v>45779</v>
      </c>
      <c r="B443" s="93" t="s">
        <v>326</v>
      </c>
      <c r="C443" s="89" t="s">
        <v>40</v>
      </c>
      <c r="D443" s="93" t="s">
        <v>207</v>
      </c>
      <c r="E443" s="93" t="s">
        <v>341</v>
      </c>
      <c r="F443" s="93" t="s">
        <v>417</v>
      </c>
      <c r="G443" s="93" t="s">
        <v>348</v>
      </c>
      <c r="H443" s="93" t="s">
        <v>344</v>
      </c>
      <c r="I443" s="94">
        <v>2</v>
      </c>
      <c r="J443" s="95">
        <v>120</v>
      </c>
    </row>
    <row r="444" spans="1:10" x14ac:dyDescent="0.25">
      <c r="A444" s="92">
        <v>45779</v>
      </c>
      <c r="B444" s="93" t="s">
        <v>332</v>
      </c>
      <c r="C444" s="89" t="s">
        <v>40</v>
      </c>
      <c r="D444" s="93" t="s">
        <v>314</v>
      </c>
      <c r="E444" s="93" t="s">
        <v>35</v>
      </c>
      <c r="F444" s="93" t="s">
        <v>359</v>
      </c>
      <c r="G444" s="93" t="s">
        <v>339</v>
      </c>
      <c r="H444" s="93" t="s">
        <v>352</v>
      </c>
      <c r="I444" s="94">
        <v>8.5</v>
      </c>
      <c r="J444" s="95">
        <v>340</v>
      </c>
    </row>
    <row r="445" spans="1:10" x14ac:dyDescent="0.25">
      <c r="A445" s="92">
        <v>45779</v>
      </c>
      <c r="B445" s="93" t="s">
        <v>324</v>
      </c>
      <c r="C445" s="89" t="s">
        <v>40</v>
      </c>
      <c r="D445" s="93" t="s">
        <v>314</v>
      </c>
      <c r="E445" s="93" t="s">
        <v>35</v>
      </c>
      <c r="F445" s="93" t="s">
        <v>359</v>
      </c>
      <c r="G445" s="93" t="s">
        <v>339</v>
      </c>
      <c r="H445" s="93" t="s">
        <v>352</v>
      </c>
      <c r="I445" s="94">
        <v>4.67</v>
      </c>
      <c r="J445" s="95">
        <v>350.25</v>
      </c>
    </row>
    <row r="446" spans="1:10" x14ac:dyDescent="0.25">
      <c r="A446" s="92">
        <v>45780</v>
      </c>
      <c r="B446" s="93" t="s">
        <v>332</v>
      </c>
      <c r="C446" s="89" t="s">
        <v>40</v>
      </c>
      <c r="D446" s="93" t="s">
        <v>314</v>
      </c>
      <c r="E446" s="93" t="s">
        <v>35</v>
      </c>
      <c r="F446" s="93" t="s">
        <v>359</v>
      </c>
      <c r="G446" s="93" t="s">
        <v>339</v>
      </c>
      <c r="H446" s="93" t="s">
        <v>352</v>
      </c>
      <c r="I446" s="94">
        <v>4</v>
      </c>
      <c r="J446" s="95">
        <v>160</v>
      </c>
    </row>
    <row r="447" spans="1:10" x14ac:dyDescent="0.25">
      <c r="A447" s="92">
        <v>45783</v>
      </c>
      <c r="B447" s="93" t="s">
        <v>329</v>
      </c>
      <c r="C447" s="89" t="s">
        <v>40</v>
      </c>
      <c r="D447" s="93" t="s">
        <v>270</v>
      </c>
      <c r="E447" s="93" t="s">
        <v>34</v>
      </c>
      <c r="F447" s="93" t="s">
        <v>360</v>
      </c>
      <c r="G447" s="93" t="s">
        <v>347</v>
      </c>
      <c r="H447" s="93" t="s">
        <v>343</v>
      </c>
      <c r="I447" s="94">
        <v>0.08</v>
      </c>
      <c r="J447" s="95">
        <v>6</v>
      </c>
    </row>
    <row r="448" spans="1:10" x14ac:dyDescent="0.25">
      <c r="A448" s="92">
        <v>45783</v>
      </c>
      <c r="B448" s="93" t="s">
        <v>323</v>
      </c>
      <c r="C448" s="89" t="s">
        <v>40</v>
      </c>
      <c r="D448" s="93" t="s">
        <v>202</v>
      </c>
      <c r="E448" s="93" t="s">
        <v>36</v>
      </c>
      <c r="F448" s="93" t="s">
        <v>431</v>
      </c>
      <c r="G448" s="93" t="s">
        <v>346</v>
      </c>
      <c r="H448" s="93" t="s">
        <v>342</v>
      </c>
      <c r="I448" s="94">
        <v>0.25</v>
      </c>
      <c r="J448" s="95">
        <v>15</v>
      </c>
    </row>
    <row r="449" spans="1:10" x14ac:dyDescent="0.25">
      <c r="A449" s="92">
        <v>45783</v>
      </c>
      <c r="B449" s="93" t="s">
        <v>329</v>
      </c>
      <c r="C449" s="89" t="s">
        <v>40</v>
      </c>
      <c r="D449" s="93" t="s">
        <v>316</v>
      </c>
      <c r="E449" s="93" t="s">
        <v>35</v>
      </c>
      <c r="F449" s="93" t="s">
        <v>338</v>
      </c>
      <c r="G449" s="93" t="s">
        <v>337</v>
      </c>
      <c r="H449" s="93" t="s">
        <v>352</v>
      </c>
      <c r="I449" s="94">
        <v>1</v>
      </c>
      <c r="J449" s="95">
        <v>75</v>
      </c>
    </row>
    <row r="450" spans="1:10" x14ac:dyDescent="0.25">
      <c r="A450" s="92">
        <v>45783</v>
      </c>
      <c r="B450" s="93" t="s">
        <v>327</v>
      </c>
      <c r="C450" s="89" t="s">
        <v>40</v>
      </c>
      <c r="D450" s="93" t="s">
        <v>320</v>
      </c>
      <c r="E450" s="93" t="s">
        <v>35</v>
      </c>
      <c r="F450" s="93" t="s">
        <v>322</v>
      </c>
      <c r="G450" s="93" t="s">
        <v>319</v>
      </c>
      <c r="H450" s="93" t="s">
        <v>352</v>
      </c>
      <c r="I450" s="94">
        <v>7.5</v>
      </c>
      <c r="J450" s="95">
        <v>240</v>
      </c>
    </row>
    <row r="451" spans="1:10" x14ac:dyDescent="0.25">
      <c r="A451" s="92">
        <v>45783</v>
      </c>
      <c r="B451" s="93" t="s">
        <v>333</v>
      </c>
      <c r="C451" s="89" t="s">
        <v>40</v>
      </c>
      <c r="D451" s="93" t="s">
        <v>320</v>
      </c>
      <c r="E451" s="93" t="s">
        <v>35</v>
      </c>
      <c r="F451" s="93" t="s">
        <v>322</v>
      </c>
      <c r="G451" s="93" t="s">
        <v>319</v>
      </c>
      <c r="H451" s="93" t="s">
        <v>352</v>
      </c>
      <c r="I451" s="94">
        <v>7.38</v>
      </c>
      <c r="J451" s="95">
        <v>236.16</v>
      </c>
    </row>
    <row r="452" spans="1:10" x14ac:dyDescent="0.25">
      <c r="A452" s="92">
        <v>45783</v>
      </c>
      <c r="B452" s="93" t="s">
        <v>323</v>
      </c>
      <c r="C452" s="89" t="s">
        <v>40</v>
      </c>
      <c r="D452" s="93" t="s">
        <v>283</v>
      </c>
      <c r="E452" s="93" t="s">
        <v>36</v>
      </c>
      <c r="F452" s="93" t="s">
        <v>429</v>
      </c>
      <c r="G452" s="93" t="s">
        <v>346</v>
      </c>
      <c r="H452" s="93" t="s">
        <v>342</v>
      </c>
      <c r="I452" s="94">
        <v>0.25</v>
      </c>
      <c r="J452" s="95">
        <v>15</v>
      </c>
    </row>
    <row r="453" spans="1:10" x14ac:dyDescent="0.25">
      <c r="A453" s="92">
        <v>45783</v>
      </c>
      <c r="B453" s="93" t="s">
        <v>323</v>
      </c>
      <c r="C453" s="89" t="s">
        <v>40</v>
      </c>
      <c r="D453" s="93" t="s">
        <v>280</v>
      </c>
      <c r="E453" s="93" t="s">
        <v>36</v>
      </c>
      <c r="F453" s="93" t="s">
        <v>445</v>
      </c>
      <c r="G453" s="93" t="s">
        <v>346</v>
      </c>
      <c r="H453" s="93" t="s">
        <v>342</v>
      </c>
      <c r="I453" s="94">
        <v>0.25</v>
      </c>
      <c r="J453" s="95">
        <v>15</v>
      </c>
    </row>
    <row r="454" spans="1:10" x14ac:dyDescent="0.25">
      <c r="A454" s="92">
        <v>45783</v>
      </c>
      <c r="B454" s="93" t="s">
        <v>329</v>
      </c>
      <c r="C454" s="89" t="s">
        <v>40</v>
      </c>
      <c r="D454" s="93" t="s">
        <v>186</v>
      </c>
      <c r="E454" s="93" t="s">
        <v>34</v>
      </c>
      <c r="F454" s="93" t="s">
        <v>397</v>
      </c>
      <c r="G454" s="93" t="s">
        <v>347</v>
      </c>
      <c r="H454" s="93" t="s">
        <v>343</v>
      </c>
      <c r="I454" s="94">
        <v>0.08</v>
      </c>
      <c r="J454" s="95">
        <v>6</v>
      </c>
    </row>
    <row r="455" spans="1:10" x14ac:dyDescent="0.25">
      <c r="A455" s="92">
        <v>45783</v>
      </c>
      <c r="B455" s="93" t="s">
        <v>330</v>
      </c>
      <c r="C455" s="89" t="s">
        <v>40</v>
      </c>
      <c r="D455" s="93" t="s">
        <v>196</v>
      </c>
      <c r="E455" s="93" t="s">
        <v>34</v>
      </c>
      <c r="F455" s="93" t="s">
        <v>446</v>
      </c>
      <c r="G455" s="93" t="s">
        <v>347</v>
      </c>
      <c r="H455" s="93" t="s">
        <v>343</v>
      </c>
      <c r="I455" s="94">
        <v>0.25</v>
      </c>
      <c r="J455" s="95">
        <v>15</v>
      </c>
    </row>
    <row r="456" spans="1:10" x14ac:dyDescent="0.25">
      <c r="A456" s="92">
        <v>45783</v>
      </c>
      <c r="B456" s="93" t="s">
        <v>325</v>
      </c>
      <c r="C456" s="89" t="s">
        <v>40</v>
      </c>
      <c r="D456" s="93" t="s">
        <v>198</v>
      </c>
      <c r="E456" s="93" t="s">
        <v>34</v>
      </c>
      <c r="F456" s="93" t="s">
        <v>413</v>
      </c>
      <c r="G456" s="93" t="s">
        <v>347</v>
      </c>
      <c r="H456" s="93" t="s">
        <v>343</v>
      </c>
      <c r="I456" s="94">
        <v>0.17</v>
      </c>
      <c r="J456" s="95">
        <v>12.750000000000002</v>
      </c>
    </row>
    <row r="457" spans="1:10" x14ac:dyDescent="0.25">
      <c r="A457" s="92">
        <v>45783</v>
      </c>
      <c r="B457" s="93" t="s">
        <v>329</v>
      </c>
      <c r="C457" s="89" t="s">
        <v>40</v>
      </c>
      <c r="D457" s="93" t="s">
        <v>221</v>
      </c>
      <c r="E457" s="93" t="s">
        <v>34</v>
      </c>
      <c r="F457" s="93" t="s">
        <v>369</v>
      </c>
      <c r="G457" s="93" t="s">
        <v>347</v>
      </c>
      <c r="H457" s="93" t="s">
        <v>343</v>
      </c>
      <c r="I457" s="94">
        <v>0.25</v>
      </c>
      <c r="J457" s="95">
        <v>18.75</v>
      </c>
    </row>
    <row r="458" spans="1:10" x14ac:dyDescent="0.25">
      <c r="A458" s="92">
        <v>45783</v>
      </c>
      <c r="B458" s="93" t="s">
        <v>325</v>
      </c>
      <c r="C458" s="89" t="s">
        <v>40</v>
      </c>
      <c r="D458" s="93" t="s">
        <v>210</v>
      </c>
      <c r="E458" s="93" t="s">
        <v>34</v>
      </c>
      <c r="F458" s="93" t="s">
        <v>399</v>
      </c>
      <c r="G458" s="93" t="s">
        <v>347</v>
      </c>
      <c r="H458" s="93" t="s">
        <v>343</v>
      </c>
      <c r="I458" s="94">
        <v>0.5</v>
      </c>
      <c r="J458" s="95">
        <v>37.5</v>
      </c>
    </row>
    <row r="459" spans="1:10" x14ac:dyDescent="0.25">
      <c r="A459" s="92">
        <v>45783</v>
      </c>
      <c r="B459" s="93" t="s">
        <v>330</v>
      </c>
      <c r="C459" s="89" t="s">
        <v>40</v>
      </c>
      <c r="D459" s="93" t="s">
        <v>222</v>
      </c>
      <c r="E459" s="93" t="s">
        <v>34</v>
      </c>
      <c r="F459" s="93" t="s">
        <v>447</v>
      </c>
      <c r="G459" s="93" t="s">
        <v>347</v>
      </c>
      <c r="H459" s="93" t="s">
        <v>343</v>
      </c>
      <c r="I459" s="94">
        <v>0.25</v>
      </c>
      <c r="J459" s="95">
        <v>15</v>
      </c>
    </row>
    <row r="460" spans="1:10" x14ac:dyDescent="0.25">
      <c r="A460" s="92">
        <v>45783</v>
      </c>
      <c r="B460" s="93" t="s">
        <v>329</v>
      </c>
      <c r="C460" s="89" t="s">
        <v>40</v>
      </c>
      <c r="D460" s="93" t="s">
        <v>240</v>
      </c>
      <c r="E460" s="93" t="s">
        <v>34</v>
      </c>
      <c r="F460" s="93" t="s">
        <v>402</v>
      </c>
      <c r="G460" s="93" t="s">
        <v>347</v>
      </c>
      <c r="H460" s="93" t="s">
        <v>343</v>
      </c>
      <c r="I460" s="94">
        <v>0.08</v>
      </c>
      <c r="J460" s="95">
        <v>6</v>
      </c>
    </row>
    <row r="461" spans="1:10" x14ac:dyDescent="0.25">
      <c r="A461" s="92">
        <v>45783</v>
      </c>
      <c r="B461" s="93" t="s">
        <v>329</v>
      </c>
      <c r="C461" s="89" t="s">
        <v>40</v>
      </c>
      <c r="D461" s="93" t="s">
        <v>241</v>
      </c>
      <c r="E461" s="93" t="s">
        <v>34</v>
      </c>
      <c r="F461" s="93" t="s">
        <v>403</v>
      </c>
      <c r="G461" s="93" t="s">
        <v>347</v>
      </c>
      <c r="H461" s="93" t="s">
        <v>343</v>
      </c>
      <c r="I461" s="94">
        <v>1.25</v>
      </c>
      <c r="J461" s="95">
        <v>93.75</v>
      </c>
    </row>
    <row r="462" spans="1:10" x14ac:dyDescent="0.25">
      <c r="A462" s="92">
        <v>45783</v>
      </c>
      <c r="B462" s="93" t="s">
        <v>329</v>
      </c>
      <c r="C462" s="89" t="s">
        <v>40</v>
      </c>
      <c r="D462" s="93" t="s">
        <v>293</v>
      </c>
      <c r="E462" s="93" t="s">
        <v>34</v>
      </c>
      <c r="F462" s="93" t="s">
        <v>376</v>
      </c>
      <c r="G462" s="93" t="s">
        <v>347</v>
      </c>
      <c r="H462" s="93" t="s">
        <v>343</v>
      </c>
      <c r="I462" s="94">
        <v>0.33</v>
      </c>
      <c r="J462" s="95">
        <v>24.75</v>
      </c>
    </row>
    <row r="463" spans="1:10" x14ac:dyDescent="0.25">
      <c r="A463" s="92">
        <v>45783</v>
      </c>
      <c r="B463" s="93" t="s">
        <v>329</v>
      </c>
      <c r="C463" s="89" t="s">
        <v>40</v>
      </c>
      <c r="D463" s="93" t="s">
        <v>294</v>
      </c>
      <c r="E463" s="93" t="s">
        <v>34</v>
      </c>
      <c r="F463" s="93" t="s">
        <v>377</v>
      </c>
      <c r="G463" s="93" t="s">
        <v>347</v>
      </c>
      <c r="H463" s="93" t="s">
        <v>343</v>
      </c>
      <c r="I463" s="94">
        <v>0.08</v>
      </c>
      <c r="J463" s="95">
        <v>6</v>
      </c>
    </row>
    <row r="464" spans="1:10" x14ac:dyDescent="0.25">
      <c r="A464" s="92">
        <v>45783</v>
      </c>
      <c r="B464" s="93" t="s">
        <v>329</v>
      </c>
      <c r="C464" s="89" t="s">
        <v>40</v>
      </c>
      <c r="D464" s="93" t="s">
        <v>295</v>
      </c>
      <c r="E464" s="93" t="s">
        <v>34</v>
      </c>
      <c r="F464" s="93" t="s">
        <v>379</v>
      </c>
      <c r="G464" s="93" t="s">
        <v>347</v>
      </c>
      <c r="H464" s="93" t="s">
        <v>343</v>
      </c>
      <c r="I464" s="94">
        <v>0.17</v>
      </c>
      <c r="J464" s="95">
        <v>12.750000000000002</v>
      </c>
    </row>
    <row r="465" spans="1:10" x14ac:dyDescent="0.25">
      <c r="A465" s="92">
        <v>45783</v>
      </c>
      <c r="B465" s="93" t="s">
        <v>330</v>
      </c>
      <c r="C465" s="89" t="s">
        <v>40</v>
      </c>
      <c r="D465" s="93" t="s">
        <v>252</v>
      </c>
      <c r="E465" s="93" t="s">
        <v>34</v>
      </c>
      <c r="F465" s="93" t="s">
        <v>416</v>
      </c>
      <c r="G465" s="93" t="s">
        <v>347</v>
      </c>
      <c r="H465" s="93" t="s">
        <v>343</v>
      </c>
      <c r="I465" s="94">
        <v>0.25</v>
      </c>
      <c r="J465" s="95">
        <v>15</v>
      </c>
    </row>
    <row r="466" spans="1:10" x14ac:dyDescent="0.25">
      <c r="A466" s="92">
        <v>45783</v>
      </c>
      <c r="B466" s="93" t="s">
        <v>325</v>
      </c>
      <c r="C466" s="89" t="s">
        <v>40</v>
      </c>
      <c r="D466" s="93" t="s">
        <v>249</v>
      </c>
      <c r="E466" s="93" t="s">
        <v>34</v>
      </c>
      <c r="F466" s="93" t="s">
        <v>409</v>
      </c>
      <c r="G466" s="93" t="s">
        <v>347</v>
      </c>
      <c r="H466" s="93" t="s">
        <v>343</v>
      </c>
      <c r="I466" s="94">
        <v>0.17</v>
      </c>
      <c r="J466" s="95">
        <v>12.750000000000002</v>
      </c>
    </row>
    <row r="467" spans="1:10" x14ac:dyDescent="0.25">
      <c r="A467" s="92">
        <v>45783</v>
      </c>
      <c r="B467" s="93" t="s">
        <v>329</v>
      </c>
      <c r="C467" s="89" t="s">
        <v>40</v>
      </c>
      <c r="D467" s="93" t="s">
        <v>248</v>
      </c>
      <c r="E467" s="93" t="s">
        <v>34</v>
      </c>
      <c r="F467" s="93" t="s">
        <v>385</v>
      </c>
      <c r="G467" s="93" t="s">
        <v>347</v>
      </c>
      <c r="H467" s="93" t="s">
        <v>343</v>
      </c>
      <c r="I467" s="94">
        <v>0.17</v>
      </c>
      <c r="J467" s="95">
        <v>12.750000000000002</v>
      </c>
    </row>
    <row r="468" spans="1:10" x14ac:dyDescent="0.25">
      <c r="A468" s="92">
        <v>45783</v>
      </c>
      <c r="B468" s="93" t="s">
        <v>329</v>
      </c>
      <c r="C468" s="89" t="s">
        <v>40</v>
      </c>
      <c r="D468" s="93" t="s">
        <v>268</v>
      </c>
      <c r="E468" s="93" t="s">
        <v>34</v>
      </c>
      <c r="F468" s="93" t="s">
        <v>386</v>
      </c>
      <c r="G468" s="93" t="s">
        <v>347</v>
      </c>
      <c r="H468" s="93" t="s">
        <v>343</v>
      </c>
      <c r="I468" s="94">
        <v>0.17</v>
      </c>
      <c r="J468" s="95">
        <v>12.750000000000002</v>
      </c>
    </row>
    <row r="469" spans="1:10" x14ac:dyDescent="0.25">
      <c r="A469" s="92">
        <v>45783</v>
      </c>
      <c r="B469" s="93" t="s">
        <v>326</v>
      </c>
      <c r="C469" s="89" t="s">
        <v>40</v>
      </c>
      <c r="D469" s="93" t="s">
        <v>207</v>
      </c>
      <c r="E469" s="93" t="s">
        <v>34</v>
      </c>
      <c r="F469" s="93" t="s">
        <v>417</v>
      </c>
      <c r="G469" s="93" t="s">
        <v>348</v>
      </c>
      <c r="H469" s="93" t="s">
        <v>343</v>
      </c>
      <c r="I469" s="94">
        <v>0.92</v>
      </c>
      <c r="J469" s="95">
        <v>55.2</v>
      </c>
    </row>
    <row r="470" spans="1:10" x14ac:dyDescent="0.25">
      <c r="A470" s="92">
        <v>45783</v>
      </c>
      <c r="B470" s="93" t="s">
        <v>332</v>
      </c>
      <c r="C470" s="89" t="s">
        <v>40</v>
      </c>
      <c r="D470" s="93" t="s">
        <v>314</v>
      </c>
      <c r="E470" s="93" t="s">
        <v>35</v>
      </c>
      <c r="F470" s="93" t="s">
        <v>359</v>
      </c>
      <c r="G470" s="93" t="s">
        <v>339</v>
      </c>
      <c r="H470" s="93" t="s">
        <v>352</v>
      </c>
      <c r="I470" s="94">
        <v>8.5</v>
      </c>
      <c r="J470" s="95">
        <v>340</v>
      </c>
    </row>
    <row r="471" spans="1:10" x14ac:dyDescent="0.25">
      <c r="A471" s="92">
        <v>45783</v>
      </c>
      <c r="B471" s="93" t="s">
        <v>324</v>
      </c>
      <c r="C471" s="89" t="s">
        <v>40</v>
      </c>
      <c r="D471" s="93" t="s">
        <v>314</v>
      </c>
      <c r="E471" s="93" t="s">
        <v>35</v>
      </c>
      <c r="F471" s="93" t="s">
        <v>359</v>
      </c>
      <c r="G471" s="93" t="s">
        <v>339</v>
      </c>
      <c r="H471" s="93" t="s">
        <v>352</v>
      </c>
      <c r="I471" s="94">
        <v>8</v>
      </c>
      <c r="J471" s="95">
        <v>600</v>
      </c>
    </row>
    <row r="472" spans="1:10" x14ac:dyDescent="0.25">
      <c r="A472" s="92">
        <v>45784</v>
      </c>
      <c r="B472" s="93" t="s">
        <v>329</v>
      </c>
      <c r="C472" s="89" t="s">
        <v>40</v>
      </c>
      <c r="D472" s="93" t="s">
        <v>186</v>
      </c>
      <c r="E472" s="93" t="s">
        <v>341</v>
      </c>
      <c r="F472" s="93" t="s">
        <v>397</v>
      </c>
      <c r="G472" s="93" t="s">
        <v>347</v>
      </c>
      <c r="H472" s="93" t="s">
        <v>344</v>
      </c>
      <c r="I472" s="94">
        <v>1.5</v>
      </c>
      <c r="J472" s="95">
        <v>112.5</v>
      </c>
    </row>
    <row r="473" spans="1:10" x14ac:dyDescent="0.25">
      <c r="A473" s="92">
        <v>45784</v>
      </c>
      <c r="B473" s="93" t="s">
        <v>323</v>
      </c>
      <c r="C473" s="89" t="s">
        <v>40</v>
      </c>
      <c r="D473" s="93" t="s">
        <v>169</v>
      </c>
      <c r="E473" s="93" t="s">
        <v>36</v>
      </c>
      <c r="F473" s="93" t="s">
        <v>433</v>
      </c>
      <c r="G473" s="93" t="s">
        <v>346</v>
      </c>
      <c r="H473" s="93" t="s">
        <v>342</v>
      </c>
      <c r="I473" s="94">
        <v>0.25</v>
      </c>
      <c r="J473" s="95">
        <v>15</v>
      </c>
    </row>
    <row r="474" spans="1:10" x14ac:dyDescent="0.25">
      <c r="A474" s="92">
        <v>45784</v>
      </c>
      <c r="B474" s="93" t="s">
        <v>323</v>
      </c>
      <c r="C474" s="89" t="s">
        <v>40</v>
      </c>
      <c r="D474" s="93" t="s">
        <v>202</v>
      </c>
      <c r="E474" s="93" t="s">
        <v>36</v>
      </c>
      <c r="F474" s="93" t="s">
        <v>431</v>
      </c>
      <c r="G474" s="93" t="s">
        <v>346</v>
      </c>
      <c r="H474" s="93" t="s">
        <v>342</v>
      </c>
      <c r="I474" s="94">
        <v>0.25</v>
      </c>
      <c r="J474" s="95">
        <v>15</v>
      </c>
    </row>
    <row r="475" spans="1:10" x14ac:dyDescent="0.25">
      <c r="A475" s="92">
        <v>45784</v>
      </c>
      <c r="B475" s="93" t="s">
        <v>329</v>
      </c>
      <c r="C475" s="89" t="s">
        <v>40</v>
      </c>
      <c r="D475" s="93" t="s">
        <v>316</v>
      </c>
      <c r="E475" s="93" t="s">
        <v>35</v>
      </c>
      <c r="F475" s="93" t="s">
        <v>338</v>
      </c>
      <c r="G475" s="93" t="s">
        <v>337</v>
      </c>
      <c r="H475" s="93" t="s">
        <v>352</v>
      </c>
      <c r="I475" s="94">
        <v>0.5</v>
      </c>
      <c r="J475" s="95">
        <v>37.5</v>
      </c>
    </row>
    <row r="476" spans="1:10" x14ac:dyDescent="0.25">
      <c r="A476" s="92">
        <v>45784</v>
      </c>
      <c r="B476" s="93" t="s">
        <v>327</v>
      </c>
      <c r="C476" s="89" t="s">
        <v>40</v>
      </c>
      <c r="D476" s="93" t="s">
        <v>320</v>
      </c>
      <c r="E476" s="93" t="s">
        <v>35</v>
      </c>
      <c r="F476" s="93" t="s">
        <v>322</v>
      </c>
      <c r="G476" s="93" t="s">
        <v>319</v>
      </c>
      <c r="H476" s="93" t="s">
        <v>352</v>
      </c>
      <c r="I476" s="94">
        <v>2.25</v>
      </c>
      <c r="J476" s="95">
        <v>72</v>
      </c>
    </row>
    <row r="477" spans="1:10" x14ac:dyDescent="0.25">
      <c r="A477" s="92">
        <v>45784</v>
      </c>
      <c r="B477" s="93" t="s">
        <v>333</v>
      </c>
      <c r="C477" s="89" t="s">
        <v>40</v>
      </c>
      <c r="D477" s="93" t="s">
        <v>320</v>
      </c>
      <c r="E477" s="93" t="s">
        <v>35</v>
      </c>
      <c r="F477" s="93" t="s">
        <v>322</v>
      </c>
      <c r="G477" s="93" t="s">
        <v>319</v>
      </c>
      <c r="H477" s="93" t="s">
        <v>352</v>
      </c>
      <c r="I477" s="94">
        <v>3.07</v>
      </c>
      <c r="J477" s="95">
        <v>98.24</v>
      </c>
    </row>
    <row r="478" spans="1:10" x14ac:dyDescent="0.25">
      <c r="A478" s="92">
        <v>45784</v>
      </c>
      <c r="B478" s="93" t="s">
        <v>329</v>
      </c>
      <c r="C478" s="89" t="s">
        <v>40</v>
      </c>
      <c r="D478" s="93" t="s">
        <v>186</v>
      </c>
      <c r="E478" s="93" t="s">
        <v>34</v>
      </c>
      <c r="F478" s="93" t="s">
        <v>397</v>
      </c>
      <c r="G478" s="93" t="s">
        <v>347</v>
      </c>
      <c r="H478" s="93" t="s">
        <v>343</v>
      </c>
      <c r="I478" s="94">
        <v>0.17</v>
      </c>
      <c r="J478" s="95">
        <v>12.750000000000002</v>
      </c>
    </row>
    <row r="479" spans="1:10" x14ac:dyDescent="0.25">
      <c r="A479" s="92">
        <v>45784</v>
      </c>
      <c r="B479" s="93" t="s">
        <v>332</v>
      </c>
      <c r="C479" s="89" t="s">
        <v>40</v>
      </c>
      <c r="D479" s="93" t="s">
        <v>314</v>
      </c>
      <c r="E479" s="93" t="s">
        <v>35</v>
      </c>
      <c r="F479" s="93" t="s">
        <v>359</v>
      </c>
      <c r="G479" s="93" t="s">
        <v>339</v>
      </c>
      <c r="H479" s="93" t="s">
        <v>352</v>
      </c>
      <c r="I479" s="94">
        <v>4.83</v>
      </c>
      <c r="J479" s="95">
        <v>193.2</v>
      </c>
    </row>
    <row r="480" spans="1:10" x14ac:dyDescent="0.25">
      <c r="A480" s="92">
        <v>45784</v>
      </c>
      <c r="B480" s="93" t="s">
        <v>324</v>
      </c>
      <c r="C480" s="89" t="s">
        <v>40</v>
      </c>
      <c r="D480" s="93" t="s">
        <v>314</v>
      </c>
      <c r="E480" s="93" t="s">
        <v>35</v>
      </c>
      <c r="F480" s="93" t="s">
        <v>359</v>
      </c>
      <c r="G480" s="93" t="s">
        <v>339</v>
      </c>
      <c r="H480" s="93" t="s">
        <v>352</v>
      </c>
      <c r="I480" s="94">
        <v>2.75</v>
      </c>
      <c r="J480" s="95">
        <v>206.25</v>
      </c>
    </row>
    <row r="481" spans="1:10" x14ac:dyDescent="0.25">
      <c r="A481" s="92">
        <v>45785</v>
      </c>
      <c r="B481" s="93" t="s">
        <v>329</v>
      </c>
      <c r="C481" s="89" t="s">
        <v>40</v>
      </c>
      <c r="D481" s="93" t="s">
        <v>247</v>
      </c>
      <c r="E481" s="93" t="s">
        <v>341</v>
      </c>
      <c r="F481" s="93" t="s">
        <v>375</v>
      </c>
      <c r="G481" s="93" t="s">
        <v>347</v>
      </c>
      <c r="H481" s="93" t="s">
        <v>344</v>
      </c>
      <c r="I481" s="94">
        <v>2.25</v>
      </c>
      <c r="J481" s="95">
        <v>168.75</v>
      </c>
    </row>
    <row r="482" spans="1:10" x14ac:dyDescent="0.25">
      <c r="A482" s="92">
        <v>45785</v>
      </c>
      <c r="B482" s="93" t="s">
        <v>323</v>
      </c>
      <c r="C482" s="89" t="s">
        <v>40</v>
      </c>
      <c r="D482" s="93" t="s">
        <v>169</v>
      </c>
      <c r="E482" s="93" t="s">
        <v>36</v>
      </c>
      <c r="F482" s="93" t="s">
        <v>433</v>
      </c>
      <c r="G482" s="93" t="s">
        <v>346</v>
      </c>
      <c r="H482" s="93" t="s">
        <v>342</v>
      </c>
      <c r="I482" s="94">
        <v>0.25</v>
      </c>
      <c r="J482" s="95">
        <v>15</v>
      </c>
    </row>
    <row r="483" spans="1:10" x14ac:dyDescent="0.25">
      <c r="A483" s="92">
        <v>45785</v>
      </c>
      <c r="B483" s="93" t="s">
        <v>329</v>
      </c>
      <c r="C483" s="89" t="s">
        <v>40</v>
      </c>
      <c r="D483" s="93" t="s">
        <v>316</v>
      </c>
      <c r="E483" s="93" t="s">
        <v>35</v>
      </c>
      <c r="F483" s="93" t="s">
        <v>338</v>
      </c>
      <c r="G483" s="93" t="s">
        <v>337</v>
      </c>
      <c r="H483" s="93" t="s">
        <v>352</v>
      </c>
      <c r="I483" s="94">
        <v>1.25</v>
      </c>
      <c r="J483" s="95">
        <v>93.75</v>
      </c>
    </row>
    <row r="484" spans="1:10" x14ac:dyDescent="0.25">
      <c r="A484" s="92">
        <v>45785</v>
      </c>
      <c r="B484" s="93" t="s">
        <v>331</v>
      </c>
      <c r="C484" s="89" t="s">
        <v>40</v>
      </c>
      <c r="D484" s="93" t="s">
        <v>316</v>
      </c>
      <c r="E484" s="93" t="s">
        <v>35</v>
      </c>
      <c r="F484" s="93" t="s">
        <v>338</v>
      </c>
      <c r="G484" s="93" t="s">
        <v>337</v>
      </c>
      <c r="H484" s="93" t="s">
        <v>352</v>
      </c>
      <c r="I484" s="94">
        <v>1</v>
      </c>
      <c r="J484" s="95">
        <v>32</v>
      </c>
    </row>
    <row r="485" spans="1:10" x14ac:dyDescent="0.25">
      <c r="A485" s="92">
        <v>45785</v>
      </c>
      <c r="B485" s="93" t="s">
        <v>327</v>
      </c>
      <c r="C485" s="89" t="s">
        <v>40</v>
      </c>
      <c r="D485" s="93" t="s">
        <v>320</v>
      </c>
      <c r="E485" s="93" t="s">
        <v>35</v>
      </c>
      <c r="F485" s="93" t="s">
        <v>322</v>
      </c>
      <c r="G485" s="93" t="s">
        <v>319</v>
      </c>
      <c r="H485" s="93" t="s">
        <v>352</v>
      </c>
      <c r="I485" s="94">
        <v>7.42</v>
      </c>
      <c r="J485" s="95">
        <v>237.44</v>
      </c>
    </row>
    <row r="486" spans="1:10" x14ac:dyDescent="0.25">
      <c r="A486" s="92">
        <v>45785</v>
      </c>
      <c r="B486" s="93" t="s">
        <v>333</v>
      </c>
      <c r="C486" s="89" t="s">
        <v>40</v>
      </c>
      <c r="D486" s="93" t="s">
        <v>320</v>
      </c>
      <c r="E486" s="93" t="s">
        <v>35</v>
      </c>
      <c r="F486" s="93" t="s">
        <v>322</v>
      </c>
      <c r="G486" s="93" t="s">
        <v>319</v>
      </c>
      <c r="H486" s="93" t="s">
        <v>352</v>
      </c>
      <c r="I486" s="94">
        <v>7.55</v>
      </c>
      <c r="J486" s="95">
        <v>241.6</v>
      </c>
    </row>
    <row r="487" spans="1:10" x14ac:dyDescent="0.25">
      <c r="A487" s="92">
        <v>45785</v>
      </c>
      <c r="B487" s="93" t="s">
        <v>323</v>
      </c>
      <c r="C487" s="89" t="s">
        <v>40</v>
      </c>
      <c r="D487" s="93" t="s">
        <v>232</v>
      </c>
      <c r="E487" s="93" t="s">
        <v>36</v>
      </c>
      <c r="F487" s="93" t="s">
        <v>393</v>
      </c>
      <c r="G487" s="93" t="s">
        <v>346</v>
      </c>
      <c r="H487" s="93" t="s">
        <v>342</v>
      </c>
      <c r="I487" s="94">
        <v>0.25</v>
      </c>
      <c r="J487" s="95">
        <v>15</v>
      </c>
    </row>
    <row r="488" spans="1:10" x14ac:dyDescent="0.25">
      <c r="A488" s="92">
        <v>45785</v>
      </c>
      <c r="B488" s="93" t="s">
        <v>323</v>
      </c>
      <c r="C488" s="89" t="s">
        <v>40</v>
      </c>
      <c r="D488" s="93" t="s">
        <v>285</v>
      </c>
      <c r="E488" s="93" t="s">
        <v>36</v>
      </c>
      <c r="F488" s="93" t="s">
        <v>448</v>
      </c>
      <c r="G488" s="93" t="s">
        <v>346</v>
      </c>
      <c r="H488" s="93" t="s">
        <v>342</v>
      </c>
      <c r="I488" s="94">
        <v>0.25</v>
      </c>
      <c r="J488" s="95">
        <v>15</v>
      </c>
    </row>
    <row r="489" spans="1:10" x14ac:dyDescent="0.25">
      <c r="A489" s="92">
        <v>45785</v>
      </c>
      <c r="B489" s="93" t="s">
        <v>323</v>
      </c>
      <c r="C489" s="89" t="s">
        <v>40</v>
      </c>
      <c r="D489" s="93" t="s">
        <v>274</v>
      </c>
      <c r="E489" s="93" t="s">
        <v>36</v>
      </c>
      <c r="F489" s="93" t="s">
        <v>421</v>
      </c>
      <c r="G489" s="93" t="s">
        <v>346</v>
      </c>
      <c r="H489" s="93" t="s">
        <v>342</v>
      </c>
      <c r="I489" s="94">
        <v>0.25</v>
      </c>
      <c r="J489" s="95">
        <v>15</v>
      </c>
    </row>
    <row r="490" spans="1:10" x14ac:dyDescent="0.25">
      <c r="A490" s="92">
        <v>45785</v>
      </c>
      <c r="B490" s="93" t="s">
        <v>323</v>
      </c>
      <c r="C490" s="89" t="s">
        <v>40</v>
      </c>
      <c r="D490" s="93" t="s">
        <v>231</v>
      </c>
      <c r="E490" s="93" t="s">
        <v>34</v>
      </c>
      <c r="F490" s="93" t="s">
        <v>420</v>
      </c>
      <c r="G490" s="93" t="s">
        <v>346</v>
      </c>
      <c r="H490" s="93" t="s">
        <v>343</v>
      </c>
      <c r="I490" s="94">
        <v>0.25</v>
      </c>
      <c r="J490" s="95">
        <v>15</v>
      </c>
    </row>
    <row r="491" spans="1:10" x14ac:dyDescent="0.25">
      <c r="A491" s="92">
        <v>45785</v>
      </c>
      <c r="B491" s="93" t="s">
        <v>330</v>
      </c>
      <c r="C491" s="89" t="s">
        <v>40</v>
      </c>
      <c r="D491" s="93" t="s">
        <v>195</v>
      </c>
      <c r="E491" s="93" t="s">
        <v>34</v>
      </c>
      <c r="F491" s="93" t="s">
        <v>449</v>
      </c>
      <c r="G491" s="93" t="s">
        <v>347</v>
      </c>
      <c r="H491" s="93" t="s">
        <v>343</v>
      </c>
      <c r="I491" s="94">
        <v>0.25</v>
      </c>
      <c r="J491" s="95">
        <v>15</v>
      </c>
    </row>
    <row r="492" spans="1:10" x14ac:dyDescent="0.25">
      <c r="A492" s="92">
        <v>45785</v>
      </c>
      <c r="B492" s="93" t="s">
        <v>329</v>
      </c>
      <c r="C492" s="89" t="s">
        <v>40</v>
      </c>
      <c r="D492" s="93" t="s">
        <v>197</v>
      </c>
      <c r="E492" s="93" t="s">
        <v>34</v>
      </c>
      <c r="F492" s="93" t="s">
        <v>366</v>
      </c>
      <c r="G492" s="93" t="s">
        <v>347</v>
      </c>
      <c r="H492" s="93" t="s">
        <v>343</v>
      </c>
      <c r="I492" s="94">
        <v>0.17</v>
      </c>
      <c r="J492" s="95">
        <v>12.750000000000002</v>
      </c>
    </row>
    <row r="493" spans="1:10" x14ac:dyDescent="0.25">
      <c r="A493" s="92">
        <v>45785</v>
      </c>
      <c r="B493" s="93" t="s">
        <v>330</v>
      </c>
      <c r="C493" s="89" t="s">
        <v>40</v>
      </c>
      <c r="D493" s="93" t="s">
        <v>199</v>
      </c>
      <c r="E493" s="93" t="s">
        <v>34</v>
      </c>
      <c r="F493" s="93" t="s">
        <v>414</v>
      </c>
      <c r="G493" s="93" t="s">
        <v>347</v>
      </c>
      <c r="H493" s="93" t="s">
        <v>343</v>
      </c>
      <c r="I493" s="94">
        <v>0.25</v>
      </c>
      <c r="J493" s="95">
        <v>15</v>
      </c>
    </row>
    <row r="494" spans="1:10" x14ac:dyDescent="0.25">
      <c r="A494" s="92">
        <v>45785</v>
      </c>
      <c r="B494" s="93" t="s">
        <v>329</v>
      </c>
      <c r="C494" s="89" t="s">
        <v>40</v>
      </c>
      <c r="D494" s="93" t="s">
        <v>181</v>
      </c>
      <c r="E494" s="93" t="s">
        <v>34</v>
      </c>
      <c r="F494" s="93" t="s">
        <v>396</v>
      </c>
      <c r="G494" s="93" t="s">
        <v>347</v>
      </c>
      <c r="H494" s="93" t="s">
        <v>343</v>
      </c>
      <c r="I494" s="94">
        <v>0.08</v>
      </c>
      <c r="J494" s="95">
        <v>6</v>
      </c>
    </row>
    <row r="495" spans="1:10" x14ac:dyDescent="0.25">
      <c r="A495" s="92">
        <v>45785</v>
      </c>
      <c r="B495" s="93" t="s">
        <v>329</v>
      </c>
      <c r="C495" s="89" t="s">
        <v>40</v>
      </c>
      <c r="D495" s="93" t="s">
        <v>186</v>
      </c>
      <c r="E495" s="93" t="s">
        <v>34</v>
      </c>
      <c r="F495" s="93" t="s">
        <v>397</v>
      </c>
      <c r="G495" s="93" t="s">
        <v>347</v>
      </c>
      <c r="H495" s="93" t="s">
        <v>343</v>
      </c>
      <c r="I495" s="94">
        <v>0.17</v>
      </c>
      <c r="J495" s="95">
        <v>12.750000000000002</v>
      </c>
    </row>
    <row r="496" spans="1:10" x14ac:dyDescent="0.25">
      <c r="A496" s="92">
        <v>45785</v>
      </c>
      <c r="B496" s="93" t="s">
        <v>330</v>
      </c>
      <c r="C496" s="89" t="s">
        <v>40</v>
      </c>
      <c r="D496" s="93" t="s">
        <v>215</v>
      </c>
      <c r="E496" s="93" t="s">
        <v>34</v>
      </c>
      <c r="F496" s="93" t="s">
        <v>450</v>
      </c>
      <c r="G496" s="93" t="s">
        <v>347</v>
      </c>
      <c r="H496" s="93" t="s">
        <v>343</v>
      </c>
      <c r="I496" s="94">
        <v>0.25</v>
      </c>
      <c r="J496" s="95">
        <v>15</v>
      </c>
    </row>
    <row r="497" spans="1:10" x14ac:dyDescent="0.25">
      <c r="A497" s="92">
        <v>45785</v>
      </c>
      <c r="B497" s="93" t="s">
        <v>329</v>
      </c>
      <c r="C497" s="89" t="s">
        <v>40</v>
      </c>
      <c r="D497" s="93" t="s">
        <v>229</v>
      </c>
      <c r="E497" s="93" t="s">
        <v>34</v>
      </c>
      <c r="F497" s="93" t="s">
        <v>373</v>
      </c>
      <c r="G497" s="93" t="s">
        <v>347</v>
      </c>
      <c r="H497" s="93" t="s">
        <v>343</v>
      </c>
      <c r="I497" s="94">
        <v>0.08</v>
      </c>
      <c r="J497" s="95">
        <v>6</v>
      </c>
    </row>
    <row r="498" spans="1:10" x14ac:dyDescent="0.25">
      <c r="A498" s="92">
        <v>45785</v>
      </c>
      <c r="B498" s="93" t="s">
        <v>330</v>
      </c>
      <c r="C498" s="89" t="s">
        <v>40</v>
      </c>
      <c r="D498" s="93" t="s">
        <v>222</v>
      </c>
      <c r="E498" s="93" t="s">
        <v>34</v>
      </c>
      <c r="F498" s="93" t="s">
        <v>447</v>
      </c>
      <c r="G498" s="93" t="s">
        <v>347</v>
      </c>
      <c r="H498" s="93" t="s">
        <v>343</v>
      </c>
      <c r="I498" s="94">
        <v>0.5</v>
      </c>
      <c r="J498" s="95">
        <v>30</v>
      </c>
    </row>
    <row r="499" spans="1:10" x14ac:dyDescent="0.25">
      <c r="A499" s="92">
        <v>45785</v>
      </c>
      <c r="B499" s="93" t="s">
        <v>329</v>
      </c>
      <c r="C499" s="89" t="s">
        <v>40</v>
      </c>
      <c r="D499" s="93" t="s">
        <v>238</v>
      </c>
      <c r="E499" s="93" t="s">
        <v>34</v>
      </c>
      <c r="F499" s="93" t="s">
        <v>374</v>
      </c>
      <c r="G499" s="93" t="s">
        <v>347</v>
      </c>
      <c r="H499" s="93" t="s">
        <v>343</v>
      </c>
      <c r="I499" s="94">
        <v>0.17</v>
      </c>
      <c r="J499" s="95">
        <v>12.750000000000002</v>
      </c>
    </row>
    <row r="500" spans="1:10" x14ac:dyDescent="0.25">
      <c r="A500" s="92">
        <v>45785</v>
      </c>
      <c r="B500" s="93" t="s">
        <v>329</v>
      </c>
      <c r="C500" s="89" t="s">
        <v>40</v>
      </c>
      <c r="D500" s="93" t="s">
        <v>242</v>
      </c>
      <c r="E500" s="93" t="s">
        <v>34</v>
      </c>
      <c r="F500" s="93" t="s">
        <v>404</v>
      </c>
      <c r="G500" s="93" t="s">
        <v>347</v>
      </c>
      <c r="H500" s="93" t="s">
        <v>343</v>
      </c>
      <c r="I500" s="94">
        <v>0.08</v>
      </c>
      <c r="J500" s="95">
        <v>6</v>
      </c>
    </row>
    <row r="501" spans="1:10" x14ac:dyDescent="0.25">
      <c r="A501" s="92">
        <v>45785</v>
      </c>
      <c r="B501" s="93" t="s">
        <v>329</v>
      </c>
      <c r="C501" s="89" t="s">
        <v>40</v>
      </c>
      <c r="D501" s="93" t="s">
        <v>247</v>
      </c>
      <c r="E501" s="93" t="s">
        <v>34</v>
      </c>
      <c r="F501" s="93" t="s">
        <v>375</v>
      </c>
      <c r="G501" s="93" t="s">
        <v>347</v>
      </c>
      <c r="H501" s="93" t="s">
        <v>343</v>
      </c>
      <c r="I501" s="94">
        <v>0.17</v>
      </c>
      <c r="J501" s="95">
        <v>12.750000000000002</v>
      </c>
    </row>
    <row r="502" spans="1:10" x14ac:dyDescent="0.25">
      <c r="A502" s="92">
        <v>45785</v>
      </c>
      <c r="B502" s="93" t="s">
        <v>329</v>
      </c>
      <c r="C502" s="89" t="s">
        <v>40</v>
      </c>
      <c r="D502" s="93" t="s">
        <v>293</v>
      </c>
      <c r="E502" s="93" t="s">
        <v>34</v>
      </c>
      <c r="F502" s="93" t="s">
        <v>376</v>
      </c>
      <c r="G502" s="93" t="s">
        <v>347</v>
      </c>
      <c r="H502" s="93" t="s">
        <v>343</v>
      </c>
      <c r="I502" s="94">
        <v>0.33</v>
      </c>
      <c r="J502" s="95">
        <v>24.75</v>
      </c>
    </row>
    <row r="503" spans="1:10" x14ac:dyDescent="0.25">
      <c r="A503" s="92">
        <v>45785</v>
      </c>
      <c r="B503" s="93" t="s">
        <v>329</v>
      </c>
      <c r="C503" s="89" t="s">
        <v>40</v>
      </c>
      <c r="D503" s="93" t="s">
        <v>295</v>
      </c>
      <c r="E503" s="93" t="s">
        <v>34</v>
      </c>
      <c r="F503" s="93" t="s">
        <v>379</v>
      </c>
      <c r="G503" s="93" t="s">
        <v>347</v>
      </c>
      <c r="H503" s="93" t="s">
        <v>343</v>
      </c>
      <c r="I503" s="94">
        <v>0.08</v>
      </c>
      <c r="J503" s="95">
        <v>6</v>
      </c>
    </row>
    <row r="504" spans="1:10" x14ac:dyDescent="0.25">
      <c r="A504" s="92">
        <v>45785</v>
      </c>
      <c r="B504" s="93" t="s">
        <v>330</v>
      </c>
      <c r="C504" s="89" t="s">
        <v>40</v>
      </c>
      <c r="D504" s="93" t="s">
        <v>252</v>
      </c>
      <c r="E504" s="93" t="s">
        <v>34</v>
      </c>
      <c r="F504" s="93" t="s">
        <v>416</v>
      </c>
      <c r="G504" s="93" t="s">
        <v>347</v>
      </c>
      <c r="H504" s="93" t="s">
        <v>343</v>
      </c>
      <c r="I504" s="94">
        <v>0.75</v>
      </c>
      <c r="J504" s="95">
        <v>45</v>
      </c>
    </row>
    <row r="505" spans="1:10" x14ac:dyDescent="0.25">
      <c r="A505" s="92">
        <v>45785</v>
      </c>
      <c r="B505" s="93" t="s">
        <v>329</v>
      </c>
      <c r="C505" s="89" t="s">
        <v>40</v>
      </c>
      <c r="D505" s="93" t="s">
        <v>248</v>
      </c>
      <c r="E505" s="93" t="s">
        <v>34</v>
      </c>
      <c r="F505" s="93" t="s">
        <v>385</v>
      </c>
      <c r="G505" s="93" t="s">
        <v>347</v>
      </c>
      <c r="H505" s="93" t="s">
        <v>343</v>
      </c>
      <c r="I505" s="94">
        <v>0.08</v>
      </c>
      <c r="J505" s="95">
        <v>6</v>
      </c>
    </row>
    <row r="506" spans="1:10" x14ac:dyDescent="0.25">
      <c r="A506" s="92">
        <v>45785</v>
      </c>
      <c r="B506" s="93" t="s">
        <v>329</v>
      </c>
      <c r="C506" s="89" t="s">
        <v>40</v>
      </c>
      <c r="D506" s="93" t="s">
        <v>230</v>
      </c>
      <c r="E506" s="93" t="s">
        <v>34</v>
      </c>
      <c r="F506" s="93" t="s">
        <v>410</v>
      </c>
      <c r="G506" s="93" t="s">
        <v>347</v>
      </c>
      <c r="H506" s="93" t="s">
        <v>343</v>
      </c>
      <c r="I506" s="94">
        <v>0.25</v>
      </c>
      <c r="J506" s="95">
        <v>18.75</v>
      </c>
    </row>
    <row r="507" spans="1:10" x14ac:dyDescent="0.25">
      <c r="A507" s="92">
        <v>45785</v>
      </c>
      <c r="B507" s="93" t="s">
        <v>332</v>
      </c>
      <c r="C507" s="89" t="s">
        <v>40</v>
      </c>
      <c r="D507" s="93" t="s">
        <v>314</v>
      </c>
      <c r="E507" s="93" t="s">
        <v>35</v>
      </c>
      <c r="F507" s="93" t="s">
        <v>359</v>
      </c>
      <c r="G507" s="93" t="s">
        <v>339</v>
      </c>
      <c r="H507" s="93" t="s">
        <v>352</v>
      </c>
      <c r="I507" s="94">
        <v>8.83</v>
      </c>
      <c r="J507" s="95">
        <v>353.2</v>
      </c>
    </row>
    <row r="508" spans="1:10" x14ac:dyDescent="0.25">
      <c r="A508" s="92">
        <v>45785</v>
      </c>
      <c r="B508" s="93" t="s">
        <v>324</v>
      </c>
      <c r="C508" s="89" t="s">
        <v>40</v>
      </c>
      <c r="D508" s="93" t="s">
        <v>314</v>
      </c>
      <c r="E508" s="93" t="s">
        <v>35</v>
      </c>
      <c r="F508" s="93" t="s">
        <v>359</v>
      </c>
      <c r="G508" s="93" t="s">
        <v>339</v>
      </c>
      <c r="H508" s="93" t="s">
        <v>352</v>
      </c>
      <c r="I508" s="94">
        <v>4.5</v>
      </c>
      <c r="J508" s="95">
        <v>337.5</v>
      </c>
    </row>
    <row r="509" spans="1:10" x14ac:dyDescent="0.25">
      <c r="A509" s="92">
        <v>45786</v>
      </c>
      <c r="B509" s="93" t="s">
        <v>329</v>
      </c>
      <c r="C509" s="89" t="s">
        <v>40</v>
      </c>
      <c r="D509" s="93" t="s">
        <v>272</v>
      </c>
      <c r="E509" s="93" t="s">
        <v>34</v>
      </c>
      <c r="F509" s="93" t="s">
        <v>362</v>
      </c>
      <c r="G509" s="93" t="s">
        <v>347</v>
      </c>
      <c r="H509" s="93" t="s">
        <v>343</v>
      </c>
      <c r="I509" s="94">
        <v>0.17</v>
      </c>
      <c r="J509" s="95">
        <v>12.750000000000002</v>
      </c>
    </row>
    <row r="510" spans="1:10" x14ac:dyDescent="0.25">
      <c r="A510" s="92">
        <v>45786</v>
      </c>
      <c r="B510" s="93" t="s">
        <v>323</v>
      </c>
      <c r="C510" s="89" t="s">
        <v>40</v>
      </c>
      <c r="D510" s="93" t="s">
        <v>168</v>
      </c>
      <c r="E510" s="93" t="s">
        <v>36</v>
      </c>
      <c r="F510" s="93" t="s">
        <v>419</v>
      </c>
      <c r="G510" s="93" t="s">
        <v>346</v>
      </c>
      <c r="H510" s="93" t="s">
        <v>342</v>
      </c>
      <c r="I510" s="94">
        <v>0.33</v>
      </c>
      <c r="J510" s="95">
        <v>19.8</v>
      </c>
    </row>
    <row r="511" spans="1:10" x14ac:dyDescent="0.25">
      <c r="A511" s="92">
        <v>45786</v>
      </c>
      <c r="B511" s="93" t="s">
        <v>323</v>
      </c>
      <c r="C511" s="89" t="s">
        <v>40</v>
      </c>
      <c r="D511" s="93" t="s">
        <v>201</v>
      </c>
      <c r="E511" s="93" t="s">
        <v>36</v>
      </c>
      <c r="F511" s="93" t="s">
        <v>395</v>
      </c>
      <c r="G511" s="93" t="s">
        <v>346</v>
      </c>
      <c r="H511" s="93" t="s">
        <v>342</v>
      </c>
      <c r="I511" s="94">
        <v>0.25</v>
      </c>
      <c r="J511" s="95">
        <v>15</v>
      </c>
    </row>
    <row r="512" spans="1:10" x14ac:dyDescent="0.25">
      <c r="A512" s="92">
        <v>45786</v>
      </c>
      <c r="B512" s="93" t="s">
        <v>329</v>
      </c>
      <c r="C512" s="89" t="s">
        <v>40</v>
      </c>
      <c r="D512" s="93" t="s">
        <v>316</v>
      </c>
      <c r="E512" s="93" t="s">
        <v>35</v>
      </c>
      <c r="F512" s="93" t="s">
        <v>338</v>
      </c>
      <c r="G512" s="93" t="s">
        <v>337</v>
      </c>
      <c r="H512" s="93" t="s">
        <v>352</v>
      </c>
      <c r="I512" s="94">
        <v>0.17</v>
      </c>
      <c r="J512" s="95">
        <v>12.750000000000002</v>
      </c>
    </row>
    <row r="513" spans="1:10" x14ac:dyDescent="0.25">
      <c r="A513" s="92">
        <v>45786</v>
      </c>
      <c r="B513" s="93" t="s">
        <v>331</v>
      </c>
      <c r="C513" s="89" t="s">
        <v>40</v>
      </c>
      <c r="D513" s="93" t="s">
        <v>316</v>
      </c>
      <c r="E513" s="93" t="s">
        <v>35</v>
      </c>
      <c r="F513" s="93" t="s">
        <v>338</v>
      </c>
      <c r="G513" s="93" t="s">
        <v>337</v>
      </c>
      <c r="H513" s="93" t="s">
        <v>352</v>
      </c>
      <c r="I513" s="94">
        <v>4</v>
      </c>
      <c r="J513" s="95">
        <v>128</v>
      </c>
    </row>
    <row r="514" spans="1:10" x14ac:dyDescent="0.25">
      <c r="A514" s="92">
        <v>45786</v>
      </c>
      <c r="B514" s="93" t="s">
        <v>327</v>
      </c>
      <c r="C514" s="89" t="s">
        <v>40</v>
      </c>
      <c r="D514" s="93" t="s">
        <v>320</v>
      </c>
      <c r="E514" s="93" t="s">
        <v>35</v>
      </c>
      <c r="F514" s="93" t="s">
        <v>322</v>
      </c>
      <c r="G514" s="93" t="s">
        <v>319</v>
      </c>
      <c r="H514" s="93" t="s">
        <v>352</v>
      </c>
      <c r="I514" s="94">
        <v>7.25</v>
      </c>
      <c r="J514" s="95">
        <v>232</v>
      </c>
    </row>
    <row r="515" spans="1:10" x14ac:dyDescent="0.25">
      <c r="A515" s="92">
        <v>45786</v>
      </c>
      <c r="B515" s="93" t="s">
        <v>333</v>
      </c>
      <c r="C515" s="89" t="s">
        <v>40</v>
      </c>
      <c r="D515" s="93" t="s">
        <v>320</v>
      </c>
      <c r="E515" s="93" t="s">
        <v>35</v>
      </c>
      <c r="F515" s="93" t="s">
        <v>322</v>
      </c>
      <c r="G515" s="93" t="s">
        <v>319</v>
      </c>
      <c r="H515" s="93" t="s">
        <v>352</v>
      </c>
      <c r="I515" s="94">
        <v>7.9</v>
      </c>
      <c r="J515" s="95">
        <v>252.8</v>
      </c>
    </row>
    <row r="516" spans="1:10" x14ac:dyDescent="0.25">
      <c r="A516" s="92">
        <v>45786</v>
      </c>
      <c r="B516" s="93" t="s">
        <v>323</v>
      </c>
      <c r="C516" s="89" t="s">
        <v>40</v>
      </c>
      <c r="D516" s="93" t="s">
        <v>232</v>
      </c>
      <c r="E516" s="93" t="s">
        <v>36</v>
      </c>
      <c r="F516" s="93" t="s">
        <v>393</v>
      </c>
      <c r="G516" s="93" t="s">
        <v>346</v>
      </c>
      <c r="H516" s="93" t="s">
        <v>342</v>
      </c>
      <c r="I516" s="94">
        <v>0.25</v>
      </c>
      <c r="J516" s="95">
        <v>15</v>
      </c>
    </row>
    <row r="517" spans="1:10" x14ac:dyDescent="0.25">
      <c r="A517" s="92">
        <v>45786</v>
      </c>
      <c r="B517" s="93" t="s">
        <v>323</v>
      </c>
      <c r="C517" s="89" t="s">
        <v>40</v>
      </c>
      <c r="D517" s="93" t="s">
        <v>283</v>
      </c>
      <c r="E517" s="93" t="s">
        <v>36</v>
      </c>
      <c r="F517" s="93" t="s">
        <v>429</v>
      </c>
      <c r="G517" s="93" t="s">
        <v>346</v>
      </c>
      <c r="H517" s="93" t="s">
        <v>342</v>
      </c>
      <c r="I517" s="94">
        <v>0.25</v>
      </c>
      <c r="J517" s="95">
        <v>15</v>
      </c>
    </row>
    <row r="518" spans="1:10" x14ac:dyDescent="0.25">
      <c r="A518" s="92">
        <v>45786</v>
      </c>
      <c r="B518" s="93" t="s">
        <v>323</v>
      </c>
      <c r="C518" s="89" t="s">
        <v>40</v>
      </c>
      <c r="D518" s="93" t="s">
        <v>280</v>
      </c>
      <c r="E518" s="93" t="s">
        <v>36</v>
      </c>
      <c r="F518" s="93" t="s">
        <v>445</v>
      </c>
      <c r="G518" s="93" t="s">
        <v>346</v>
      </c>
      <c r="H518" s="93" t="s">
        <v>342</v>
      </c>
      <c r="I518" s="94">
        <v>0.25</v>
      </c>
      <c r="J518" s="95">
        <v>15</v>
      </c>
    </row>
    <row r="519" spans="1:10" x14ac:dyDescent="0.25">
      <c r="A519" s="92">
        <v>45786</v>
      </c>
      <c r="B519" s="93" t="s">
        <v>323</v>
      </c>
      <c r="C519" s="89" t="s">
        <v>40</v>
      </c>
      <c r="D519" s="93" t="s">
        <v>281</v>
      </c>
      <c r="E519" s="93" t="s">
        <v>36</v>
      </c>
      <c r="F519" s="93" t="s">
        <v>430</v>
      </c>
      <c r="G519" s="93" t="s">
        <v>346</v>
      </c>
      <c r="H519" s="93" t="s">
        <v>342</v>
      </c>
      <c r="I519" s="94">
        <v>0.25</v>
      </c>
      <c r="J519" s="95">
        <v>15</v>
      </c>
    </row>
    <row r="520" spans="1:10" x14ac:dyDescent="0.25">
      <c r="A520" s="92">
        <v>45786</v>
      </c>
      <c r="B520" s="93" t="s">
        <v>323</v>
      </c>
      <c r="C520" s="89" t="s">
        <v>40</v>
      </c>
      <c r="D520" s="93" t="s">
        <v>282</v>
      </c>
      <c r="E520" s="93" t="s">
        <v>36</v>
      </c>
      <c r="F520" s="93" t="s">
        <v>451</v>
      </c>
      <c r="G520" s="93" t="s">
        <v>346</v>
      </c>
      <c r="H520" s="93" t="s">
        <v>342</v>
      </c>
      <c r="I520" s="94">
        <v>0.25</v>
      </c>
      <c r="J520" s="95">
        <v>15</v>
      </c>
    </row>
    <row r="521" spans="1:10" x14ac:dyDescent="0.25">
      <c r="A521" s="92">
        <v>45786</v>
      </c>
      <c r="B521" s="93" t="s">
        <v>323</v>
      </c>
      <c r="C521" s="89" t="s">
        <v>40</v>
      </c>
      <c r="D521" s="93" t="s">
        <v>231</v>
      </c>
      <c r="E521" s="93" t="s">
        <v>34</v>
      </c>
      <c r="F521" s="93" t="s">
        <v>420</v>
      </c>
      <c r="G521" s="93" t="s">
        <v>346</v>
      </c>
      <c r="H521" s="93" t="s">
        <v>343</v>
      </c>
      <c r="I521" s="94">
        <v>0.5</v>
      </c>
      <c r="J521" s="95">
        <v>30</v>
      </c>
    </row>
    <row r="522" spans="1:10" x14ac:dyDescent="0.25">
      <c r="A522" s="92">
        <v>45786</v>
      </c>
      <c r="B522" s="93" t="s">
        <v>329</v>
      </c>
      <c r="C522" s="89" t="s">
        <v>40</v>
      </c>
      <c r="D522" s="93" t="s">
        <v>197</v>
      </c>
      <c r="E522" s="93" t="s">
        <v>34</v>
      </c>
      <c r="F522" s="93" t="s">
        <v>366</v>
      </c>
      <c r="G522" s="93" t="s">
        <v>347</v>
      </c>
      <c r="H522" s="93" t="s">
        <v>343</v>
      </c>
      <c r="I522" s="94">
        <v>0.33</v>
      </c>
      <c r="J522" s="95">
        <v>24.75</v>
      </c>
    </row>
    <row r="523" spans="1:10" x14ac:dyDescent="0.25">
      <c r="A523" s="92">
        <v>45786</v>
      </c>
      <c r="B523" s="93" t="s">
        <v>329</v>
      </c>
      <c r="C523" s="89" t="s">
        <v>40</v>
      </c>
      <c r="D523" s="93" t="s">
        <v>183</v>
      </c>
      <c r="E523" s="93" t="s">
        <v>34</v>
      </c>
      <c r="F523" s="93" t="s">
        <v>368</v>
      </c>
      <c r="G523" s="93" t="s">
        <v>347</v>
      </c>
      <c r="H523" s="93" t="s">
        <v>343</v>
      </c>
      <c r="I523" s="94">
        <v>0.33</v>
      </c>
      <c r="J523" s="95">
        <v>24.75</v>
      </c>
    </row>
    <row r="524" spans="1:10" x14ac:dyDescent="0.25">
      <c r="A524" s="92">
        <v>45786</v>
      </c>
      <c r="B524" s="93" t="s">
        <v>329</v>
      </c>
      <c r="C524" s="89" t="s">
        <v>40</v>
      </c>
      <c r="D524" s="93" t="s">
        <v>186</v>
      </c>
      <c r="E524" s="93" t="s">
        <v>34</v>
      </c>
      <c r="F524" s="93" t="s">
        <v>397</v>
      </c>
      <c r="G524" s="93" t="s">
        <v>347</v>
      </c>
      <c r="H524" s="93" t="s">
        <v>343</v>
      </c>
      <c r="I524" s="94">
        <v>0.33</v>
      </c>
      <c r="J524" s="95">
        <v>24.75</v>
      </c>
    </row>
    <row r="525" spans="1:10" x14ac:dyDescent="0.25">
      <c r="A525" s="92">
        <v>45786</v>
      </c>
      <c r="B525" s="93" t="s">
        <v>329</v>
      </c>
      <c r="C525" s="89" t="s">
        <v>40</v>
      </c>
      <c r="D525" s="93" t="s">
        <v>221</v>
      </c>
      <c r="E525" s="93" t="s">
        <v>34</v>
      </c>
      <c r="F525" s="93" t="s">
        <v>369</v>
      </c>
      <c r="G525" s="93" t="s">
        <v>347</v>
      </c>
      <c r="H525" s="93" t="s">
        <v>343</v>
      </c>
      <c r="I525" s="94">
        <v>0.17</v>
      </c>
      <c r="J525" s="95">
        <v>12.750000000000002</v>
      </c>
    </row>
    <row r="526" spans="1:10" x14ac:dyDescent="0.25">
      <c r="A526" s="92">
        <v>45786</v>
      </c>
      <c r="B526" s="93" t="s">
        <v>325</v>
      </c>
      <c r="C526" s="89" t="s">
        <v>40</v>
      </c>
      <c r="D526" s="93" t="s">
        <v>210</v>
      </c>
      <c r="E526" s="93" t="s">
        <v>34</v>
      </c>
      <c r="F526" s="93" t="s">
        <v>399</v>
      </c>
      <c r="G526" s="93" t="s">
        <v>347</v>
      </c>
      <c r="H526" s="93" t="s">
        <v>343</v>
      </c>
      <c r="I526" s="94">
        <v>0.17</v>
      </c>
      <c r="J526" s="95">
        <v>12.750000000000002</v>
      </c>
    </row>
    <row r="527" spans="1:10" x14ac:dyDescent="0.25">
      <c r="A527" s="92">
        <v>45786</v>
      </c>
      <c r="B527" s="93" t="s">
        <v>329</v>
      </c>
      <c r="C527" s="89" t="s">
        <v>40</v>
      </c>
      <c r="D527" s="93" t="s">
        <v>238</v>
      </c>
      <c r="E527" s="93" t="s">
        <v>34</v>
      </c>
      <c r="F527" s="93" t="s">
        <v>374</v>
      </c>
      <c r="G527" s="93" t="s">
        <v>347</v>
      </c>
      <c r="H527" s="93" t="s">
        <v>343</v>
      </c>
      <c r="I527" s="94">
        <v>0.5</v>
      </c>
      <c r="J527" s="95">
        <v>37.5</v>
      </c>
    </row>
    <row r="528" spans="1:10" x14ac:dyDescent="0.25">
      <c r="A528" s="92">
        <v>45786</v>
      </c>
      <c r="B528" s="93" t="s">
        <v>329</v>
      </c>
      <c r="C528" s="89" t="s">
        <v>40</v>
      </c>
      <c r="D528" s="93" t="s">
        <v>241</v>
      </c>
      <c r="E528" s="93" t="s">
        <v>34</v>
      </c>
      <c r="F528" s="93" t="s">
        <v>403</v>
      </c>
      <c r="G528" s="93" t="s">
        <v>347</v>
      </c>
      <c r="H528" s="93" t="s">
        <v>343</v>
      </c>
      <c r="I528" s="94">
        <v>1</v>
      </c>
      <c r="J528" s="95">
        <v>75</v>
      </c>
    </row>
    <row r="529" spans="1:10" x14ac:dyDescent="0.25">
      <c r="A529" s="92">
        <v>45786</v>
      </c>
      <c r="B529" s="93" t="s">
        <v>329</v>
      </c>
      <c r="C529" s="89" t="s">
        <v>40</v>
      </c>
      <c r="D529" s="93" t="s">
        <v>247</v>
      </c>
      <c r="E529" s="93" t="s">
        <v>34</v>
      </c>
      <c r="F529" s="93" t="s">
        <v>375</v>
      </c>
      <c r="G529" s="93" t="s">
        <v>347</v>
      </c>
      <c r="H529" s="93" t="s">
        <v>343</v>
      </c>
      <c r="I529" s="94">
        <v>0.25</v>
      </c>
      <c r="J529" s="95">
        <v>18.75</v>
      </c>
    </row>
    <row r="530" spans="1:10" x14ac:dyDescent="0.25">
      <c r="A530" s="92">
        <v>45786</v>
      </c>
      <c r="B530" s="93" t="s">
        <v>329</v>
      </c>
      <c r="C530" s="89" t="s">
        <v>40</v>
      </c>
      <c r="D530" s="93" t="s">
        <v>293</v>
      </c>
      <c r="E530" s="93" t="s">
        <v>34</v>
      </c>
      <c r="F530" s="93" t="s">
        <v>376</v>
      </c>
      <c r="G530" s="93" t="s">
        <v>347</v>
      </c>
      <c r="H530" s="93" t="s">
        <v>343</v>
      </c>
      <c r="I530" s="94">
        <v>0.25</v>
      </c>
      <c r="J530" s="95">
        <v>18.75</v>
      </c>
    </row>
    <row r="531" spans="1:10" x14ac:dyDescent="0.25">
      <c r="A531" s="92">
        <v>45786</v>
      </c>
      <c r="B531" s="93" t="s">
        <v>329</v>
      </c>
      <c r="C531" s="89" t="s">
        <v>40</v>
      </c>
      <c r="D531" s="93" t="s">
        <v>295</v>
      </c>
      <c r="E531" s="93" t="s">
        <v>34</v>
      </c>
      <c r="F531" s="93" t="s">
        <v>379</v>
      </c>
      <c r="G531" s="93" t="s">
        <v>347</v>
      </c>
      <c r="H531" s="93" t="s">
        <v>343</v>
      </c>
      <c r="I531" s="94">
        <v>0.17</v>
      </c>
      <c r="J531" s="95">
        <v>12.750000000000002</v>
      </c>
    </row>
    <row r="532" spans="1:10" x14ac:dyDescent="0.25">
      <c r="A532" s="92">
        <v>45786</v>
      </c>
      <c r="B532" s="93" t="s">
        <v>329</v>
      </c>
      <c r="C532" s="89" t="s">
        <v>40</v>
      </c>
      <c r="D532" s="93" t="s">
        <v>296</v>
      </c>
      <c r="E532" s="93" t="s">
        <v>34</v>
      </c>
      <c r="F532" s="93" t="s">
        <v>411</v>
      </c>
      <c r="G532" s="93" t="s">
        <v>347</v>
      </c>
      <c r="H532" s="93" t="s">
        <v>343</v>
      </c>
      <c r="I532" s="94">
        <v>0.17</v>
      </c>
      <c r="J532" s="95">
        <v>12.750000000000002</v>
      </c>
    </row>
    <row r="533" spans="1:10" x14ac:dyDescent="0.25">
      <c r="A533" s="92">
        <v>45786</v>
      </c>
      <c r="B533" s="93" t="s">
        <v>325</v>
      </c>
      <c r="C533" s="89" t="s">
        <v>40</v>
      </c>
      <c r="D533" s="93" t="s">
        <v>253</v>
      </c>
      <c r="E533" s="93" t="s">
        <v>34</v>
      </c>
      <c r="F533" s="93" t="s">
        <v>408</v>
      </c>
      <c r="G533" s="93" t="s">
        <v>347</v>
      </c>
      <c r="H533" s="93" t="s">
        <v>343</v>
      </c>
      <c r="I533" s="94">
        <v>0.17</v>
      </c>
      <c r="J533" s="95">
        <v>12.750000000000002</v>
      </c>
    </row>
    <row r="534" spans="1:10" x14ac:dyDescent="0.25">
      <c r="A534" s="92">
        <v>45786</v>
      </c>
      <c r="B534" s="93" t="s">
        <v>330</v>
      </c>
      <c r="C534" s="89" t="s">
        <v>40</v>
      </c>
      <c r="D534" s="93" t="s">
        <v>252</v>
      </c>
      <c r="E534" s="93" t="s">
        <v>34</v>
      </c>
      <c r="F534" s="93" t="s">
        <v>416</v>
      </c>
      <c r="G534" s="93" t="s">
        <v>347</v>
      </c>
      <c r="H534" s="93" t="s">
        <v>343</v>
      </c>
      <c r="I534" s="94">
        <v>0.5</v>
      </c>
      <c r="J534" s="95">
        <v>30</v>
      </c>
    </row>
    <row r="535" spans="1:10" x14ac:dyDescent="0.25">
      <c r="A535" s="92">
        <v>45786</v>
      </c>
      <c r="B535" s="93" t="s">
        <v>329</v>
      </c>
      <c r="C535" s="89" t="s">
        <v>40</v>
      </c>
      <c r="D535" s="93" t="s">
        <v>248</v>
      </c>
      <c r="E535" s="93" t="s">
        <v>34</v>
      </c>
      <c r="F535" s="93" t="s">
        <v>385</v>
      </c>
      <c r="G535" s="93" t="s">
        <v>347</v>
      </c>
      <c r="H535" s="93" t="s">
        <v>343</v>
      </c>
      <c r="I535" s="94">
        <v>0.25</v>
      </c>
      <c r="J535" s="95">
        <v>18.75</v>
      </c>
    </row>
    <row r="536" spans="1:10" x14ac:dyDescent="0.25">
      <c r="A536" s="92">
        <v>45786</v>
      </c>
      <c r="B536" s="93" t="s">
        <v>325</v>
      </c>
      <c r="C536" s="89" t="s">
        <v>40</v>
      </c>
      <c r="D536" s="93" t="s">
        <v>278</v>
      </c>
      <c r="E536" s="93" t="s">
        <v>34</v>
      </c>
      <c r="F536" s="93" t="s">
        <v>452</v>
      </c>
      <c r="G536" s="93" t="s">
        <v>347</v>
      </c>
      <c r="H536" s="93" t="s">
        <v>343</v>
      </c>
      <c r="I536" s="94">
        <v>0.25</v>
      </c>
      <c r="J536" s="95">
        <v>18.75</v>
      </c>
    </row>
    <row r="537" spans="1:10" x14ac:dyDescent="0.25">
      <c r="A537" s="92">
        <v>45786</v>
      </c>
      <c r="B537" s="93" t="s">
        <v>329</v>
      </c>
      <c r="C537" s="89" t="s">
        <v>40</v>
      </c>
      <c r="D537" s="93" t="s">
        <v>230</v>
      </c>
      <c r="E537" s="93" t="s">
        <v>34</v>
      </c>
      <c r="F537" s="93" t="s">
        <v>410</v>
      </c>
      <c r="G537" s="93" t="s">
        <v>347</v>
      </c>
      <c r="H537" s="93" t="s">
        <v>343</v>
      </c>
      <c r="I537" s="94">
        <v>0.08</v>
      </c>
      <c r="J537" s="95">
        <v>6</v>
      </c>
    </row>
    <row r="538" spans="1:10" x14ac:dyDescent="0.25">
      <c r="A538" s="92">
        <v>45786</v>
      </c>
      <c r="B538" s="93" t="s">
        <v>329</v>
      </c>
      <c r="C538" s="89" t="s">
        <v>40</v>
      </c>
      <c r="D538" s="93" t="s">
        <v>268</v>
      </c>
      <c r="E538" s="93" t="s">
        <v>34</v>
      </c>
      <c r="F538" s="93" t="s">
        <v>386</v>
      </c>
      <c r="G538" s="93" t="s">
        <v>347</v>
      </c>
      <c r="H538" s="93" t="s">
        <v>343</v>
      </c>
      <c r="I538" s="94">
        <v>0.17</v>
      </c>
      <c r="J538" s="95">
        <v>12.750000000000002</v>
      </c>
    </row>
    <row r="539" spans="1:10" x14ac:dyDescent="0.25">
      <c r="A539" s="92">
        <v>45786</v>
      </c>
      <c r="B539" s="93" t="s">
        <v>326</v>
      </c>
      <c r="C539" s="89" t="s">
        <v>40</v>
      </c>
      <c r="D539" s="93" t="s">
        <v>188</v>
      </c>
      <c r="E539" s="93" t="s">
        <v>36</v>
      </c>
      <c r="F539" s="93" t="s">
        <v>356</v>
      </c>
      <c r="G539" s="93" t="s">
        <v>348</v>
      </c>
      <c r="H539" s="93" t="s">
        <v>342</v>
      </c>
      <c r="I539" s="94">
        <v>1</v>
      </c>
      <c r="J539" s="95">
        <v>60</v>
      </c>
    </row>
    <row r="540" spans="1:10" x14ac:dyDescent="0.25">
      <c r="A540" s="92">
        <v>45786</v>
      </c>
      <c r="B540" s="93" t="s">
        <v>326</v>
      </c>
      <c r="C540" s="89" t="s">
        <v>40</v>
      </c>
      <c r="D540" s="93" t="s">
        <v>227</v>
      </c>
      <c r="E540" s="93" t="s">
        <v>36</v>
      </c>
      <c r="F540" s="93" t="s">
        <v>453</v>
      </c>
      <c r="G540" s="93" t="s">
        <v>348</v>
      </c>
      <c r="H540" s="93" t="s">
        <v>342</v>
      </c>
      <c r="I540" s="94">
        <v>1.25</v>
      </c>
      <c r="J540" s="95">
        <v>75</v>
      </c>
    </row>
    <row r="541" spans="1:10" x14ac:dyDescent="0.25">
      <c r="A541" s="92">
        <v>45786</v>
      </c>
      <c r="B541" s="93" t="s">
        <v>326</v>
      </c>
      <c r="C541" s="89" t="s">
        <v>40</v>
      </c>
      <c r="D541" s="93" t="s">
        <v>309</v>
      </c>
      <c r="E541" s="93" t="s">
        <v>36</v>
      </c>
      <c r="F541" s="93" t="s">
        <v>454</v>
      </c>
      <c r="G541" s="93" t="s">
        <v>348</v>
      </c>
      <c r="H541" s="93" t="s">
        <v>342</v>
      </c>
      <c r="I541" s="94">
        <v>0.5</v>
      </c>
      <c r="J541" s="95">
        <v>30</v>
      </c>
    </row>
    <row r="542" spans="1:10" x14ac:dyDescent="0.25">
      <c r="A542" s="92">
        <v>45786</v>
      </c>
      <c r="B542" s="93" t="s">
        <v>326</v>
      </c>
      <c r="C542" s="89" t="s">
        <v>40</v>
      </c>
      <c r="D542" s="93" t="s">
        <v>265</v>
      </c>
      <c r="E542" s="93" t="s">
        <v>34</v>
      </c>
      <c r="F542" s="93" t="s">
        <v>358</v>
      </c>
      <c r="G542" s="93" t="s">
        <v>348</v>
      </c>
      <c r="H542" s="93" t="s">
        <v>343</v>
      </c>
      <c r="I542" s="94">
        <v>1</v>
      </c>
      <c r="J542" s="95">
        <v>60</v>
      </c>
    </row>
    <row r="543" spans="1:10" x14ac:dyDescent="0.25">
      <c r="A543" s="92">
        <v>45786</v>
      </c>
      <c r="B543" s="93" t="s">
        <v>332</v>
      </c>
      <c r="C543" s="89" t="s">
        <v>40</v>
      </c>
      <c r="D543" s="93" t="s">
        <v>314</v>
      </c>
      <c r="E543" s="93" t="s">
        <v>35</v>
      </c>
      <c r="F543" s="93" t="s">
        <v>359</v>
      </c>
      <c r="G543" s="93" t="s">
        <v>339</v>
      </c>
      <c r="H543" s="93" t="s">
        <v>352</v>
      </c>
      <c r="I543" s="94">
        <v>5.5</v>
      </c>
      <c r="J543" s="95">
        <v>220</v>
      </c>
    </row>
    <row r="544" spans="1:10" x14ac:dyDescent="0.25">
      <c r="A544" s="92">
        <v>45786</v>
      </c>
      <c r="B544" s="93" t="s">
        <v>324</v>
      </c>
      <c r="C544" s="89" t="s">
        <v>40</v>
      </c>
      <c r="D544" s="93" t="s">
        <v>314</v>
      </c>
      <c r="E544" s="93" t="s">
        <v>35</v>
      </c>
      <c r="F544" s="93" t="s">
        <v>359</v>
      </c>
      <c r="G544" s="93" t="s">
        <v>339</v>
      </c>
      <c r="H544" s="93" t="s">
        <v>352</v>
      </c>
      <c r="I544" s="94">
        <v>7</v>
      </c>
      <c r="J544" s="95">
        <v>525</v>
      </c>
    </row>
    <row r="545" spans="1:10" x14ac:dyDescent="0.25">
      <c r="A545" s="92">
        <v>45787</v>
      </c>
      <c r="B545" s="93" t="s">
        <v>332</v>
      </c>
      <c r="C545" s="89" t="s">
        <v>40</v>
      </c>
      <c r="D545" s="93" t="s">
        <v>314</v>
      </c>
      <c r="E545" s="93" t="s">
        <v>35</v>
      </c>
      <c r="F545" s="93" t="s">
        <v>359</v>
      </c>
      <c r="G545" s="93" t="s">
        <v>339</v>
      </c>
      <c r="H545" s="93" t="s">
        <v>352</v>
      </c>
      <c r="I545" s="94">
        <v>4</v>
      </c>
      <c r="J545" s="95">
        <v>160</v>
      </c>
    </row>
    <row r="546" spans="1:10" x14ac:dyDescent="0.25">
      <c r="A546" s="92">
        <v>45788</v>
      </c>
      <c r="B546" s="93" t="s">
        <v>329</v>
      </c>
      <c r="C546" s="89" t="s">
        <v>40</v>
      </c>
      <c r="D546" s="93" t="s">
        <v>247</v>
      </c>
      <c r="E546" s="93" t="s">
        <v>34</v>
      </c>
      <c r="F546" s="93" t="s">
        <v>375</v>
      </c>
      <c r="G546" s="93" t="s">
        <v>347</v>
      </c>
      <c r="H546" s="93" t="s">
        <v>343</v>
      </c>
      <c r="I546" s="94">
        <v>4.83</v>
      </c>
      <c r="J546" s="95">
        <v>362.25</v>
      </c>
    </row>
    <row r="547" spans="1:10" x14ac:dyDescent="0.25">
      <c r="A547" s="92">
        <v>45789</v>
      </c>
      <c r="B547" s="93" t="s">
        <v>329</v>
      </c>
      <c r="C547" s="89" t="s">
        <v>40</v>
      </c>
      <c r="D547" s="93" t="s">
        <v>316</v>
      </c>
      <c r="E547" s="93" t="s">
        <v>35</v>
      </c>
      <c r="F547" s="93" t="s">
        <v>338</v>
      </c>
      <c r="G547" s="93" t="s">
        <v>337</v>
      </c>
      <c r="H547" s="93" t="s">
        <v>352</v>
      </c>
      <c r="I547" s="94">
        <v>1.33</v>
      </c>
      <c r="J547" s="95">
        <v>99.75</v>
      </c>
    </row>
    <row r="548" spans="1:10" x14ac:dyDescent="0.25">
      <c r="A548" s="92">
        <v>45789</v>
      </c>
      <c r="B548" s="93" t="s">
        <v>331</v>
      </c>
      <c r="C548" s="89" t="s">
        <v>40</v>
      </c>
      <c r="D548" s="93" t="s">
        <v>316</v>
      </c>
      <c r="E548" s="93" t="s">
        <v>35</v>
      </c>
      <c r="F548" s="93" t="s">
        <v>338</v>
      </c>
      <c r="G548" s="93" t="s">
        <v>337</v>
      </c>
      <c r="H548" s="93" t="s">
        <v>352</v>
      </c>
      <c r="I548" s="94">
        <v>4.42</v>
      </c>
      <c r="J548" s="95">
        <v>141.44</v>
      </c>
    </row>
    <row r="549" spans="1:10" x14ac:dyDescent="0.25">
      <c r="A549" s="92">
        <v>45789</v>
      </c>
      <c r="B549" s="93" t="s">
        <v>333</v>
      </c>
      <c r="C549" s="89" t="s">
        <v>40</v>
      </c>
      <c r="D549" s="93" t="s">
        <v>320</v>
      </c>
      <c r="E549" s="93" t="s">
        <v>35</v>
      </c>
      <c r="F549" s="93" t="s">
        <v>322</v>
      </c>
      <c r="G549" s="93" t="s">
        <v>319</v>
      </c>
      <c r="H549" s="93" t="s">
        <v>352</v>
      </c>
      <c r="I549" s="94">
        <v>7.4</v>
      </c>
      <c r="J549" s="95">
        <v>236.8</v>
      </c>
    </row>
    <row r="550" spans="1:10" x14ac:dyDescent="0.25">
      <c r="A550" s="92">
        <v>45789</v>
      </c>
      <c r="B550" s="93" t="s">
        <v>327</v>
      </c>
      <c r="C550" s="89" t="s">
        <v>40</v>
      </c>
      <c r="D550" s="93" t="s">
        <v>320</v>
      </c>
      <c r="E550" s="93" t="s">
        <v>35</v>
      </c>
      <c r="F550" s="93" t="s">
        <v>322</v>
      </c>
      <c r="G550" s="93" t="s">
        <v>319</v>
      </c>
      <c r="H550" s="93" t="s">
        <v>352</v>
      </c>
      <c r="I550" s="94">
        <v>7.25</v>
      </c>
      <c r="J550" s="95">
        <v>232</v>
      </c>
    </row>
    <row r="551" spans="1:10" x14ac:dyDescent="0.25">
      <c r="A551" s="92">
        <v>45789</v>
      </c>
      <c r="B551" s="93" t="s">
        <v>323</v>
      </c>
      <c r="C551" s="89" t="s">
        <v>40</v>
      </c>
      <c r="D551" s="93" t="s">
        <v>285</v>
      </c>
      <c r="E551" s="93" t="s">
        <v>341</v>
      </c>
      <c r="F551" s="93" t="s">
        <v>448</v>
      </c>
      <c r="G551" s="93" t="s">
        <v>346</v>
      </c>
      <c r="H551" s="93" t="s">
        <v>344</v>
      </c>
      <c r="I551" s="94">
        <v>1</v>
      </c>
      <c r="J551" s="95">
        <v>60</v>
      </c>
    </row>
    <row r="552" spans="1:10" x14ac:dyDescent="0.25">
      <c r="A552" s="92">
        <v>45789</v>
      </c>
      <c r="B552" s="93" t="s">
        <v>329</v>
      </c>
      <c r="C552" s="89" t="s">
        <v>40</v>
      </c>
      <c r="D552" s="93" t="s">
        <v>186</v>
      </c>
      <c r="E552" s="93" t="s">
        <v>34</v>
      </c>
      <c r="F552" s="93" t="s">
        <v>397</v>
      </c>
      <c r="G552" s="93" t="s">
        <v>347</v>
      </c>
      <c r="H552" s="93" t="s">
        <v>343</v>
      </c>
      <c r="I552" s="94">
        <v>0.08</v>
      </c>
      <c r="J552" s="95">
        <v>6</v>
      </c>
    </row>
    <row r="553" spans="1:10" x14ac:dyDescent="0.25">
      <c r="A553" s="92">
        <v>45789</v>
      </c>
      <c r="B553" s="93" t="s">
        <v>329</v>
      </c>
      <c r="C553" s="89" t="s">
        <v>40</v>
      </c>
      <c r="D553" s="93" t="s">
        <v>206</v>
      </c>
      <c r="E553" s="93" t="s">
        <v>34</v>
      </c>
      <c r="F553" s="93" t="s">
        <v>367</v>
      </c>
      <c r="G553" s="93" t="s">
        <v>347</v>
      </c>
      <c r="H553" s="93" t="s">
        <v>343</v>
      </c>
      <c r="I553" s="94">
        <v>0.08</v>
      </c>
      <c r="J553" s="95">
        <v>6</v>
      </c>
    </row>
    <row r="554" spans="1:10" x14ac:dyDescent="0.25">
      <c r="A554" s="92">
        <v>45789</v>
      </c>
      <c r="B554" s="93" t="s">
        <v>329</v>
      </c>
      <c r="C554" s="89" t="s">
        <v>40</v>
      </c>
      <c r="D554" s="93" t="s">
        <v>241</v>
      </c>
      <c r="E554" s="93" t="s">
        <v>34</v>
      </c>
      <c r="F554" s="93" t="s">
        <v>403</v>
      </c>
      <c r="G554" s="93" t="s">
        <v>347</v>
      </c>
      <c r="H554" s="93" t="s">
        <v>343</v>
      </c>
      <c r="I554" s="94">
        <v>0.33</v>
      </c>
      <c r="J554" s="95">
        <v>24.75</v>
      </c>
    </row>
    <row r="555" spans="1:10" x14ac:dyDescent="0.25">
      <c r="A555" s="92">
        <v>45789</v>
      </c>
      <c r="B555" s="93" t="s">
        <v>329</v>
      </c>
      <c r="C555" s="89" t="s">
        <v>40</v>
      </c>
      <c r="D555" s="93" t="s">
        <v>247</v>
      </c>
      <c r="E555" s="93" t="s">
        <v>34</v>
      </c>
      <c r="F555" s="93" t="s">
        <v>375</v>
      </c>
      <c r="G555" s="93" t="s">
        <v>347</v>
      </c>
      <c r="H555" s="93" t="s">
        <v>343</v>
      </c>
      <c r="I555" s="94">
        <v>0.17</v>
      </c>
      <c r="J555" s="95">
        <v>12.750000000000002</v>
      </c>
    </row>
    <row r="556" spans="1:10" x14ac:dyDescent="0.25">
      <c r="A556" s="92">
        <v>45789</v>
      </c>
      <c r="B556" s="93" t="s">
        <v>325</v>
      </c>
      <c r="C556" s="89" t="s">
        <v>40</v>
      </c>
      <c r="D556" s="93" t="s">
        <v>287</v>
      </c>
      <c r="E556" s="93" t="s">
        <v>34</v>
      </c>
      <c r="F556" s="93" t="s">
        <v>378</v>
      </c>
      <c r="G556" s="93" t="s">
        <v>347</v>
      </c>
      <c r="H556" s="93" t="s">
        <v>343</v>
      </c>
      <c r="I556" s="94">
        <v>0.17</v>
      </c>
      <c r="J556" s="95">
        <v>12.750000000000002</v>
      </c>
    </row>
    <row r="557" spans="1:10" x14ac:dyDescent="0.25">
      <c r="A557" s="92">
        <v>45789</v>
      </c>
      <c r="B557" s="93" t="s">
        <v>325</v>
      </c>
      <c r="C557" s="89" t="s">
        <v>40</v>
      </c>
      <c r="D557" s="93" t="s">
        <v>262</v>
      </c>
      <c r="E557" s="93" t="s">
        <v>34</v>
      </c>
      <c r="F557" s="93" t="s">
        <v>442</v>
      </c>
      <c r="G557" s="93" t="s">
        <v>347</v>
      </c>
      <c r="H557" s="93" t="s">
        <v>343</v>
      </c>
      <c r="I557" s="94">
        <v>0.17</v>
      </c>
      <c r="J557" s="95">
        <v>12.750000000000002</v>
      </c>
    </row>
    <row r="558" spans="1:10" x14ac:dyDescent="0.25">
      <c r="A558" s="92">
        <v>45789</v>
      </c>
      <c r="B558" s="93" t="s">
        <v>325</v>
      </c>
      <c r="C558" s="89" t="s">
        <v>40</v>
      </c>
      <c r="D558" s="93" t="s">
        <v>249</v>
      </c>
      <c r="E558" s="93" t="s">
        <v>34</v>
      </c>
      <c r="F558" s="93" t="s">
        <v>409</v>
      </c>
      <c r="G558" s="93" t="s">
        <v>347</v>
      </c>
      <c r="H558" s="93" t="s">
        <v>343</v>
      </c>
      <c r="I558" s="94">
        <v>0.17</v>
      </c>
      <c r="J558" s="95">
        <v>12.750000000000002</v>
      </c>
    </row>
    <row r="559" spans="1:10" x14ac:dyDescent="0.25">
      <c r="A559" s="92">
        <v>45789</v>
      </c>
      <c r="B559" s="93" t="s">
        <v>329</v>
      </c>
      <c r="C559" s="89" t="s">
        <v>40</v>
      </c>
      <c r="D559" s="93" t="s">
        <v>293</v>
      </c>
      <c r="E559" s="93" t="s">
        <v>341</v>
      </c>
      <c r="F559" s="93" t="s">
        <v>376</v>
      </c>
      <c r="G559" s="93" t="s">
        <v>347</v>
      </c>
      <c r="H559" s="93" t="s">
        <v>344</v>
      </c>
      <c r="I559" s="94">
        <v>1.75</v>
      </c>
      <c r="J559" s="95">
        <v>131.25</v>
      </c>
    </row>
    <row r="560" spans="1:10" x14ac:dyDescent="0.25">
      <c r="A560" s="92">
        <v>45789</v>
      </c>
      <c r="B560" s="93" t="s">
        <v>329</v>
      </c>
      <c r="C560" s="89" t="s">
        <v>40</v>
      </c>
      <c r="D560" s="93" t="s">
        <v>299</v>
      </c>
      <c r="E560" s="93" t="s">
        <v>312</v>
      </c>
      <c r="F560" s="93" t="s">
        <v>455</v>
      </c>
      <c r="G560" s="93" t="s">
        <v>347</v>
      </c>
      <c r="H560" s="93" t="s">
        <v>350</v>
      </c>
      <c r="I560" s="94">
        <v>2</v>
      </c>
      <c r="J560" s="95">
        <v>150</v>
      </c>
    </row>
    <row r="561" spans="1:10" x14ac:dyDescent="0.25">
      <c r="A561" s="92">
        <v>45789</v>
      </c>
      <c r="B561" s="93" t="s">
        <v>326</v>
      </c>
      <c r="C561" s="89" t="s">
        <v>40</v>
      </c>
      <c r="D561" s="93" t="s">
        <v>265</v>
      </c>
      <c r="E561" s="93" t="s">
        <v>36</v>
      </c>
      <c r="F561" s="93" t="s">
        <v>358</v>
      </c>
      <c r="G561" s="93" t="s">
        <v>348</v>
      </c>
      <c r="H561" s="93" t="s">
        <v>342</v>
      </c>
      <c r="I561" s="94">
        <v>0.75</v>
      </c>
      <c r="J561" s="95">
        <v>45</v>
      </c>
    </row>
    <row r="562" spans="1:10" x14ac:dyDescent="0.25">
      <c r="A562" s="92">
        <v>45789</v>
      </c>
      <c r="B562" s="93" t="s">
        <v>326</v>
      </c>
      <c r="C562" s="89" t="s">
        <v>40</v>
      </c>
      <c r="D562" s="93" t="s">
        <v>235</v>
      </c>
      <c r="E562" s="93" t="s">
        <v>34</v>
      </c>
      <c r="F562" s="93" t="s">
        <v>355</v>
      </c>
      <c r="G562" s="93" t="s">
        <v>348</v>
      </c>
      <c r="H562" s="93" t="s">
        <v>343</v>
      </c>
      <c r="I562" s="94">
        <v>0.57999999999999996</v>
      </c>
      <c r="J562" s="95">
        <v>34.799999999999997</v>
      </c>
    </row>
    <row r="563" spans="1:10" x14ac:dyDescent="0.25">
      <c r="A563" s="92">
        <v>45789</v>
      </c>
      <c r="B563" s="93" t="s">
        <v>326</v>
      </c>
      <c r="C563" s="89" t="s">
        <v>40</v>
      </c>
      <c r="D563" s="93" t="s">
        <v>234</v>
      </c>
      <c r="E563" s="93" t="s">
        <v>34</v>
      </c>
      <c r="F563" s="93" t="s">
        <v>389</v>
      </c>
      <c r="G563" s="93" t="s">
        <v>348</v>
      </c>
      <c r="H563" s="93" t="s">
        <v>343</v>
      </c>
      <c r="I563" s="94">
        <v>0.57999999999999996</v>
      </c>
      <c r="J563" s="95">
        <v>34.799999999999997</v>
      </c>
    </row>
    <row r="564" spans="1:10" x14ac:dyDescent="0.25">
      <c r="A564" s="92">
        <v>45789</v>
      </c>
      <c r="B564" s="93" t="s">
        <v>326</v>
      </c>
      <c r="C564" s="89" t="s">
        <v>40</v>
      </c>
      <c r="D564" s="93" t="s">
        <v>233</v>
      </c>
      <c r="E564" s="93" t="s">
        <v>34</v>
      </c>
      <c r="F564" s="93" t="s">
        <v>387</v>
      </c>
      <c r="G564" s="93" t="s">
        <v>348</v>
      </c>
      <c r="H564" s="93" t="s">
        <v>343</v>
      </c>
      <c r="I564" s="94">
        <v>0.57999999999999996</v>
      </c>
      <c r="J564" s="95">
        <v>34.799999999999997</v>
      </c>
    </row>
    <row r="565" spans="1:10" x14ac:dyDescent="0.25">
      <c r="A565" s="92">
        <v>45789</v>
      </c>
      <c r="B565" s="93" t="s">
        <v>326</v>
      </c>
      <c r="C565" s="89" t="s">
        <v>40</v>
      </c>
      <c r="D565" s="93" t="s">
        <v>236</v>
      </c>
      <c r="E565" s="93" t="s">
        <v>34</v>
      </c>
      <c r="F565" s="93" t="s">
        <v>357</v>
      </c>
      <c r="G565" s="93" t="s">
        <v>348</v>
      </c>
      <c r="H565" s="93" t="s">
        <v>343</v>
      </c>
      <c r="I565" s="94">
        <v>0.57999999999999996</v>
      </c>
      <c r="J565" s="95">
        <v>34.799999999999997</v>
      </c>
    </row>
    <row r="566" spans="1:10" x14ac:dyDescent="0.25">
      <c r="A566" s="92">
        <v>45789</v>
      </c>
      <c r="B566" s="93" t="s">
        <v>332</v>
      </c>
      <c r="C566" s="89" t="s">
        <v>40</v>
      </c>
      <c r="D566" s="93" t="s">
        <v>314</v>
      </c>
      <c r="E566" s="93" t="s">
        <v>35</v>
      </c>
      <c r="F566" s="93" t="s">
        <v>359</v>
      </c>
      <c r="G566" s="93" t="s">
        <v>339</v>
      </c>
      <c r="H566" s="93" t="s">
        <v>352</v>
      </c>
      <c r="I566" s="94">
        <v>8.83</v>
      </c>
      <c r="J566" s="95">
        <v>353.2</v>
      </c>
    </row>
    <row r="567" spans="1:10" x14ac:dyDescent="0.25">
      <c r="A567" s="92">
        <v>45789</v>
      </c>
      <c r="B567" s="93" t="s">
        <v>324</v>
      </c>
      <c r="C567" s="89" t="s">
        <v>40</v>
      </c>
      <c r="D567" s="93" t="s">
        <v>314</v>
      </c>
      <c r="E567" s="93" t="s">
        <v>35</v>
      </c>
      <c r="F567" s="93" t="s">
        <v>359</v>
      </c>
      <c r="G567" s="93" t="s">
        <v>339</v>
      </c>
      <c r="H567" s="93" t="s">
        <v>352</v>
      </c>
      <c r="I567" s="94">
        <v>5</v>
      </c>
      <c r="J567" s="95">
        <v>375</v>
      </c>
    </row>
    <row r="568" spans="1:10" x14ac:dyDescent="0.25">
      <c r="A568" s="92">
        <v>45790</v>
      </c>
      <c r="B568" s="93" t="s">
        <v>323</v>
      </c>
      <c r="C568" s="89" t="s">
        <v>40</v>
      </c>
      <c r="D568" s="93" t="s">
        <v>168</v>
      </c>
      <c r="E568" s="93" t="s">
        <v>36</v>
      </c>
      <c r="F568" s="93" t="s">
        <v>419</v>
      </c>
      <c r="G568" s="93" t="s">
        <v>346</v>
      </c>
      <c r="H568" s="93" t="s">
        <v>342</v>
      </c>
      <c r="I568" s="94">
        <v>0.25</v>
      </c>
      <c r="J568" s="95">
        <v>15</v>
      </c>
    </row>
    <row r="569" spans="1:10" x14ac:dyDescent="0.25">
      <c r="A569" s="92">
        <v>45790</v>
      </c>
      <c r="B569" s="93" t="s">
        <v>329</v>
      </c>
      <c r="C569" s="89" t="s">
        <v>40</v>
      </c>
      <c r="D569" s="93" t="s">
        <v>316</v>
      </c>
      <c r="E569" s="93" t="s">
        <v>35</v>
      </c>
      <c r="F569" s="93" t="s">
        <v>338</v>
      </c>
      <c r="G569" s="93" t="s">
        <v>337</v>
      </c>
      <c r="H569" s="93" t="s">
        <v>352</v>
      </c>
      <c r="I569" s="94">
        <v>1.17</v>
      </c>
      <c r="J569" s="95">
        <v>87.75</v>
      </c>
    </row>
    <row r="570" spans="1:10" x14ac:dyDescent="0.25">
      <c r="A570" s="92">
        <v>45790</v>
      </c>
      <c r="B570" s="93" t="s">
        <v>331</v>
      </c>
      <c r="C570" s="89" t="s">
        <v>40</v>
      </c>
      <c r="D570" s="93" t="s">
        <v>316</v>
      </c>
      <c r="E570" s="93" t="s">
        <v>35</v>
      </c>
      <c r="F570" s="93" t="s">
        <v>338</v>
      </c>
      <c r="G570" s="93" t="s">
        <v>337</v>
      </c>
      <c r="H570" s="93" t="s">
        <v>352</v>
      </c>
      <c r="I570" s="94">
        <v>0.83</v>
      </c>
      <c r="J570" s="95">
        <v>26.56</v>
      </c>
    </row>
    <row r="571" spans="1:10" x14ac:dyDescent="0.25">
      <c r="A571" s="92">
        <v>45790</v>
      </c>
      <c r="B571" s="93" t="s">
        <v>333</v>
      </c>
      <c r="C571" s="89" t="s">
        <v>40</v>
      </c>
      <c r="D571" s="93" t="s">
        <v>320</v>
      </c>
      <c r="E571" s="93" t="s">
        <v>35</v>
      </c>
      <c r="F571" s="93" t="s">
        <v>322</v>
      </c>
      <c r="G571" s="93" t="s">
        <v>319</v>
      </c>
      <c r="H571" s="93" t="s">
        <v>352</v>
      </c>
      <c r="I571" s="94">
        <v>8.2200000000000006</v>
      </c>
      <c r="J571" s="95">
        <v>263.04000000000002</v>
      </c>
    </row>
    <row r="572" spans="1:10" x14ac:dyDescent="0.25">
      <c r="A572" s="92">
        <v>45790</v>
      </c>
      <c r="B572" s="93" t="s">
        <v>327</v>
      </c>
      <c r="C572" s="89" t="s">
        <v>40</v>
      </c>
      <c r="D572" s="93" t="s">
        <v>320</v>
      </c>
      <c r="E572" s="93" t="s">
        <v>35</v>
      </c>
      <c r="F572" s="93" t="s">
        <v>322</v>
      </c>
      <c r="G572" s="93" t="s">
        <v>319</v>
      </c>
      <c r="H572" s="93" t="s">
        <v>352</v>
      </c>
      <c r="I572" s="94">
        <v>4</v>
      </c>
      <c r="J572" s="95">
        <v>128</v>
      </c>
    </row>
    <row r="573" spans="1:10" x14ac:dyDescent="0.25">
      <c r="A573" s="92">
        <v>45790</v>
      </c>
      <c r="B573" s="93" t="s">
        <v>323</v>
      </c>
      <c r="C573" s="89" t="s">
        <v>40</v>
      </c>
      <c r="D573" s="93" t="s">
        <v>168</v>
      </c>
      <c r="E573" s="93" t="s">
        <v>341</v>
      </c>
      <c r="F573" s="93" t="s">
        <v>419</v>
      </c>
      <c r="G573" s="93" t="s">
        <v>346</v>
      </c>
      <c r="H573" s="93" t="s">
        <v>344</v>
      </c>
      <c r="I573" s="94">
        <v>1</v>
      </c>
      <c r="J573" s="95">
        <v>60</v>
      </c>
    </row>
    <row r="574" spans="1:10" x14ac:dyDescent="0.25">
      <c r="A574" s="92">
        <v>45790</v>
      </c>
      <c r="B574" s="93" t="s">
        <v>329</v>
      </c>
      <c r="C574" s="89" t="s">
        <v>40</v>
      </c>
      <c r="D574" s="93" t="s">
        <v>183</v>
      </c>
      <c r="E574" s="93" t="s">
        <v>34</v>
      </c>
      <c r="F574" s="93" t="s">
        <v>368</v>
      </c>
      <c r="G574" s="93" t="s">
        <v>347</v>
      </c>
      <c r="H574" s="93" t="s">
        <v>343</v>
      </c>
      <c r="I574" s="94">
        <v>0.33</v>
      </c>
      <c r="J574" s="95">
        <v>24.75</v>
      </c>
    </row>
    <row r="575" spans="1:10" x14ac:dyDescent="0.25">
      <c r="A575" s="92">
        <v>45790</v>
      </c>
      <c r="B575" s="93" t="s">
        <v>325</v>
      </c>
      <c r="C575" s="89" t="s">
        <v>40</v>
      </c>
      <c r="D575" s="93" t="s">
        <v>210</v>
      </c>
      <c r="E575" s="93" t="s">
        <v>34</v>
      </c>
      <c r="F575" s="93" t="s">
        <v>399</v>
      </c>
      <c r="G575" s="93" t="s">
        <v>347</v>
      </c>
      <c r="H575" s="93" t="s">
        <v>343</v>
      </c>
      <c r="I575" s="94">
        <v>0.17</v>
      </c>
      <c r="J575" s="95">
        <v>12.750000000000002</v>
      </c>
    </row>
    <row r="576" spans="1:10" x14ac:dyDescent="0.25">
      <c r="A576" s="92">
        <v>45790</v>
      </c>
      <c r="B576" s="93" t="s">
        <v>329</v>
      </c>
      <c r="C576" s="89" t="s">
        <v>40</v>
      </c>
      <c r="D576" s="93" t="s">
        <v>303</v>
      </c>
      <c r="E576" s="93" t="s">
        <v>34</v>
      </c>
      <c r="F576" s="93" t="s">
        <v>400</v>
      </c>
      <c r="G576" s="93" t="s">
        <v>347</v>
      </c>
      <c r="H576" s="93" t="s">
        <v>343</v>
      </c>
      <c r="I576" s="94">
        <v>0.5</v>
      </c>
      <c r="J576" s="95">
        <v>37.5</v>
      </c>
    </row>
    <row r="577" spans="1:10" x14ac:dyDescent="0.25">
      <c r="A577" s="92">
        <v>45790</v>
      </c>
      <c r="B577" s="93" t="s">
        <v>329</v>
      </c>
      <c r="C577" s="89" t="s">
        <v>40</v>
      </c>
      <c r="D577" s="93" t="s">
        <v>293</v>
      </c>
      <c r="E577" s="93" t="s">
        <v>34</v>
      </c>
      <c r="F577" s="93" t="s">
        <v>376</v>
      </c>
      <c r="G577" s="93" t="s">
        <v>347</v>
      </c>
      <c r="H577" s="93" t="s">
        <v>343</v>
      </c>
      <c r="I577" s="94">
        <v>0.17</v>
      </c>
      <c r="J577" s="95">
        <v>12.750000000000002</v>
      </c>
    </row>
    <row r="578" spans="1:10" x14ac:dyDescent="0.25">
      <c r="A578" s="92">
        <v>45790</v>
      </c>
      <c r="B578" s="93" t="s">
        <v>325</v>
      </c>
      <c r="C578" s="89" t="s">
        <v>40</v>
      </c>
      <c r="D578" s="93" t="s">
        <v>254</v>
      </c>
      <c r="E578" s="93" t="s">
        <v>34</v>
      </c>
      <c r="F578" s="93" t="s">
        <v>441</v>
      </c>
      <c r="G578" s="93" t="s">
        <v>347</v>
      </c>
      <c r="H578" s="93" t="s">
        <v>343</v>
      </c>
      <c r="I578" s="94">
        <v>0.25</v>
      </c>
      <c r="J578" s="95">
        <v>18.75</v>
      </c>
    </row>
    <row r="579" spans="1:10" x14ac:dyDescent="0.25">
      <c r="A579" s="92">
        <v>45790</v>
      </c>
      <c r="B579" s="93" t="s">
        <v>325</v>
      </c>
      <c r="C579" s="89" t="s">
        <v>40</v>
      </c>
      <c r="D579" s="93" t="s">
        <v>253</v>
      </c>
      <c r="E579" s="93" t="s">
        <v>34</v>
      </c>
      <c r="F579" s="93" t="s">
        <v>408</v>
      </c>
      <c r="G579" s="93" t="s">
        <v>347</v>
      </c>
      <c r="H579" s="93" t="s">
        <v>343</v>
      </c>
      <c r="I579" s="94">
        <v>0.17</v>
      </c>
      <c r="J579" s="95">
        <v>12.750000000000002</v>
      </c>
    </row>
    <row r="580" spans="1:10" x14ac:dyDescent="0.25">
      <c r="A580" s="92">
        <v>45790</v>
      </c>
      <c r="B580" s="93" t="s">
        <v>325</v>
      </c>
      <c r="C580" s="89" t="s">
        <v>40</v>
      </c>
      <c r="D580" s="93" t="s">
        <v>249</v>
      </c>
      <c r="E580" s="93" t="s">
        <v>34</v>
      </c>
      <c r="F580" s="93" t="s">
        <v>409</v>
      </c>
      <c r="G580" s="93" t="s">
        <v>347</v>
      </c>
      <c r="H580" s="93" t="s">
        <v>343</v>
      </c>
      <c r="I580" s="94">
        <v>0.25</v>
      </c>
      <c r="J580" s="95">
        <v>18.75</v>
      </c>
    </row>
    <row r="581" spans="1:10" x14ac:dyDescent="0.25">
      <c r="A581" s="92">
        <v>45790</v>
      </c>
      <c r="B581" s="93" t="s">
        <v>329</v>
      </c>
      <c r="C581" s="89" t="s">
        <v>40</v>
      </c>
      <c r="D581" s="93" t="s">
        <v>247</v>
      </c>
      <c r="E581" s="93" t="s">
        <v>34</v>
      </c>
      <c r="F581" s="93" t="s">
        <v>375</v>
      </c>
      <c r="G581" s="93" t="s">
        <v>347</v>
      </c>
      <c r="H581" s="93" t="s">
        <v>343</v>
      </c>
      <c r="I581" s="94">
        <v>0.75</v>
      </c>
      <c r="J581" s="95">
        <v>56.25</v>
      </c>
    </row>
    <row r="582" spans="1:10" x14ac:dyDescent="0.25">
      <c r="A582" s="92">
        <v>45790</v>
      </c>
      <c r="B582" s="93" t="s">
        <v>329</v>
      </c>
      <c r="C582" s="89" t="s">
        <v>40</v>
      </c>
      <c r="D582" s="93" t="s">
        <v>248</v>
      </c>
      <c r="E582" s="93" t="s">
        <v>34</v>
      </c>
      <c r="F582" s="93" t="s">
        <v>385</v>
      </c>
      <c r="G582" s="93" t="s">
        <v>347</v>
      </c>
      <c r="H582" s="93" t="s">
        <v>343</v>
      </c>
      <c r="I582" s="94">
        <v>0.5</v>
      </c>
      <c r="J582" s="95">
        <v>37.5</v>
      </c>
    </row>
    <row r="583" spans="1:10" x14ac:dyDescent="0.25">
      <c r="A583" s="92">
        <v>45790</v>
      </c>
      <c r="B583" s="93" t="s">
        <v>325</v>
      </c>
      <c r="C583" s="89" t="s">
        <v>40</v>
      </c>
      <c r="D583" s="93" t="s">
        <v>277</v>
      </c>
      <c r="E583" s="93" t="s">
        <v>34</v>
      </c>
      <c r="F583" s="93" t="s">
        <v>353</v>
      </c>
      <c r="G583" s="93" t="s">
        <v>347</v>
      </c>
      <c r="H583" s="93" t="s">
        <v>343</v>
      </c>
      <c r="I583" s="94">
        <v>0.17</v>
      </c>
      <c r="J583" s="95">
        <v>12.750000000000002</v>
      </c>
    </row>
    <row r="584" spans="1:10" x14ac:dyDescent="0.25">
      <c r="A584" s="92">
        <v>45790</v>
      </c>
      <c r="B584" s="93" t="s">
        <v>329</v>
      </c>
      <c r="C584" s="89" t="s">
        <v>40</v>
      </c>
      <c r="D584" s="93" t="s">
        <v>299</v>
      </c>
      <c r="E584" s="93" t="s">
        <v>312</v>
      </c>
      <c r="F584" s="93" t="s">
        <v>455</v>
      </c>
      <c r="G584" s="93" t="s">
        <v>347</v>
      </c>
      <c r="H584" s="93" t="s">
        <v>350</v>
      </c>
      <c r="I584" s="94">
        <v>0.25</v>
      </c>
      <c r="J584" s="95">
        <v>18.75</v>
      </c>
    </row>
    <row r="585" spans="1:10" x14ac:dyDescent="0.25">
      <c r="A585" s="92">
        <v>45790</v>
      </c>
      <c r="B585" s="93" t="s">
        <v>326</v>
      </c>
      <c r="C585" s="89" t="s">
        <v>40</v>
      </c>
      <c r="D585" s="93" t="s">
        <v>265</v>
      </c>
      <c r="E585" s="93" t="s">
        <v>34</v>
      </c>
      <c r="F585" s="93" t="s">
        <v>358</v>
      </c>
      <c r="G585" s="93" t="s">
        <v>348</v>
      </c>
      <c r="H585" s="93" t="s">
        <v>343</v>
      </c>
      <c r="I585" s="94">
        <v>0.5</v>
      </c>
      <c r="J585" s="95">
        <v>30</v>
      </c>
    </row>
    <row r="586" spans="1:10" x14ac:dyDescent="0.25">
      <c r="A586" s="92">
        <v>45790</v>
      </c>
      <c r="B586" s="93" t="s">
        <v>326</v>
      </c>
      <c r="C586" s="89" t="s">
        <v>40</v>
      </c>
      <c r="D586" s="93" t="s">
        <v>236</v>
      </c>
      <c r="E586" s="93" t="s">
        <v>34</v>
      </c>
      <c r="F586" s="93" t="s">
        <v>357</v>
      </c>
      <c r="G586" s="93" t="s">
        <v>348</v>
      </c>
      <c r="H586" s="93" t="s">
        <v>343</v>
      </c>
      <c r="I586" s="94">
        <v>0.42</v>
      </c>
      <c r="J586" s="95">
        <v>25.2</v>
      </c>
    </row>
    <row r="587" spans="1:10" x14ac:dyDescent="0.25">
      <c r="A587" s="92">
        <v>45790</v>
      </c>
      <c r="B587" s="93" t="s">
        <v>332</v>
      </c>
      <c r="C587" s="89" t="s">
        <v>40</v>
      </c>
      <c r="D587" s="93" t="s">
        <v>314</v>
      </c>
      <c r="E587" s="93" t="s">
        <v>35</v>
      </c>
      <c r="F587" s="93" t="s">
        <v>359</v>
      </c>
      <c r="G587" s="93" t="s">
        <v>339</v>
      </c>
      <c r="H587" s="93" t="s">
        <v>352</v>
      </c>
      <c r="I587" s="94">
        <v>7.5</v>
      </c>
      <c r="J587" s="95">
        <v>300</v>
      </c>
    </row>
    <row r="588" spans="1:10" x14ac:dyDescent="0.25">
      <c r="A588" s="92">
        <v>45790</v>
      </c>
      <c r="B588" s="93" t="s">
        <v>324</v>
      </c>
      <c r="C588" s="89" t="s">
        <v>40</v>
      </c>
      <c r="D588" s="93" t="s">
        <v>314</v>
      </c>
      <c r="E588" s="93" t="s">
        <v>35</v>
      </c>
      <c r="F588" s="93" t="s">
        <v>359</v>
      </c>
      <c r="G588" s="93" t="s">
        <v>339</v>
      </c>
      <c r="H588" s="93" t="s">
        <v>352</v>
      </c>
      <c r="I588" s="94">
        <v>6.5</v>
      </c>
      <c r="J588" s="95">
        <v>487.5</v>
      </c>
    </row>
    <row r="589" spans="1:10" x14ac:dyDescent="0.25">
      <c r="A589" s="92">
        <v>45791</v>
      </c>
      <c r="B589" s="93" t="s">
        <v>329</v>
      </c>
      <c r="C589" s="89" t="s">
        <v>40</v>
      </c>
      <c r="D589" s="93" t="s">
        <v>241</v>
      </c>
      <c r="E589" s="93" t="s">
        <v>341</v>
      </c>
      <c r="F589" s="93" t="s">
        <v>403</v>
      </c>
      <c r="G589" s="93" t="s">
        <v>347</v>
      </c>
      <c r="H589" s="93" t="s">
        <v>344</v>
      </c>
      <c r="I589" s="94">
        <v>2.5</v>
      </c>
      <c r="J589" s="95">
        <v>187.5</v>
      </c>
    </row>
    <row r="590" spans="1:10" x14ac:dyDescent="0.25">
      <c r="A590" s="92">
        <v>45791</v>
      </c>
      <c r="B590" s="93" t="s">
        <v>325</v>
      </c>
      <c r="C590" s="89" t="s">
        <v>40</v>
      </c>
      <c r="D590" s="93" t="s">
        <v>198</v>
      </c>
      <c r="E590" s="93" t="s">
        <v>341</v>
      </c>
      <c r="F590" s="93" t="s">
        <v>413</v>
      </c>
      <c r="G590" s="93" t="s">
        <v>347</v>
      </c>
      <c r="H590" s="93" t="s">
        <v>344</v>
      </c>
      <c r="I590" s="94">
        <v>1.92</v>
      </c>
      <c r="J590" s="95">
        <v>144</v>
      </c>
    </row>
    <row r="591" spans="1:10" x14ac:dyDescent="0.25">
      <c r="A591" s="92">
        <v>45791</v>
      </c>
      <c r="B591" s="93" t="s">
        <v>323</v>
      </c>
      <c r="C591" s="89" t="s">
        <v>40</v>
      </c>
      <c r="D591" s="93" t="s">
        <v>168</v>
      </c>
      <c r="E591" s="93" t="s">
        <v>36</v>
      </c>
      <c r="F591" s="93" t="s">
        <v>419</v>
      </c>
      <c r="G591" s="93" t="s">
        <v>346</v>
      </c>
      <c r="H591" s="93" t="s">
        <v>342</v>
      </c>
      <c r="I591" s="94">
        <v>0.42</v>
      </c>
      <c r="J591" s="95">
        <v>25.2</v>
      </c>
    </row>
    <row r="592" spans="1:10" x14ac:dyDescent="0.25">
      <c r="A592" s="92">
        <v>45791</v>
      </c>
      <c r="B592" s="93" t="s">
        <v>323</v>
      </c>
      <c r="C592" s="89" t="s">
        <v>40</v>
      </c>
      <c r="D592" s="93" t="s">
        <v>169</v>
      </c>
      <c r="E592" s="93" t="s">
        <v>36</v>
      </c>
      <c r="F592" s="93" t="s">
        <v>433</v>
      </c>
      <c r="G592" s="93" t="s">
        <v>346</v>
      </c>
      <c r="H592" s="93" t="s">
        <v>342</v>
      </c>
      <c r="I592" s="94">
        <v>0.33</v>
      </c>
      <c r="J592" s="95">
        <v>19.8</v>
      </c>
    </row>
    <row r="593" spans="1:10" x14ac:dyDescent="0.25">
      <c r="A593" s="92">
        <v>45791</v>
      </c>
      <c r="B593" s="93" t="s">
        <v>329</v>
      </c>
      <c r="C593" s="89" t="s">
        <v>40</v>
      </c>
      <c r="D593" s="93" t="s">
        <v>316</v>
      </c>
      <c r="E593" s="93" t="s">
        <v>35</v>
      </c>
      <c r="F593" s="93" t="s">
        <v>338</v>
      </c>
      <c r="G593" s="93" t="s">
        <v>337</v>
      </c>
      <c r="H593" s="93" t="s">
        <v>352</v>
      </c>
      <c r="I593" s="94">
        <v>1.33</v>
      </c>
      <c r="J593" s="95">
        <v>99.75</v>
      </c>
    </row>
    <row r="594" spans="1:10" x14ac:dyDescent="0.25">
      <c r="A594" s="92">
        <v>45791</v>
      </c>
      <c r="B594" s="93" t="s">
        <v>333</v>
      </c>
      <c r="C594" s="89" t="s">
        <v>40</v>
      </c>
      <c r="D594" s="93" t="s">
        <v>320</v>
      </c>
      <c r="E594" s="93" t="s">
        <v>35</v>
      </c>
      <c r="F594" s="93" t="s">
        <v>322</v>
      </c>
      <c r="G594" s="93" t="s">
        <v>319</v>
      </c>
      <c r="H594" s="93" t="s">
        <v>352</v>
      </c>
      <c r="I594" s="94">
        <v>3.65</v>
      </c>
      <c r="J594" s="95">
        <v>116.8</v>
      </c>
    </row>
    <row r="595" spans="1:10" x14ac:dyDescent="0.25">
      <c r="A595" s="92">
        <v>45791</v>
      </c>
      <c r="B595" s="93" t="s">
        <v>327</v>
      </c>
      <c r="C595" s="89" t="s">
        <v>40</v>
      </c>
      <c r="D595" s="93" t="s">
        <v>320</v>
      </c>
      <c r="E595" s="93" t="s">
        <v>35</v>
      </c>
      <c r="F595" s="93" t="s">
        <v>322</v>
      </c>
      <c r="G595" s="93" t="s">
        <v>319</v>
      </c>
      <c r="H595" s="93" t="s">
        <v>352</v>
      </c>
      <c r="I595" s="94">
        <v>7.5</v>
      </c>
      <c r="J595" s="95">
        <v>240</v>
      </c>
    </row>
    <row r="596" spans="1:10" x14ac:dyDescent="0.25">
      <c r="A596" s="92">
        <v>45791</v>
      </c>
      <c r="B596" s="93" t="s">
        <v>323</v>
      </c>
      <c r="C596" s="89" t="s">
        <v>40</v>
      </c>
      <c r="D596" s="93" t="s">
        <v>232</v>
      </c>
      <c r="E596" s="93" t="s">
        <v>36</v>
      </c>
      <c r="F596" s="93" t="s">
        <v>393</v>
      </c>
      <c r="G596" s="93" t="s">
        <v>346</v>
      </c>
      <c r="H596" s="93" t="s">
        <v>342</v>
      </c>
      <c r="I596" s="94">
        <v>0.33</v>
      </c>
      <c r="J596" s="95">
        <v>19.8</v>
      </c>
    </row>
    <row r="597" spans="1:10" x14ac:dyDescent="0.25">
      <c r="A597" s="92">
        <v>45791</v>
      </c>
      <c r="B597" s="93" t="s">
        <v>323</v>
      </c>
      <c r="C597" s="89" t="s">
        <v>40</v>
      </c>
      <c r="D597" s="93" t="s">
        <v>267</v>
      </c>
      <c r="E597" s="93" t="s">
        <v>36</v>
      </c>
      <c r="F597" s="93" t="s">
        <v>436</v>
      </c>
      <c r="G597" s="93" t="s">
        <v>346</v>
      </c>
      <c r="H597" s="93" t="s">
        <v>342</v>
      </c>
      <c r="I597" s="94">
        <v>0.5</v>
      </c>
      <c r="J597" s="95">
        <v>30</v>
      </c>
    </row>
    <row r="598" spans="1:10" x14ac:dyDescent="0.25">
      <c r="A598" s="92">
        <v>45791</v>
      </c>
      <c r="B598" s="93" t="s">
        <v>330</v>
      </c>
      <c r="C598" s="89" t="s">
        <v>40</v>
      </c>
      <c r="D598" s="93" t="s">
        <v>195</v>
      </c>
      <c r="E598" s="93" t="s">
        <v>34</v>
      </c>
      <c r="F598" s="93" t="s">
        <v>449</v>
      </c>
      <c r="G598" s="93" t="s">
        <v>347</v>
      </c>
      <c r="H598" s="93" t="s">
        <v>343</v>
      </c>
      <c r="I598" s="94">
        <v>0.5</v>
      </c>
      <c r="J598" s="95">
        <v>30</v>
      </c>
    </row>
    <row r="599" spans="1:10" x14ac:dyDescent="0.25">
      <c r="A599" s="92">
        <v>45791</v>
      </c>
      <c r="B599" s="93" t="s">
        <v>329</v>
      </c>
      <c r="C599" s="89" t="s">
        <v>40</v>
      </c>
      <c r="D599" s="93" t="s">
        <v>181</v>
      </c>
      <c r="E599" s="93" t="s">
        <v>34</v>
      </c>
      <c r="F599" s="93" t="s">
        <v>396</v>
      </c>
      <c r="G599" s="93" t="s">
        <v>347</v>
      </c>
      <c r="H599" s="93" t="s">
        <v>343</v>
      </c>
      <c r="I599" s="94">
        <v>0.17</v>
      </c>
      <c r="J599" s="95">
        <v>12.750000000000002</v>
      </c>
    </row>
    <row r="600" spans="1:10" x14ac:dyDescent="0.25">
      <c r="A600" s="92">
        <v>45791</v>
      </c>
      <c r="B600" s="93" t="s">
        <v>329</v>
      </c>
      <c r="C600" s="89" t="s">
        <v>40</v>
      </c>
      <c r="D600" s="93" t="s">
        <v>186</v>
      </c>
      <c r="E600" s="93" t="s">
        <v>34</v>
      </c>
      <c r="F600" s="93" t="s">
        <v>397</v>
      </c>
      <c r="G600" s="93" t="s">
        <v>347</v>
      </c>
      <c r="H600" s="93" t="s">
        <v>343</v>
      </c>
      <c r="I600" s="94">
        <v>0.08</v>
      </c>
      <c r="J600" s="95">
        <v>6</v>
      </c>
    </row>
    <row r="601" spans="1:10" x14ac:dyDescent="0.25">
      <c r="A601" s="92">
        <v>45791</v>
      </c>
      <c r="B601" s="93" t="s">
        <v>329</v>
      </c>
      <c r="C601" s="89" t="s">
        <v>40</v>
      </c>
      <c r="D601" s="93" t="s">
        <v>301</v>
      </c>
      <c r="E601" s="93" t="s">
        <v>34</v>
      </c>
      <c r="F601" s="93" t="s">
        <v>371</v>
      </c>
      <c r="G601" s="93" t="s">
        <v>347</v>
      </c>
      <c r="H601" s="93" t="s">
        <v>343</v>
      </c>
      <c r="I601" s="94">
        <v>0.5</v>
      </c>
      <c r="J601" s="95">
        <v>37.5</v>
      </c>
    </row>
    <row r="602" spans="1:10" x14ac:dyDescent="0.25">
      <c r="A602" s="92">
        <v>45791</v>
      </c>
      <c r="B602" s="93" t="s">
        <v>329</v>
      </c>
      <c r="C602" s="89" t="s">
        <v>40</v>
      </c>
      <c r="D602" s="93" t="s">
        <v>221</v>
      </c>
      <c r="E602" s="93" t="s">
        <v>34</v>
      </c>
      <c r="F602" s="93" t="s">
        <v>369</v>
      </c>
      <c r="G602" s="93" t="s">
        <v>347</v>
      </c>
      <c r="H602" s="93" t="s">
        <v>343</v>
      </c>
      <c r="I602" s="94">
        <v>0.17</v>
      </c>
      <c r="J602" s="95">
        <v>12.750000000000002</v>
      </c>
    </row>
    <row r="603" spans="1:10" x14ac:dyDescent="0.25">
      <c r="A603" s="92">
        <v>45791</v>
      </c>
      <c r="B603" s="93" t="s">
        <v>329</v>
      </c>
      <c r="C603" s="89" t="s">
        <v>40</v>
      </c>
      <c r="D603" s="93" t="s">
        <v>303</v>
      </c>
      <c r="E603" s="93" t="s">
        <v>34</v>
      </c>
      <c r="F603" s="93" t="s">
        <v>400</v>
      </c>
      <c r="G603" s="93" t="s">
        <v>347</v>
      </c>
      <c r="H603" s="93" t="s">
        <v>343</v>
      </c>
      <c r="I603" s="94">
        <v>0.25</v>
      </c>
      <c r="J603" s="95">
        <v>18.75</v>
      </c>
    </row>
    <row r="604" spans="1:10" x14ac:dyDescent="0.25">
      <c r="A604" s="92">
        <v>45791</v>
      </c>
      <c r="B604" s="93" t="s">
        <v>329</v>
      </c>
      <c r="C604" s="89" t="s">
        <v>40</v>
      </c>
      <c r="D604" s="93" t="s">
        <v>242</v>
      </c>
      <c r="E604" s="93" t="s">
        <v>34</v>
      </c>
      <c r="F604" s="93" t="s">
        <v>404</v>
      </c>
      <c r="G604" s="93" t="s">
        <v>347</v>
      </c>
      <c r="H604" s="93" t="s">
        <v>343</v>
      </c>
      <c r="I604" s="94">
        <v>0.08</v>
      </c>
      <c r="J604" s="95">
        <v>6</v>
      </c>
    </row>
    <row r="605" spans="1:10" x14ac:dyDescent="0.25">
      <c r="A605" s="92">
        <v>45791</v>
      </c>
      <c r="B605" s="93" t="s">
        <v>329</v>
      </c>
      <c r="C605" s="89" t="s">
        <v>40</v>
      </c>
      <c r="D605" s="93" t="s">
        <v>259</v>
      </c>
      <c r="E605" s="93" t="s">
        <v>34</v>
      </c>
      <c r="F605" s="93" t="s">
        <v>407</v>
      </c>
      <c r="G605" s="93" t="s">
        <v>347</v>
      </c>
      <c r="H605" s="93" t="s">
        <v>343</v>
      </c>
      <c r="I605" s="94">
        <v>0.17</v>
      </c>
      <c r="J605" s="95">
        <v>12.750000000000002</v>
      </c>
    </row>
    <row r="606" spans="1:10" x14ac:dyDescent="0.25">
      <c r="A606" s="92">
        <v>45791</v>
      </c>
      <c r="B606" s="93" t="s">
        <v>329</v>
      </c>
      <c r="C606" s="89" t="s">
        <v>40</v>
      </c>
      <c r="D606" s="93" t="s">
        <v>247</v>
      </c>
      <c r="E606" s="93" t="s">
        <v>34</v>
      </c>
      <c r="F606" s="93" t="s">
        <v>375</v>
      </c>
      <c r="G606" s="93" t="s">
        <v>347</v>
      </c>
      <c r="H606" s="93" t="s">
        <v>343</v>
      </c>
      <c r="I606" s="94">
        <v>0.5</v>
      </c>
      <c r="J606" s="95">
        <v>37.5</v>
      </c>
    </row>
    <row r="607" spans="1:10" x14ac:dyDescent="0.25">
      <c r="A607" s="92">
        <v>45791</v>
      </c>
      <c r="B607" s="93" t="s">
        <v>329</v>
      </c>
      <c r="C607" s="89" t="s">
        <v>40</v>
      </c>
      <c r="D607" s="93" t="s">
        <v>248</v>
      </c>
      <c r="E607" s="93" t="s">
        <v>34</v>
      </c>
      <c r="F607" s="93" t="s">
        <v>385</v>
      </c>
      <c r="G607" s="93" t="s">
        <v>347</v>
      </c>
      <c r="H607" s="93" t="s">
        <v>343</v>
      </c>
      <c r="I607" s="94">
        <v>0.17</v>
      </c>
      <c r="J607" s="95">
        <v>12.750000000000002</v>
      </c>
    </row>
    <row r="608" spans="1:10" x14ac:dyDescent="0.25">
      <c r="A608" s="92">
        <v>45791</v>
      </c>
      <c r="B608" s="93" t="s">
        <v>325</v>
      </c>
      <c r="C608" s="89" t="s">
        <v>40</v>
      </c>
      <c r="D608" s="93" t="s">
        <v>278</v>
      </c>
      <c r="E608" s="93" t="s">
        <v>34</v>
      </c>
      <c r="F608" s="93" t="s">
        <v>452</v>
      </c>
      <c r="G608" s="93" t="s">
        <v>347</v>
      </c>
      <c r="H608" s="93" t="s">
        <v>343</v>
      </c>
      <c r="I608" s="94">
        <v>0.25</v>
      </c>
      <c r="J608" s="95">
        <v>18.75</v>
      </c>
    </row>
    <row r="609" spans="1:10" x14ac:dyDescent="0.25">
      <c r="A609" s="92">
        <v>45791</v>
      </c>
      <c r="B609" s="93" t="s">
        <v>325</v>
      </c>
      <c r="C609" s="89" t="s">
        <v>40</v>
      </c>
      <c r="D609" s="93" t="s">
        <v>249</v>
      </c>
      <c r="E609" s="93" t="s">
        <v>341</v>
      </c>
      <c r="F609" s="93" t="s">
        <v>409</v>
      </c>
      <c r="G609" s="93" t="s">
        <v>347</v>
      </c>
      <c r="H609" s="93" t="s">
        <v>344</v>
      </c>
      <c r="I609" s="94">
        <v>0.83</v>
      </c>
      <c r="J609" s="95">
        <v>62.25</v>
      </c>
    </row>
    <row r="610" spans="1:10" x14ac:dyDescent="0.25">
      <c r="A610" s="92">
        <v>45791</v>
      </c>
      <c r="B610" s="93" t="s">
        <v>329</v>
      </c>
      <c r="C610" s="89" t="s">
        <v>40</v>
      </c>
      <c r="D610" s="93" t="s">
        <v>259</v>
      </c>
      <c r="E610" s="93" t="s">
        <v>341</v>
      </c>
      <c r="F610" s="93" t="s">
        <v>407</v>
      </c>
      <c r="G610" s="93" t="s">
        <v>347</v>
      </c>
      <c r="H610" s="93" t="s">
        <v>344</v>
      </c>
      <c r="I610" s="94">
        <v>2</v>
      </c>
      <c r="J610" s="95">
        <v>150</v>
      </c>
    </row>
    <row r="611" spans="1:10" x14ac:dyDescent="0.25">
      <c r="A611" s="92">
        <v>45791</v>
      </c>
      <c r="B611" s="93" t="s">
        <v>332</v>
      </c>
      <c r="C611" s="89" t="s">
        <v>40</v>
      </c>
      <c r="D611" s="93" t="s">
        <v>314</v>
      </c>
      <c r="E611" s="93" t="s">
        <v>35</v>
      </c>
      <c r="F611" s="93" t="s">
        <v>359</v>
      </c>
      <c r="G611" s="93" t="s">
        <v>339</v>
      </c>
      <c r="H611" s="93" t="s">
        <v>352</v>
      </c>
      <c r="I611" s="94">
        <v>8.67</v>
      </c>
      <c r="J611" s="95">
        <v>346.8</v>
      </c>
    </row>
    <row r="612" spans="1:10" x14ac:dyDescent="0.25">
      <c r="A612" s="92">
        <v>45791</v>
      </c>
      <c r="B612" s="93" t="s">
        <v>324</v>
      </c>
      <c r="C612" s="89" t="s">
        <v>40</v>
      </c>
      <c r="D612" s="93" t="s">
        <v>314</v>
      </c>
      <c r="E612" s="93" t="s">
        <v>35</v>
      </c>
      <c r="F612" s="93" t="s">
        <v>359</v>
      </c>
      <c r="G612" s="93" t="s">
        <v>339</v>
      </c>
      <c r="H612" s="93" t="s">
        <v>352</v>
      </c>
      <c r="I612" s="94">
        <v>6.75</v>
      </c>
      <c r="J612" s="95">
        <v>506.25</v>
      </c>
    </row>
    <row r="613" spans="1:10" x14ac:dyDescent="0.25">
      <c r="A613" s="92">
        <v>45792</v>
      </c>
      <c r="B613" s="93" t="s">
        <v>329</v>
      </c>
      <c r="C613" s="89" t="s">
        <v>40</v>
      </c>
      <c r="D613" s="93" t="s">
        <v>269</v>
      </c>
      <c r="E613" s="93" t="s">
        <v>34</v>
      </c>
      <c r="F613" s="93" t="s">
        <v>361</v>
      </c>
      <c r="G613" s="93" t="s">
        <v>347</v>
      </c>
      <c r="H613" s="93" t="s">
        <v>343</v>
      </c>
      <c r="I613" s="94">
        <v>0.25</v>
      </c>
      <c r="J613" s="95">
        <v>18.75</v>
      </c>
    </row>
    <row r="614" spans="1:10" x14ac:dyDescent="0.25">
      <c r="A614" s="92">
        <v>45792</v>
      </c>
      <c r="B614" s="93" t="s">
        <v>323</v>
      </c>
      <c r="C614" s="89" t="s">
        <v>40</v>
      </c>
      <c r="D614" s="93" t="s">
        <v>168</v>
      </c>
      <c r="E614" s="93" t="s">
        <v>36</v>
      </c>
      <c r="F614" s="93" t="s">
        <v>419</v>
      </c>
      <c r="G614" s="93" t="s">
        <v>346</v>
      </c>
      <c r="H614" s="93" t="s">
        <v>342</v>
      </c>
      <c r="I614" s="94">
        <v>0.33</v>
      </c>
      <c r="J614" s="95">
        <v>19.8</v>
      </c>
    </row>
    <row r="615" spans="1:10" x14ac:dyDescent="0.25">
      <c r="A615" s="92">
        <v>45792</v>
      </c>
      <c r="B615" s="93" t="s">
        <v>323</v>
      </c>
      <c r="C615" s="89" t="s">
        <v>40</v>
      </c>
      <c r="D615" s="93" t="s">
        <v>169</v>
      </c>
      <c r="E615" s="93" t="s">
        <v>36</v>
      </c>
      <c r="F615" s="93" t="s">
        <v>433</v>
      </c>
      <c r="G615" s="93" t="s">
        <v>346</v>
      </c>
      <c r="H615" s="93" t="s">
        <v>342</v>
      </c>
      <c r="I615" s="94">
        <v>0.25</v>
      </c>
      <c r="J615" s="95">
        <v>15</v>
      </c>
    </row>
    <row r="616" spans="1:10" x14ac:dyDescent="0.25">
      <c r="A616" s="92">
        <v>45792</v>
      </c>
      <c r="B616" s="93" t="s">
        <v>329</v>
      </c>
      <c r="C616" s="89" t="s">
        <v>40</v>
      </c>
      <c r="D616" s="93" t="s">
        <v>316</v>
      </c>
      <c r="E616" s="93" t="s">
        <v>35</v>
      </c>
      <c r="F616" s="93" t="s">
        <v>338</v>
      </c>
      <c r="G616" s="93" t="s">
        <v>337</v>
      </c>
      <c r="H616" s="93" t="s">
        <v>352</v>
      </c>
      <c r="I616" s="94">
        <v>1.75</v>
      </c>
      <c r="J616" s="95">
        <v>131.25</v>
      </c>
    </row>
    <row r="617" spans="1:10" x14ac:dyDescent="0.25">
      <c r="A617" s="92">
        <v>45792</v>
      </c>
      <c r="B617" s="93" t="s">
        <v>333</v>
      </c>
      <c r="C617" s="89" t="s">
        <v>40</v>
      </c>
      <c r="D617" s="93" t="s">
        <v>320</v>
      </c>
      <c r="E617" s="93" t="s">
        <v>35</v>
      </c>
      <c r="F617" s="93" t="s">
        <v>322</v>
      </c>
      <c r="G617" s="93" t="s">
        <v>319</v>
      </c>
      <c r="H617" s="93" t="s">
        <v>352</v>
      </c>
      <c r="I617" s="94">
        <v>7.53</v>
      </c>
      <c r="J617" s="95">
        <v>240.96</v>
      </c>
    </row>
    <row r="618" spans="1:10" x14ac:dyDescent="0.25">
      <c r="A618" s="92">
        <v>45792</v>
      </c>
      <c r="B618" s="93" t="s">
        <v>327</v>
      </c>
      <c r="C618" s="89" t="s">
        <v>40</v>
      </c>
      <c r="D618" s="93" t="s">
        <v>320</v>
      </c>
      <c r="E618" s="93" t="s">
        <v>35</v>
      </c>
      <c r="F618" s="93" t="s">
        <v>322</v>
      </c>
      <c r="G618" s="93" t="s">
        <v>319</v>
      </c>
      <c r="H618" s="93" t="s">
        <v>352</v>
      </c>
      <c r="I618" s="94">
        <v>7.42</v>
      </c>
      <c r="J618" s="95">
        <v>237.44</v>
      </c>
    </row>
    <row r="619" spans="1:10" x14ac:dyDescent="0.25">
      <c r="A619" s="92">
        <v>45792</v>
      </c>
      <c r="B619" s="93" t="s">
        <v>329</v>
      </c>
      <c r="C619" s="89" t="s">
        <v>40</v>
      </c>
      <c r="D619" s="93" t="s">
        <v>186</v>
      </c>
      <c r="E619" s="93" t="s">
        <v>34</v>
      </c>
      <c r="F619" s="93" t="s">
        <v>397</v>
      </c>
      <c r="G619" s="93" t="s">
        <v>347</v>
      </c>
      <c r="H619" s="93" t="s">
        <v>343</v>
      </c>
      <c r="I619" s="94">
        <v>0.17</v>
      </c>
      <c r="J619" s="95">
        <v>12.750000000000002</v>
      </c>
    </row>
    <row r="620" spans="1:10" x14ac:dyDescent="0.25">
      <c r="A620" s="92">
        <v>45792</v>
      </c>
      <c r="B620" s="93" t="s">
        <v>329</v>
      </c>
      <c r="C620" s="89" t="s">
        <v>40</v>
      </c>
      <c r="D620" s="93" t="s">
        <v>197</v>
      </c>
      <c r="E620" s="93" t="s">
        <v>34</v>
      </c>
      <c r="F620" s="93" t="s">
        <v>366</v>
      </c>
      <c r="G620" s="93" t="s">
        <v>347</v>
      </c>
      <c r="H620" s="93" t="s">
        <v>343</v>
      </c>
      <c r="I620" s="94">
        <v>0.33</v>
      </c>
      <c r="J620" s="95">
        <v>24.75</v>
      </c>
    </row>
    <row r="621" spans="1:10" x14ac:dyDescent="0.25">
      <c r="A621" s="92">
        <v>45792</v>
      </c>
      <c r="B621" s="93" t="s">
        <v>329</v>
      </c>
      <c r="C621" s="89" t="s">
        <v>40</v>
      </c>
      <c r="D621" s="93" t="s">
        <v>301</v>
      </c>
      <c r="E621" s="93" t="s">
        <v>34</v>
      </c>
      <c r="F621" s="93" t="s">
        <v>371</v>
      </c>
      <c r="G621" s="93" t="s">
        <v>347</v>
      </c>
      <c r="H621" s="93" t="s">
        <v>343</v>
      </c>
      <c r="I621" s="94">
        <v>0.08</v>
      </c>
      <c r="J621" s="95">
        <v>6</v>
      </c>
    </row>
    <row r="622" spans="1:10" x14ac:dyDescent="0.25">
      <c r="A622" s="92">
        <v>45792</v>
      </c>
      <c r="B622" s="93" t="s">
        <v>329</v>
      </c>
      <c r="C622" s="89" t="s">
        <v>40</v>
      </c>
      <c r="D622" s="93" t="s">
        <v>241</v>
      </c>
      <c r="E622" s="93" t="s">
        <v>34</v>
      </c>
      <c r="F622" s="93" t="s">
        <v>403</v>
      </c>
      <c r="G622" s="93" t="s">
        <v>347</v>
      </c>
      <c r="H622" s="93" t="s">
        <v>343</v>
      </c>
      <c r="I622" s="94">
        <v>1.25</v>
      </c>
      <c r="J622" s="95">
        <v>93.75</v>
      </c>
    </row>
    <row r="623" spans="1:10" x14ac:dyDescent="0.25">
      <c r="A623" s="92">
        <v>45792</v>
      </c>
      <c r="B623" s="93" t="s">
        <v>329</v>
      </c>
      <c r="C623" s="89" t="s">
        <v>40</v>
      </c>
      <c r="D623" s="93" t="s">
        <v>242</v>
      </c>
      <c r="E623" s="93" t="s">
        <v>34</v>
      </c>
      <c r="F623" s="93" t="s">
        <v>404</v>
      </c>
      <c r="G623" s="93" t="s">
        <v>347</v>
      </c>
      <c r="H623" s="93" t="s">
        <v>343</v>
      </c>
      <c r="I623" s="94">
        <v>0.08</v>
      </c>
      <c r="J623" s="95">
        <v>6</v>
      </c>
    </row>
    <row r="624" spans="1:10" x14ac:dyDescent="0.25">
      <c r="A624" s="92">
        <v>45792</v>
      </c>
      <c r="B624" s="93" t="s">
        <v>329</v>
      </c>
      <c r="C624" s="89" t="s">
        <v>40</v>
      </c>
      <c r="D624" s="93" t="s">
        <v>259</v>
      </c>
      <c r="E624" s="93" t="s">
        <v>34</v>
      </c>
      <c r="F624" s="93" t="s">
        <v>407</v>
      </c>
      <c r="G624" s="93" t="s">
        <v>347</v>
      </c>
      <c r="H624" s="93" t="s">
        <v>343</v>
      </c>
      <c r="I624" s="94">
        <v>1.67</v>
      </c>
      <c r="J624" s="95">
        <v>125.25</v>
      </c>
    </row>
    <row r="625" spans="1:10" x14ac:dyDescent="0.25">
      <c r="A625" s="92">
        <v>45792</v>
      </c>
      <c r="B625" s="93" t="s">
        <v>332</v>
      </c>
      <c r="C625" s="89" t="s">
        <v>40</v>
      </c>
      <c r="D625" s="93" t="s">
        <v>314</v>
      </c>
      <c r="E625" s="93" t="s">
        <v>35</v>
      </c>
      <c r="F625" s="93" t="s">
        <v>359</v>
      </c>
      <c r="G625" s="93" t="s">
        <v>339</v>
      </c>
      <c r="H625" s="93" t="s">
        <v>352</v>
      </c>
      <c r="I625" s="94">
        <v>8.5</v>
      </c>
      <c r="J625" s="95">
        <v>340</v>
      </c>
    </row>
    <row r="626" spans="1:10" x14ac:dyDescent="0.25">
      <c r="A626" s="92">
        <v>45792</v>
      </c>
      <c r="B626" s="93" t="s">
        <v>324</v>
      </c>
      <c r="C626" s="89" t="s">
        <v>40</v>
      </c>
      <c r="D626" s="93" t="s">
        <v>314</v>
      </c>
      <c r="E626" s="93" t="s">
        <v>35</v>
      </c>
      <c r="F626" s="93" t="s">
        <v>359</v>
      </c>
      <c r="G626" s="93" t="s">
        <v>339</v>
      </c>
      <c r="H626" s="93" t="s">
        <v>352</v>
      </c>
      <c r="I626" s="94">
        <v>5.75</v>
      </c>
      <c r="J626" s="95">
        <v>431.25</v>
      </c>
    </row>
    <row r="627" spans="1:10" x14ac:dyDescent="0.25">
      <c r="A627" s="92">
        <v>45793</v>
      </c>
      <c r="B627" s="93" t="s">
        <v>323</v>
      </c>
      <c r="C627" s="89" t="s">
        <v>40</v>
      </c>
      <c r="D627" s="93" t="s">
        <v>201</v>
      </c>
      <c r="E627" s="93" t="s">
        <v>36</v>
      </c>
      <c r="F627" s="93" t="s">
        <v>395</v>
      </c>
      <c r="G627" s="93" t="s">
        <v>346</v>
      </c>
      <c r="H627" s="93" t="s">
        <v>342</v>
      </c>
      <c r="I627" s="94">
        <v>0.25</v>
      </c>
      <c r="J627" s="95">
        <v>15</v>
      </c>
    </row>
    <row r="628" spans="1:10" x14ac:dyDescent="0.25">
      <c r="A628" s="92">
        <v>45793</v>
      </c>
      <c r="B628" s="93" t="s">
        <v>329</v>
      </c>
      <c r="C628" s="89" t="s">
        <v>40</v>
      </c>
      <c r="D628" s="93" t="s">
        <v>316</v>
      </c>
      <c r="E628" s="93" t="s">
        <v>35</v>
      </c>
      <c r="F628" s="93" t="s">
        <v>338</v>
      </c>
      <c r="G628" s="93" t="s">
        <v>337</v>
      </c>
      <c r="H628" s="93" t="s">
        <v>352</v>
      </c>
      <c r="I628" s="94">
        <v>0.5</v>
      </c>
      <c r="J628" s="95">
        <v>37.5</v>
      </c>
    </row>
    <row r="629" spans="1:10" x14ac:dyDescent="0.25">
      <c r="A629" s="92">
        <v>45793</v>
      </c>
      <c r="B629" s="93" t="s">
        <v>333</v>
      </c>
      <c r="C629" s="89" t="s">
        <v>40</v>
      </c>
      <c r="D629" s="93" t="s">
        <v>320</v>
      </c>
      <c r="E629" s="93" t="s">
        <v>35</v>
      </c>
      <c r="F629" s="93" t="s">
        <v>322</v>
      </c>
      <c r="G629" s="93" t="s">
        <v>319</v>
      </c>
      <c r="H629" s="93" t="s">
        <v>352</v>
      </c>
      <c r="I629" s="94">
        <v>7.7</v>
      </c>
      <c r="J629" s="95">
        <v>246.4</v>
      </c>
    </row>
    <row r="630" spans="1:10" x14ac:dyDescent="0.25">
      <c r="A630" s="92">
        <v>45793</v>
      </c>
      <c r="B630" s="93" t="s">
        <v>327</v>
      </c>
      <c r="C630" s="89" t="s">
        <v>40</v>
      </c>
      <c r="D630" s="93" t="s">
        <v>320</v>
      </c>
      <c r="E630" s="93" t="s">
        <v>35</v>
      </c>
      <c r="F630" s="93" t="s">
        <v>322</v>
      </c>
      <c r="G630" s="93" t="s">
        <v>319</v>
      </c>
      <c r="H630" s="93" t="s">
        <v>352</v>
      </c>
      <c r="I630" s="94">
        <v>7.17</v>
      </c>
      <c r="J630" s="95">
        <v>229.44</v>
      </c>
    </row>
    <row r="631" spans="1:10" x14ac:dyDescent="0.25">
      <c r="A631" s="92">
        <v>45793</v>
      </c>
      <c r="B631" s="93" t="s">
        <v>330</v>
      </c>
      <c r="C631" s="89" t="s">
        <v>40</v>
      </c>
      <c r="D631" s="93" t="s">
        <v>196</v>
      </c>
      <c r="E631" s="93" t="s">
        <v>34</v>
      </c>
      <c r="F631" s="93" t="s">
        <v>446</v>
      </c>
      <c r="G631" s="93" t="s">
        <v>347</v>
      </c>
      <c r="H631" s="93" t="s">
        <v>343</v>
      </c>
      <c r="I631" s="94">
        <v>0.25</v>
      </c>
      <c r="J631" s="95">
        <v>15</v>
      </c>
    </row>
    <row r="632" spans="1:10" x14ac:dyDescent="0.25">
      <c r="A632" s="92">
        <v>45793</v>
      </c>
      <c r="B632" s="93" t="s">
        <v>329</v>
      </c>
      <c r="C632" s="89" t="s">
        <v>40</v>
      </c>
      <c r="D632" s="93" t="s">
        <v>197</v>
      </c>
      <c r="E632" s="93" t="s">
        <v>34</v>
      </c>
      <c r="F632" s="93" t="s">
        <v>366</v>
      </c>
      <c r="G632" s="93" t="s">
        <v>347</v>
      </c>
      <c r="H632" s="93" t="s">
        <v>343</v>
      </c>
      <c r="I632" s="94">
        <v>0.08</v>
      </c>
      <c r="J632" s="95">
        <v>6</v>
      </c>
    </row>
    <row r="633" spans="1:10" x14ac:dyDescent="0.25">
      <c r="A633" s="92">
        <v>45793</v>
      </c>
      <c r="B633" s="93" t="s">
        <v>329</v>
      </c>
      <c r="C633" s="89" t="s">
        <v>40</v>
      </c>
      <c r="D633" s="93" t="s">
        <v>221</v>
      </c>
      <c r="E633" s="93" t="s">
        <v>34</v>
      </c>
      <c r="F633" s="93" t="s">
        <v>369</v>
      </c>
      <c r="G633" s="93" t="s">
        <v>347</v>
      </c>
      <c r="H633" s="93" t="s">
        <v>343</v>
      </c>
      <c r="I633" s="94">
        <v>0.33</v>
      </c>
      <c r="J633" s="95">
        <v>24.75</v>
      </c>
    </row>
    <row r="634" spans="1:10" x14ac:dyDescent="0.25">
      <c r="A634" s="92">
        <v>45793</v>
      </c>
      <c r="B634" s="93" t="s">
        <v>330</v>
      </c>
      <c r="C634" s="89" t="s">
        <v>40</v>
      </c>
      <c r="D634" s="93" t="s">
        <v>225</v>
      </c>
      <c r="E634" s="93" t="s">
        <v>34</v>
      </c>
      <c r="F634" s="93" t="s">
        <v>365</v>
      </c>
      <c r="G634" s="93" t="s">
        <v>347</v>
      </c>
      <c r="H634" s="93" t="s">
        <v>343</v>
      </c>
      <c r="I634" s="94">
        <v>0.25</v>
      </c>
      <c r="J634" s="95">
        <v>15</v>
      </c>
    </row>
    <row r="635" spans="1:10" x14ac:dyDescent="0.25">
      <c r="A635" s="92">
        <v>45793</v>
      </c>
      <c r="B635" s="93" t="s">
        <v>329</v>
      </c>
      <c r="C635" s="89" t="s">
        <v>40</v>
      </c>
      <c r="D635" s="93" t="s">
        <v>241</v>
      </c>
      <c r="E635" s="93" t="s">
        <v>34</v>
      </c>
      <c r="F635" s="93" t="s">
        <v>403</v>
      </c>
      <c r="G635" s="93" t="s">
        <v>347</v>
      </c>
      <c r="H635" s="93" t="s">
        <v>343</v>
      </c>
      <c r="I635" s="94">
        <v>0.5</v>
      </c>
      <c r="J635" s="95">
        <v>37.5</v>
      </c>
    </row>
    <row r="636" spans="1:10" x14ac:dyDescent="0.25">
      <c r="A636" s="92">
        <v>45793</v>
      </c>
      <c r="B636" s="93" t="s">
        <v>329</v>
      </c>
      <c r="C636" s="89" t="s">
        <v>40</v>
      </c>
      <c r="D636" s="93" t="s">
        <v>242</v>
      </c>
      <c r="E636" s="93" t="s">
        <v>34</v>
      </c>
      <c r="F636" s="93" t="s">
        <v>404</v>
      </c>
      <c r="G636" s="93" t="s">
        <v>347</v>
      </c>
      <c r="H636" s="93" t="s">
        <v>343</v>
      </c>
      <c r="I636" s="94">
        <v>0.17</v>
      </c>
      <c r="J636" s="95">
        <v>12.750000000000002</v>
      </c>
    </row>
    <row r="637" spans="1:10" x14ac:dyDescent="0.25">
      <c r="A637" s="92">
        <v>45793</v>
      </c>
      <c r="B637" s="93" t="s">
        <v>329</v>
      </c>
      <c r="C637" s="89" t="s">
        <v>40</v>
      </c>
      <c r="D637" s="93" t="s">
        <v>259</v>
      </c>
      <c r="E637" s="93" t="s">
        <v>34</v>
      </c>
      <c r="F637" s="93" t="s">
        <v>407</v>
      </c>
      <c r="G637" s="93" t="s">
        <v>347</v>
      </c>
      <c r="H637" s="93" t="s">
        <v>343</v>
      </c>
      <c r="I637" s="94">
        <v>1.17</v>
      </c>
      <c r="J637" s="95">
        <v>87.75</v>
      </c>
    </row>
    <row r="638" spans="1:10" x14ac:dyDescent="0.25">
      <c r="A638" s="92">
        <v>45793</v>
      </c>
      <c r="B638" s="93" t="s">
        <v>329</v>
      </c>
      <c r="C638" s="89" t="s">
        <v>40</v>
      </c>
      <c r="D638" s="93" t="s">
        <v>247</v>
      </c>
      <c r="E638" s="93" t="s">
        <v>34</v>
      </c>
      <c r="F638" s="93" t="s">
        <v>375</v>
      </c>
      <c r="G638" s="93" t="s">
        <v>347</v>
      </c>
      <c r="H638" s="93" t="s">
        <v>343</v>
      </c>
      <c r="I638" s="94">
        <v>0.33</v>
      </c>
      <c r="J638" s="95">
        <v>24.75</v>
      </c>
    </row>
    <row r="639" spans="1:10" x14ac:dyDescent="0.25">
      <c r="A639" s="92">
        <v>45793</v>
      </c>
      <c r="B639" s="93" t="s">
        <v>332</v>
      </c>
      <c r="C639" s="89" t="s">
        <v>40</v>
      </c>
      <c r="D639" s="93" t="s">
        <v>314</v>
      </c>
      <c r="E639" s="93" t="s">
        <v>35</v>
      </c>
      <c r="F639" s="93" t="s">
        <v>359</v>
      </c>
      <c r="G639" s="93" t="s">
        <v>339</v>
      </c>
      <c r="H639" s="93" t="s">
        <v>352</v>
      </c>
      <c r="I639" s="94">
        <v>7.5</v>
      </c>
      <c r="J639" s="95">
        <v>300</v>
      </c>
    </row>
    <row r="640" spans="1:10" x14ac:dyDescent="0.25">
      <c r="A640" s="92">
        <v>45793</v>
      </c>
      <c r="B640" s="93" t="s">
        <v>324</v>
      </c>
      <c r="C640" s="89" t="s">
        <v>40</v>
      </c>
      <c r="D640" s="93" t="s">
        <v>314</v>
      </c>
      <c r="E640" s="93" t="s">
        <v>35</v>
      </c>
      <c r="F640" s="93" t="s">
        <v>359</v>
      </c>
      <c r="G640" s="93" t="s">
        <v>339</v>
      </c>
      <c r="H640" s="93" t="s">
        <v>352</v>
      </c>
      <c r="I640" s="94">
        <v>5.5</v>
      </c>
      <c r="J640" s="95">
        <v>412.5</v>
      </c>
    </row>
    <row r="641" spans="1:10" x14ac:dyDescent="0.25">
      <c r="A641" s="92">
        <v>45794</v>
      </c>
      <c r="B641" s="93" t="s">
        <v>332</v>
      </c>
      <c r="C641" s="89" t="s">
        <v>40</v>
      </c>
      <c r="D641" s="93" t="s">
        <v>314</v>
      </c>
      <c r="E641" s="93" t="s">
        <v>35</v>
      </c>
      <c r="F641" s="93" t="s">
        <v>359</v>
      </c>
      <c r="G641" s="93" t="s">
        <v>339</v>
      </c>
      <c r="H641" s="93" t="s">
        <v>352</v>
      </c>
      <c r="I641" s="94">
        <v>4</v>
      </c>
      <c r="J641" s="95">
        <v>160</v>
      </c>
    </row>
    <row r="642" spans="1:10" x14ac:dyDescent="0.25">
      <c r="A642" s="92">
        <v>45796</v>
      </c>
      <c r="B642" s="93" t="s">
        <v>329</v>
      </c>
      <c r="C642" s="89" t="s">
        <v>40</v>
      </c>
      <c r="D642" s="93" t="s">
        <v>242</v>
      </c>
      <c r="E642" s="93" t="s">
        <v>341</v>
      </c>
      <c r="F642" s="93" t="s">
        <v>404</v>
      </c>
      <c r="G642" s="93" t="s">
        <v>347</v>
      </c>
      <c r="H642" s="93" t="s">
        <v>344</v>
      </c>
      <c r="I642" s="94">
        <v>3.25</v>
      </c>
      <c r="J642" s="95">
        <v>243.75</v>
      </c>
    </row>
    <row r="643" spans="1:10" x14ac:dyDescent="0.25">
      <c r="A643" s="92">
        <v>45796</v>
      </c>
      <c r="B643" s="93" t="s">
        <v>323</v>
      </c>
      <c r="C643" s="89" t="s">
        <v>40</v>
      </c>
      <c r="D643" s="93" t="s">
        <v>201</v>
      </c>
      <c r="E643" s="93" t="s">
        <v>36</v>
      </c>
      <c r="F643" s="93" t="s">
        <v>395</v>
      </c>
      <c r="G643" s="93" t="s">
        <v>346</v>
      </c>
      <c r="H643" s="93" t="s">
        <v>342</v>
      </c>
      <c r="I643" s="94">
        <v>0.33</v>
      </c>
      <c r="J643" s="95">
        <v>19.8</v>
      </c>
    </row>
    <row r="644" spans="1:10" x14ac:dyDescent="0.25">
      <c r="A644" s="92">
        <v>45796</v>
      </c>
      <c r="B644" s="93" t="s">
        <v>323</v>
      </c>
      <c r="C644" s="89" t="s">
        <v>40</v>
      </c>
      <c r="D644" s="93" t="s">
        <v>208</v>
      </c>
      <c r="E644" s="93" t="s">
        <v>36</v>
      </c>
      <c r="F644" s="93" t="s">
        <v>456</v>
      </c>
      <c r="G644" s="93" t="s">
        <v>346</v>
      </c>
      <c r="H644" s="93" t="s">
        <v>342</v>
      </c>
      <c r="I644" s="94">
        <v>0.33</v>
      </c>
      <c r="J644" s="95">
        <v>19.8</v>
      </c>
    </row>
    <row r="645" spans="1:10" x14ac:dyDescent="0.25">
      <c r="A645" s="92">
        <v>45796</v>
      </c>
      <c r="B645" s="93" t="s">
        <v>333</v>
      </c>
      <c r="C645" s="89" t="s">
        <v>40</v>
      </c>
      <c r="D645" s="93" t="s">
        <v>320</v>
      </c>
      <c r="E645" s="93" t="s">
        <v>35</v>
      </c>
      <c r="F645" s="93" t="s">
        <v>322</v>
      </c>
      <c r="G645" s="93" t="s">
        <v>319</v>
      </c>
      <c r="H645" s="93" t="s">
        <v>352</v>
      </c>
      <c r="I645" s="94">
        <v>5.7</v>
      </c>
      <c r="J645" s="95">
        <v>182.4</v>
      </c>
    </row>
    <row r="646" spans="1:10" x14ac:dyDescent="0.25">
      <c r="A646" s="92">
        <v>45796</v>
      </c>
      <c r="B646" s="93" t="s">
        <v>327</v>
      </c>
      <c r="C646" s="89" t="s">
        <v>40</v>
      </c>
      <c r="D646" s="93" t="s">
        <v>320</v>
      </c>
      <c r="E646" s="93" t="s">
        <v>35</v>
      </c>
      <c r="F646" s="93" t="s">
        <v>322</v>
      </c>
      <c r="G646" s="93" t="s">
        <v>319</v>
      </c>
      <c r="H646" s="93" t="s">
        <v>352</v>
      </c>
      <c r="I646" s="94">
        <v>7.5</v>
      </c>
      <c r="J646" s="95">
        <v>240</v>
      </c>
    </row>
    <row r="647" spans="1:10" x14ac:dyDescent="0.25">
      <c r="A647" s="92">
        <v>45796</v>
      </c>
      <c r="B647" s="93" t="s">
        <v>323</v>
      </c>
      <c r="C647" s="89" t="s">
        <v>40</v>
      </c>
      <c r="D647" s="93" t="s">
        <v>245</v>
      </c>
      <c r="E647" s="93" t="s">
        <v>36</v>
      </c>
      <c r="F647" s="93" t="s">
        <v>435</v>
      </c>
      <c r="G647" s="93" t="s">
        <v>346</v>
      </c>
      <c r="H647" s="93" t="s">
        <v>342</v>
      </c>
      <c r="I647" s="94">
        <v>0.5</v>
      </c>
      <c r="J647" s="95">
        <v>30</v>
      </c>
    </row>
    <row r="648" spans="1:10" x14ac:dyDescent="0.25">
      <c r="A648" s="92">
        <v>45796</v>
      </c>
      <c r="B648" s="93" t="s">
        <v>323</v>
      </c>
      <c r="C648" s="89" t="s">
        <v>40</v>
      </c>
      <c r="D648" s="93" t="s">
        <v>266</v>
      </c>
      <c r="E648" s="93" t="s">
        <v>36</v>
      </c>
      <c r="F648" s="93" t="s">
        <v>394</v>
      </c>
      <c r="G648" s="93" t="s">
        <v>346</v>
      </c>
      <c r="H648" s="93" t="s">
        <v>342</v>
      </c>
      <c r="I648" s="94">
        <v>0.25</v>
      </c>
      <c r="J648" s="95">
        <v>15</v>
      </c>
    </row>
    <row r="649" spans="1:10" x14ac:dyDescent="0.25">
      <c r="A649" s="92">
        <v>45796</v>
      </c>
      <c r="B649" s="93" t="s">
        <v>329</v>
      </c>
      <c r="C649" s="89" t="s">
        <v>40</v>
      </c>
      <c r="D649" s="93" t="s">
        <v>186</v>
      </c>
      <c r="E649" s="93" t="s">
        <v>34</v>
      </c>
      <c r="F649" s="93" t="s">
        <v>397</v>
      </c>
      <c r="G649" s="93" t="s">
        <v>347</v>
      </c>
      <c r="H649" s="93" t="s">
        <v>343</v>
      </c>
      <c r="I649" s="94">
        <v>0.08</v>
      </c>
      <c r="J649" s="95">
        <v>6</v>
      </c>
    </row>
    <row r="650" spans="1:10" x14ac:dyDescent="0.25">
      <c r="A650" s="92">
        <v>45796</v>
      </c>
      <c r="B650" s="93" t="s">
        <v>329</v>
      </c>
      <c r="C650" s="89" t="s">
        <v>40</v>
      </c>
      <c r="D650" s="93" t="s">
        <v>197</v>
      </c>
      <c r="E650" s="93" t="s">
        <v>34</v>
      </c>
      <c r="F650" s="93" t="s">
        <v>366</v>
      </c>
      <c r="G650" s="93" t="s">
        <v>347</v>
      </c>
      <c r="H650" s="93" t="s">
        <v>343</v>
      </c>
      <c r="I650" s="94">
        <v>0.17</v>
      </c>
      <c r="J650" s="95">
        <v>12.750000000000002</v>
      </c>
    </row>
    <row r="651" spans="1:10" x14ac:dyDescent="0.25">
      <c r="A651" s="92">
        <v>45796</v>
      </c>
      <c r="B651" s="93" t="s">
        <v>329</v>
      </c>
      <c r="C651" s="89" t="s">
        <v>40</v>
      </c>
      <c r="D651" s="93" t="s">
        <v>183</v>
      </c>
      <c r="E651" s="93" t="s">
        <v>34</v>
      </c>
      <c r="F651" s="93" t="s">
        <v>368</v>
      </c>
      <c r="G651" s="93" t="s">
        <v>347</v>
      </c>
      <c r="H651" s="93" t="s">
        <v>343</v>
      </c>
      <c r="I651" s="94">
        <v>0.08</v>
      </c>
      <c r="J651" s="95">
        <v>6</v>
      </c>
    </row>
    <row r="652" spans="1:10" x14ac:dyDescent="0.25">
      <c r="A652" s="92">
        <v>45796</v>
      </c>
      <c r="B652" s="93" t="s">
        <v>329</v>
      </c>
      <c r="C652" s="89" t="s">
        <v>40</v>
      </c>
      <c r="D652" s="93" t="s">
        <v>301</v>
      </c>
      <c r="E652" s="93" t="s">
        <v>34</v>
      </c>
      <c r="F652" s="93" t="s">
        <v>371</v>
      </c>
      <c r="G652" s="93" t="s">
        <v>347</v>
      </c>
      <c r="H652" s="93" t="s">
        <v>343</v>
      </c>
      <c r="I652" s="94">
        <v>0.08</v>
      </c>
      <c r="J652" s="95">
        <v>6</v>
      </c>
    </row>
    <row r="653" spans="1:10" x14ac:dyDescent="0.25">
      <c r="A653" s="92">
        <v>45796</v>
      </c>
      <c r="B653" s="93" t="s">
        <v>329</v>
      </c>
      <c r="C653" s="89" t="s">
        <v>40</v>
      </c>
      <c r="D653" s="93" t="s">
        <v>303</v>
      </c>
      <c r="E653" s="93" t="s">
        <v>34</v>
      </c>
      <c r="F653" s="93" t="s">
        <v>400</v>
      </c>
      <c r="G653" s="93" t="s">
        <v>347</v>
      </c>
      <c r="H653" s="93" t="s">
        <v>343</v>
      </c>
      <c r="I653" s="94">
        <v>0.08</v>
      </c>
      <c r="J653" s="95">
        <v>6</v>
      </c>
    </row>
    <row r="654" spans="1:10" x14ac:dyDescent="0.25">
      <c r="A654" s="92">
        <v>45796</v>
      </c>
      <c r="B654" s="93" t="s">
        <v>329</v>
      </c>
      <c r="C654" s="89" t="s">
        <v>40</v>
      </c>
      <c r="D654" s="93" t="s">
        <v>242</v>
      </c>
      <c r="E654" s="93" t="s">
        <v>34</v>
      </c>
      <c r="F654" s="93" t="s">
        <v>404</v>
      </c>
      <c r="G654" s="93" t="s">
        <v>347</v>
      </c>
      <c r="H654" s="93" t="s">
        <v>343</v>
      </c>
      <c r="I654" s="94">
        <v>0.17</v>
      </c>
      <c r="J654" s="95">
        <v>12.750000000000002</v>
      </c>
    </row>
    <row r="655" spans="1:10" x14ac:dyDescent="0.25">
      <c r="A655" s="92">
        <v>45796</v>
      </c>
      <c r="B655" s="93" t="s">
        <v>330</v>
      </c>
      <c r="C655" s="89" t="s">
        <v>40</v>
      </c>
      <c r="D655" s="93" t="s">
        <v>244</v>
      </c>
      <c r="E655" s="93" t="s">
        <v>34</v>
      </c>
      <c r="F655" s="93" t="s">
        <v>457</v>
      </c>
      <c r="G655" s="93" t="s">
        <v>347</v>
      </c>
      <c r="H655" s="93" t="s">
        <v>343</v>
      </c>
      <c r="I655" s="94">
        <v>0.5</v>
      </c>
      <c r="J655" s="95">
        <v>30</v>
      </c>
    </row>
    <row r="656" spans="1:10" x14ac:dyDescent="0.25">
      <c r="A656" s="92">
        <v>45796</v>
      </c>
      <c r="B656" s="93" t="s">
        <v>329</v>
      </c>
      <c r="C656" s="89" t="s">
        <v>40</v>
      </c>
      <c r="D656" s="93" t="s">
        <v>295</v>
      </c>
      <c r="E656" s="93" t="s">
        <v>34</v>
      </c>
      <c r="F656" s="93" t="s">
        <v>379</v>
      </c>
      <c r="G656" s="93" t="s">
        <v>347</v>
      </c>
      <c r="H656" s="93" t="s">
        <v>343</v>
      </c>
      <c r="I656" s="94">
        <v>0.25</v>
      </c>
      <c r="J656" s="95">
        <v>18.75</v>
      </c>
    </row>
    <row r="657" spans="1:10" x14ac:dyDescent="0.25">
      <c r="A657" s="92">
        <v>45796</v>
      </c>
      <c r="B657" s="93" t="s">
        <v>329</v>
      </c>
      <c r="C657" s="89" t="s">
        <v>40</v>
      </c>
      <c r="D657" s="93" t="s">
        <v>293</v>
      </c>
      <c r="E657" s="93" t="s">
        <v>34</v>
      </c>
      <c r="F657" s="93" t="s">
        <v>376</v>
      </c>
      <c r="G657" s="93" t="s">
        <v>347</v>
      </c>
      <c r="H657" s="93" t="s">
        <v>343</v>
      </c>
      <c r="I657" s="94">
        <v>0.17</v>
      </c>
      <c r="J657" s="95">
        <v>12.750000000000002</v>
      </c>
    </row>
    <row r="658" spans="1:10" x14ac:dyDescent="0.25">
      <c r="A658" s="92">
        <v>45796</v>
      </c>
      <c r="B658" s="93" t="s">
        <v>329</v>
      </c>
      <c r="C658" s="89" t="s">
        <v>40</v>
      </c>
      <c r="D658" s="93" t="s">
        <v>258</v>
      </c>
      <c r="E658" s="93" t="s">
        <v>34</v>
      </c>
      <c r="F658" s="93" t="s">
        <v>381</v>
      </c>
      <c r="G658" s="93" t="s">
        <v>347</v>
      </c>
      <c r="H658" s="93" t="s">
        <v>343</v>
      </c>
      <c r="I658" s="94">
        <v>0.17</v>
      </c>
      <c r="J658" s="95">
        <v>12.750000000000002</v>
      </c>
    </row>
    <row r="659" spans="1:10" x14ac:dyDescent="0.25">
      <c r="A659" s="92">
        <v>45796</v>
      </c>
      <c r="B659" s="93" t="s">
        <v>329</v>
      </c>
      <c r="C659" s="89" t="s">
        <v>40</v>
      </c>
      <c r="D659" s="93" t="s">
        <v>259</v>
      </c>
      <c r="E659" s="93" t="s">
        <v>34</v>
      </c>
      <c r="F659" s="93" t="s">
        <v>407</v>
      </c>
      <c r="G659" s="93" t="s">
        <v>347</v>
      </c>
      <c r="H659" s="93" t="s">
        <v>343</v>
      </c>
      <c r="I659" s="94">
        <v>0.33</v>
      </c>
      <c r="J659" s="95">
        <v>24.75</v>
      </c>
    </row>
    <row r="660" spans="1:10" x14ac:dyDescent="0.25">
      <c r="A660" s="92">
        <v>45796</v>
      </c>
      <c r="B660" s="93" t="s">
        <v>329</v>
      </c>
      <c r="C660" s="89" t="s">
        <v>40</v>
      </c>
      <c r="D660" s="93" t="s">
        <v>247</v>
      </c>
      <c r="E660" s="93" t="s">
        <v>34</v>
      </c>
      <c r="F660" s="93" t="s">
        <v>375</v>
      </c>
      <c r="G660" s="93" t="s">
        <v>347</v>
      </c>
      <c r="H660" s="93" t="s">
        <v>343</v>
      </c>
      <c r="I660" s="94">
        <v>0.33</v>
      </c>
      <c r="J660" s="95">
        <v>24.75</v>
      </c>
    </row>
    <row r="661" spans="1:10" x14ac:dyDescent="0.25">
      <c r="A661" s="92">
        <v>45796</v>
      </c>
      <c r="B661" s="93" t="s">
        <v>325</v>
      </c>
      <c r="C661" s="89" t="s">
        <v>40</v>
      </c>
      <c r="D661" s="93" t="s">
        <v>277</v>
      </c>
      <c r="E661" s="93" t="s">
        <v>34</v>
      </c>
      <c r="F661" s="93" t="s">
        <v>353</v>
      </c>
      <c r="G661" s="93" t="s">
        <v>347</v>
      </c>
      <c r="H661" s="93" t="s">
        <v>343</v>
      </c>
      <c r="I661" s="94">
        <v>0.17</v>
      </c>
      <c r="J661" s="95">
        <v>12.750000000000002</v>
      </c>
    </row>
    <row r="662" spans="1:10" x14ac:dyDescent="0.25">
      <c r="A662" s="92">
        <v>45796</v>
      </c>
      <c r="B662" s="93" t="s">
        <v>332</v>
      </c>
      <c r="C662" s="89" t="s">
        <v>40</v>
      </c>
      <c r="D662" s="93" t="s">
        <v>314</v>
      </c>
      <c r="E662" s="93" t="s">
        <v>35</v>
      </c>
      <c r="F662" s="93" t="s">
        <v>359</v>
      </c>
      <c r="G662" s="93" t="s">
        <v>339</v>
      </c>
      <c r="H662" s="93" t="s">
        <v>352</v>
      </c>
      <c r="I662" s="94">
        <v>8.83</v>
      </c>
      <c r="J662" s="95">
        <v>353.2</v>
      </c>
    </row>
    <row r="663" spans="1:10" x14ac:dyDescent="0.25">
      <c r="A663" s="92">
        <v>45796</v>
      </c>
      <c r="B663" s="93" t="s">
        <v>324</v>
      </c>
      <c r="C663" s="89" t="s">
        <v>40</v>
      </c>
      <c r="D663" s="93" t="s">
        <v>314</v>
      </c>
      <c r="E663" s="93" t="s">
        <v>35</v>
      </c>
      <c r="F663" s="93" t="s">
        <v>359</v>
      </c>
      <c r="G663" s="93" t="s">
        <v>339</v>
      </c>
      <c r="H663" s="93" t="s">
        <v>352</v>
      </c>
      <c r="I663" s="94">
        <v>6</v>
      </c>
      <c r="J663" s="95">
        <v>450</v>
      </c>
    </row>
    <row r="664" spans="1:10" x14ac:dyDescent="0.25">
      <c r="A664" s="92">
        <v>45797</v>
      </c>
      <c r="B664" s="93" t="s">
        <v>329</v>
      </c>
      <c r="C664" s="89" t="s">
        <v>40</v>
      </c>
      <c r="D664" s="93" t="s">
        <v>316</v>
      </c>
      <c r="E664" s="93" t="s">
        <v>35</v>
      </c>
      <c r="F664" s="93" t="s">
        <v>338</v>
      </c>
      <c r="G664" s="93" t="s">
        <v>337</v>
      </c>
      <c r="H664" s="93" t="s">
        <v>352</v>
      </c>
      <c r="I664" s="94">
        <v>3.42</v>
      </c>
      <c r="J664" s="95">
        <v>256.5</v>
      </c>
    </row>
    <row r="665" spans="1:10" x14ac:dyDescent="0.25">
      <c r="A665" s="92">
        <v>45797</v>
      </c>
      <c r="B665" s="93" t="s">
        <v>333</v>
      </c>
      <c r="C665" s="89" t="s">
        <v>40</v>
      </c>
      <c r="D665" s="93" t="s">
        <v>320</v>
      </c>
      <c r="E665" s="93" t="s">
        <v>35</v>
      </c>
      <c r="F665" s="93" t="s">
        <v>322</v>
      </c>
      <c r="G665" s="93" t="s">
        <v>319</v>
      </c>
      <c r="H665" s="93" t="s">
        <v>352</v>
      </c>
      <c r="I665" s="94">
        <v>7.5</v>
      </c>
      <c r="J665" s="95">
        <v>240</v>
      </c>
    </row>
    <row r="666" spans="1:10" x14ac:dyDescent="0.25">
      <c r="A666" s="92">
        <v>45797</v>
      </c>
      <c r="B666" s="93" t="s">
        <v>327</v>
      </c>
      <c r="C666" s="89" t="s">
        <v>40</v>
      </c>
      <c r="D666" s="93" t="s">
        <v>320</v>
      </c>
      <c r="E666" s="93" t="s">
        <v>35</v>
      </c>
      <c r="F666" s="93" t="s">
        <v>322</v>
      </c>
      <c r="G666" s="93" t="s">
        <v>319</v>
      </c>
      <c r="H666" s="93" t="s">
        <v>352</v>
      </c>
      <c r="I666" s="94">
        <v>7.25</v>
      </c>
      <c r="J666" s="95">
        <v>232</v>
      </c>
    </row>
    <row r="667" spans="1:10" x14ac:dyDescent="0.25">
      <c r="A667" s="92">
        <v>45797</v>
      </c>
      <c r="B667" s="93" t="s">
        <v>329</v>
      </c>
      <c r="C667" s="89" t="s">
        <v>40</v>
      </c>
      <c r="D667" s="93" t="s">
        <v>197</v>
      </c>
      <c r="E667" s="93" t="s">
        <v>34</v>
      </c>
      <c r="F667" s="93" t="s">
        <v>366</v>
      </c>
      <c r="G667" s="93" t="s">
        <v>347</v>
      </c>
      <c r="H667" s="93" t="s">
        <v>343</v>
      </c>
      <c r="I667" s="94">
        <v>0.25</v>
      </c>
      <c r="J667" s="95">
        <v>18.75</v>
      </c>
    </row>
    <row r="668" spans="1:10" x14ac:dyDescent="0.25">
      <c r="A668" s="92">
        <v>45797</v>
      </c>
      <c r="B668" s="93" t="s">
        <v>329</v>
      </c>
      <c r="C668" s="89" t="s">
        <v>40</v>
      </c>
      <c r="D668" s="93" t="s">
        <v>183</v>
      </c>
      <c r="E668" s="93" t="s">
        <v>34</v>
      </c>
      <c r="F668" s="93" t="s">
        <v>368</v>
      </c>
      <c r="G668" s="93" t="s">
        <v>347</v>
      </c>
      <c r="H668" s="93" t="s">
        <v>343</v>
      </c>
      <c r="I668" s="94">
        <v>0.25</v>
      </c>
      <c r="J668" s="95">
        <v>18.75</v>
      </c>
    </row>
    <row r="669" spans="1:10" x14ac:dyDescent="0.25">
      <c r="A669" s="92">
        <v>45797</v>
      </c>
      <c r="B669" s="93" t="s">
        <v>329</v>
      </c>
      <c r="C669" s="89" t="s">
        <v>40</v>
      </c>
      <c r="D669" s="93" t="s">
        <v>301</v>
      </c>
      <c r="E669" s="93" t="s">
        <v>34</v>
      </c>
      <c r="F669" s="93" t="s">
        <v>371</v>
      </c>
      <c r="G669" s="93" t="s">
        <v>347</v>
      </c>
      <c r="H669" s="93" t="s">
        <v>343</v>
      </c>
      <c r="I669" s="94">
        <v>0.17</v>
      </c>
      <c r="J669" s="95">
        <v>12.750000000000002</v>
      </c>
    </row>
    <row r="670" spans="1:10" x14ac:dyDescent="0.25">
      <c r="A670" s="92">
        <v>45797</v>
      </c>
      <c r="B670" s="93" t="s">
        <v>329</v>
      </c>
      <c r="C670" s="89" t="s">
        <v>40</v>
      </c>
      <c r="D670" s="93" t="s">
        <v>229</v>
      </c>
      <c r="E670" s="93" t="s">
        <v>34</v>
      </c>
      <c r="F670" s="93" t="s">
        <v>373</v>
      </c>
      <c r="G670" s="93" t="s">
        <v>347</v>
      </c>
      <c r="H670" s="93" t="s">
        <v>343</v>
      </c>
      <c r="I670" s="94">
        <v>0.17</v>
      </c>
      <c r="J670" s="95">
        <v>12.750000000000002</v>
      </c>
    </row>
    <row r="671" spans="1:10" x14ac:dyDescent="0.25">
      <c r="A671" s="92">
        <v>45797</v>
      </c>
      <c r="B671" s="93" t="s">
        <v>329</v>
      </c>
      <c r="C671" s="89" t="s">
        <v>40</v>
      </c>
      <c r="D671" s="93" t="s">
        <v>241</v>
      </c>
      <c r="E671" s="93" t="s">
        <v>34</v>
      </c>
      <c r="F671" s="93" t="s">
        <v>403</v>
      </c>
      <c r="G671" s="93" t="s">
        <v>347</v>
      </c>
      <c r="H671" s="93" t="s">
        <v>343</v>
      </c>
      <c r="I671" s="94">
        <v>0.33</v>
      </c>
      <c r="J671" s="95">
        <v>24.75</v>
      </c>
    </row>
    <row r="672" spans="1:10" x14ac:dyDescent="0.25">
      <c r="A672" s="92">
        <v>45797</v>
      </c>
      <c r="B672" s="93" t="s">
        <v>329</v>
      </c>
      <c r="C672" s="89" t="s">
        <v>40</v>
      </c>
      <c r="D672" s="93" t="s">
        <v>295</v>
      </c>
      <c r="E672" s="93" t="s">
        <v>34</v>
      </c>
      <c r="F672" s="93" t="s">
        <v>379</v>
      </c>
      <c r="G672" s="93" t="s">
        <v>347</v>
      </c>
      <c r="H672" s="93" t="s">
        <v>343</v>
      </c>
      <c r="I672" s="94">
        <v>0.08</v>
      </c>
      <c r="J672" s="95">
        <v>6</v>
      </c>
    </row>
    <row r="673" spans="1:10" x14ac:dyDescent="0.25">
      <c r="A673" s="92">
        <v>45797</v>
      </c>
      <c r="B673" s="93" t="s">
        <v>329</v>
      </c>
      <c r="C673" s="89" t="s">
        <v>40</v>
      </c>
      <c r="D673" s="93" t="s">
        <v>296</v>
      </c>
      <c r="E673" s="93" t="s">
        <v>34</v>
      </c>
      <c r="F673" s="93" t="s">
        <v>411</v>
      </c>
      <c r="G673" s="93" t="s">
        <v>347</v>
      </c>
      <c r="H673" s="93" t="s">
        <v>343</v>
      </c>
      <c r="I673" s="94">
        <v>0.08</v>
      </c>
      <c r="J673" s="95">
        <v>6</v>
      </c>
    </row>
    <row r="674" spans="1:10" x14ac:dyDescent="0.25">
      <c r="A674" s="92">
        <v>45797</v>
      </c>
      <c r="B674" s="93" t="s">
        <v>329</v>
      </c>
      <c r="C674" s="89" t="s">
        <v>40</v>
      </c>
      <c r="D674" s="93" t="s">
        <v>258</v>
      </c>
      <c r="E674" s="93" t="s">
        <v>34</v>
      </c>
      <c r="F674" s="93" t="s">
        <v>381</v>
      </c>
      <c r="G674" s="93" t="s">
        <v>347</v>
      </c>
      <c r="H674" s="93" t="s">
        <v>343</v>
      </c>
      <c r="I674" s="94">
        <v>0.08</v>
      </c>
      <c r="J674" s="95">
        <v>6</v>
      </c>
    </row>
    <row r="675" spans="1:10" x14ac:dyDescent="0.25">
      <c r="A675" s="92">
        <v>45797</v>
      </c>
      <c r="B675" s="93" t="s">
        <v>329</v>
      </c>
      <c r="C675" s="89" t="s">
        <v>40</v>
      </c>
      <c r="D675" s="93" t="s">
        <v>259</v>
      </c>
      <c r="E675" s="93" t="s">
        <v>34</v>
      </c>
      <c r="F675" s="93" t="s">
        <v>407</v>
      </c>
      <c r="G675" s="93" t="s">
        <v>347</v>
      </c>
      <c r="H675" s="93" t="s">
        <v>343</v>
      </c>
      <c r="I675" s="94">
        <v>0.5</v>
      </c>
      <c r="J675" s="95">
        <v>37.5</v>
      </c>
    </row>
    <row r="676" spans="1:10" x14ac:dyDescent="0.25">
      <c r="A676" s="92">
        <v>45797</v>
      </c>
      <c r="B676" s="93" t="s">
        <v>326</v>
      </c>
      <c r="C676" s="89" t="s">
        <v>40</v>
      </c>
      <c r="D676" s="93" t="s">
        <v>233</v>
      </c>
      <c r="E676" s="93" t="s">
        <v>34</v>
      </c>
      <c r="F676" s="93" t="s">
        <v>387</v>
      </c>
      <c r="G676" s="93" t="s">
        <v>348</v>
      </c>
      <c r="H676" s="93" t="s">
        <v>343</v>
      </c>
      <c r="I676" s="94">
        <v>0.75</v>
      </c>
      <c r="J676" s="95">
        <v>45</v>
      </c>
    </row>
    <row r="677" spans="1:10" x14ac:dyDescent="0.25">
      <c r="A677" s="92">
        <v>45797</v>
      </c>
      <c r="B677" s="93" t="s">
        <v>332</v>
      </c>
      <c r="C677" s="89" t="s">
        <v>40</v>
      </c>
      <c r="D677" s="93" t="s">
        <v>314</v>
      </c>
      <c r="E677" s="93" t="s">
        <v>35</v>
      </c>
      <c r="F677" s="93" t="s">
        <v>359</v>
      </c>
      <c r="G677" s="93" t="s">
        <v>339</v>
      </c>
      <c r="H677" s="93" t="s">
        <v>352</v>
      </c>
      <c r="I677" s="94">
        <v>7.83</v>
      </c>
      <c r="J677" s="95">
        <v>313.2</v>
      </c>
    </row>
    <row r="678" spans="1:10" x14ac:dyDescent="0.25">
      <c r="A678" s="92">
        <v>45797</v>
      </c>
      <c r="B678" s="93" t="s">
        <v>324</v>
      </c>
      <c r="C678" s="89" t="s">
        <v>40</v>
      </c>
      <c r="D678" s="93" t="s">
        <v>314</v>
      </c>
      <c r="E678" s="93" t="s">
        <v>35</v>
      </c>
      <c r="F678" s="93" t="s">
        <v>359</v>
      </c>
      <c r="G678" s="93" t="s">
        <v>339</v>
      </c>
      <c r="H678" s="93" t="s">
        <v>352</v>
      </c>
      <c r="I678" s="94">
        <v>0.5</v>
      </c>
      <c r="J678" s="95">
        <v>37.5</v>
      </c>
    </row>
    <row r="679" spans="1:10" x14ac:dyDescent="0.25">
      <c r="A679" s="92">
        <v>45798</v>
      </c>
      <c r="B679" s="93" t="s">
        <v>333</v>
      </c>
      <c r="C679" s="89" t="s">
        <v>40</v>
      </c>
      <c r="D679" s="93" t="s">
        <v>320</v>
      </c>
      <c r="E679" s="93" t="s">
        <v>35</v>
      </c>
      <c r="F679" s="93" t="s">
        <v>322</v>
      </c>
      <c r="G679" s="93" t="s">
        <v>319</v>
      </c>
      <c r="H679" s="93" t="s">
        <v>352</v>
      </c>
      <c r="I679" s="94">
        <v>7.08</v>
      </c>
      <c r="J679" s="95">
        <v>226.56</v>
      </c>
    </row>
    <row r="680" spans="1:10" x14ac:dyDescent="0.25">
      <c r="A680" s="92">
        <v>45798</v>
      </c>
      <c r="B680" s="93" t="s">
        <v>327</v>
      </c>
      <c r="C680" s="89" t="s">
        <v>40</v>
      </c>
      <c r="D680" s="93" t="s">
        <v>320</v>
      </c>
      <c r="E680" s="93" t="s">
        <v>35</v>
      </c>
      <c r="F680" s="93" t="s">
        <v>322</v>
      </c>
      <c r="G680" s="93" t="s">
        <v>319</v>
      </c>
      <c r="H680" s="93" t="s">
        <v>352</v>
      </c>
      <c r="I680" s="94">
        <v>6.33</v>
      </c>
      <c r="J680" s="95">
        <v>202.56</v>
      </c>
    </row>
    <row r="681" spans="1:10" x14ac:dyDescent="0.25">
      <c r="A681" s="92">
        <v>45798</v>
      </c>
      <c r="B681" s="93" t="s">
        <v>323</v>
      </c>
      <c r="C681" s="89" t="s">
        <v>40</v>
      </c>
      <c r="D681" s="93" t="s">
        <v>231</v>
      </c>
      <c r="E681" s="93" t="s">
        <v>36</v>
      </c>
      <c r="F681" s="93" t="s">
        <v>420</v>
      </c>
      <c r="G681" s="93" t="s">
        <v>346</v>
      </c>
      <c r="H681" s="93" t="s">
        <v>342</v>
      </c>
      <c r="I681" s="94">
        <v>0.25</v>
      </c>
      <c r="J681" s="95">
        <v>15</v>
      </c>
    </row>
    <row r="682" spans="1:10" x14ac:dyDescent="0.25">
      <c r="A682" s="92">
        <v>45798</v>
      </c>
      <c r="B682" s="93" t="s">
        <v>323</v>
      </c>
      <c r="C682" s="89" t="s">
        <v>40</v>
      </c>
      <c r="D682" s="93" t="s">
        <v>232</v>
      </c>
      <c r="E682" s="93" t="s">
        <v>36</v>
      </c>
      <c r="F682" s="93" t="s">
        <v>393</v>
      </c>
      <c r="G682" s="93" t="s">
        <v>346</v>
      </c>
      <c r="H682" s="93" t="s">
        <v>342</v>
      </c>
      <c r="I682" s="94">
        <v>0.25</v>
      </c>
      <c r="J682" s="95">
        <v>15</v>
      </c>
    </row>
    <row r="683" spans="1:10" x14ac:dyDescent="0.25">
      <c r="A683" s="92">
        <v>45798</v>
      </c>
      <c r="B683" s="93" t="s">
        <v>323</v>
      </c>
      <c r="C683" s="89" t="s">
        <v>40</v>
      </c>
      <c r="D683" s="93" t="s">
        <v>283</v>
      </c>
      <c r="E683" s="93" t="s">
        <v>36</v>
      </c>
      <c r="F683" s="93" t="s">
        <v>429</v>
      </c>
      <c r="G683" s="93" t="s">
        <v>346</v>
      </c>
      <c r="H683" s="93" t="s">
        <v>342</v>
      </c>
      <c r="I683" s="94">
        <v>0.25</v>
      </c>
      <c r="J683" s="95">
        <v>15</v>
      </c>
    </row>
    <row r="684" spans="1:10" x14ac:dyDescent="0.25">
      <c r="A684" s="92">
        <v>45798</v>
      </c>
      <c r="B684" s="93" t="s">
        <v>323</v>
      </c>
      <c r="C684" s="89" t="s">
        <v>40</v>
      </c>
      <c r="D684" s="93" t="s">
        <v>267</v>
      </c>
      <c r="E684" s="93" t="s">
        <v>36</v>
      </c>
      <c r="F684" s="93" t="s">
        <v>436</v>
      </c>
      <c r="G684" s="93" t="s">
        <v>346</v>
      </c>
      <c r="H684" s="93" t="s">
        <v>342</v>
      </c>
      <c r="I684" s="94">
        <v>0.25</v>
      </c>
      <c r="J684" s="95">
        <v>15</v>
      </c>
    </row>
    <row r="685" spans="1:10" x14ac:dyDescent="0.25">
      <c r="A685" s="92">
        <v>45798</v>
      </c>
      <c r="B685" s="93" t="s">
        <v>323</v>
      </c>
      <c r="C685" s="89" t="s">
        <v>40</v>
      </c>
      <c r="D685" s="93" t="s">
        <v>274</v>
      </c>
      <c r="E685" s="93" t="s">
        <v>36</v>
      </c>
      <c r="F685" s="93" t="s">
        <v>421</v>
      </c>
      <c r="G685" s="93" t="s">
        <v>346</v>
      </c>
      <c r="H685" s="93" t="s">
        <v>342</v>
      </c>
      <c r="I685" s="94">
        <v>0.25</v>
      </c>
      <c r="J685" s="95">
        <v>15</v>
      </c>
    </row>
    <row r="686" spans="1:10" x14ac:dyDescent="0.25">
      <c r="A686" s="92">
        <v>45798</v>
      </c>
      <c r="B686" s="93" t="s">
        <v>323</v>
      </c>
      <c r="C686" s="89" t="s">
        <v>40</v>
      </c>
      <c r="D686" s="93" t="s">
        <v>281</v>
      </c>
      <c r="E686" s="93" t="s">
        <v>36</v>
      </c>
      <c r="F686" s="93" t="s">
        <v>430</v>
      </c>
      <c r="G686" s="93" t="s">
        <v>346</v>
      </c>
      <c r="H686" s="93" t="s">
        <v>342</v>
      </c>
      <c r="I686" s="94">
        <v>0.25</v>
      </c>
      <c r="J686" s="95">
        <v>15</v>
      </c>
    </row>
    <row r="687" spans="1:10" x14ac:dyDescent="0.25">
      <c r="A687" s="92">
        <v>45798</v>
      </c>
      <c r="B687" s="93" t="s">
        <v>323</v>
      </c>
      <c r="C687" s="89" t="s">
        <v>40</v>
      </c>
      <c r="D687" s="93" t="s">
        <v>274</v>
      </c>
      <c r="E687" s="93" t="s">
        <v>34</v>
      </c>
      <c r="F687" s="93" t="s">
        <v>421</v>
      </c>
      <c r="G687" s="93" t="s">
        <v>346</v>
      </c>
      <c r="H687" s="93" t="s">
        <v>343</v>
      </c>
      <c r="I687" s="94">
        <v>0.25</v>
      </c>
      <c r="J687" s="95">
        <v>15</v>
      </c>
    </row>
    <row r="688" spans="1:10" x14ac:dyDescent="0.25">
      <c r="A688" s="92">
        <v>45798</v>
      </c>
      <c r="B688" s="93" t="s">
        <v>330</v>
      </c>
      <c r="C688" s="89" t="s">
        <v>40</v>
      </c>
      <c r="D688" s="93" t="s">
        <v>199</v>
      </c>
      <c r="E688" s="93" t="s">
        <v>34</v>
      </c>
      <c r="F688" s="93" t="s">
        <v>414</v>
      </c>
      <c r="G688" s="93" t="s">
        <v>347</v>
      </c>
      <c r="H688" s="93" t="s">
        <v>343</v>
      </c>
      <c r="I688" s="94">
        <v>0.5</v>
      </c>
      <c r="J688" s="95">
        <v>30</v>
      </c>
    </row>
    <row r="689" spans="1:10" x14ac:dyDescent="0.25">
      <c r="A689" s="92">
        <v>45798</v>
      </c>
      <c r="B689" s="93" t="s">
        <v>325</v>
      </c>
      <c r="C689" s="89" t="s">
        <v>40</v>
      </c>
      <c r="D689" s="93" t="s">
        <v>179</v>
      </c>
      <c r="E689" s="93" t="s">
        <v>34</v>
      </c>
      <c r="F689" s="93" t="s">
        <v>422</v>
      </c>
      <c r="G689" s="93" t="s">
        <v>347</v>
      </c>
      <c r="H689" s="93" t="s">
        <v>343</v>
      </c>
      <c r="I689" s="94">
        <v>0.25</v>
      </c>
      <c r="J689" s="95">
        <v>18.75</v>
      </c>
    </row>
    <row r="690" spans="1:10" x14ac:dyDescent="0.25">
      <c r="A690" s="92">
        <v>45798</v>
      </c>
      <c r="B690" s="93" t="s">
        <v>325</v>
      </c>
      <c r="C690" s="89" t="s">
        <v>40</v>
      </c>
      <c r="D690" s="93" t="s">
        <v>262</v>
      </c>
      <c r="E690" s="93" t="s">
        <v>34</v>
      </c>
      <c r="F690" s="93" t="s">
        <v>442</v>
      </c>
      <c r="G690" s="93" t="s">
        <v>347</v>
      </c>
      <c r="H690" s="93" t="s">
        <v>343</v>
      </c>
      <c r="I690" s="94">
        <v>0.17</v>
      </c>
      <c r="J690" s="95">
        <v>12.750000000000002</v>
      </c>
    </row>
    <row r="691" spans="1:10" x14ac:dyDescent="0.25">
      <c r="A691" s="92">
        <v>45798</v>
      </c>
      <c r="B691" s="93" t="s">
        <v>325</v>
      </c>
      <c r="C691" s="89" t="s">
        <v>40</v>
      </c>
      <c r="D691" s="93" t="s">
        <v>249</v>
      </c>
      <c r="E691" s="93" t="s">
        <v>34</v>
      </c>
      <c r="F691" s="93" t="s">
        <v>409</v>
      </c>
      <c r="G691" s="93" t="s">
        <v>347</v>
      </c>
      <c r="H691" s="93" t="s">
        <v>343</v>
      </c>
      <c r="I691" s="94">
        <v>0.42</v>
      </c>
      <c r="J691" s="95">
        <v>31.5</v>
      </c>
    </row>
    <row r="692" spans="1:10" x14ac:dyDescent="0.25">
      <c r="A692" s="92">
        <v>45798</v>
      </c>
      <c r="B692" s="93" t="s">
        <v>325</v>
      </c>
      <c r="C692" s="89" t="s">
        <v>40</v>
      </c>
      <c r="D692" s="93" t="s">
        <v>278</v>
      </c>
      <c r="E692" s="93" t="s">
        <v>34</v>
      </c>
      <c r="F692" s="93" t="s">
        <v>452</v>
      </c>
      <c r="G692" s="93" t="s">
        <v>347</v>
      </c>
      <c r="H692" s="93" t="s">
        <v>343</v>
      </c>
      <c r="I692" s="94">
        <v>0.17</v>
      </c>
      <c r="J692" s="95">
        <v>12.750000000000002</v>
      </c>
    </row>
    <row r="693" spans="1:10" x14ac:dyDescent="0.25">
      <c r="A693" s="92">
        <v>45798</v>
      </c>
      <c r="B693" s="93" t="s">
        <v>326</v>
      </c>
      <c r="C693" s="89" t="s">
        <v>40</v>
      </c>
      <c r="D693" s="93" t="s">
        <v>233</v>
      </c>
      <c r="E693" s="93" t="s">
        <v>34</v>
      </c>
      <c r="F693" s="93" t="s">
        <v>387</v>
      </c>
      <c r="G693" s="93" t="s">
        <v>348</v>
      </c>
      <c r="H693" s="93" t="s">
        <v>343</v>
      </c>
      <c r="I693" s="94">
        <v>1</v>
      </c>
      <c r="J693" s="95">
        <v>60</v>
      </c>
    </row>
    <row r="694" spans="1:10" x14ac:dyDescent="0.25">
      <c r="A694" s="92">
        <v>45798</v>
      </c>
      <c r="B694" s="93" t="s">
        <v>332</v>
      </c>
      <c r="C694" s="89" t="s">
        <v>40</v>
      </c>
      <c r="D694" s="93" t="s">
        <v>314</v>
      </c>
      <c r="E694" s="93" t="s">
        <v>35</v>
      </c>
      <c r="F694" s="93" t="s">
        <v>359</v>
      </c>
      <c r="G694" s="93" t="s">
        <v>339</v>
      </c>
      <c r="H694" s="93" t="s">
        <v>352</v>
      </c>
      <c r="I694" s="94">
        <v>7.5</v>
      </c>
      <c r="J694" s="95">
        <v>300</v>
      </c>
    </row>
    <row r="695" spans="1:10" x14ac:dyDescent="0.25">
      <c r="A695" s="92">
        <v>45798</v>
      </c>
      <c r="B695" s="93" t="s">
        <v>324</v>
      </c>
      <c r="C695" s="89" t="s">
        <v>40</v>
      </c>
      <c r="D695" s="93" t="s">
        <v>314</v>
      </c>
      <c r="E695" s="93" t="s">
        <v>35</v>
      </c>
      <c r="F695" s="93" t="s">
        <v>359</v>
      </c>
      <c r="G695" s="93" t="s">
        <v>339</v>
      </c>
      <c r="H695" s="93" t="s">
        <v>352</v>
      </c>
      <c r="I695" s="94">
        <v>7</v>
      </c>
      <c r="J695" s="95">
        <v>525</v>
      </c>
    </row>
    <row r="696" spans="1:10" x14ac:dyDescent="0.25">
      <c r="A696" s="92">
        <v>45799</v>
      </c>
      <c r="B696" s="93" t="s">
        <v>323</v>
      </c>
      <c r="C696" s="89" t="s">
        <v>40</v>
      </c>
      <c r="D696" s="93" t="s">
        <v>201</v>
      </c>
      <c r="E696" s="93" t="s">
        <v>36</v>
      </c>
      <c r="F696" s="93" t="s">
        <v>395</v>
      </c>
      <c r="G696" s="93" t="s">
        <v>346</v>
      </c>
      <c r="H696" s="93" t="s">
        <v>342</v>
      </c>
      <c r="I696" s="94">
        <v>0.17</v>
      </c>
      <c r="J696" s="95">
        <v>10.200000000000001</v>
      </c>
    </row>
    <row r="697" spans="1:10" x14ac:dyDescent="0.25">
      <c r="A697" s="92">
        <v>45799</v>
      </c>
      <c r="B697" s="93" t="s">
        <v>329</v>
      </c>
      <c r="C697" s="89" t="s">
        <v>40</v>
      </c>
      <c r="D697" s="93" t="s">
        <v>316</v>
      </c>
      <c r="E697" s="93" t="s">
        <v>35</v>
      </c>
      <c r="F697" s="93" t="s">
        <v>338</v>
      </c>
      <c r="G697" s="93" t="s">
        <v>337</v>
      </c>
      <c r="H697" s="93" t="s">
        <v>352</v>
      </c>
      <c r="I697" s="94">
        <v>1.17</v>
      </c>
      <c r="J697" s="95">
        <v>87.75</v>
      </c>
    </row>
    <row r="698" spans="1:10" x14ac:dyDescent="0.25">
      <c r="A698" s="92">
        <v>45799</v>
      </c>
      <c r="B698" s="93" t="s">
        <v>333</v>
      </c>
      <c r="C698" s="89" t="s">
        <v>40</v>
      </c>
      <c r="D698" s="93" t="s">
        <v>320</v>
      </c>
      <c r="E698" s="93" t="s">
        <v>35</v>
      </c>
      <c r="F698" s="93" t="s">
        <v>322</v>
      </c>
      <c r="G698" s="93" t="s">
        <v>319</v>
      </c>
      <c r="H698" s="93" t="s">
        <v>352</v>
      </c>
      <c r="I698" s="94">
        <v>7.4</v>
      </c>
      <c r="J698" s="95">
        <v>236.8</v>
      </c>
    </row>
    <row r="699" spans="1:10" x14ac:dyDescent="0.25">
      <c r="A699" s="92">
        <v>45799</v>
      </c>
      <c r="B699" s="93" t="s">
        <v>327</v>
      </c>
      <c r="C699" s="89" t="s">
        <v>40</v>
      </c>
      <c r="D699" s="93" t="s">
        <v>320</v>
      </c>
      <c r="E699" s="93" t="s">
        <v>35</v>
      </c>
      <c r="F699" s="93" t="s">
        <v>322</v>
      </c>
      <c r="G699" s="93" t="s">
        <v>319</v>
      </c>
      <c r="H699" s="93" t="s">
        <v>352</v>
      </c>
      <c r="I699" s="94">
        <v>7.42</v>
      </c>
      <c r="J699" s="95">
        <v>237.44</v>
      </c>
    </row>
    <row r="700" spans="1:10" x14ac:dyDescent="0.25">
      <c r="A700" s="92">
        <v>45799</v>
      </c>
      <c r="B700" s="93" t="s">
        <v>323</v>
      </c>
      <c r="C700" s="89" t="s">
        <v>40</v>
      </c>
      <c r="D700" s="93" t="s">
        <v>168</v>
      </c>
      <c r="E700" s="93" t="s">
        <v>34</v>
      </c>
      <c r="F700" s="93" t="s">
        <v>419</v>
      </c>
      <c r="G700" s="93" t="s">
        <v>346</v>
      </c>
      <c r="H700" s="93" t="s">
        <v>343</v>
      </c>
      <c r="I700" s="94">
        <v>0.25</v>
      </c>
      <c r="J700" s="95">
        <v>15</v>
      </c>
    </row>
    <row r="701" spans="1:10" x14ac:dyDescent="0.25">
      <c r="A701" s="92">
        <v>45799</v>
      </c>
      <c r="B701" s="93" t="s">
        <v>329</v>
      </c>
      <c r="C701" s="89" t="s">
        <v>40</v>
      </c>
      <c r="D701" s="93" t="s">
        <v>186</v>
      </c>
      <c r="E701" s="93" t="s">
        <v>34</v>
      </c>
      <c r="F701" s="93" t="s">
        <v>397</v>
      </c>
      <c r="G701" s="93" t="s">
        <v>347</v>
      </c>
      <c r="H701" s="93" t="s">
        <v>343</v>
      </c>
      <c r="I701" s="94">
        <v>0.42</v>
      </c>
      <c r="J701" s="95">
        <v>31.5</v>
      </c>
    </row>
    <row r="702" spans="1:10" x14ac:dyDescent="0.25">
      <c r="A702" s="92">
        <v>45799</v>
      </c>
      <c r="B702" s="93" t="s">
        <v>330</v>
      </c>
      <c r="C702" s="89" t="s">
        <v>40</v>
      </c>
      <c r="D702" s="93" t="s">
        <v>195</v>
      </c>
      <c r="E702" s="93" t="s">
        <v>34</v>
      </c>
      <c r="F702" s="93" t="s">
        <v>449</v>
      </c>
      <c r="G702" s="93" t="s">
        <v>347</v>
      </c>
      <c r="H702" s="93" t="s">
        <v>343</v>
      </c>
      <c r="I702" s="94">
        <v>0.25</v>
      </c>
      <c r="J702" s="95">
        <v>15</v>
      </c>
    </row>
    <row r="703" spans="1:10" x14ac:dyDescent="0.25">
      <c r="A703" s="92">
        <v>45799</v>
      </c>
      <c r="B703" s="93" t="s">
        <v>329</v>
      </c>
      <c r="C703" s="89" t="s">
        <v>40</v>
      </c>
      <c r="D703" s="93" t="s">
        <v>181</v>
      </c>
      <c r="E703" s="93" t="s">
        <v>34</v>
      </c>
      <c r="F703" s="93" t="s">
        <v>396</v>
      </c>
      <c r="G703" s="93" t="s">
        <v>347</v>
      </c>
      <c r="H703" s="93" t="s">
        <v>343</v>
      </c>
      <c r="I703" s="94">
        <v>0.08</v>
      </c>
      <c r="J703" s="95">
        <v>6</v>
      </c>
    </row>
    <row r="704" spans="1:10" x14ac:dyDescent="0.25">
      <c r="A704" s="92">
        <v>45799</v>
      </c>
      <c r="B704" s="93" t="s">
        <v>329</v>
      </c>
      <c r="C704" s="89" t="s">
        <v>40</v>
      </c>
      <c r="D704" s="93" t="s">
        <v>221</v>
      </c>
      <c r="E704" s="93" t="s">
        <v>34</v>
      </c>
      <c r="F704" s="93" t="s">
        <v>369</v>
      </c>
      <c r="G704" s="93" t="s">
        <v>347</v>
      </c>
      <c r="H704" s="93" t="s">
        <v>343</v>
      </c>
      <c r="I704" s="94">
        <v>0.42</v>
      </c>
      <c r="J704" s="95">
        <v>31.5</v>
      </c>
    </row>
    <row r="705" spans="1:10" x14ac:dyDescent="0.25">
      <c r="A705" s="92">
        <v>45799</v>
      </c>
      <c r="B705" s="93" t="s">
        <v>329</v>
      </c>
      <c r="C705" s="89" t="s">
        <v>40</v>
      </c>
      <c r="D705" s="93" t="s">
        <v>294</v>
      </c>
      <c r="E705" s="93" t="s">
        <v>34</v>
      </c>
      <c r="F705" s="93" t="s">
        <v>377</v>
      </c>
      <c r="G705" s="93" t="s">
        <v>347</v>
      </c>
      <c r="H705" s="93" t="s">
        <v>343</v>
      </c>
      <c r="I705" s="94">
        <v>1</v>
      </c>
      <c r="J705" s="95">
        <v>75</v>
      </c>
    </row>
    <row r="706" spans="1:10" x14ac:dyDescent="0.25">
      <c r="A706" s="92">
        <v>45799</v>
      </c>
      <c r="B706" s="93" t="s">
        <v>325</v>
      </c>
      <c r="C706" s="89" t="s">
        <v>40</v>
      </c>
      <c r="D706" s="93" t="s">
        <v>291</v>
      </c>
      <c r="E706" s="93" t="s">
        <v>34</v>
      </c>
      <c r="F706" s="93" t="s">
        <v>412</v>
      </c>
      <c r="G706" s="93" t="s">
        <v>347</v>
      </c>
      <c r="H706" s="93" t="s">
        <v>343</v>
      </c>
      <c r="I706" s="94">
        <v>0.17</v>
      </c>
      <c r="J706" s="95">
        <v>12.750000000000002</v>
      </c>
    </row>
    <row r="707" spans="1:10" x14ac:dyDescent="0.25">
      <c r="A707" s="92">
        <v>45799</v>
      </c>
      <c r="B707" s="93" t="s">
        <v>329</v>
      </c>
      <c r="C707" s="89" t="s">
        <v>40</v>
      </c>
      <c r="D707" s="93" t="s">
        <v>293</v>
      </c>
      <c r="E707" s="93" t="s">
        <v>34</v>
      </c>
      <c r="F707" s="93" t="s">
        <v>376</v>
      </c>
      <c r="G707" s="93" t="s">
        <v>347</v>
      </c>
      <c r="H707" s="93" t="s">
        <v>343</v>
      </c>
      <c r="I707" s="94">
        <v>0.25</v>
      </c>
      <c r="J707" s="95">
        <v>18.75</v>
      </c>
    </row>
    <row r="708" spans="1:10" x14ac:dyDescent="0.25">
      <c r="A708" s="92">
        <v>45799</v>
      </c>
      <c r="B708" s="93" t="s">
        <v>329</v>
      </c>
      <c r="C708" s="89" t="s">
        <v>40</v>
      </c>
      <c r="D708" s="93" t="s">
        <v>296</v>
      </c>
      <c r="E708" s="93" t="s">
        <v>34</v>
      </c>
      <c r="F708" s="93" t="s">
        <v>411</v>
      </c>
      <c r="G708" s="93" t="s">
        <v>347</v>
      </c>
      <c r="H708" s="93" t="s">
        <v>343</v>
      </c>
      <c r="I708" s="94">
        <v>0.17</v>
      </c>
      <c r="J708" s="95">
        <v>12.750000000000002</v>
      </c>
    </row>
    <row r="709" spans="1:10" x14ac:dyDescent="0.25">
      <c r="A709" s="92">
        <v>45799</v>
      </c>
      <c r="B709" s="93" t="s">
        <v>329</v>
      </c>
      <c r="C709" s="89" t="s">
        <v>40</v>
      </c>
      <c r="D709" s="93" t="s">
        <v>259</v>
      </c>
      <c r="E709" s="93" t="s">
        <v>34</v>
      </c>
      <c r="F709" s="93" t="s">
        <v>407</v>
      </c>
      <c r="G709" s="93" t="s">
        <v>347</v>
      </c>
      <c r="H709" s="93" t="s">
        <v>343</v>
      </c>
      <c r="I709" s="94">
        <v>0.08</v>
      </c>
      <c r="J709" s="95">
        <v>6</v>
      </c>
    </row>
    <row r="710" spans="1:10" x14ac:dyDescent="0.25">
      <c r="A710" s="92">
        <v>45799</v>
      </c>
      <c r="B710" s="93" t="s">
        <v>330</v>
      </c>
      <c r="C710" s="89" t="s">
        <v>40</v>
      </c>
      <c r="D710" s="93" t="s">
        <v>252</v>
      </c>
      <c r="E710" s="93" t="s">
        <v>34</v>
      </c>
      <c r="F710" s="93" t="s">
        <v>416</v>
      </c>
      <c r="G710" s="93" t="s">
        <v>347</v>
      </c>
      <c r="H710" s="93" t="s">
        <v>343</v>
      </c>
      <c r="I710" s="94">
        <v>0.67</v>
      </c>
      <c r="J710" s="95">
        <v>40.200000000000003</v>
      </c>
    </row>
    <row r="711" spans="1:10" x14ac:dyDescent="0.25">
      <c r="A711" s="92">
        <v>45799</v>
      </c>
      <c r="B711" s="93" t="s">
        <v>329</v>
      </c>
      <c r="C711" s="89" t="s">
        <v>40</v>
      </c>
      <c r="D711" s="93" t="s">
        <v>247</v>
      </c>
      <c r="E711" s="93" t="s">
        <v>34</v>
      </c>
      <c r="F711" s="93" t="s">
        <v>375</v>
      </c>
      <c r="G711" s="93" t="s">
        <v>347</v>
      </c>
      <c r="H711" s="93" t="s">
        <v>343</v>
      </c>
      <c r="I711" s="94">
        <v>0.25</v>
      </c>
      <c r="J711" s="95">
        <v>18.75</v>
      </c>
    </row>
    <row r="712" spans="1:10" x14ac:dyDescent="0.25">
      <c r="A712" s="92">
        <v>45799</v>
      </c>
      <c r="B712" s="93" t="s">
        <v>329</v>
      </c>
      <c r="C712" s="89" t="s">
        <v>40</v>
      </c>
      <c r="D712" s="93" t="s">
        <v>248</v>
      </c>
      <c r="E712" s="93" t="s">
        <v>34</v>
      </c>
      <c r="F712" s="93" t="s">
        <v>385</v>
      </c>
      <c r="G712" s="93" t="s">
        <v>347</v>
      </c>
      <c r="H712" s="93" t="s">
        <v>343</v>
      </c>
      <c r="I712" s="94">
        <v>0.08</v>
      </c>
      <c r="J712" s="95">
        <v>6</v>
      </c>
    </row>
    <row r="713" spans="1:10" x14ac:dyDescent="0.25">
      <c r="A713" s="92">
        <v>45799</v>
      </c>
      <c r="B713" s="93" t="s">
        <v>325</v>
      </c>
      <c r="C713" s="89" t="s">
        <v>40</v>
      </c>
      <c r="D713" s="93" t="s">
        <v>276</v>
      </c>
      <c r="E713" s="93" t="s">
        <v>34</v>
      </c>
      <c r="F713" s="93" t="s">
        <v>425</v>
      </c>
      <c r="G713" s="93" t="s">
        <v>347</v>
      </c>
      <c r="H713" s="93" t="s">
        <v>343</v>
      </c>
      <c r="I713" s="94">
        <v>0.17</v>
      </c>
      <c r="J713" s="95">
        <v>12.750000000000002</v>
      </c>
    </row>
    <row r="714" spans="1:10" x14ac:dyDescent="0.25">
      <c r="A714" s="92">
        <v>45799</v>
      </c>
      <c r="B714" s="93" t="s">
        <v>326</v>
      </c>
      <c r="C714" s="89" t="s">
        <v>40</v>
      </c>
      <c r="D714" s="93" t="s">
        <v>265</v>
      </c>
      <c r="E714" s="93" t="s">
        <v>34</v>
      </c>
      <c r="F714" s="93" t="s">
        <v>358</v>
      </c>
      <c r="G714" s="93" t="s">
        <v>348</v>
      </c>
      <c r="H714" s="93" t="s">
        <v>343</v>
      </c>
      <c r="I714" s="94">
        <v>1</v>
      </c>
      <c r="J714" s="95">
        <v>60</v>
      </c>
    </row>
    <row r="715" spans="1:10" x14ac:dyDescent="0.25">
      <c r="A715" s="92">
        <v>45799</v>
      </c>
      <c r="B715" s="93" t="s">
        <v>332</v>
      </c>
      <c r="C715" s="89" t="s">
        <v>40</v>
      </c>
      <c r="D715" s="93" t="s">
        <v>314</v>
      </c>
      <c r="E715" s="93" t="s">
        <v>35</v>
      </c>
      <c r="F715" s="93" t="s">
        <v>359</v>
      </c>
      <c r="G715" s="93" t="s">
        <v>339</v>
      </c>
      <c r="H715" s="93" t="s">
        <v>352</v>
      </c>
      <c r="I715" s="94">
        <v>8.83</v>
      </c>
      <c r="J715" s="95">
        <v>353.2</v>
      </c>
    </row>
    <row r="716" spans="1:10" x14ac:dyDescent="0.25">
      <c r="A716" s="92">
        <v>45799</v>
      </c>
      <c r="B716" s="93" t="s">
        <v>324</v>
      </c>
      <c r="C716" s="89" t="s">
        <v>40</v>
      </c>
      <c r="D716" s="93" t="s">
        <v>314</v>
      </c>
      <c r="E716" s="93" t="s">
        <v>35</v>
      </c>
      <c r="F716" s="93" t="s">
        <v>359</v>
      </c>
      <c r="G716" s="93" t="s">
        <v>339</v>
      </c>
      <c r="H716" s="93" t="s">
        <v>352</v>
      </c>
      <c r="I716" s="94">
        <v>5.75</v>
      </c>
      <c r="J716" s="95">
        <v>431.25</v>
      </c>
    </row>
    <row r="717" spans="1:10" x14ac:dyDescent="0.25">
      <c r="A717" s="92">
        <v>45800</v>
      </c>
      <c r="B717" s="93" t="s">
        <v>323</v>
      </c>
      <c r="C717" s="89" t="s">
        <v>40</v>
      </c>
      <c r="D717" s="93" t="s">
        <v>200</v>
      </c>
      <c r="E717" s="93" t="s">
        <v>36</v>
      </c>
      <c r="F717" s="93" t="s">
        <v>391</v>
      </c>
      <c r="G717" s="93" t="s">
        <v>346</v>
      </c>
      <c r="H717" s="93" t="s">
        <v>342</v>
      </c>
      <c r="I717" s="94">
        <v>0.33</v>
      </c>
      <c r="J717" s="95">
        <v>19.8</v>
      </c>
    </row>
    <row r="718" spans="1:10" x14ac:dyDescent="0.25">
      <c r="A718" s="92">
        <v>45800</v>
      </c>
      <c r="B718" s="93" t="s">
        <v>323</v>
      </c>
      <c r="C718" s="89" t="s">
        <v>40</v>
      </c>
      <c r="D718" s="93" t="s">
        <v>201</v>
      </c>
      <c r="E718" s="93" t="s">
        <v>36</v>
      </c>
      <c r="F718" s="93" t="s">
        <v>395</v>
      </c>
      <c r="G718" s="93" t="s">
        <v>346</v>
      </c>
      <c r="H718" s="93" t="s">
        <v>342</v>
      </c>
      <c r="I718" s="94">
        <v>0.5</v>
      </c>
      <c r="J718" s="95">
        <v>30</v>
      </c>
    </row>
    <row r="719" spans="1:10" x14ac:dyDescent="0.25">
      <c r="A719" s="92">
        <v>45800</v>
      </c>
      <c r="B719" s="93" t="s">
        <v>323</v>
      </c>
      <c r="C719" s="89" t="s">
        <v>40</v>
      </c>
      <c r="D719" s="93" t="s">
        <v>212</v>
      </c>
      <c r="E719" s="93" t="s">
        <v>36</v>
      </c>
      <c r="F719" s="93" t="s">
        <v>392</v>
      </c>
      <c r="G719" s="93" t="s">
        <v>346</v>
      </c>
      <c r="H719" s="93" t="s">
        <v>342</v>
      </c>
      <c r="I719" s="94">
        <v>0.25</v>
      </c>
      <c r="J719" s="95">
        <v>15</v>
      </c>
    </row>
    <row r="720" spans="1:10" x14ac:dyDescent="0.25">
      <c r="A720" s="92">
        <v>45800</v>
      </c>
      <c r="B720" s="93" t="s">
        <v>323</v>
      </c>
      <c r="C720" s="89" t="s">
        <v>40</v>
      </c>
      <c r="D720" s="93" t="s">
        <v>219</v>
      </c>
      <c r="E720" s="93" t="s">
        <v>36</v>
      </c>
      <c r="F720" s="93" t="s">
        <v>432</v>
      </c>
      <c r="G720" s="93" t="s">
        <v>346</v>
      </c>
      <c r="H720" s="93" t="s">
        <v>342</v>
      </c>
      <c r="I720" s="94">
        <v>0.33</v>
      </c>
      <c r="J720" s="95">
        <v>19.8</v>
      </c>
    </row>
    <row r="721" spans="1:10" x14ac:dyDescent="0.25">
      <c r="A721" s="92">
        <v>45800</v>
      </c>
      <c r="B721" s="93" t="s">
        <v>333</v>
      </c>
      <c r="C721" s="89" t="s">
        <v>40</v>
      </c>
      <c r="D721" s="93" t="s">
        <v>320</v>
      </c>
      <c r="E721" s="93" t="s">
        <v>35</v>
      </c>
      <c r="F721" s="93" t="s">
        <v>322</v>
      </c>
      <c r="G721" s="93" t="s">
        <v>319</v>
      </c>
      <c r="H721" s="93" t="s">
        <v>352</v>
      </c>
      <c r="I721" s="94">
        <v>7.5</v>
      </c>
      <c r="J721" s="95">
        <v>240</v>
      </c>
    </row>
    <row r="722" spans="1:10" x14ac:dyDescent="0.25">
      <c r="A722" s="92">
        <v>45800</v>
      </c>
      <c r="B722" s="93" t="s">
        <v>327</v>
      </c>
      <c r="C722" s="89" t="s">
        <v>40</v>
      </c>
      <c r="D722" s="93" t="s">
        <v>320</v>
      </c>
      <c r="E722" s="93" t="s">
        <v>35</v>
      </c>
      <c r="F722" s="93" t="s">
        <v>322</v>
      </c>
      <c r="G722" s="93" t="s">
        <v>319</v>
      </c>
      <c r="H722" s="93" t="s">
        <v>352</v>
      </c>
      <c r="I722" s="94">
        <v>7.42</v>
      </c>
      <c r="J722" s="95">
        <v>237.44</v>
      </c>
    </row>
    <row r="723" spans="1:10" x14ac:dyDescent="0.25">
      <c r="A723" s="92">
        <v>45800</v>
      </c>
      <c r="B723" s="93" t="s">
        <v>323</v>
      </c>
      <c r="C723" s="89" t="s">
        <v>40</v>
      </c>
      <c r="D723" s="93" t="s">
        <v>283</v>
      </c>
      <c r="E723" s="93" t="s">
        <v>36</v>
      </c>
      <c r="F723" s="93" t="s">
        <v>429</v>
      </c>
      <c r="G723" s="93" t="s">
        <v>346</v>
      </c>
      <c r="H723" s="93" t="s">
        <v>342</v>
      </c>
      <c r="I723" s="94">
        <v>0.25</v>
      </c>
      <c r="J723" s="95">
        <v>15</v>
      </c>
    </row>
    <row r="724" spans="1:10" x14ac:dyDescent="0.25">
      <c r="A724" s="92">
        <v>45800</v>
      </c>
      <c r="B724" s="93" t="s">
        <v>323</v>
      </c>
      <c r="C724" s="89" t="s">
        <v>40</v>
      </c>
      <c r="D724" s="93" t="s">
        <v>280</v>
      </c>
      <c r="E724" s="93" t="s">
        <v>36</v>
      </c>
      <c r="F724" s="93" t="s">
        <v>445</v>
      </c>
      <c r="G724" s="93" t="s">
        <v>346</v>
      </c>
      <c r="H724" s="93" t="s">
        <v>342</v>
      </c>
      <c r="I724" s="94">
        <v>0.25</v>
      </c>
      <c r="J724" s="95">
        <v>15</v>
      </c>
    </row>
    <row r="725" spans="1:10" x14ac:dyDescent="0.25">
      <c r="A725" s="92">
        <v>45800</v>
      </c>
      <c r="B725" s="93" t="s">
        <v>329</v>
      </c>
      <c r="C725" s="89" t="s">
        <v>40</v>
      </c>
      <c r="D725" s="93" t="s">
        <v>186</v>
      </c>
      <c r="E725" s="93" t="s">
        <v>34</v>
      </c>
      <c r="F725" s="93" t="s">
        <v>397</v>
      </c>
      <c r="G725" s="93" t="s">
        <v>347</v>
      </c>
      <c r="H725" s="93" t="s">
        <v>343</v>
      </c>
      <c r="I725" s="94">
        <v>0.08</v>
      </c>
      <c r="J725" s="95">
        <v>6</v>
      </c>
    </row>
    <row r="726" spans="1:10" x14ac:dyDescent="0.25">
      <c r="A726" s="92">
        <v>45800</v>
      </c>
      <c r="B726" s="93" t="s">
        <v>325</v>
      </c>
      <c r="C726" s="89" t="s">
        <v>40</v>
      </c>
      <c r="D726" s="93" t="s">
        <v>170</v>
      </c>
      <c r="E726" s="93" t="s">
        <v>34</v>
      </c>
      <c r="F726" s="93" t="s">
        <v>424</v>
      </c>
      <c r="G726" s="93" t="s">
        <v>347</v>
      </c>
      <c r="H726" s="93" t="s">
        <v>343</v>
      </c>
      <c r="I726" s="94">
        <v>0.25</v>
      </c>
      <c r="J726" s="95">
        <v>18.75</v>
      </c>
    </row>
    <row r="727" spans="1:10" x14ac:dyDescent="0.25">
      <c r="A727" s="92">
        <v>45800</v>
      </c>
      <c r="B727" s="93" t="s">
        <v>329</v>
      </c>
      <c r="C727" s="89" t="s">
        <v>40</v>
      </c>
      <c r="D727" s="93" t="s">
        <v>301</v>
      </c>
      <c r="E727" s="93" t="s">
        <v>34</v>
      </c>
      <c r="F727" s="93" t="s">
        <v>371</v>
      </c>
      <c r="G727" s="93" t="s">
        <v>347</v>
      </c>
      <c r="H727" s="93" t="s">
        <v>343</v>
      </c>
      <c r="I727" s="94">
        <v>0.5</v>
      </c>
      <c r="J727" s="95">
        <v>37.5</v>
      </c>
    </row>
    <row r="728" spans="1:10" x14ac:dyDescent="0.25">
      <c r="A728" s="92">
        <v>45800</v>
      </c>
      <c r="B728" s="93" t="s">
        <v>329</v>
      </c>
      <c r="C728" s="89" t="s">
        <v>40</v>
      </c>
      <c r="D728" s="93" t="s">
        <v>221</v>
      </c>
      <c r="E728" s="93" t="s">
        <v>34</v>
      </c>
      <c r="F728" s="93" t="s">
        <v>369</v>
      </c>
      <c r="G728" s="93" t="s">
        <v>347</v>
      </c>
      <c r="H728" s="93" t="s">
        <v>343</v>
      </c>
      <c r="I728" s="94">
        <v>0.17</v>
      </c>
      <c r="J728" s="95">
        <v>12.750000000000002</v>
      </c>
    </row>
    <row r="729" spans="1:10" x14ac:dyDescent="0.25">
      <c r="A729" s="92">
        <v>45800</v>
      </c>
      <c r="B729" s="93" t="s">
        <v>325</v>
      </c>
      <c r="C729" s="89" t="s">
        <v>40</v>
      </c>
      <c r="D729" s="93" t="s">
        <v>271</v>
      </c>
      <c r="E729" s="93" t="s">
        <v>34</v>
      </c>
      <c r="F729" s="93" t="s">
        <v>363</v>
      </c>
      <c r="G729" s="93" t="s">
        <v>347</v>
      </c>
      <c r="H729" s="93" t="s">
        <v>343</v>
      </c>
      <c r="I729" s="94">
        <v>0.17</v>
      </c>
      <c r="J729" s="95">
        <v>12.750000000000002</v>
      </c>
    </row>
    <row r="730" spans="1:10" x14ac:dyDescent="0.25">
      <c r="A730" s="92">
        <v>45800</v>
      </c>
      <c r="B730" s="93" t="s">
        <v>330</v>
      </c>
      <c r="C730" s="89" t="s">
        <v>40</v>
      </c>
      <c r="D730" s="93" t="s">
        <v>252</v>
      </c>
      <c r="E730" s="93" t="s">
        <v>34</v>
      </c>
      <c r="F730" s="93" t="s">
        <v>416</v>
      </c>
      <c r="G730" s="93" t="s">
        <v>347</v>
      </c>
      <c r="H730" s="93" t="s">
        <v>343</v>
      </c>
      <c r="I730" s="94">
        <v>0.5</v>
      </c>
      <c r="J730" s="95">
        <v>30</v>
      </c>
    </row>
    <row r="731" spans="1:10" x14ac:dyDescent="0.25">
      <c r="A731" s="92">
        <v>45800</v>
      </c>
      <c r="B731" s="93" t="s">
        <v>332</v>
      </c>
      <c r="C731" s="89" t="s">
        <v>40</v>
      </c>
      <c r="D731" s="93" t="s">
        <v>314</v>
      </c>
      <c r="E731" s="93" t="s">
        <v>35</v>
      </c>
      <c r="F731" s="93" t="s">
        <v>359</v>
      </c>
      <c r="G731" s="93" t="s">
        <v>339</v>
      </c>
      <c r="H731" s="93" t="s">
        <v>352</v>
      </c>
      <c r="I731" s="94">
        <v>7.5</v>
      </c>
      <c r="J731" s="95">
        <v>300</v>
      </c>
    </row>
    <row r="732" spans="1:10" x14ac:dyDescent="0.25">
      <c r="A732" s="92">
        <v>45800</v>
      </c>
      <c r="B732" s="93" t="s">
        <v>324</v>
      </c>
      <c r="C732" s="89" t="s">
        <v>40</v>
      </c>
      <c r="D732" s="93" t="s">
        <v>314</v>
      </c>
      <c r="E732" s="93" t="s">
        <v>35</v>
      </c>
      <c r="F732" s="93" t="s">
        <v>359</v>
      </c>
      <c r="G732" s="93" t="s">
        <v>339</v>
      </c>
      <c r="H732" s="93" t="s">
        <v>352</v>
      </c>
      <c r="I732" s="94">
        <v>5</v>
      </c>
      <c r="J732" s="95">
        <v>375</v>
      </c>
    </row>
    <row r="733" spans="1:10" x14ac:dyDescent="0.25">
      <c r="A733" s="92">
        <v>45801</v>
      </c>
      <c r="B733" s="93" t="s">
        <v>332</v>
      </c>
      <c r="C733" s="89" t="s">
        <v>40</v>
      </c>
      <c r="D733" s="93" t="s">
        <v>314</v>
      </c>
      <c r="E733" s="93" t="s">
        <v>35</v>
      </c>
      <c r="F733" s="93" t="s">
        <v>359</v>
      </c>
      <c r="G733" s="93" t="s">
        <v>339</v>
      </c>
      <c r="H733" s="93" t="s">
        <v>352</v>
      </c>
      <c r="I733" s="94">
        <v>4</v>
      </c>
      <c r="J733" s="95">
        <v>160</v>
      </c>
    </row>
    <row r="734" spans="1:10" x14ac:dyDescent="0.25">
      <c r="A734" s="92">
        <v>45804</v>
      </c>
      <c r="B734" s="93" t="s">
        <v>323</v>
      </c>
      <c r="C734" s="89" t="s">
        <v>40</v>
      </c>
      <c r="D734" s="93" t="s">
        <v>168</v>
      </c>
      <c r="E734" s="93" t="s">
        <v>36</v>
      </c>
      <c r="F734" s="93" t="s">
        <v>419</v>
      </c>
      <c r="G734" s="93" t="s">
        <v>346</v>
      </c>
      <c r="H734" s="93" t="s">
        <v>342</v>
      </c>
      <c r="I734" s="94">
        <v>0.25</v>
      </c>
      <c r="J734" s="95">
        <v>15</v>
      </c>
    </row>
    <row r="735" spans="1:10" x14ac:dyDescent="0.25">
      <c r="A735" s="92">
        <v>45804</v>
      </c>
      <c r="B735" s="93" t="s">
        <v>327</v>
      </c>
      <c r="C735" s="89" t="s">
        <v>40</v>
      </c>
      <c r="D735" s="93" t="s">
        <v>320</v>
      </c>
      <c r="E735" s="93" t="s">
        <v>35</v>
      </c>
      <c r="F735" s="93" t="s">
        <v>322</v>
      </c>
      <c r="G735" s="93" t="s">
        <v>319</v>
      </c>
      <c r="H735" s="93" t="s">
        <v>352</v>
      </c>
      <c r="I735" s="94">
        <v>7.25</v>
      </c>
      <c r="J735" s="95">
        <v>232</v>
      </c>
    </row>
    <row r="736" spans="1:10" x14ac:dyDescent="0.25">
      <c r="A736" s="92">
        <v>45804</v>
      </c>
      <c r="B736" s="93" t="s">
        <v>323</v>
      </c>
      <c r="C736" s="89" t="s">
        <v>40</v>
      </c>
      <c r="D736" s="93" t="s">
        <v>266</v>
      </c>
      <c r="E736" s="93" t="s">
        <v>36</v>
      </c>
      <c r="F736" s="93" t="s">
        <v>394</v>
      </c>
      <c r="G736" s="93" t="s">
        <v>346</v>
      </c>
      <c r="H736" s="93" t="s">
        <v>342</v>
      </c>
      <c r="I736" s="94">
        <v>0.33</v>
      </c>
      <c r="J736" s="95">
        <v>19.8</v>
      </c>
    </row>
    <row r="737" spans="1:10" x14ac:dyDescent="0.25">
      <c r="A737" s="92">
        <v>45804</v>
      </c>
      <c r="B737" s="93" t="s">
        <v>323</v>
      </c>
      <c r="C737" s="89" t="s">
        <v>40</v>
      </c>
      <c r="D737" s="93" t="s">
        <v>200</v>
      </c>
      <c r="E737" s="93" t="s">
        <v>34</v>
      </c>
      <c r="F737" s="93" t="s">
        <v>391</v>
      </c>
      <c r="G737" s="93" t="s">
        <v>346</v>
      </c>
      <c r="H737" s="93" t="s">
        <v>343</v>
      </c>
      <c r="I737" s="94">
        <v>0.33</v>
      </c>
      <c r="J737" s="95">
        <v>19.8</v>
      </c>
    </row>
    <row r="738" spans="1:10" x14ac:dyDescent="0.25">
      <c r="A738" s="92">
        <v>45804</v>
      </c>
      <c r="B738" s="93" t="s">
        <v>330</v>
      </c>
      <c r="C738" s="89" t="s">
        <v>40</v>
      </c>
      <c r="D738" s="93" t="s">
        <v>222</v>
      </c>
      <c r="E738" s="93" t="s">
        <v>34</v>
      </c>
      <c r="F738" s="93" t="s">
        <v>447</v>
      </c>
      <c r="G738" s="93" t="s">
        <v>347</v>
      </c>
      <c r="H738" s="93" t="s">
        <v>343</v>
      </c>
      <c r="I738" s="94">
        <v>0.5</v>
      </c>
      <c r="J738" s="95">
        <v>30</v>
      </c>
    </row>
    <row r="739" spans="1:10" x14ac:dyDescent="0.25">
      <c r="A739" s="92">
        <v>45804</v>
      </c>
      <c r="B739" s="93" t="s">
        <v>329</v>
      </c>
      <c r="C739" s="89" t="s">
        <v>40</v>
      </c>
      <c r="D739" s="93" t="s">
        <v>247</v>
      </c>
      <c r="E739" s="93" t="s">
        <v>34</v>
      </c>
      <c r="F739" s="93" t="s">
        <v>375</v>
      </c>
      <c r="G739" s="93" t="s">
        <v>347</v>
      </c>
      <c r="H739" s="93" t="s">
        <v>343</v>
      </c>
      <c r="I739" s="94">
        <v>0.17</v>
      </c>
      <c r="J739" s="95">
        <v>12.750000000000002</v>
      </c>
    </row>
    <row r="740" spans="1:10" x14ac:dyDescent="0.25">
      <c r="A740" s="92">
        <v>45804</v>
      </c>
      <c r="B740" s="93" t="s">
        <v>330</v>
      </c>
      <c r="C740" s="89" t="s">
        <v>40</v>
      </c>
      <c r="D740" s="93" t="s">
        <v>284</v>
      </c>
      <c r="E740" s="93" t="s">
        <v>34</v>
      </c>
      <c r="F740" s="93" t="s">
        <v>415</v>
      </c>
      <c r="G740" s="93" t="s">
        <v>347</v>
      </c>
      <c r="H740" s="93" t="s">
        <v>343</v>
      </c>
      <c r="I740" s="94">
        <v>0.42</v>
      </c>
      <c r="J740" s="95">
        <v>25.2</v>
      </c>
    </row>
    <row r="741" spans="1:10" x14ac:dyDescent="0.25">
      <c r="A741" s="92">
        <v>45804</v>
      </c>
      <c r="B741" s="93" t="s">
        <v>332</v>
      </c>
      <c r="C741" s="89" t="s">
        <v>40</v>
      </c>
      <c r="D741" s="93" t="s">
        <v>314</v>
      </c>
      <c r="E741" s="93" t="s">
        <v>35</v>
      </c>
      <c r="F741" s="93" t="s">
        <v>359</v>
      </c>
      <c r="G741" s="93" t="s">
        <v>339</v>
      </c>
      <c r="H741" s="93" t="s">
        <v>352</v>
      </c>
      <c r="I741" s="94">
        <v>8.83</v>
      </c>
      <c r="J741" s="95">
        <v>353.2</v>
      </c>
    </row>
    <row r="742" spans="1:10" x14ac:dyDescent="0.25">
      <c r="A742" s="92">
        <v>45804</v>
      </c>
      <c r="B742" s="93" t="s">
        <v>324</v>
      </c>
      <c r="C742" s="89" t="s">
        <v>40</v>
      </c>
      <c r="D742" s="93" t="s">
        <v>314</v>
      </c>
      <c r="E742" s="93" t="s">
        <v>35</v>
      </c>
      <c r="F742" s="93" t="s">
        <v>359</v>
      </c>
      <c r="G742" s="93" t="s">
        <v>339</v>
      </c>
      <c r="H742" s="93" t="s">
        <v>352</v>
      </c>
      <c r="I742" s="94">
        <v>6</v>
      </c>
      <c r="J742" s="95">
        <v>450</v>
      </c>
    </row>
    <row r="743" spans="1:10" x14ac:dyDescent="0.25">
      <c r="A743" s="92">
        <v>45805</v>
      </c>
      <c r="B743" s="93" t="s">
        <v>323</v>
      </c>
      <c r="C743" s="89" t="s">
        <v>40</v>
      </c>
      <c r="D743" s="93" t="s">
        <v>200</v>
      </c>
      <c r="E743" s="93" t="s">
        <v>36</v>
      </c>
      <c r="F743" s="93" t="s">
        <v>391</v>
      </c>
      <c r="G743" s="93" t="s">
        <v>346</v>
      </c>
      <c r="H743" s="93" t="s">
        <v>342</v>
      </c>
      <c r="I743" s="94">
        <v>0.17</v>
      </c>
      <c r="J743" s="95">
        <v>10.200000000000001</v>
      </c>
    </row>
    <row r="744" spans="1:10" x14ac:dyDescent="0.25">
      <c r="A744" s="92">
        <v>45805</v>
      </c>
      <c r="B744" s="93" t="s">
        <v>327</v>
      </c>
      <c r="C744" s="89" t="s">
        <v>40</v>
      </c>
      <c r="D744" s="93" t="s">
        <v>320</v>
      </c>
      <c r="E744" s="93" t="s">
        <v>35</v>
      </c>
      <c r="F744" s="93" t="s">
        <v>322</v>
      </c>
      <c r="G744" s="93" t="s">
        <v>319</v>
      </c>
      <c r="H744" s="93" t="s">
        <v>352</v>
      </c>
      <c r="I744" s="94">
        <v>8.5</v>
      </c>
      <c r="J744" s="95">
        <v>272</v>
      </c>
    </row>
    <row r="745" spans="1:10" x14ac:dyDescent="0.25">
      <c r="A745" s="92">
        <v>45805</v>
      </c>
      <c r="B745" s="93" t="s">
        <v>323</v>
      </c>
      <c r="C745" s="89" t="s">
        <v>40</v>
      </c>
      <c r="D745" s="93" t="s">
        <v>245</v>
      </c>
      <c r="E745" s="93" t="s">
        <v>36</v>
      </c>
      <c r="F745" s="93" t="s">
        <v>435</v>
      </c>
      <c r="G745" s="93" t="s">
        <v>346</v>
      </c>
      <c r="H745" s="93" t="s">
        <v>342</v>
      </c>
      <c r="I745" s="94">
        <v>0.5</v>
      </c>
      <c r="J745" s="95">
        <v>30</v>
      </c>
    </row>
    <row r="746" spans="1:10" x14ac:dyDescent="0.25">
      <c r="A746" s="92">
        <v>45805</v>
      </c>
      <c r="B746" s="93" t="s">
        <v>323</v>
      </c>
      <c r="C746" s="89" t="s">
        <v>40</v>
      </c>
      <c r="D746" s="93" t="s">
        <v>266</v>
      </c>
      <c r="E746" s="93" t="s">
        <v>36</v>
      </c>
      <c r="F746" s="93" t="s">
        <v>394</v>
      </c>
      <c r="G746" s="93" t="s">
        <v>346</v>
      </c>
      <c r="H746" s="93" t="s">
        <v>342</v>
      </c>
      <c r="I746" s="94">
        <v>0.25</v>
      </c>
      <c r="J746" s="95">
        <v>15</v>
      </c>
    </row>
    <row r="747" spans="1:10" x14ac:dyDescent="0.25">
      <c r="A747" s="92">
        <v>45805</v>
      </c>
      <c r="B747" s="93" t="s">
        <v>323</v>
      </c>
      <c r="C747" s="89" t="s">
        <v>40</v>
      </c>
      <c r="D747" s="93" t="s">
        <v>274</v>
      </c>
      <c r="E747" s="93" t="s">
        <v>36</v>
      </c>
      <c r="F747" s="93" t="s">
        <v>421</v>
      </c>
      <c r="G747" s="93" t="s">
        <v>346</v>
      </c>
      <c r="H747" s="93" t="s">
        <v>342</v>
      </c>
      <c r="I747" s="94">
        <v>0.33</v>
      </c>
      <c r="J747" s="95">
        <v>19.8</v>
      </c>
    </row>
    <row r="748" spans="1:10" x14ac:dyDescent="0.25">
      <c r="A748" s="92">
        <v>45805</v>
      </c>
      <c r="B748" s="93" t="s">
        <v>329</v>
      </c>
      <c r="C748" s="89" t="s">
        <v>40</v>
      </c>
      <c r="D748" s="93" t="s">
        <v>197</v>
      </c>
      <c r="E748" s="93" t="s">
        <v>34</v>
      </c>
      <c r="F748" s="93" t="s">
        <v>366</v>
      </c>
      <c r="G748" s="93" t="s">
        <v>347</v>
      </c>
      <c r="H748" s="93" t="s">
        <v>343</v>
      </c>
      <c r="I748" s="94">
        <v>0.08</v>
      </c>
      <c r="J748" s="95">
        <v>6</v>
      </c>
    </row>
    <row r="749" spans="1:10" x14ac:dyDescent="0.25">
      <c r="A749" s="92">
        <v>45805</v>
      </c>
      <c r="B749" s="93" t="s">
        <v>330</v>
      </c>
      <c r="C749" s="89" t="s">
        <v>40</v>
      </c>
      <c r="D749" s="93" t="s">
        <v>222</v>
      </c>
      <c r="E749" s="93" t="s">
        <v>34</v>
      </c>
      <c r="F749" s="93" t="s">
        <v>447</v>
      </c>
      <c r="G749" s="93" t="s">
        <v>347</v>
      </c>
      <c r="H749" s="93" t="s">
        <v>343</v>
      </c>
      <c r="I749" s="94">
        <v>0.5</v>
      </c>
      <c r="J749" s="95">
        <v>30</v>
      </c>
    </row>
    <row r="750" spans="1:10" x14ac:dyDescent="0.25">
      <c r="A750" s="92">
        <v>45805</v>
      </c>
      <c r="B750" s="93" t="s">
        <v>332</v>
      </c>
      <c r="C750" s="89" t="s">
        <v>40</v>
      </c>
      <c r="D750" s="93" t="s">
        <v>314</v>
      </c>
      <c r="E750" s="93" t="s">
        <v>35</v>
      </c>
      <c r="F750" s="93" t="s">
        <v>359</v>
      </c>
      <c r="G750" s="93" t="s">
        <v>339</v>
      </c>
      <c r="H750" s="93" t="s">
        <v>352</v>
      </c>
      <c r="I750" s="94">
        <v>7.33</v>
      </c>
      <c r="J750" s="95">
        <v>293.2</v>
      </c>
    </row>
    <row r="751" spans="1:10" x14ac:dyDescent="0.25">
      <c r="A751" s="92">
        <v>45805</v>
      </c>
      <c r="B751" s="93" t="s">
        <v>324</v>
      </c>
      <c r="C751" s="89" t="s">
        <v>40</v>
      </c>
      <c r="D751" s="93" t="s">
        <v>314</v>
      </c>
      <c r="E751" s="93" t="s">
        <v>35</v>
      </c>
      <c r="F751" s="93" t="s">
        <v>359</v>
      </c>
      <c r="G751" s="93" t="s">
        <v>339</v>
      </c>
      <c r="H751" s="93" t="s">
        <v>352</v>
      </c>
      <c r="I751" s="94">
        <v>5.25</v>
      </c>
      <c r="J751" s="95">
        <v>393.75</v>
      </c>
    </row>
    <row r="752" spans="1:10" x14ac:dyDescent="0.25">
      <c r="A752" s="92">
        <v>45806</v>
      </c>
      <c r="B752" s="93" t="s">
        <v>327</v>
      </c>
      <c r="C752" s="89" t="s">
        <v>40</v>
      </c>
      <c r="D752" s="93" t="s">
        <v>320</v>
      </c>
      <c r="E752" s="93" t="s">
        <v>35</v>
      </c>
      <c r="F752" s="93" t="s">
        <v>322</v>
      </c>
      <c r="G752" s="93" t="s">
        <v>319</v>
      </c>
      <c r="H752" s="93" t="s">
        <v>352</v>
      </c>
      <c r="I752" s="94">
        <v>8.5</v>
      </c>
      <c r="J752" s="95">
        <v>272</v>
      </c>
    </row>
    <row r="753" spans="1:10" x14ac:dyDescent="0.25">
      <c r="A753" s="92">
        <v>45806</v>
      </c>
      <c r="B753" s="93" t="s">
        <v>329</v>
      </c>
      <c r="C753" s="89" t="s">
        <v>40</v>
      </c>
      <c r="D753" s="93" t="s">
        <v>197</v>
      </c>
      <c r="E753" s="93" t="s">
        <v>34</v>
      </c>
      <c r="F753" s="93" t="s">
        <v>366</v>
      </c>
      <c r="G753" s="93" t="s">
        <v>347</v>
      </c>
      <c r="H753" s="93" t="s">
        <v>343</v>
      </c>
      <c r="I753" s="94">
        <v>0.08</v>
      </c>
      <c r="J753" s="95">
        <v>6</v>
      </c>
    </row>
    <row r="754" spans="1:10" x14ac:dyDescent="0.25">
      <c r="A754" s="92">
        <v>45806</v>
      </c>
      <c r="B754" s="93" t="s">
        <v>329</v>
      </c>
      <c r="C754" s="89" t="s">
        <v>40</v>
      </c>
      <c r="D754" s="93" t="s">
        <v>247</v>
      </c>
      <c r="E754" s="93" t="s">
        <v>34</v>
      </c>
      <c r="F754" s="93" t="s">
        <v>375</v>
      </c>
      <c r="G754" s="93" t="s">
        <v>347</v>
      </c>
      <c r="H754" s="93" t="s">
        <v>343</v>
      </c>
      <c r="I754" s="94">
        <v>0.17</v>
      </c>
      <c r="J754" s="95">
        <v>12.750000000000002</v>
      </c>
    </row>
    <row r="755" spans="1:10" x14ac:dyDescent="0.25">
      <c r="A755" s="92">
        <v>45806</v>
      </c>
      <c r="B755" s="93" t="s">
        <v>332</v>
      </c>
      <c r="C755" s="89" t="s">
        <v>40</v>
      </c>
      <c r="D755" s="93" t="s">
        <v>314</v>
      </c>
      <c r="E755" s="93" t="s">
        <v>35</v>
      </c>
      <c r="F755" s="93" t="s">
        <v>359</v>
      </c>
      <c r="G755" s="93" t="s">
        <v>339</v>
      </c>
      <c r="H755" s="93" t="s">
        <v>352</v>
      </c>
      <c r="I755" s="94">
        <v>7.5</v>
      </c>
      <c r="J755" s="95">
        <v>300</v>
      </c>
    </row>
    <row r="756" spans="1:10" x14ac:dyDescent="0.25">
      <c r="A756" s="92">
        <v>45806</v>
      </c>
      <c r="B756" s="93" t="s">
        <v>324</v>
      </c>
      <c r="C756" s="89" t="s">
        <v>40</v>
      </c>
      <c r="D756" s="93" t="s">
        <v>314</v>
      </c>
      <c r="E756" s="93" t="s">
        <v>35</v>
      </c>
      <c r="F756" s="93" t="s">
        <v>359</v>
      </c>
      <c r="G756" s="93" t="s">
        <v>339</v>
      </c>
      <c r="H756" s="93" t="s">
        <v>352</v>
      </c>
      <c r="I756" s="94">
        <v>5</v>
      </c>
      <c r="J756" s="95">
        <v>375</v>
      </c>
    </row>
    <row r="757" spans="1:10" x14ac:dyDescent="0.25">
      <c r="A757" s="92">
        <v>45807</v>
      </c>
      <c r="B757" s="93" t="s">
        <v>327</v>
      </c>
      <c r="C757" s="89" t="s">
        <v>40</v>
      </c>
      <c r="D757" s="93" t="s">
        <v>320</v>
      </c>
      <c r="E757" s="93" t="s">
        <v>35</v>
      </c>
      <c r="F757" s="93" t="s">
        <v>322</v>
      </c>
      <c r="G757" s="93" t="s">
        <v>319</v>
      </c>
      <c r="H757" s="93" t="s">
        <v>352</v>
      </c>
      <c r="I757" s="94">
        <v>8.5</v>
      </c>
      <c r="J757" s="95">
        <v>272</v>
      </c>
    </row>
    <row r="758" spans="1:10" x14ac:dyDescent="0.25">
      <c r="A758" s="92">
        <v>45807</v>
      </c>
      <c r="B758" s="93" t="s">
        <v>325</v>
      </c>
      <c r="C758" s="89" t="s">
        <v>40</v>
      </c>
      <c r="D758" s="93" t="s">
        <v>253</v>
      </c>
      <c r="E758" s="93" t="s">
        <v>34</v>
      </c>
      <c r="F758" s="93" t="s">
        <v>408</v>
      </c>
      <c r="G758" s="93" t="s">
        <v>347</v>
      </c>
      <c r="H758" s="93" t="s">
        <v>343</v>
      </c>
      <c r="I758" s="94">
        <v>0.17</v>
      </c>
      <c r="J758" s="95">
        <v>12.750000000000002</v>
      </c>
    </row>
    <row r="759" spans="1:10" x14ac:dyDescent="0.25">
      <c r="A759" s="92">
        <v>45807</v>
      </c>
      <c r="B759" s="93" t="s">
        <v>326</v>
      </c>
      <c r="C759" s="89" t="s">
        <v>40</v>
      </c>
      <c r="D759" s="93" t="s">
        <v>233</v>
      </c>
      <c r="E759" s="93" t="s">
        <v>36</v>
      </c>
      <c r="F759" s="93" t="s">
        <v>387</v>
      </c>
      <c r="G759" s="93" t="s">
        <v>348</v>
      </c>
      <c r="H759" s="93" t="s">
        <v>342</v>
      </c>
      <c r="I759" s="94">
        <v>1.25</v>
      </c>
      <c r="J759" s="95">
        <v>75</v>
      </c>
    </row>
    <row r="760" spans="1:10" x14ac:dyDescent="0.25">
      <c r="A760" s="92">
        <v>45807</v>
      </c>
      <c r="B760" s="93" t="s">
        <v>332</v>
      </c>
      <c r="C760" s="89" t="s">
        <v>40</v>
      </c>
      <c r="D760" s="93" t="s">
        <v>314</v>
      </c>
      <c r="E760" s="93" t="s">
        <v>35</v>
      </c>
      <c r="F760" s="93" t="s">
        <v>359</v>
      </c>
      <c r="G760" s="93" t="s">
        <v>339</v>
      </c>
      <c r="H760" s="93" t="s">
        <v>352</v>
      </c>
      <c r="I760" s="94">
        <v>6</v>
      </c>
      <c r="J760" s="95">
        <v>240</v>
      </c>
    </row>
    <row r="761" spans="1:10" x14ac:dyDescent="0.25">
      <c r="A761" s="92">
        <v>45807</v>
      </c>
      <c r="B761" s="93" t="s">
        <v>324</v>
      </c>
      <c r="C761" s="89" t="s">
        <v>40</v>
      </c>
      <c r="D761" s="93" t="s">
        <v>314</v>
      </c>
      <c r="E761" s="93" t="s">
        <v>35</v>
      </c>
      <c r="F761" s="93" t="s">
        <v>359</v>
      </c>
      <c r="G761" s="93" t="s">
        <v>339</v>
      </c>
      <c r="H761" s="93" t="s">
        <v>352</v>
      </c>
      <c r="I761" s="94">
        <v>5.5</v>
      </c>
      <c r="J761" s="95">
        <v>412.5</v>
      </c>
    </row>
    <row r="762" spans="1:10" x14ac:dyDescent="0.25">
      <c r="A762" s="92">
        <v>45808</v>
      </c>
      <c r="B762" s="93" t="s">
        <v>332</v>
      </c>
      <c r="C762" s="89" t="s">
        <v>40</v>
      </c>
      <c r="D762" s="93" t="s">
        <v>314</v>
      </c>
      <c r="E762" s="93" t="s">
        <v>35</v>
      </c>
      <c r="F762" s="93" t="s">
        <v>359</v>
      </c>
      <c r="G762" s="93" t="s">
        <v>339</v>
      </c>
      <c r="H762" s="93" t="s">
        <v>352</v>
      </c>
      <c r="I762" s="94">
        <v>4</v>
      </c>
      <c r="J762" s="95">
        <v>160</v>
      </c>
    </row>
    <row r="763" spans="1:10" x14ac:dyDescent="0.25">
      <c r="A763" s="92">
        <v>45810</v>
      </c>
      <c r="B763" s="93" t="s">
        <v>329</v>
      </c>
      <c r="C763" s="89" t="s">
        <v>40</v>
      </c>
      <c r="D763" s="93" t="s">
        <v>301</v>
      </c>
      <c r="E763" s="93" t="s">
        <v>341</v>
      </c>
      <c r="F763" s="93" t="s">
        <v>371</v>
      </c>
      <c r="G763" s="93" t="s">
        <v>347</v>
      </c>
      <c r="H763" s="93" t="s">
        <v>344</v>
      </c>
      <c r="I763" s="94">
        <v>1.83</v>
      </c>
      <c r="J763" s="95">
        <v>137.25</v>
      </c>
    </row>
    <row r="764" spans="1:10" x14ac:dyDescent="0.25">
      <c r="A764" s="92">
        <v>45810</v>
      </c>
      <c r="B764" s="93" t="s">
        <v>331</v>
      </c>
      <c r="C764" s="89" t="s">
        <v>40</v>
      </c>
      <c r="D764" s="93" t="s">
        <v>316</v>
      </c>
      <c r="E764" s="93" t="s">
        <v>35</v>
      </c>
      <c r="F764" s="93" t="s">
        <v>338</v>
      </c>
      <c r="G764" s="93" t="s">
        <v>337</v>
      </c>
      <c r="H764" s="93" t="s">
        <v>352</v>
      </c>
      <c r="I764" s="94">
        <v>1</v>
      </c>
      <c r="J764" s="95">
        <v>32</v>
      </c>
    </row>
    <row r="765" spans="1:10" x14ac:dyDescent="0.25">
      <c r="A765" s="92">
        <v>45810</v>
      </c>
      <c r="B765" s="93" t="s">
        <v>329</v>
      </c>
      <c r="C765" s="89" t="s">
        <v>40</v>
      </c>
      <c r="D765" s="93" t="s">
        <v>316</v>
      </c>
      <c r="E765" s="93" t="s">
        <v>35</v>
      </c>
      <c r="F765" s="93" t="s">
        <v>338</v>
      </c>
      <c r="G765" s="93" t="s">
        <v>337</v>
      </c>
      <c r="H765" s="93" t="s">
        <v>352</v>
      </c>
      <c r="I765" s="94">
        <v>1.33</v>
      </c>
      <c r="J765" s="95">
        <v>99.75</v>
      </c>
    </row>
    <row r="766" spans="1:10" x14ac:dyDescent="0.25">
      <c r="A766" s="92">
        <v>45810</v>
      </c>
      <c r="B766" s="93" t="s">
        <v>333</v>
      </c>
      <c r="C766" s="89" t="s">
        <v>40</v>
      </c>
      <c r="D766" s="93" t="s">
        <v>320</v>
      </c>
      <c r="E766" s="93" t="s">
        <v>35</v>
      </c>
      <c r="F766" s="93" t="s">
        <v>322</v>
      </c>
      <c r="G766" s="93" t="s">
        <v>319</v>
      </c>
      <c r="H766" s="93" t="s">
        <v>352</v>
      </c>
      <c r="I766" s="94">
        <v>7.57</v>
      </c>
      <c r="J766" s="95">
        <v>242.24</v>
      </c>
    </row>
    <row r="767" spans="1:10" x14ac:dyDescent="0.25">
      <c r="A767" s="92">
        <v>45810</v>
      </c>
      <c r="B767" s="93" t="s">
        <v>327</v>
      </c>
      <c r="C767" s="89" t="s">
        <v>40</v>
      </c>
      <c r="D767" s="93" t="s">
        <v>320</v>
      </c>
      <c r="E767" s="93" t="s">
        <v>35</v>
      </c>
      <c r="F767" s="93" t="s">
        <v>322</v>
      </c>
      <c r="G767" s="93" t="s">
        <v>319</v>
      </c>
      <c r="H767" s="93" t="s">
        <v>352</v>
      </c>
      <c r="I767" s="94">
        <v>7.42</v>
      </c>
      <c r="J767" s="95">
        <v>237.44</v>
      </c>
    </row>
    <row r="768" spans="1:10" x14ac:dyDescent="0.25">
      <c r="A768" s="92">
        <v>45810</v>
      </c>
      <c r="B768" s="93" t="s">
        <v>329</v>
      </c>
      <c r="C768" s="89" t="s">
        <v>40</v>
      </c>
      <c r="D768" s="93" t="s">
        <v>186</v>
      </c>
      <c r="E768" s="93" t="s">
        <v>34</v>
      </c>
      <c r="F768" s="93" t="s">
        <v>397</v>
      </c>
      <c r="G768" s="93" t="s">
        <v>347</v>
      </c>
      <c r="H768" s="93" t="s">
        <v>343</v>
      </c>
      <c r="I768" s="94">
        <v>0.25</v>
      </c>
      <c r="J768" s="95">
        <v>18.75</v>
      </c>
    </row>
    <row r="769" spans="1:10" x14ac:dyDescent="0.25">
      <c r="A769" s="92">
        <v>45810</v>
      </c>
      <c r="B769" s="93" t="s">
        <v>330</v>
      </c>
      <c r="C769" s="89" t="s">
        <v>40</v>
      </c>
      <c r="D769" s="93" t="s">
        <v>176</v>
      </c>
      <c r="E769" s="93" t="s">
        <v>34</v>
      </c>
      <c r="F769" s="93" t="s">
        <v>458</v>
      </c>
      <c r="G769" s="93" t="s">
        <v>347</v>
      </c>
      <c r="H769" s="93" t="s">
        <v>343</v>
      </c>
      <c r="I769" s="94">
        <v>0.17</v>
      </c>
      <c r="J769" s="95">
        <v>10.200000000000001</v>
      </c>
    </row>
    <row r="770" spans="1:10" x14ac:dyDescent="0.25">
      <c r="A770" s="92">
        <v>45810</v>
      </c>
      <c r="B770" s="93" t="s">
        <v>325</v>
      </c>
      <c r="C770" s="89" t="s">
        <v>40</v>
      </c>
      <c r="D770" s="93" t="s">
        <v>179</v>
      </c>
      <c r="E770" s="93" t="s">
        <v>34</v>
      </c>
      <c r="F770" s="93" t="s">
        <v>422</v>
      </c>
      <c r="G770" s="93" t="s">
        <v>347</v>
      </c>
      <c r="H770" s="93" t="s">
        <v>343</v>
      </c>
      <c r="I770" s="94">
        <v>0.17</v>
      </c>
      <c r="J770" s="95">
        <v>12.750000000000002</v>
      </c>
    </row>
    <row r="771" spans="1:10" x14ac:dyDescent="0.25">
      <c r="A771" s="92">
        <v>45810</v>
      </c>
      <c r="B771" s="93" t="s">
        <v>330</v>
      </c>
      <c r="C771" s="89" t="s">
        <v>40</v>
      </c>
      <c r="D771" s="93" t="s">
        <v>184</v>
      </c>
      <c r="E771" s="93" t="s">
        <v>34</v>
      </c>
      <c r="F771" s="93" t="s">
        <v>459</v>
      </c>
      <c r="G771" s="93" t="s">
        <v>347</v>
      </c>
      <c r="H771" s="93" t="s">
        <v>343</v>
      </c>
      <c r="I771" s="94">
        <v>0.17</v>
      </c>
      <c r="J771" s="95">
        <v>10.200000000000001</v>
      </c>
    </row>
    <row r="772" spans="1:10" x14ac:dyDescent="0.25">
      <c r="A772" s="92">
        <v>45810</v>
      </c>
      <c r="B772" s="93" t="s">
        <v>330</v>
      </c>
      <c r="C772" s="89" t="s">
        <v>40</v>
      </c>
      <c r="D772" s="93" t="s">
        <v>215</v>
      </c>
      <c r="E772" s="93" t="s">
        <v>34</v>
      </c>
      <c r="F772" s="93" t="s">
        <v>450</v>
      </c>
      <c r="G772" s="93" t="s">
        <v>347</v>
      </c>
      <c r="H772" s="93" t="s">
        <v>343</v>
      </c>
      <c r="I772" s="94">
        <v>1</v>
      </c>
      <c r="J772" s="95">
        <v>60</v>
      </c>
    </row>
    <row r="773" spans="1:10" x14ac:dyDescent="0.25">
      <c r="A773" s="92">
        <v>45810</v>
      </c>
      <c r="B773" s="93" t="s">
        <v>329</v>
      </c>
      <c r="C773" s="89" t="s">
        <v>40</v>
      </c>
      <c r="D773" s="93" t="s">
        <v>301</v>
      </c>
      <c r="E773" s="93" t="s">
        <v>34</v>
      </c>
      <c r="F773" s="93" t="s">
        <v>371</v>
      </c>
      <c r="G773" s="93" t="s">
        <v>347</v>
      </c>
      <c r="H773" s="93" t="s">
        <v>343</v>
      </c>
      <c r="I773" s="94">
        <v>0.17</v>
      </c>
      <c r="J773" s="95">
        <v>12.750000000000002</v>
      </c>
    </row>
    <row r="774" spans="1:10" x14ac:dyDescent="0.25">
      <c r="A774" s="92">
        <v>45810</v>
      </c>
      <c r="B774" s="93" t="s">
        <v>330</v>
      </c>
      <c r="C774" s="89" t="s">
        <v>40</v>
      </c>
      <c r="D774" s="93" t="s">
        <v>222</v>
      </c>
      <c r="E774" s="93" t="s">
        <v>34</v>
      </c>
      <c r="F774" s="93" t="s">
        <v>447</v>
      </c>
      <c r="G774" s="93" t="s">
        <v>347</v>
      </c>
      <c r="H774" s="93" t="s">
        <v>343</v>
      </c>
      <c r="I774" s="94">
        <v>0.17</v>
      </c>
      <c r="J774" s="95">
        <v>10.200000000000001</v>
      </c>
    </row>
    <row r="775" spans="1:10" x14ac:dyDescent="0.25">
      <c r="A775" s="92">
        <v>45810</v>
      </c>
      <c r="B775" s="93" t="s">
        <v>330</v>
      </c>
      <c r="C775" s="89" t="s">
        <v>40</v>
      </c>
      <c r="D775" s="93" t="s">
        <v>178</v>
      </c>
      <c r="E775" s="93" t="s">
        <v>34</v>
      </c>
      <c r="F775" s="93" t="s">
        <v>460</v>
      </c>
      <c r="G775" s="93" t="s">
        <v>347</v>
      </c>
      <c r="H775" s="93" t="s">
        <v>343</v>
      </c>
      <c r="I775" s="94">
        <v>0.17</v>
      </c>
      <c r="J775" s="95">
        <v>10.200000000000001</v>
      </c>
    </row>
    <row r="776" spans="1:10" x14ac:dyDescent="0.25">
      <c r="A776" s="92">
        <v>45810</v>
      </c>
      <c r="B776" s="93" t="s">
        <v>330</v>
      </c>
      <c r="C776" s="89" t="s">
        <v>40</v>
      </c>
      <c r="D776" s="93" t="s">
        <v>177</v>
      </c>
      <c r="E776" s="93" t="s">
        <v>34</v>
      </c>
      <c r="F776" s="93" t="s">
        <v>461</v>
      </c>
      <c r="G776" s="93" t="s">
        <v>347</v>
      </c>
      <c r="H776" s="93" t="s">
        <v>343</v>
      </c>
      <c r="I776" s="94">
        <v>0.17</v>
      </c>
      <c r="J776" s="95">
        <v>10.200000000000001</v>
      </c>
    </row>
    <row r="777" spans="1:10" x14ac:dyDescent="0.25">
      <c r="A777" s="92">
        <v>45810</v>
      </c>
      <c r="B777" s="93" t="s">
        <v>325</v>
      </c>
      <c r="C777" s="89" t="s">
        <v>40</v>
      </c>
      <c r="D777" s="93" t="s">
        <v>287</v>
      </c>
      <c r="E777" s="93" t="s">
        <v>34</v>
      </c>
      <c r="F777" s="93" t="s">
        <v>378</v>
      </c>
      <c r="G777" s="93" t="s">
        <v>347</v>
      </c>
      <c r="H777" s="93" t="s">
        <v>343</v>
      </c>
      <c r="I777" s="94">
        <v>0.17</v>
      </c>
      <c r="J777" s="95">
        <v>12.750000000000002</v>
      </c>
    </row>
    <row r="778" spans="1:10" x14ac:dyDescent="0.25">
      <c r="A778" s="92">
        <v>45810</v>
      </c>
      <c r="B778" s="93" t="s">
        <v>329</v>
      </c>
      <c r="C778" s="89" t="s">
        <v>40</v>
      </c>
      <c r="D778" s="93" t="s">
        <v>296</v>
      </c>
      <c r="E778" s="93" t="s">
        <v>34</v>
      </c>
      <c r="F778" s="93" t="s">
        <v>411</v>
      </c>
      <c r="G778" s="93" t="s">
        <v>347</v>
      </c>
      <c r="H778" s="93" t="s">
        <v>343</v>
      </c>
      <c r="I778" s="94">
        <v>0.08</v>
      </c>
      <c r="J778" s="95">
        <v>6</v>
      </c>
    </row>
    <row r="779" spans="1:10" x14ac:dyDescent="0.25">
      <c r="A779" s="92">
        <v>45810</v>
      </c>
      <c r="B779" s="93" t="s">
        <v>330</v>
      </c>
      <c r="C779" s="89" t="s">
        <v>40</v>
      </c>
      <c r="D779" s="93" t="s">
        <v>255</v>
      </c>
      <c r="E779" s="93" t="s">
        <v>34</v>
      </c>
      <c r="F779" s="93" t="s">
        <v>462</v>
      </c>
      <c r="G779" s="93" t="s">
        <v>347</v>
      </c>
      <c r="H779" s="93" t="s">
        <v>343</v>
      </c>
      <c r="I779" s="94">
        <v>0.17</v>
      </c>
      <c r="J779" s="95">
        <v>10.200000000000001</v>
      </c>
    </row>
    <row r="780" spans="1:10" x14ac:dyDescent="0.25">
      <c r="A780" s="92">
        <v>45810</v>
      </c>
      <c r="B780" s="93" t="s">
        <v>329</v>
      </c>
      <c r="C780" s="89" t="s">
        <v>40</v>
      </c>
      <c r="D780" s="93" t="s">
        <v>259</v>
      </c>
      <c r="E780" s="93" t="s">
        <v>34</v>
      </c>
      <c r="F780" s="93" t="s">
        <v>407</v>
      </c>
      <c r="G780" s="93" t="s">
        <v>347</v>
      </c>
      <c r="H780" s="93" t="s">
        <v>343</v>
      </c>
      <c r="I780" s="94">
        <v>0.25</v>
      </c>
      <c r="J780" s="95">
        <v>18.75</v>
      </c>
    </row>
    <row r="781" spans="1:10" x14ac:dyDescent="0.25">
      <c r="A781" s="92">
        <v>45810</v>
      </c>
      <c r="B781" s="93" t="s">
        <v>330</v>
      </c>
      <c r="C781" s="89" t="s">
        <v>40</v>
      </c>
      <c r="D781" s="93" t="s">
        <v>256</v>
      </c>
      <c r="E781" s="93" t="s">
        <v>34</v>
      </c>
      <c r="F781" s="93" t="s">
        <v>463</v>
      </c>
      <c r="G781" s="93" t="s">
        <v>347</v>
      </c>
      <c r="H781" s="93" t="s">
        <v>343</v>
      </c>
      <c r="I781" s="94">
        <v>0.17</v>
      </c>
      <c r="J781" s="95">
        <v>10.200000000000001</v>
      </c>
    </row>
    <row r="782" spans="1:10" x14ac:dyDescent="0.25">
      <c r="A782" s="92">
        <v>45810</v>
      </c>
      <c r="B782" s="93" t="s">
        <v>330</v>
      </c>
      <c r="C782" s="89" t="s">
        <v>40</v>
      </c>
      <c r="D782" s="93" t="s">
        <v>261</v>
      </c>
      <c r="E782" s="93" t="s">
        <v>34</v>
      </c>
      <c r="F782" s="93" t="s">
        <v>444</v>
      </c>
      <c r="G782" s="93" t="s">
        <v>347</v>
      </c>
      <c r="H782" s="93" t="s">
        <v>343</v>
      </c>
      <c r="I782" s="94">
        <v>0.17</v>
      </c>
      <c r="J782" s="95">
        <v>10.200000000000001</v>
      </c>
    </row>
    <row r="783" spans="1:10" x14ac:dyDescent="0.25">
      <c r="A783" s="92">
        <v>45810</v>
      </c>
      <c r="B783" s="93" t="s">
        <v>329</v>
      </c>
      <c r="C783" s="89" t="s">
        <v>40</v>
      </c>
      <c r="D783" s="93" t="s">
        <v>247</v>
      </c>
      <c r="E783" s="93" t="s">
        <v>34</v>
      </c>
      <c r="F783" s="93" t="s">
        <v>375</v>
      </c>
      <c r="G783" s="93" t="s">
        <v>347</v>
      </c>
      <c r="H783" s="93" t="s">
        <v>343</v>
      </c>
      <c r="I783" s="94">
        <v>0.33</v>
      </c>
      <c r="J783" s="95">
        <v>24.75</v>
      </c>
    </row>
    <row r="784" spans="1:10" x14ac:dyDescent="0.25">
      <c r="A784" s="92">
        <v>45810</v>
      </c>
      <c r="B784" s="93" t="s">
        <v>330</v>
      </c>
      <c r="C784" s="89" t="s">
        <v>40</v>
      </c>
      <c r="D784" s="93" t="s">
        <v>284</v>
      </c>
      <c r="E784" s="93" t="s">
        <v>34</v>
      </c>
      <c r="F784" s="93" t="s">
        <v>415</v>
      </c>
      <c r="G784" s="93" t="s">
        <v>347</v>
      </c>
      <c r="H784" s="93" t="s">
        <v>343</v>
      </c>
      <c r="I784" s="94">
        <v>0.17</v>
      </c>
      <c r="J784" s="95">
        <v>10.200000000000001</v>
      </c>
    </row>
    <row r="785" spans="1:10" x14ac:dyDescent="0.25">
      <c r="A785" s="92">
        <v>45810</v>
      </c>
      <c r="B785" s="93" t="s">
        <v>332</v>
      </c>
      <c r="C785" s="89" t="s">
        <v>40</v>
      </c>
      <c r="D785" s="93" t="s">
        <v>314</v>
      </c>
      <c r="E785" s="93" t="s">
        <v>35</v>
      </c>
      <c r="F785" s="93" t="s">
        <v>359</v>
      </c>
      <c r="G785" s="93" t="s">
        <v>339</v>
      </c>
      <c r="H785" s="93" t="s">
        <v>352</v>
      </c>
      <c r="I785" s="94">
        <v>7.5</v>
      </c>
      <c r="J785" s="95">
        <v>300</v>
      </c>
    </row>
    <row r="786" spans="1:10" x14ac:dyDescent="0.25">
      <c r="A786" s="92">
        <v>45810</v>
      </c>
      <c r="B786" s="93" t="s">
        <v>324</v>
      </c>
      <c r="C786" s="89" t="s">
        <v>40</v>
      </c>
      <c r="D786" s="93" t="s">
        <v>314</v>
      </c>
      <c r="E786" s="93" t="s">
        <v>35</v>
      </c>
      <c r="F786" s="93" t="s">
        <v>359</v>
      </c>
      <c r="G786" s="93" t="s">
        <v>339</v>
      </c>
      <c r="H786" s="93" t="s">
        <v>352</v>
      </c>
      <c r="I786" s="94">
        <v>5.5</v>
      </c>
      <c r="J786" s="95">
        <v>412.5</v>
      </c>
    </row>
    <row r="787" spans="1:10" x14ac:dyDescent="0.25">
      <c r="A787" s="92">
        <v>45811</v>
      </c>
      <c r="B787" s="93" t="s">
        <v>330</v>
      </c>
      <c r="C787" s="89" t="s">
        <v>40</v>
      </c>
      <c r="D787" s="93" t="s">
        <v>177</v>
      </c>
      <c r="E787" s="93" t="s">
        <v>341</v>
      </c>
      <c r="F787" s="93" t="s">
        <v>461</v>
      </c>
      <c r="G787" s="93" t="s">
        <v>347</v>
      </c>
      <c r="H787" s="93" t="s">
        <v>344</v>
      </c>
      <c r="I787" s="94">
        <v>0.5</v>
      </c>
      <c r="J787" s="95">
        <v>30</v>
      </c>
    </row>
    <row r="788" spans="1:10" x14ac:dyDescent="0.25">
      <c r="A788" s="92">
        <v>45811</v>
      </c>
      <c r="B788" s="93" t="s">
        <v>330</v>
      </c>
      <c r="C788" s="89" t="s">
        <v>40</v>
      </c>
      <c r="D788" s="93" t="s">
        <v>178</v>
      </c>
      <c r="E788" s="93" t="s">
        <v>341</v>
      </c>
      <c r="F788" s="93" t="s">
        <v>460</v>
      </c>
      <c r="G788" s="93" t="s">
        <v>347</v>
      </c>
      <c r="H788" s="93" t="s">
        <v>344</v>
      </c>
      <c r="I788" s="94">
        <v>1</v>
      </c>
      <c r="J788" s="95">
        <v>60</v>
      </c>
    </row>
    <row r="789" spans="1:10" x14ac:dyDescent="0.25">
      <c r="A789" s="92">
        <v>45811</v>
      </c>
      <c r="B789" s="93" t="s">
        <v>330</v>
      </c>
      <c r="C789" s="89" t="s">
        <v>40</v>
      </c>
      <c r="D789" s="93" t="s">
        <v>196</v>
      </c>
      <c r="E789" s="93" t="s">
        <v>341</v>
      </c>
      <c r="F789" s="93" t="s">
        <v>446</v>
      </c>
      <c r="G789" s="93" t="s">
        <v>347</v>
      </c>
      <c r="H789" s="93" t="s">
        <v>344</v>
      </c>
      <c r="I789" s="94">
        <v>1</v>
      </c>
      <c r="J789" s="95">
        <v>60</v>
      </c>
    </row>
    <row r="790" spans="1:10" x14ac:dyDescent="0.25">
      <c r="A790" s="92">
        <v>45811</v>
      </c>
      <c r="B790" s="93" t="s">
        <v>330</v>
      </c>
      <c r="C790" s="89" t="s">
        <v>40</v>
      </c>
      <c r="D790" s="93" t="s">
        <v>176</v>
      </c>
      <c r="E790" s="93" t="s">
        <v>341</v>
      </c>
      <c r="F790" s="93" t="s">
        <v>458</v>
      </c>
      <c r="G790" s="93" t="s">
        <v>347</v>
      </c>
      <c r="H790" s="93" t="s">
        <v>344</v>
      </c>
      <c r="I790" s="94">
        <v>1</v>
      </c>
      <c r="J790" s="95">
        <v>60</v>
      </c>
    </row>
    <row r="791" spans="1:10" x14ac:dyDescent="0.25">
      <c r="A791" s="92">
        <v>45811</v>
      </c>
      <c r="B791" s="93" t="s">
        <v>329</v>
      </c>
      <c r="C791" s="89" t="s">
        <v>40</v>
      </c>
      <c r="D791" s="93" t="s">
        <v>316</v>
      </c>
      <c r="E791" s="93" t="s">
        <v>35</v>
      </c>
      <c r="F791" s="93" t="s">
        <v>338</v>
      </c>
      <c r="G791" s="93" t="s">
        <v>337</v>
      </c>
      <c r="H791" s="93" t="s">
        <v>352</v>
      </c>
      <c r="I791" s="94">
        <v>2.75</v>
      </c>
      <c r="J791" s="95">
        <v>206.25</v>
      </c>
    </row>
    <row r="792" spans="1:10" x14ac:dyDescent="0.25">
      <c r="A792" s="92">
        <v>45811</v>
      </c>
      <c r="B792" s="93" t="s">
        <v>333</v>
      </c>
      <c r="C792" s="89" t="s">
        <v>40</v>
      </c>
      <c r="D792" s="93" t="s">
        <v>320</v>
      </c>
      <c r="E792" s="93" t="s">
        <v>35</v>
      </c>
      <c r="F792" s="93" t="s">
        <v>322</v>
      </c>
      <c r="G792" s="93" t="s">
        <v>319</v>
      </c>
      <c r="H792" s="93" t="s">
        <v>352</v>
      </c>
      <c r="I792" s="94">
        <v>4.5199999999999996</v>
      </c>
      <c r="J792" s="95">
        <v>144.63999999999999</v>
      </c>
    </row>
    <row r="793" spans="1:10" x14ac:dyDescent="0.25">
      <c r="A793" s="92">
        <v>45811</v>
      </c>
      <c r="B793" s="93" t="s">
        <v>327</v>
      </c>
      <c r="C793" s="89" t="s">
        <v>40</v>
      </c>
      <c r="D793" s="93" t="s">
        <v>320</v>
      </c>
      <c r="E793" s="93" t="s">
        <v>35</v>
      </c>
      <c r="F793" s="93" t="s">
        <v>322</v>
      </c>
      <c r="G793" s="93" t="s">
        <v>319</v>
      </c>
      <c r="H793" s="93" t="s">
        <v>352</v>
      </c>
      <c r="I793" s="94">
        <v>7.5</v>
      </c>
      <c r="J793" s="95">
        <v>240</v>
      </c>
    </row>
    <row r="794" spans="1:10" x14ac:dyDescent="0.25">
      <c r="A794" s="92">
        <v>45811</v>
      </c>
      <c r="B794" s="93" t="s">
        <v>329</v>
      </c>
      <c r="C794" s="89" t="s">
        <v>40</v>
      </c>
      <c r="D794" s="93" t="s">
        <v>186</v>
      </c>
      <c r="E794" s="93" t="s">
        <v>34</v>
      </c>
      <c r="F794" s="93" t="s">
        <v>397</v>
      </c>
      <c r="G794" s="93" t="s">
        <v>347</v>
      </c>
      <c r="H794" s="93" t="s">
        <v>343</v>
      </c>
      <c r="I794" s="94">
        <v>0.08</v>
      </c>
      <c r="J794" s="95">
        <v>6</v>
      </c>
    </row>
    <row r="795" spans="1:10" x14ac:dyDescent="0.25">
      <c r="A795" s="92">
        <v>45811</v>
      </c>
      <c r="B795" s="93" t="s">
        <v>329</v>
      </c>
      <c r="C795" s="89" t="s">
        <v>40</v>
      </c>
      <c r="D795" s="93" t="s">
        <v>197</v>
      </c>
      <c r="E795" s="93" t="s">
        <v>34</v>
      </c>
      <c r="F795" s="93" t="s">
        <v>366</v>
      </c>
      <c r="G795" s="93" t="s">
        <v>347</v>
      </c>
      <c r="H795" s="93" t="s">
        <v>343</v>
      </c>
      <c r="I795" s="94">
        <v>0.17</v>
      </c>
      <c r="J795" s="95">
        <v>12.750000000000002</v>
      </c>
    </row>
    <row r="796" spans="1:10" x14ac:dyDescent="0.25">
      <c r="A796" s="92">
        <v>45811</v>
      </c>
      <c r="B796" s="93" t="s">
        <v>325</v>
      </c>
      <c r="C796" s="89" t="s">
        <v>40</v>
      </c>
      <c r="D796" s="93" t="s">
        <v>170</v>
      </c>
      <c r="E796" s="93" t="s">
        <v>34</v>
      </c>
      <c r="F796" s="93" t="s">
        <v>424</v>
      </c>
      <c r="G796" s="93" t="s">
        <v>347</v>
      </c>
      <c r="H796" s="93" t="s">
        <v>343</v>
      </c>
      <c r="I796" s="94">
        <v>0.42</v>
      </c>
      <c r="J796" s="95">
        <v>31.5</v>
      </c>
    </row>
    <row r="797" spans="1:10" x14ac:dyDescent="0.25">
      <c r="A797" s="92">
        <v>45811</v>
      </c>
      <c r="B797" s="93" t="s">
        <v>329</v>
      </c>
      <c r="C797" s="89" t="s">
        <v>40</v>
      </c>
      <c r="D797" s="93" t="s">
        <v>183</v>
      </c>
      <c r="E797" s="93" t="s">
        <v>34</v>
      </c>
      <c r="F797" s="93" t="s">
        <v>368</v>
      </c>
      <c r="G797" s="93" t="s">
        <v>347</v>
      </c>
      <c r="H797" s="93" t="s">
        <v>343</v>
      </c>
      <c r="I797" s="94">
        <v>0.08</v>
      </c>
      <c r="J797" s="95">
        <v>6</v>
      </c>
    </row>
    <row r="798" spans="1:10" x14ac:dyDescent="0.25">
      <c r="A798" s="92">
        <v>45811</v>
      </c>
      <c r="B798" s="93" t="s">
        <v>329</v>
      </c>
      <c r="C798" s="89" t="s">
        <v>40</v>
      </c>
      <c r="D798" s="93" t="s">
        <v>301</v>
      </c>
      <c r="E798" s="93" t="s">
        <v>34</v>
      </c>
      <c r="F798" s="93" t="s">
        <v>371</v>
      </c>
      <c r="G798" s="93" t="s">
        <v>347</v>
      </c>
      <c r="H798" s="93" t="s">
        <v>343</v>
      </c>
      <c r="I798" s="94">
        <v>0.17</v>
      </c>
      <c r="J798" s="95">
        <v>12.750000000000002</v>
      </c>
    </row>
    <row r="799" spans="1:10" x14ac:dyDescent="0.25">
      <c r="A799" s="92">
        <v>45811</v>
      </c>
      <c r="B799" s="93" t="s">
        <v>330</v>
      </c>
      <c r="C799" s="89" t="s">
        <v>40</v>
      </c>
      <c r="D799" s="93" t="s">
        <v>222</v>
      </c>
      <c r="E799" s="93" t="s">
        <v>34</v>
      </c>
      <c r="F799" s="93" t="s">
        <v>447</v>
      </c>
      <c r="G799" s="93" t="s">
        <v>347</v>
      </c>
      <c r="H799" s="93" t="s">
        <v>343</v>
      </c>
      <c r="I799" s="94">
        <v>0.5</v>
      </c>
      <c r="J799" s="95">
        <v>30</v>
      </c>
    </row>
    <row r="800" spans="1:10" x14ac:dyDescent="0.25">
      <c r="A800" s="92">
        <v>45811</v>
      </c>
      <c r="B800" s="93" t="s">
        <v>329</v>
      </c>
      <c r="C800" s="89" t="s">
        <v>40</v>
      </c>
      <c r="D800" s="93" t="s">
        <v>241</v>
      </c>
      <c r="E800" s="93" t="s">
        <v>34</v>
      </c>
      <c r="F800" s="93" t="s">
        <v>403</v>
      </c>
      <c r="G800" s="93" t="s">
        <v>347</v>
      </c>
      <c r="H800" s="93" t="s">
        <v>343</v>
      </c>
      <c r="I800" s="94">
        <v>0.33</v>
      </c>
      <c r="J800" s="95">
        <v>24.75</v>
      </c>
    </row>
    <row r="801" spans="1:10" x14ac:dyDescent="0.25">
      <c r="A801" s="92">
        <v>45811</v>
      </c>
      <c r="B801" s="93" t="s">
        <v>329</v>
      </c>
      <c r="C801" s="89" t="s">
        <v>40</v>
      </c>
      <c r="D801" s="93" t="s">
        <v>258</v>
      </c>
      <c r="E801" s="93" t="s">
        <v>34</v>
      </c>
      <c r="F801" s="93" t="s">
        <v>381</v>
      </c>
      <c r="G801" s="93" t="s">
        <v>347</v>
      </c>
      <c r="H801" s="93" t="s">
        <v>343</v>
      </c>
      <c r="I801" s="94">
        <v>1</v>
      </c>
      <c r="J801" s="95">
        <v>75</v>
      </c>
    </row>
    <row r="802" spans="1:10" x14ac:dyDescent="0.25">
      <c r="A802" s="92">
        <v>45811</v>
      </c>
      <c r="B802" s="93" t="s">
        <v>329</v>
      </c>
      <c r="C802" s="89" t="s">
        <v>40</v>
      </c>
      <c r="D802" s="93" t="s">
        <v>259</v>
      </c>
      <c r="E802" s="93" t="s">
        <v>34</v>
      </c>
      <c r="F802" s="93" t="s">
        <v>407</v>
      </c>
      <c r="G802" s="93" t="s">
        <v>347</v>
      </c>
      <c r="H802" s="93" t="s">
        <v>343</v>
      </c>
      <c r="I802" s="94">
        <v>0.33</v>
      </c>
      <c r="J802" s="95">
        <v>24.75</v>
      </c>
    </row>
    <row r="803" spans="1:10" x14ac:dyDescent="0.25">
      <c r="A803" s="92">
        <v>45811</v>
      </c>
      <c r="B803" s="93" t="s">
        <v>330</v>
      </c>
      <c r="C803" s="89" t="s">
        <v>40</v>
      </c>
      <c r="D803" s="93" t="s">
        <v>252</v>
      </c>
      <c r="E803" s="93" t="s">
        <v>34</v>
      </c>
      <c r="F803" s="93" t="s">
        <v>416</v>
      </c>
      <c r="G803" s="93" t="s">
        <v>347</v>
      </c>
      <c r="H803" s="93" t="s">
        <v>343</v>
      </c>
      <c r="I803" s="94">
        <v>0.5</v>
      </c>
      <c r="J803" s="95">
        <v>30</v>
      </c>
    </row>
    <row r="804" spans="1:10" x14ac:dyDescent="0.25">
      <c r="A804" s="92">
        <v>45811</v>
      </c>
      <c r="B804" s="93" t="s">
        <v>329</v>
      </c>
      <c r="C804" s="89" t="s">
        <v>40</v>
      </c>
      <c r="D804" s="93" t="s">
        <v>247</v>
      </c>
      <c r="E804" s="93" t="s">
        <v>34</v>
      </c>
      <c r="F804" s="93" t="s">
        <v>375</v>
      </c>
      <c r="G804" s="93" t="s">
        <v>347</v>
      </c>
      <c r="H804" s="93" t="s">
        <v>343</v>
      </c>
      <c r="I804" s="94">
        <v>0.17</v>
      </c>
      <c r="J804" s="95">
        <v>12.750000000000002</v>
      </c>
    </row>
    <row r="805" spans="1:10" x14ac:dyDescent="0.25">
      <c r="A805" s="92">
        <v>45811</v>
      </c>
      <c r="B805" s="93" t="s">
        <v>326</v>
      </c>
      <c r="C805" s="89" t="s">
        <v>40</v>
      </c>
      <c r="D805" s="93" t="s">
        <v>236</v>
      </c>
      <c r="E805" s="93" t="s">
        <v>36</v>
      </c>
      <c r="F805" s="93" t="s">
        <v>357</v>
      </c>
      <c r="G805" s="93" t="s">
        <v>348</v>
      </c>
      <c r="H805" s="93" t="s">
        <v>342</v>
      </c>
      <c r="I805" s="94">
        <v>0.5</v>
      </c>
      <c r="J805" s="95">
        <v>30</v>
      </c>
    </row>
    <row r="806" spans="1:10" x14ac:dyDescent="0.25">
      <c r="A806" s="92">
        <v>45811</v>
      </c>
      <c r="B806" s="93" t="s">
        <v>326</v>
      </c>
      <c r="C806" s="89" t="s">
        <v>40</v>
      </c>
      <c r="D806" s="93" t="s">
        <v>207</v>
      </c>
      <c r="E806" s="93" t="s">
        <v>34</v>
      </c>
      <c r="F806" s="93" t="s">
        <v>417</v>
      </c>
      <c r="G806" s="93" t="s">
        <v>348</v>
      </c>
      <c r="H806" s="93" t="s">
        <v>343</v>
      </c>
      <c r="I806" s="94">
        <v>0.5</v>
      </c>
      <c r="J806" s="95">
        <v>30</v>
      </c>
    </row>
    <row r="807" spans="1:10" x14ac:dyDescent="0.25">
      <c r="A807" s="92">
        <v>45811</v>
      </c>
      <c r="B807" s="93" t="s">
        <v>326</v>
      </c>
      <c r="C807" s="89" t="s">
        <v>40</v>
      </c>
      <c r="D807" s="93" t="s">
        <v>300</v>
      </c>
      <c r="E807" s="93" t="s">
        <v>341</v>
      </c>
      <c r="F807" s="93" t="s">
        <v>464</v>
      </c>
      <c r="G807" s="93" t="s">
        <v>348</v>
      </c>
      <c r="H807" s="93" t="s">
        <v>344</v>
      </c>
      <c r="I807" s="94">
        <v>0.5</v>
      </c>
      <c r="J807" s="95">
        <v>30</v>
      </c>
    </row>
    <row r="808" spans="1:10" x14ac:dyDescent="0.25">
      <c r="A808" s="92">
        <v>45811</v>
      </c>
      <c r="B808" s="93" t="s">
        <v>332</v>
      </c>
      <c r="C808" s="89" t="s">
        <v>40</v>
      </c>
      <c r="D808" s="93" t="s">
        <v>314</v>
      </c>
      <c r="E808" s="93" t="s">
        <v>35</v>
      </c>
      <c r="F808" s="93" t="s">
        <v>359</v>
      </c>
      <c r="G808" s="93" t="s">
        <v>339</v>
      </c>
      <c r="H808" s="93" t="s">
        <v>352</v>
      </c>
      <c r="I808" s="94">
        <v>8.67</v>
      </c>
      <c r="J808" s="95">
        <v>346.8</v>
      </c>
    </row>
    <row r="809" spans="1:10" x14ac:dyDescent="0.25">
      <c r="A809" s="92">
        <v>45811</v>
      </c>
      <c r="B809" s="93" t="s">
        <v>324</v>
      </c>
      <c r="C809" s="89" t="s">
        <v>40</v>
      </c>
      <c r="D809" s="93" t="s">
        <v>314</v>
      </c>
      <c r="E809" s="93" t="s">
        <v>35</v>
      </c>
      <c r="F809" s="93" t="s">
        <v>359</v>
      </c>
      <c r="G809" s="93" t="s">
        <v>339</v>
      </c>
      <c r="H809" s="93" t="s">
        <v>352</v>
      </c>
      <c r="I809" s="94">
        <v>4.5</v>
      </c>
      <c r="J809" s="95">
        <v>337.5</v>
      </c>
    </row>
    <row r="810" spans="1:10" x14ac:dyDescent="0.25">
      <c r="A810" s="92">
        <v>45812</v>
      </c>
      <c r="B810" s="93" t="s">
        <v>330</v>
      </c>
      <c r="C810" s="89" t="s">
        <v>40</v>
      </c>
      <c r="D810" s="93" t="s">
        <v>222</v>
      </c>
      <c r="E810" s="93" t="s">
        <v>341</v>
      </c>
      <c r="F810" s="93" t="s">
        <v>447</v>
      </c>
      <c r="G810" s="93" t="s">
        <v>347</v>
      </c>
      <c r="H810" s="93" t="s">
        <v>344</v>
      </c>
      <c r="I810" s="94">
        <v>1.42</v>
      </c>
      <c r="J810" s="95">
        <v>85.199999999999989</v>
      </c>
    </row>
    <row r="811" spans="1:10" x14ac:dyDescent="0.25">
      <c r="A811" s="92">
        <v>45812</v>
      </c>
      <c r="B811" s="93" t="s">
        <v>330</v>
      </c>
      <c r="C811" s="89" t="s">
        <v>40</v>
      </c>
      <c r="D811" s="93" t="s">
        <v>184</v>
      </c>
      <c r="E811" s="93" t="s">
        <v>341</v>
      </c>
      <c r="F811" s="93" t="s">
        <v>459</v>
      </c>
      <c r="G811" s="93" t="s">
        <v>347</v>
      </c>
      <c r="H811" s="93" t="s">
        <v>344</v>
      </c>
      <c r="I811" s="94">
        <v>1.5</v>
      </c>
      <c r="J811" s="95">
        <v>90</v>
      </c>
    </row>
    <row r="812" spans="1:10" x14ac:dyDescent="0.25">
      <c r="A812" s="92">
        <v>45812</v>
      </c>
      <c r="B812" s="93" t="s">
        <v>329</v>
      </c>
      <c r="C812" s="89" t="s">
        <v>40</v>
      </c>
      <c r="D812" s="93" t="s">
        <v>316</v>
      </c>
      <c r="E812" s="93" t="s">
        <v>35</v>
      </c>
      <c r="F812" s="93" t="s">
        <v>338</v>
      </c>
      <c r="G812" s="93" t="s">
        <v>337</v>
      </c>
      <c r="H812" s="93" t="s">
        <v>352</v>
      </c>
      <c r="I812" s="94">
        <v>2</v>
      </c>
      <c r="J812" s="95">
        <v>150</v>
      </c>
    </row>
    <row r="813" spans="1:10" x14ac:dyDescent="0.25">
      <c r="A813" s="92">
        <v>45812</v>
      </c>
      <c r="B813" s="93" t="s">
        <v>333</v>
      </c>
      <c r="C813" s="89" t="s">
        <v>40</v>
      </c>
      <c r="D813" s="93" t="s">
        <v>320</v>
      </c>
      <c r="E813" s="93" t="s">
        <v>35</v>
      </c>
      <c r="F813" s="93" t="s">
        <v>322</v>
      </c>
      <c r="G813" s="93" t="s">
        <v>319</v>
      </c>
      <c r="H813" s="93" t="s">
        <v>352</v>
      </c>
      <c r="I813" s="94">
        <v>7.72</v>
      </c>
      <c r="J813" s="95">
        <v>247.04</v>
      </c>
    </row>
    <row r="814" spans="1:10" x14ac:dyDescent="0.25">
      <c r="A814" s="92">
        <v>45812</v>
      </c>
      <c r="B814" s="93" t="s">
        <v>327</v>
      </c>
      <c r="C814" s="89" t="s">
        <v>40</v>
      </c>
      <c r="D814" s="93" t="s">
        <v>320</v>
      </c>
      <c r="E814" s="93" t="s">
        <v>35</v>
      </c>
      <c r="F814" s="93" t="s">
        <v>322</v>
      </c>
      <c r="G814" s="93" t="s">
        <v>319</v>
      </c>
      <c r="H814" s="93" t="s">
        <v>352</v>
      </c>
      <c r="I814" s="94">
        <v>7.67</v>
      </c>
      <c r="J814" s="95">
        <v>245.44</v>
      </c>
    </row>
    <row r="815" spans="1:10" x14ac:dyDescent="0.25">
      <c r="A815" s="92">
        <v>45812</v>
      </c>
      <c r="B815" s="93" t="s">
        <v>325</v>
      </c>
      <c r="C815" s="89" t="s">
        <v>40</v>
      </c>
      <c r="D815" s="93" t="s">
        <v>179</v>
      </c>
      <c r="E815" s="93" t="s">
        <v>34</v>
      </c>
      <c r="F815" s="93" t="s">
        <v>422</v>
      </c>
      <c r="G815" s="93" t="s">
        <v>347</v>
      </c>
      <c r="H815" s="93" t="s">
        <v>343</v>
      </c>
      <c r="I815" s="94">
        <v>0.17</v>
      </c>
      <c r="J815" s="95">
        <v>12.750000000000002</v>
      </c>
    </row>
    <row r="816" spans="1:10" x14ac:dyDescent="0.25">
      <c r="A816" s="92">
        <v>45812</v>
      </c>
      <c r="B816" s="93" t="s">
        <v>325</v>
      </c>
      <c r="C816" s="89" t="s">
        <v>40</v>
      </c>
      <c r="D816" s="93" t="s">
        <v>226</v>
      </c>
      <c r="E816" s="93" t="s">
        <v>34</v>
      </c>
      <c r="F816" s="93" t="s">
        <v>401</v>
      </c>
      <c r="G816" s="93" t="s">
        <v>347</v>
      </c>
      <c r="H816" s="93" t="s">
        <v>343</v>
      </c>
      <c r="I816" s="94">
        <v>0.25</v>
      </c>
      <c r="J816" s="95">
        <v>18.75</v>
      </c>
    </row>
    <row r="817" spans="1:10" x14ac:dyDescent="0.25">
      <c r="A817" s="92">
        <v>45812</v>
      </c>
      <c r="B817" s="93" t="s">
        <v>325</v>
      </c>
      <c r="C817" s="89" t="s">
        <v>40</v>
      </c>
      <c r="D817" s="93" t="s">
        <v>278</v>
      </c>
      <c r="E817" s="93" t="s">
        <v>34</v>
      </c>
      <c r="F817" s="93" t="s">
        <v>452</v>
      </c>
      <c r="G817" s="93" t="s">
        <v>347</v>
      </c>
      <c r="H817" s="93" t="s">
        <v>343</v>
      </c>
      <c r="I817" s="94">
        <v>0.33</v>
      </c>
      <c r="J817" s="95">
        <v>24.75</v>
      </c>
    </row>
    <row r="818" spans="1:10" x14ac:dyDescent="0.25">
      <c r="A818" s="92">
        <v>45812</v>
      </c>
      <c r="B818" s="93" t="s">
        <v>330</v>
      </c>
      <c r="C818" s="89" t="s">
        <v>40</v>
      </c>
      <c r="D818" s="93" t="s">
        <v>284</v>
      </c>
      <c r="E818" s="93" t="s">
        <v>341</v>
      </c>
      <c r="F818" s="93" t="s">
        <v>415</v>
      </c>
      <c r="G818" s="93" t="s">
        <v>347</v>
      </c>
      <c r="H818" s="93" t="s">
        <v>344</v>
      </c>
      <c r="I818" s="94">
        <v>1.5</v>
      </c>
      <c r="J818" s="95">
        <v>90</v>
      </c>
    </row>
    <row r="819" spans="1:10" x14ac:dyDescent="0.25">
      <c r="A819" s="92">
        <v>45812</v>
      </c>
      <c r="B819" s="93" t="s">
        <v>330</v>
      </c>
      <c r="C819" s="89" t="s">
        <v>40</v>
      </c>
      <c r="D819" s="93" t="s">
        <v>261</v>
      </c>
      <c r="E819" s="93" t="s">
        <v>341</v>
      </c>
      <c r="F819" s="93" t="s">
        <v>444</v>
      </c>
      <c r="G819" s="93" t="s">
        <v>347</v>
      </c>
      <c r="H819" s="93" t="s">
        <v>344</v>
      </c>
      <c r="I819" s="94">
        <v>1.25</v>
      </c>
      <c r="J819" s="95">
        <v>75</v>
      </c>
    </row>
    <row r="820" spans="1:10" x14ac:dyDescent="0.25">
      <c r="A820" s="92">
        <v>45812</v>
      </c>
      <c r="B820" s="93" t="s">
        <v>330</v>
      </c>
      <c r="C820" s="89" t="s">
        <v>40</v>
      </c>
      <c r="D820" s="93" t="s">
        <v>256</v>
      </c>
      <c r="E820" s="93" t="s">
        <v>341</v>
      </c>
      <c r="F820" s="93" t="s">
        <v>463</v>
      </c>
      <c r="G820" s="93" t="s">
        <v>347</v>
      </c>
      <c r="H820" s="93" t="s">
        <v>344</v>
      </c>
      <c r="I820" s="94">
        <v>0.5</v>
      </c>
      <c r="J820" s="95">
        <v>30</v>
      </c>
    </row>
    <row r="821" spans="1:10" x14ac:dyDescent="0.25">
      <c r="A821" s="92">
        <v>45812</v>
      </c>
      <c r="B821" s="93" t="s">
        <v>330</v>
      </c>
      <c r="C821" s="89" t="s">
        <v>40</v>
      </c>
      <c r="D821" s="93" t="s">
        <v>255</v>
      </c>
      <c r="E821" s="93" t="s">
        <v>341</v>
      </c>
      <c r="F821" s="93" t="s">
        <v>462</v>
      </c>
      <c r="G821" s="93" t="s">
        <v>347</v>
      </c>
      <c r="H821" s="93" t="s">
        <v>344</v>
      </c>
      <c r="I821" s="94">
        <v>0.5</v>
      </c>
      <c r="J821" s="95">
        <v>30</v>
      </c>
    </row>
    <row r="822" spans="1:10" x14ac:dyDescent="0.25">
      <c r="A822" s="92">
        <v>45812</v>
      </c>
      <c r="B822" s="93" t="s">
        <v>332</v>
      </c>
      <c r="C822" s="89" t="s">
        <v>40</v>
      </c>
      <c r="D822" s="93" t="s">
        <v>314</v>
      </c>
      <c r="E822" s="93" t="s">
        <v>35</v>
      </c>
      <c r="F822" s="93" t="s">
        <v>359</v>
      </c>
      <c r="G822" s="93" t="s">
        <v>339</v>
      </c>
      <c r="H822" s="93" t="s">
        <v>352</v>
      </c>
      <c r="I822" s="94">
        <v>8.33</v>
      </c>
      <c r="J822" s="95">
        <v>333.2</v>
      </c>
    </row>
    <row r="823" spans="1:10" x14ac:dyDescent="0.25">
      <c r="A823" s="92">
        <v>45812</v>
      </c>
      <c r="B823" s="93" t="s">
        <v>324</v>
      </c>
      <c r="C823" s="89" t="s">
        <v>40</v>
      </c>
      <c r="D823" s="93" t="s">
        <v>314</v>
      </c>
      <c r="E823" s="93" t="s">
        <v>35</v>
      </c>
      <c r="F823" s="93" t="s">
        <v>359</v>
      </c>
      <c r="G823" s="93" t="s">
        <v>339</v>
      </c>
      <c r="H823" s="93" t="s">
        <v>352</v>
      </c>
      <c r="I823" s="94">
        <v>6.5</v>
      </c>
      <c r="J823" s="95">
        <v>487.5</v>
      </c>
    </row>
    <row r="824" spans="1:10" x14ac:dyDescent="0.25">
      <c r="A824" s="92">
        <v>45813</v>
      </c>
      <c r="B824" s="93" t="s">
        <v>329</v>
      </c>
      <c r="C824" s="89" t="s">
        <v>40</v>
      </c>
      <c r="D824" s="93" t="s">
        <v>269</v>
      </c>
      <c r="E824" s="93" t="s">
        <v>34</v>
      </c>
      <c r="F824" s="93" t="s">
        <v>361</v>
      </c>
      <c r="G824" s="93" t="s">
        <v>347</v>
      </c>
      <c r="H824" s="93" t="s">
        <v>343</v>
      </c>
      <c r="I824" s="94">
        <v>0.33</v>
      </c>
      <c r="J824" s="95">
        <v>24.75</v>
      </c>
    </row>
    <row r="825" spans="1:10" x14ac:dyDescent="0.25">
      <c r="A825" s="92">
        <v>45813</v>
      </c>
      <c r="B825" s="93" t="s">
        <v>329</v>
      </c>
      <c r="C825" s="89" t="s">
        <v>40</v>
      </c>
      <c r="D825" s="93" t="s">
        <v>316</v>
      </c>
      <c r="E825" s="93" t="s">
        <v>35</v>
      </c>
      <c r="F825" s="93" t="s">
        <v>338</v>
      </c>
      <c r="G825" s="93" t="s">
        <v>337</v>
      </c>
      <c r="H825" s="93" t="s">
        <v>352</v>
      </c>
      <c r="I825" s="94">
        <v>1</v>
      </c>
      <c r="J825" s="95">
        <v>75</v>
      </c>
    </row>
    <row r="826" spans="1:10" x14ac:dyDescent="0.25">
      <c r="A826" s="92">
        <v>45813</v>
      </c>
      <c r="B826" s="93" t="s">
        <v>333</v>
      </c>
      <c r="C826" s="89" t="s">
        <v>40</v>
      </c>
      <c r="D826" s="93" t="s">
        <v>320</v>
      </c>
      <c r="E826" s="93" t="s">
        <v>35</v>
      </c>
      <c r="F826" s="93" t="s">
        <v>322</v>
      </c>
      <c r="G826" s="93" t="s">
        <v>319</v>
      </c>
      <c r="H826" s="93" t="s">
        <v>352</v>
      </c>
      <c r="I826" s="94">
        <v>7.52</v>
      </c>
      <c r="J826" s="95">
        <v>240.64</v>
      </c>
    </row>
    <row r="827" spans="1:10" x14ac:dyDescent="0.25">
      <c r="A827" s="92">
        <v>45813</v>
      </c>
      <c r="B827" s="93" t="s">
        <v>327</v>
      </c>
      <c r="C827" s="89" t="s">
        <v>40</v>
      </c>
      <c r="D827" s="93" t="s">
        <v>320</v>
      </c>
      <c r="E827" s="93" t="s">
        <v>35</v>
      </c>
      <c r="F827" s="93" t="s">
        <v>322</v>
      </c>
      <c r="G827" s="93" t="s">
        <v>319</v>
      </c>
      <c r="H827" s="93" t="s">
        <v>352</v>
      </c>
      <c r="I827" s="94">
        <v>7.5</v>
      </c>
      <c r="J827" s="95">
        <v>240</v>
      </c>
    </row>
    <row r="828" spans="1:10" x14ac:dyDescent="0.25">
      <c r="A828" s="92">
        <v>45813</v>
      </c>
      <c r="B828" s="93" t="s">
        <v>325</v>
      </c>
      <c r="C828" s="89" t="s">
        <v>40</v>
      </c>
      <c r="D828" s="93" t="s">
        <v>198</v>
      </c>
      <c r="E828" s="93" t="s">
        <v>36</v>
      </c>
      <c r="F828" s="93" t="s">
        <v>413</v>
      </c>
      <c r="G828" s="93" t="s">
        <v>347</v>
      </c>
      <c r="H828" s="93" t="s">
        <v>342</v>
      </c>
      <c r="I828" s="94">
        <v>3.58</v>
      </c>
      <c r="J828" s="95">
        <v>268.5</v>
      </c>
    </row>
    <row r="829" spans="1:10" x14ac:dyDescent="0.25">
      <c r="A829" s="92">
        <v>45813</v>
      </c>
      <c r="B829" s="93" t="s">
        <v>329</v>
      </c>
      <c r="C829" s="89" t="s">
        <v>40</v>
      </c>
      <c r="D829" s="93" t="s">
        <v>186</v>
      </c>
      <c r="E829" s="93" t="s">
        <v>34</v>
      </c>
      <c r="F829" s="93" t="s">
        <v>397</v>
      </c>
      <c r="G829" s="93" t="s">
        <v>347</v>
      </c>
      <c r="H829" s="93" t="s">
        <v>343</v>
      </c>
      <c r="I829" s="94">
        <v>0.08</v>
      </c>
      <c r="J829" s="95">
        <v>6</v>
      </c>
    </row>
    <row r="830" spans="1:10" x14ac:dyDescent="0.25">
      <c r="A830" s="92">
        <v>45813</v>
      </c>
      <c r="B830" s="93" t="s">
        <v>330</v>
      </c>
      <c r="C830" s="89" t="s">
        <v>40</v>
      </c>
      <c r="D830" s="93" t="s">
        <v>252</v>
      </c>
      <c r="E830" s="93" t="s">
        <v>36</v>
      </c>
      <c r="F830" s="93" t="s">
        <v>416</v>
      </c>
      <c r="G830" s="93" t="s">
        <v>347</v>
      </c>
      <c r="H830" s="93" t="s">
        <v>342</v>
      </c>
      <c r="I830" s="94">
        <v>0.5</v>
      </c>
      <c r="J830" s="95">
        <v>30</v>
      </c>
    </row>
    <row r="831" spans="1:10" x14ac:dyDescent="0.25">
      <c r="A831" s="92">
        <v>45813</v>
      </c>
      <c r="B831" s="93" t="s">
        <v>325</v>
      </c>
      <c r="C831" s="89" t="s">
        <v>40</v>
      </c>
      <c r="D831" s="93" t="s">
        <v>180</v>
      </c>
      <c r="E831" s="93" t="s">
        <v>34</v>
      </c>
      <c r="F831" s="93" t="s">
        <v>465</v>
      </c>
      <c r="G831" s="93" t="s">
        <v>347</v>
      </c>
      <c r="H831" s="93" t="s">
        <v>343</v>
      </c>
      <c r="I831" s="94">
        <v>0.17</v>
      </c>
      <c r="J831" s="95">
        <v>12.750000000000002</v>
      </c>
    </row>
    <row r="832" spans="1:10" x14ac:dyDescent="0.25">
      <c r="A832" s="92">
        <v>45813</v>
      </c>
      <c r="B832" s="93" t="s">
        <v>325</v>
      </c>
      <c r="C832" s="89" t="s">
        <v>40</v>
      </c>
      <c r="D832" s="93" t="s">
        <v>179</v>
      </c>
      <c r="E832" s="93" t="s">
        <v>34</v>
      </c>
      <c r="F832" s="93" t="s">
        <v>422</v>
      </c>
      <c r="G832" s="93" t="s">
        <v>347</v>
      </c>
      <c r="H832" s="93" t="s">
        <v>343</v>
      </c>
      <c r="I832" s="94">
        <v>0.17</v>
      </c>
      <c r="J832" s="95">
        <v>12.750000000000002</v>
      </c>
    </row>
    <row r="833" spans="1:10" x14ac:dyDescent="0.25">
      <c r="A833" s="92">
        <v>45813</v>
      </c>
      <c r="B833" s="93" t="s">
        <v>330</v>
      </c>
      <c r="C833" s="89" t="s">
        <v>40</v>
      </c>
      <c r="D833" s="93" t="s">
        <v>171</v>
      </c>
      <c r="E833" s="93" t="s">
        <v>34</v>
      </c>
      <c r="F833" s="93" t="s">
        <v>390</v>
      </c>
      <c r="G833" s="93" t="s">
        <v>347</v>
      </c>
      <c r="H833" s="93" t="s">
        <v>343</v>
      </c>
      <c r="I833" s="94">
        <v>0.5</v>
      </c>
      <c r="J833" s="95">
        <v>30</v>
      </c>
    </row>
    <row r="834" spans="1:10" x14ac:dyDescent="0.25">
      <c r="A834" s="92">
        <v>45813</v>
      </c>
      <c r="B834" s="93" t="s">
        <v>330</v>
      </c>
      <c r="C834" s="89" t="s">
        <v>40</v>
      </c>
      <c r="D834" s="93" t="s">
        <v>184</v>
      </c>
      <c r="E834" s="93" t="s">
        <v>34</v>
      </c>
      <c r="F834" s="93" t="s">
        <v>459</v>
      </c>
      <c r="G834" s="93" t="s">
        <v>347</v>
      </c>
      <c r="H834" s="93" t="s">
        <v>343</v>
      </c>
      <c r="I834" s="94">
        <v>0.5</v>
      </c>
      <c r="J834" s="95">
        <v>30</v>
      </c>
    </row>
    <row r="835" spans="1:10" x14ac:dyDescent="0.25">
      <c r="A835" s="92">
        <v>45813</v>
      </c>
      <c r="B835" s="93" t="s">
        <v>329</v>
      </c>
      <c r="C835" s="89" t="s">
        <v>40</v>
      </c>
      <c r="D835" s="93" t="s">
        <v>301</v>
      </c>
      <c r="E835" s="93" t="s">
        <v>34</v>
      </c>
      <c r="F835" s="93" t="s">
        <v>371</v>
      </c>
      <c r="G835" s="93" t="s">
        <v>347</v>
      </c>
      <c r="H835" s="93" t="s">
        <v>343</v>
      </c>
      <c r="I835" s="94">
        <v>0.75</v>
      </c>
      <c r="J835" s="95">
        <v>56.25</v>
      </c>
    </row>
    <row r="836" spans="1:10" x14ac:dyDescent="0.25">
      <c r="A836" s="92">
        <v>45813</v>
      </c>
      <c r="B836" s="93" t="s">
        <v>325</v>
      </c>
      <c r="C836" s="89" t="s">
        <v>40</v>
      </c>
      <c r="D836" s="93" t="s">
        <v>226</v>
      </c>
      <c r="E836" s="93" t="s">
        <v>34</v>
      </c>
      <c r="F836" s="93" t="s">
        <v>401</v>
      </c>
      <c r="G836" s="93" t="s">
        <v>347</v>
      </c>
      <c r="H836" s="93" t="s">
        <v>343</v>
      </c>
      <c r="I836" s="94">
        <v>0.17</v>
      </c>
      <c r="J836" s="95">
        <v>12.750000000000002</v>
      </c>
    </row>
    <row r="837" spans="1:10" x14ac:dyDescent="0.25">
      <c r="A837" s="92">
        <v>45813</v>
      </c>
      <c r="B837" s="93" t="s">
        <v>329</v>
      </c>
      <c r="C837" s="89" t="s">
        <v>40</v>
      </c>
      <c r="D837" s="93" t="s">
        <v>240</v>
      </c>
      <c r="E837" s="93" t="s">
        <v>34</v>
      </c>
      <c r="F837" s="93" t="s">
        <v>402</v>
      </c>
      <c r="G837" s="93" t="s">
        <v>347</v>
      </c>
      <c r="H837" s="93" t="s">
        <v>343</v>
      </c>
      <c r="I837" s="94">
        <v>0.17</v>
      </c>
      <c r="J837" s="95">
        <v>12.750000000000002</v>
      </c>
    </row>
    <row r="838" spans="1:10" x14ac:dyDescent="0.25">
      <c r="A838" s="92">
        <v>45813</v>
      </c>
      <c r="B838" s="93" t="s">
        <v>330</v>
      </c>
      <c r="C838" s="89" t="s">
        <v>40</v>
      </c>
      <c r="D838" s="93" t="s">
        <v>178</v>
      </c>
      <c r="E838" s="93" t="s">
        <v>34</v>
      </c>
      <c r="F838" s="93" t="s">
        <v>460</v>
      </c>
      <c r="G838" s="93" t="s">
        <v>347</v>
      </c>
      <c r="H838" s="93" t="s">
        <v>343</v>
      </c>
      <c r="I838" s="94">
        <v>0.5</v>
      </c>
      <c r="J838" s="95">
        <v>30</v>
      </c>
    </row>
    <row r="839" spans="1:10" x14ac:dyDescent="0.25">
      <c r="A839" s="92">
        <v>45813</v>
      </c>
      <c r="B839" s="93" t="s">
        <v>329</v>
      </c>
      <c r="C839" s="89" t="s">
        <v>40</v>
      </c>
      <c r="D839" s="93" t="s">
        <v>242</v>
      </c>
      <c r="E839" s="93" t="s">
        <v>34</v>
      </c>
      <c r="F839" s="93" t="s">
        <v>404</v>
      </c>
      <c r="G839" s="93" t="s">
        <v>347</v>
      </c>
      <c r="H839" s="93" t="s">
        <v>343</v>
      </c>
      <c r="I839" s="94">
        <v>0.33</v>
      </c>
      <c r="J839" s="95">
        <v>24.75</v>
      </c>
    </row>
    <row r="840" spans="1:10" x14ac:dyDescent="0.25">
      <c r="A840" s="92">
        <v>45813</v>
      </c>
      <c r="B840" s="93" t="s">
        <v>329</v>
      </c>
      <c r="C840" s="89" t="s">
        <v>40</v>
      </c>
      <c r="D840" s="93" t="s">
        <v>293</v>
      </c>
      <c r="E840" s="93" t="s">
        <v>34</v>
      </c>
      <c r="F840" s="93" t="s">
        <v>376</v>
      </c>
      <c r="G840" s="93" t="s">
        <v>347</v>
      </c>
      <c r="H840" s="93" t="s">
        <v>343</v>
      </c>
      <c r="I840" s="94">
        <v>0.5</v>
      </c>
      <c r="J840" s="95">
        <v>37.5</v>
      </c>
    </row>
    <row r="841" spans="1:10" x14ac:dyDescent="0.25">
      <c r="A841" s="92">
        <v>45813</v>
      </c>
      <c r="B841" s="93" t="s">
        <v>330</v>
      </c>
      <c r="C841" s="89" t="s">
        <v>40</v>
      </c>
      <c r="D841" s="93" t="s">
        <v>261</v>
      </c>
      <c r="E841" s="93" t="s">
        <v>34</v>
      </c>
      <c r="F841" s="93" t="s">
        <v>444</v>
      </c>
      <c r="G841" s="93" t="s">
        <v>347</v>
      </c>
      <c r="H841" s="93" t="s">
        <v>343</v>
      </c>
      <c r="I841" s="94">
        <v>0.5</v>
      </c>
      <c r="J841" s="95">
        <v>30</v>
      </c>
    </row>
    <row r="842" spans="1:10" x14ac:dyDescent="0.25">
      <c r="A842" s="92">
        <v>45813</v>
      </c>
      <c r="B842" s="93" t="s">
        <v>325</v>
      </c>
      <c r="C842" s="89" t="s">
        <v>40</v>
      </c>
      <c r="D842" s="93" t="s">
        <v>264</v>
      </c>
      <c r="E842" s="93" t="s">
        <v>34</v>
      </c>
      <c r="F842" s="93" t="s">
        <v>384</v>
      </c>
      <c r="G842" s="93" t="s">
        <v>347</v>
      </c>
      <c r="H842" s="93" t="s">
        <v>343</v>
      </c>
      <c r="I842" s="94">
        <v>0.17</v>
      </c>
      <c r="J842" s="95">
        <v>12.750000000000002</v>
      </c>
    </row>
    <row r="843" spans="1:10" x14ac:dyDescent="0.25">
      <c r="A843" s="92">
        <v>45813</v>
      </c>
      <c r="B843" s="93" t="s">
        <v>330</v>
      </c>
      <c r="C843" s="89" t="s">
        <v>40</v>
      </c>
      <c r="D843" s="93" t="s">
        <v>252</v>
      </c>
      <c r="E843" s="93" t="s">
        <v>34</v>
      </c>
      <c r="F843" s="93" t="s">
        <v>416</v>
      </c>
      <c r="G843" s="93" t="s">
        <v>347</v>
      </c>
      <c r="H843" s="93" t="s">
        <v>343</v>
      </c>
      <c r="I843" s="94">
        <v>1</v>
      </c>
      <c r="J843" s="95">
        <v>60</v>
      </c>
    </row>
    <row r="844" spans="1:10" x14ac:dyDescent="0.25">
      <c r="A844" s="92">
        <v>45813</v>
      </c>
      <c r="B844" s="93" t="s">
        <v>329</v>
      </c>
      <c r="C844" s="89" t="s">
        <v>40</v>
      </c>
      <c r="D844" s="93" t="s">
        <v>247</v>
      </c>
      <c r="E844" s="93" t="s">
        <v>34</v>
      </c>
      <c r="F844" s="93" t="s">
        <v>375</v>
      </c>
      <c r="G844" s="93" t="s">
        <v>347</v>
      </c>
      <c r="H844" s="93" t="s">
        <v>343</v>
      </c>
      <c r="I844" s="94">
        <v>0.33</v>
      </c>
      <c r="J844" s="95">
        <v>24.75</v>
      </c>
    </row>
    <row r="845" spans="1:10" x14ac:dyDescent="0.25">
      <c r="A845" s="92">
        <v>45813</v>
      </c>
      <c r="B845" s="93" t="s">
        <v>330</v>
      </c>
      <c r="C845" s="89" t="s">
        <v>40</v>
      </c>
      <c r="D845" s="93" t="s">
        <v>275</v>
      </c>
      <c r="E845" s="93" t="s">
        <v>34</v>
      </c>
      <c r="F845" s="93" t="s">
        <v>443</v>
      </c>
      <c r="G845" s="93" t="s">
        <v>347</v>
      </c>
      <c r="H845" s="93" t="s">
        <v>343</v>
      </c>
      <c r="I845" s="94">
        <v>0.5</v>
      </c>
      <c r="J845" s="95">
        <v>30</v>
      </c>
    </row>
    <row r="846" spans="1:10" x14ac:dyDescent="0.25">
      <c r="A846" s="92">
        <v>45813</v>
      </c>
      <c r="B846" s="93" t="s">
        <v>325</v>
      </c>
      <c r="C846" s="89" t="s">
        <v>40</v>
      </c>
      <c r="D846" s="93" t="s">
        <v>254</v>
      </c>
      <c r="E846" s="93" t="s">
        <v>341</v>
      </c>
      <c r="F846" s="93" t="s">
        <v>441</v>
      </c>
      <c r="G846" s="93" t="s">
        <v>347</v>
      </c>
      <c r="H846" s="93" t="s">
        <v>344</v>
      </c>
      <c r="I846" s="94">
        <v>1.58</v>
      </c>
      <c r="J846" s="95">
        <v>118.5</v>
      </c>
    </row>
    <row r="847" spans="1:10" x14ac:dyDescent="0.25">
      <c r="A847" s="92">
        <v>45813</v>
      </c>
      <c r="B847" s="93" t="s">
        <v>326</v>
      </c>
      <c r="C847" s="89" t="s">
        <v>40</v>
      </c>
      <c r="D847" s="93" t="s">
        <v>265</v>
      </c>
      <c r="E847" s="93" t="s">
        <v>34</v>
      </c>
      <c r="F847" s="93" t="s">
        <v>358</v>
      </c>
      <c r="G847" s="93" t="s">
        <v>348</v>
      </c>
      <c r="H847" s="93" t="s">
        <v>343</v>
      </c>
      <c r="I847" s="94">
        <v>1</v>
      </c>
      <c r="J847" s="95">
        <v>60</v>
      </c>
    </row>
    <row r="848" spans="1:10" x14ac:dyDescent="0.25">
      <c r="A848" s="92">
        <v>45813</v>
      </c>
      <c r="B848" s="93" t="s">
        <v>332</v>
      </c>
      <c r="C848" s="89" t="s">
        <v>40</v>
      </c>
      <c r="D848" s="93" t="s">
        <v>314</v>
      </c>
      <c r="E848" s="93" t="s">
        <v>35</v>
      </c>
      <c r="F848" s="93" t="s">
        <v>359</v>
      </c>
      <c r="G848" s="93" t="s">
        <v>339</v>
      </c>
      <c r="H848" s="93" t="s">
        <v>352</v>
      </c>
      <c r="I848" s="94">
        <v>8.5</v>
      </c>
      <c r="J848" s="95">
        <v>340</v>
      </c>
    </row>
    <row r="849" spans="1:10" x14ac:dyDescent="0.25">
      <c r="A849" s="92">
        <v>45813</v>
      </c>
      <c r="B849" s="93" t="s">
        <v>324</v>
      </c>
      <c r="C849" s="89" t="s">
        <v>40</v>
      </c>
      <c r="D849" s="93" t="s">
        <v>314</v>
      </c>
      <c r="E849" s="93" t="s">
        <v>35</v>
      </c>
      <c r="F849" s="93" t="s">
        <v>359</v>
      </c>
      <c r="G849" s="93" t="s">
        <v>339</v>
      </c>
      <c r="H849" s="93" t="s">
        <v>352</v>
      </c>
      <c r="I849" s="94">
        <v>7.75</v>
      </c>
      <c r="J849" s="95">
        <v>581.25</v>
      </c>
    </row>
    <row r="850" spans="1:10" x14ac:dyDescent="0.25">
      <c r="A850" s="92">
        <v>45814</v>
      </c>
      <c r="B850" s="93" t="s">
        <v>329</v>
      </c>
      <c r="C850" s="89" t="s">
        <v>40</v>
      </c>
      <c r="D850" s="93" t="s">
        <v>269</v>
      </c>
      <c r="E850" s="93" t="s">
        <v>34</v>
      </c>
      <c r="F850" s="93" t="s">
        <v>361</v>
      </c>
      <c r="G850" s="93" t="s">
        <v>347</v>
      </c>
      <c r="H850" s="93" t="s">
        <v>343</v>
      </c>
      <c r="I850" s="94">
        <v>0.17</v>
      </c>
      <c r="J850" s="95">
        <v>12.750000000000002</v>
      </c>
    </row>
    <row r="851" spans="1:10" x14ac:dyDescent="0.25">
      <c r="A851" s="92">
        <v>45814</v>
      </c>
      <c r="B851" s="93" t="s">
        <v>329</v>
      </c>
      <c r="C851" s="89" t="s">
        <v>40</v>
      </c>
      <c r="D851" s="93" t="s">
        <v>316</v>
      </c>
      <c r="E851" s="93" t="s">
        <v>35</v>
      </c>
      <c r="F851" s="93" t="s">
        <v>338</v>
      </c>
      <c r="G851" s="93" t="s">
        <v>337</v>
      </c>
      <c r="H851" s="93" t="s">
        <v>352</v>
      </c>
      <c r="I851" s="94">
        <v>0.42</v>
      </c>
      <c r="J851" s="95">
        <v>31.5</v>
      </c>
    </row>
    <row r="852" spans="1:10" x14ac:dyDescent="0.25">
      <c r="A852" s="92">
        <v>45814</v>
      </c>
      <c r="B852" s="93" t="s">
        <v>333</v>
      </c>
      <c r="C852" s="89" t="s">
        <v>40</v>
      </c>
      <c r="D852" s="93" t="s">
        <v>320</v>
      </c>
      <c r="E852" s="93" t="s">
        <v>35</v>
      </c>
      <c r="F852" s="93" t="s">
        <v>322</v>
      </c>
      <c r="G852" s="93" t="s">
        <v>319</v>
      </c>
      <c r="H852" s="93" t="s">
        <v>352</v>
      </c>
      <c r="I852" s="94">
        <v>7.53</v>
      </c>
      <c r="J852" s="95">
        <v>240.96</v>
      </c>
    </row>
    <row r="853" spans="1:10" x14ac:dyDescent="0.25">
      <c r="A853" s="92">
        <v>45814</v>
      </c>
      <c r="B853" s="93" t="s">
        <v>327</v>
      </c>
      <c r="C853" s="89" t="s">
        <v>40</v>
      </c>
      <c r="D853" s="93" t="s">
        <v>320</v>
      </c>
      <c r="E853" s="93" t="s">
        <v>35</v>
      </c>
      <c r="F853" s="93" t="s">
        <v>322</v>
      </c>
      <c r="G853" s="93" t="s">
        <v>319</v>
      </c>
      <c r="H853" s="93" t="s">
        <v>352</v>
      </c>
      <c r="I853" s="94">
        <v>7.17</v>
      </c>
      <c r="J853" s="95">
        <v>229.44</v>
      </c>
    </row>
    <row r="854" spans="1:10" x14ac:dyDescent="0.25">
      <c r="A854" s="92">
        <v>45814</v>
      </c>
      <c r="B854" s="93" t="s">
        <v>325</v>
      </c>
      <c r="C854" s="89" t="s">
        <v>40</v>
      </c>
      <c r="D854" s="93" t="s">
        <v>198</v>
      </c>
      <c r="E854" s="93" t="s">
        <v>36</v>
      </c>
      <c r="F854" s="93" t="s">
        <v>413</v>
      </c>
      <c r="G854" s="93" t="s">
        <v>347</v>
      </c>
      <c r="H854" s="93" t="s">
        <v>342</v>
      </c>
      <c r="I854" s="94">
        <v>0.25</v>
      </c>
      <c r="J854" s="95">
        <v>18.75</v>
      </c>
    </row>
    <row r="855" spans="1:10" x14ac:dyDescent="0.25">
      <c r="A855" s="92">
        <v>45814</v>
      </c>
      <c r="B855" s="93" t="s">
        <v>329</v>
      </c>
      <c r="C855" s="89" t="s">
        <v>40</v>
      </c>
      <c r="D855" s="93" t="s">
        <v>197</v>
      </c>
      <c r="E855" s="93" t="s">
        <v>34</v>
      </c>
      <c r="F855" s="93" t="s">
        <v>366</v>
      </c>
      <c r="G855" s="93" t="s">
        <v>347</v>
      </c>
      <c r="H855" s="93" t="s">
        <v>343</v>
      </c>
      <c r="I855" s="94">
        <v>0.17</v>
      </c>
      <c r="J855" s="95">
        <v>12.750000000000002</v>
      </c>
    </row>
    <row r="856" spans="1:10" x14ac:dyDescent="0.25">
      <c r="A856" s="92">
        <v>45814</v>
      </c>
      <c r="B856" s="93" t="s">
        <v>325</v>
      </c>
      <c r="C856" s="89" t="s">
        <v>40</v>
      </c>
      <c r="D856" s="93" t="s">
        <v>180</v>
      </c>
      <c r="E856" s="93" t="s">
        <v>34</v>
      </c>
      <c r="F856" s="93" t="s">
        <v>465</v>
      </c>
      <c r="G856" s="93" t="s">
        <v>347</v>
      </c>
      <c r="H856" s="93" t="s">
        <v>343</v>
      </c>
      <c r="I856" s="94">
        <v>0.42</v>
      </c>
      <c r="J856" s="95">
        <v>31.5</v>
      </c>
    </row>
    <row r="857" spans="1:10" x14ac:dyDescent="0.25">
      <c r="A857" s="92">
        <v>45814</v>
      </c>
      <c r="B857" s="93" t="s">
        <v>329</v>
      </c>
      <c r="C857" s="89" t="s">
        <v>40</v>
      </c>
      <c r="D857" s="93" t="s">
        <v>303</v>
      </c>
      <c r="E857" s="93" t="s">
        <v>34</v>
      </c>
      <c r="F857" s="93" t="s">
        <v>400</v>
      </c>
      <c r="G857" s="93" t="s">
        <v>347</v>
      </c>
      <c r="H857" s="93" t="s">
        <v>343</v>
      </c>
      <c r="I857" s="94">
        <v>0.33</v>
      </c>
      <c r="J857" s="95">
        <v>24.75</v>
      </c>
    </row>
    <row r="858" spans="1:10" x14ac:dyDescent="0.25">
      <c r="A858" s="92">
        <v>45814</v>
      </c>
      <c r="B858" s="93" t="s">
        <v>329</v>
      </c>
      <c r="C858" s="89" t="s">
        <v>40</v>
      </c>
      <c r="D858" s="93" t="s">
        <v>238</v>
      </c>
      <c r="E858" s="93" t="s">
        <v>34</v>
      </c>
      <c r="F858" s="93" t="s">
        <v>374</v>
      </c>
      <c r="G858" s="93" t="s">
        <v>347</v>
      </c>
      <c r="H858" s="93" t="s">
        <v>343</v>
      </c>
      <c r="I858" s="94">
        <v>0.17</v>
      </c>
      <c r="J858" s="95">
        <v>12.750000000000002</v>
      </c>
    </row>
    <row r="859" spans="1:10" x14ac:dyDescent="0.25">
      <c r="A859" s="92">
        <v>45814</v>
      </c>
      <c r="B859" s="93" t="s">
        <v>329</v>
      </c>
      <c r="C859" s="89" t="s">
        <v>40</v>
      </c>
      <c r="D859" s="93" t="s">
        <v>293</v>
      </c>
      <c r="E859" s="93" t="s">
        <v>34</v>
      </c>
      <c r="F859" s="93" t="s">
        <v>376</v>
      </c>
      <c r="G859" s="93" t="s">
        <v>347</v>
      </c>
      <c r="H859" s="93" t="s">
        <v>343</v>
      </c>
      <c r="I859" s="94">
        <v>0.17</v>
      </c>
      <c r="J859" s="95">
        <v>12.750000000000002</v>
      </c>
    </row>
    <row r="860" spans="1:10" x14ac:dyDescent="0.25">
      <c r="A860" s="92">
        <v>45814</v>
      </c>
      <c r="B860" s="93" t="s">
        <v>325</v>
      </c>
      <c r="C860" s="89" t="s">
        <v>40</v>
      </c>
      <c r="D860" s="93" t="s">
        <v>264</v>
      </c>
      <c r="E860" s="93" t="s">
        <v>34</v>
      </c>
      <c r="F860" s="93" t="s">
        <v>384</v>
      </c>
      <c r="G860" s="93" t="s">
        <v>347</v>
      </c>
      <c r="H860" s="93" t="s">
        <v>343</v>
      </c>
      <c r="I860" s="94">
        <v>0.25</v>
      </c>
      <c r="J860" s="95">
        <v>18.75</v>
      </c>
    </row>
    <row r="861" spans="1:10" x14ac:dyDescent="0.25">
      <c r="A861" s="92">
        <v>45814</v>
      </c>
      <c r="B861" s="93" t="s">
        <v>329</v>
      </c>
      <c r="C861" s="89" t="s">
        <v>40</v>
      </c>
      <c r="D861" s="93" t="s">
        <v>299</v>
      </c>
      <c r="E861" s="93" t="s">
        <v>312</v>
      </c>
      <c r="F861" s="93" t="s">
        <v>455</v>
      </c>
      <c r="G861" s="93" t="s">
        <v>347</v>
      </c>
      <c r="H861" s="93" t="s">
        <v>350</v>
      </c>
      <c r="I861" s="94">
        <v>2.5</v>
      </c>
      <c r="J861" s="95">
        <v>187.5</v>
      </c>
    </row>
    <row r="862" spans="1:10" x14ac:dyDescent="0.25">
      <c r="A862" s="92">
        <v>45814</v>
      </c>
      <c r="B862" s="93" t="s">
        <v>326</v>
      </c>
      <c r="C862" s="89" t="s">
        <v>40</v>
      </c>
      <c r="D862" s="93" t="s">
        <v>233</v>
      </c>
      <c r="E862" s="93" t="s">
        <v>36</v>
      </c>
      <c r="F862" s="93" t="s">
        <v>387</v>
      </c>
      <c r="G862" s="93" t="s">
        <v>348</v>
      </c>
      <c r="H862" s="93" t="s">
        <v>342</v>
      </c>
      <c r="I862" s="94">
        <v>0.75</v>
      </c>
      <c r="J862" s="95">
        <v>45</v>
      </c>
    </row>
    <row r="863" spans="1:10" x14ac:dyDescent="0.25">
      <c r="A863" s="92">
        <v>45814</v>
      </c>
      <c r="B863" s="93" t="s">
        <v>332</v>
      </c>
      <c r="C863" s="89" t="s">
        <v>40</v>
      </c>
      <c r="D863" s="93" t="s">
        <v>314</v>
      </c>
      <c r="E863" s="93" t="s">
        <v>35</v>
      </c>
      <c r="F863" s="93" t="s">
        <v>359</v>
      </c>
      <c r="G863" s="93" t="s">
        <v>339</v>
      </c>
      <c r="H863" s="93" t="s">
        <v>352</v>
      </c>
      <c r="I863" s="94">
        <v>8.17</v>
      </c>
      <c r="J863" s="95">
        <v>326.8</v>
      </c>
    </row>
    <row r="864" spans="1:10" x14ac:dyDescent="0.25">
      <c r="A864" s="92">
        <v>45814</v>
      </c>
      <c r="B864" s="93" t="s">
        <v>324</v>
      </c>
      <c r="C864" s="89" t="s">
        <v>40</v>
      </c>
      <c r="D864" s="93" t="s">
        <v>314</v>
      </c>
      <c r="E864" s="93" t="s">
        <v>35</v>
      </c>
      <c r="F864" s="93" t="s">
        <v>359</v>
      </c>
      <c r="G864" s="93" t="s">
        <v>339</v>
      </c>
      <c r="H864" s="93" t="s">
        <v>352</v>
      </c>
      <c r="I864" s="94">
        <v>6.25</v>
      </c>
      <c r="J864" s="95">
        <v>468.75</v>
      </c>
    </row>
    <row r="865" spans="1:10" x14ac:dyDescent="0.25">
      <c r="A865" s="92">
        <v>45815</v>
      </c>
      <c r="B865" s="93" t="s">
        <v>332</v>
      </c>
      <c r="C865" s="89" t="s">
        <v>40</v>
      </c>
      <c r="D865" s="93" t="s">
        <v>314</v>
      </c>
      <c r="E865" s="93" t="s">
        <v>35</v>
      </c>
      <c r="F865" s="93" t="s">
        <v>359</v>
      </c>
      <c r="G865" s="93" t="s">
        <v>339</v>
      </c>
      <c r="H865" s="93" t="s">
        <v>352</v>
      </c>
      <c r="I865" s="94">
        <v>4</v>
      </c>
      <c r="J865" s="95">
        <v>160</v>
      </c>
    </row>
    <row r="866" spans="1:10" x14ac:dyDescent="0.25">
      <c r="A866" s="92">
        <v>45817</v>
      </c>
      <c r="B866" s="93" t="s">
        <v>325</v>
      </c>
      <c r="C866" s="89" t="s">
        <v>40</v>
      </c>
      <c r="D866" s="93" t="s">
        <v>271</v>
      </c>
      <c r="E866" s="93" t="s">
        <v>341</v>
      </c>
      <c r="F866" s="93" t="s">
        <v>363</v>
      </c>
      <c r="G866" s="93" t="s">
        <v>347</v>
      </c>
      <c r="H866" s="93" t="s">
        <v>344</v>
      </c>
      <c r="I866" s="94">
        <v>0.92</v>
      </c>
      <c r="J866" s="95">
        <v>69</v>
      </c>
    </row>
    <row r="867" spans="1:10" x14ac:dyDescent="0.25">
      <c r="A867" s="92">
        <v>45817</v>
      </c>
      <c r="B867" s="93" t="s">
        <v>329</v>
      </c>
      <c r="C867" s="89" t="s">
        <v>40</v>
      </c>
      <c r="D867" s="93" t="s">
        <v>316</v>
      </c>
      <c r="E867" s="93" t="s">
        <v>35</v>
      </c>
      <c r="F867" s="93" t="s">
        <v>338</v>
      </c>
      <c r="G867" s="93" t="s">
        <v>337</v>
      </c>
      <c r="H867" s="93" t="s">
        <v>352</v>
      </c>
      <c r="I867" s="94">
        <v>1.5</v>
      </c>
      <c r="J867" s="95">
        <v>112.5</v>
      </c>
    </row>
    <row r="868" spans="1:10" x14ac:dyDescent="0.25">
      <c r="A868" s="92">
        <v>45817</v>
      </c>
      <c r="B868" s="93" t="s">
        <v>331</v>
      </c>
      <c r="C868" s="89" t="s">
        <v>40</v>
      </c>
      <c r="D868" s="93" t="s">
        <v>316</v>
      </c>
      <c r="E868" s="93" t="s">
        <v>35</v>
      </c>
      <c r="F868" s="93" t="s">
        <v>338</v>
      </c>
      <c r="G868" s="93" t="s">
        <v>337</v>
      </c>
      <c r="H868" s="93" t="s">
        <v>352</v>
      </c>
      <c r="I868" s="94">
        <v>0.33</v>
      </c>
      <c r="J868" s="95">
        <v>10.56</v>
      </c>
    </row>
    <row r="869" spans="1:10" x14ac:dyDescent="0.25">
      <c r="A869" s="92">
        <v>45817</v>
      </c>
      <c r="B869" s="93" t="s">
        <v>333</v>
      </c>
      <c r="C869" s="89" t="s">
        <v>40</v>
      </c>
      <c r="D869" s="93" t="s">
        <v>320</v>
      </c>
      <c r="E869" s="93" t="s">
        <v>35</v>
      </c>
      <c r="F869" s="93" t="s">
        <v>322</v>
      </c>
      <c r="G869" s="93" t="s">
        <v>319</v>
      </c>
      <c r="H869" s="93" t="s">
        <v>352</v>
      </c>
      <c r="I869" s="94">
        <v>6.92</v>
      </c>
      <c r="J869" s="95">
        <v>221.44</v>
      </c>
    </row>
    <row r="870" spans="1:10" x14ac:dyDescent="0.25">
      <c r="A870" s="92">
        <v>45817</v>
      </c>
      <c r="B870" s="93" t="s">
        <v>327</v>
      </c>
      <c r="C870" s="89" t="s">
        <v>40</v>
      </c>
      <c r="D870" s="93" t="s">
        <v>320</v>
      </c>
      <c r="E870" s="93" t="s">
        <v>35</v>
      </c>
      <c r="F870" s="93" t="s">
        <v>322</v>
      </c>
      <c r="G870" s="93" t="s">
        <v>319</v>
      </c>
      <c r="H870" s="93" t="s">
        <v>352</v>
      </c>
      <c r="I870" s="94">
        <v>7.5</v>
      </c>
      <c r="J870" s="95">
        <v>240</v>
      </c>
    </row>
    <row r="871" spans="1:10" x14ac:dyDescent="0.25">
      <c r="A871" s="92">
        <v>45817</v>
      </c>
      <c r="B871" s="93" t="s">
        <v>325</v>
      </c>
      <c r="C871" s="89" t="s">
        <v>40</v>
      </c>
      <c r="D871" s="93" t="s">
        <v>198</v>
      </c>
      <c r="E871" s="93" t="s">
        <v>36</v>
      </c>
      <c r="F871" s="93" t="s">
        <v>413</v>
      </c>
      <c r="G871" s="93" t="s">
        <v>347</v>
      </c>
      <c r="H871" s="93" t="s">
        <v>342</v>
      </c>
      <c r="I871" s="94">
        <v>0.57999999999999996</v>
      </c>
      <c r="J871" s="95">
        <v>43.5</v>
      </c>
    </row>
    <row r="872" spans="1:10" x14ac:dyDescent="0.25">
      <c r="A872" s="92">
        <v>45817</v>
      </c>
      <c r="B872" s="93" t="s">
        <v>325</v>
      </c>
      <c r="C872" s="89" t="s">
        <v>40</v>
      </c>
      <c r="D872" s="93" t="s">
        <v>180</v>
      </c>
      <c r="E872" s="93" t="s">
        <v>34</v>
      </c>
      <c r="F872" s="93" t="s">
        <v>465</v>
      </c>
      <c r="G872" s="93" t="s">
        <v>347</v>
      </c>
      <c r="H872" s="93" t="s">
        <v>343</v>
      </c>
      <c r="I872" s="94">
        <v>0.33</v>
      </c>
      <c r="J872" s="95">
        <v>24.75</v>
      </c>
    </row>
    <row r="873" spans="1:10" x14ac:dyDescent="0.25">
      <c r="A873" s="92">
        <v>45817</v>
      </c>
      <c r="B873" s="93" t="s">
        <v>330</v>
      </c>
      <c r="C873" s="89" t="s">
        <v>40</v>
      </c>
      <c r="D873" s="93" t="s">
        <v>176</v>
      </c>
      <c r="E873" s="93" t="s">
        <v>34</v>
      </c>
      <c r="F873" s="93" t="s">
        <v>458</v>
      </c>
      <c r="G873" s="93" t="s">
        <v>347</v>
      </c>
      <c r="H873" s="93" t="s">
        <v>343</v>
      </c>
      <c r="I873" s="94">
        <v>0.25</v>
      </c>
      <c r="J873" s="95">
        <v>15</v>
      </c>
    </row>
    <row r="874" spans="1:10" x14ac:dyDescent="0.25">
      <c r="A874" s="92">
        <v>45817</v>
      </c>
      <c r="B874" s="93" t="s">
        <v>325</v>
      </c>
      <c r="C874" s="89" t="s">
        <v>40</v>
      </c>
      <c r="D874" s="93" t="s">
        <v>179</v>
      </c>
      <c r="E874" s="93" t="s">
        <v>34</v>
      </c>
      <c r="F874" s="93" t="s">
        <v>422</v>
      </c>
      <c r="G874" s="93" t="s">
        <v>347</v>
      </c>
      <c r="H874" s="93" t="s">
        <v>343</v>
      </c>
      <c r="I874" s="94">
        <v>0.25</v>
      </c>
      <c r="J874" s="95">
        <v>18.75</v>
      </c>
    </row>
    <row r="875" spans="1:10" x14ac:dyDescent="0.25">
      <c r="A875" s="92">
        <v>45817</v>
      </c>
      <c r="B875" s="93" t="s">
        <v>330</v>
      </c>
      <c r="C875" s="89" t="s">
        <v>40</v>
      </c>
      <c r="D875" s="93" t="s">
        <v>184</v>
      </c>
      <c r="E875" s="93" t="s">
        <v>34</v>
      </c>
      <c r="F875" s="93" t="s">
        <v>459</v>
      </c>
      <c r="G875" s="93" t="s">
        <v>347</v>
      </c>
      <c r="H875" s="93" t="s">
        <v>343</v>
      </c>
      <c r="I875" s="94">
        <v>0.17</v>
      </c>
      <c r="J875" s="95">
        <v>10.200000000000001</v>
      </c>
    </row>
    <row r="876" spans="1:10" x14ac:dyDescent="0.25">
      <c r="A876" s="92">
        <v>45817</v>
      </c>
      <c r="B876" s="93" t="s">
        <v>329</v>
      </c>
      <c r="C876" s="89" t="s">
        <v>40</v>
      </c>
      <c r="D876" s="93" t="s">
        <v>238</v>
      </c>
      <c r="E876" s="93" t="s">
        <v>34</v>
      </c>
      <c r="F876" s="93" t="s">
        <v>374</v>
      </c>
      <c r="G876" s="93" t="s">
        <v>347</v>
      </c>
      <c r="H876" s="93" t="s">
        <v>343</v>
      </c>
      <c r="I876" s="94">
        <v>0.08</v>
      </c>
      <c r="J876" s="95">
        <v>6</v>
      </c>
    </row>
    <row r="877" spans="1:10" x14ac:dyDescent="0.25">
      <c r="A877" s="92">
        <v>45817</v>
      </c>
      <c r="B877" s="93" t="s">
        <v>329</v>
      </c>
      <c r="C877" s="89" t="s">
        <v>40</v>
      </c>
      <c r="D877" s="93" t="s">
        <v>242</v>
      </c>
      <c r="E877" s="93" t="s">
        <v>34</v>
      </c>
      <c r="F877" s="93" t="s">
        <v>404</v>
      </c>
      <c r="G877" s="93" t="s">
        <v>347</v>
      </c>
      <c r="H877" s="93" t="s">
        <v>343</v>
      </c>
      <c r="I877" s="94">
        <v>0.17</v>
      </c>
      <c r="J877" s="95">
        <v>12.750000000000002</v>
      </c>
    </row>
    <row r="878" spans="1:10" x14ac:dyDescent="0.25">
      <c r="A878" s="92">
        <v>45817</v>
      </c>
      <c r="B878" s="93" t="s">
        <v>329</v>
      </c>
      <c r="C878" s="89" t="s">
        <v>40</v>
      </c>
      <c r="D878" s="93" t="s">
        <v>293</v>
      </c>
      <c r="E878" s="93" t="s">
        <v>34</v>
      </c>
      <c r="F878" s="93" t="s">
        <v>376</v>
      </c>
      <c r="G878" s="93" t="s">
        <v>347</v>
      </c>
      <c r="H878" s="93" t="s">
        <v>343</v>
      </c>
      <c r="I878" s="94">
        <v>0.33</v>
      </c>
      <c r="J878" s="95">
        <v>24.75</v>
      </c>
    </row>
    <row r="879" spans="1:10" x14ac:dyDescent="0.25">
      <c r="A879" s="92">
        <v>45817</v>
      </c>
      <c r="B879" s="93" t="s">
        <v>329</v>
      </c>
      <c r="C879" s="89" t="s">
        <v>40</v>
      </c>
      <c r="D879" s="93" t="s">
        <v>258</v>
      </c>
      <c r="E879" s="93" t="s">
        <v>34</v>
      </c>
      <c r="F879" s="93" t="s">
        <v>381</v>
      </c>
      <c r="G879" s="93" t="s">
        <v>347</v>
      </c>
      <c r="H879" s="93" t="s">
        <v>343</v>
      </c>
      <c r="I879" s="94">
        <v>0.08</v>
      </c>
      <c r="J879" s="95">
        <v>6</v>
      </c>
    </row>
    <row r="880" spans="1:10" x14ac:dyDescent="0.25">
      <c r="A880" s="92">
        <v>45817</v>
      </c>
      <c r="B880" s="93" t="s">
        <v>325</v>
      </c>
      <c r="C880" s="89" t="s">
        <v>40</v>
      </c>
      <c r="D880" s="93" t="s">
        <v>277</v>
      </c>
      <c r="E880" s="93" t="s">
        <v>34</v>
      </c>
      <c r="F880" s="93" t="s">
        <v>353</v>
      </c>
      <c r="G880" s="93" t="s">
        <v>347</v>
      </c>
      <c r="H880" s="93" t="s">
        <v>343</v>
      </c>
      <c r="I880" s="94">
        <v>0.17</v>
      </c>
      <c r="J880" s="95">
        <v>12.750000000000002</v>
      </c>
    </row>
    <row r="881" spans="1:10" x14ac:dyDescent="0.25">
      <c r="A881" s="92">
        <v>45817</v>
      </c>
      <c r="B881" s="93" t="s">
        <v>329</v>
      </c>
      <c r="C881" s="89" t="s">
        <v>40</v>
      </c>
      <c r="D881" s="93" t="s">
        <v>293</v>
      </c>
      <c r="E881" s="93" t="s">
        <v>341</v>
      </c>
      <c r="F881" s="93" t="s">
        <v>376</v>
      </c>
      <c r="G881" s="93" t="s">
        <v>347</v>
      </c>
      <c r="H881" s="93" t="s">
        <v>344</v>
      </c>
      <c r="I881" s="94">
        <v>2</v>
      </c>
      <c r="J881" s="95">
        <v>150</v>
      </c>
    </row>
    <row r="882" spans="1:10" x14ac:dyDescent="0.25">
      <c r="A882" s="92">
        <v>45817</v>
      </c>
      <c r="B882" s="93" t="s">
        <v>329</v>
      </c>
      <c r="C882" s="89" t="s">
        <v>40</v>
      </c>
      <c r="D882" s="93" t="s">
        <v>299</v>
      </c>
      <c r="E882" s="93" t="s">
        <v>312</v>
      </c>
      <c r="F882" s="93" t="s">
        <v>455</v>
      </c>
      <c r="G882" s="93" t="s">
        <v>347</v>
      </c>
      <c r="H882" s="93" t="s">
        <v>350</v>
      </c>
      <c r="I882" s="94">
        <v>1</v>
      </c>
      <c r="J882" s="95">
        <v>75</v>
      </c>
    </row>
    <row r="883" spans="1:10" x14ac:dyDescent="0.25">
      <c r="A883" s="92">
        <v>45817</v>
      </c>
      <c r="B883" s="93" t="s">
        <v>326</v>
      </c>
      <c r="C883" s="89" t="s">
        <v>40</v>
      </c>
      <c r="D883" s="93" t="s">
        <v>233</v>
      </c>
      <c r="E883" s="93" t="s">
        <v>36</v>
      </c>
      <c r="F883" s="93" t="s">
        <v>387</v>
      </c>
      <c r="G883" s="93" t="s">
        <v>348</v>
      </c>
      <c r="H883" s="93" t="s">
        <v>342</v>
      </c>
      <c r="I883" s="94">
        <v>0.75</v>
      </c>
      <c r="J883" s="95">
        <v>45</v>
      </c>
    </row>
    <row r="884" spans="1:10" x14ac:dyDescent="0.25">
      <c r="A884" s="92">
        <v>45817</v>
      </c>
      <c r="B884" s="93" t="s">
        <v>326</v>
      </c>
      <c r="C884" s="89" t="s">
        <v>40</v>
      </c>
      <c r="D884" s="93" t="s">
        <v>235</v>
      </c>
      <c r="E884" s="93" t="s">
        <v>34</v>
      </c>
      <c r="F884" s="93" t="s">
        <v>355</v>
      </c>
      <c r="G884" s="93" t="s">
        <v>348</v>
      </c>
      <c r="H884" s="93" t="s">
        <v>343</v>
      </c>
      <c r="I884" s="94">
        <v>0.33</v>
      </c>
      <c r="J884" s="95">
        <v>19.8</v>
      </c>
    </row>
    <row r="885" spans="1:10" x14ac:dyDescent="0.25">
      <c r="A885" s="92">
        <v>45817</v>
      </c>
      <c r="B885" s="93" t="s">
        <v>326</v>
      </c>
      <c r="C885" s="89" t="s">
        <v>40</v>
      </c>
      <c r="D885" s="93" t="s">
        <v>235</v>
      </c>
      <c r="E885" s="93" t="s">
        <v>341</v>
      </c>
      <c r="F885" s="93" t="s">
        <v>355</v>
      </c>
      <c r="G885" s="93" t="s">
        <v>348</v>
      </c>
      <c r="H885" s="93" t="s">
        <v>344</v>
      </c>
      <c r="I885" s="94">
        <v>1.5</v>
      </c>
      <c r="J885" s="95">
        <v>90</v>
      </c>
    </row>
    <row r="886" spans="1:10" x14ac:dyDescent="0.25">
      <c r="A886" s="92">
        <v>45817</v>
      </c>
      <c r="B886" s="93" t="s">
        <v>326</v>
      </c>
      <c r="C886" s="89" t="s">
        <v>40</v>
      </c>
      <c r="D886" s="93" t="s">
        <v>236</v>
      </c>
      <c r="E886" s="93" t="s">
        <v>341</v>
      </c>
      <c r="F886" s="93" t="s">
        <v>357</v>
      </c>
      <c r="G886" s="93" t="s">
        <v>348</v>
      </c>
      <c r="H886" s="93" t="s">
        <v>344</v>
      </c>
      <c r="I886" s="94">
        <v>1.5</v>
      </c>
      <c r="J886" s="95">
        <v>90</v>
      </c>
    </row>
    <row r="887" spans="1:10" x14ac:dyDescent="0.25">
      <c r="A887" s="92">
        <v>45817</v>
      </c>
      <c r="B887" s="93" t="s">
        <v>332</v>
      </c>
      <c r="C887" s="89" t="s">
        <v>40</v>
      </c>
      <c r="D887" s="93" t="s">
        <v>314</v>
      </c>
      <c r="E887" s="93" t="s">
        <v>35</v>
      </c>
      <c r="F887" s="93" t="s">
        <v>359</v>
      </c>
      <c r="G887" s="93" t="s">
        <v>339</v>
      </c>
      <c r="H887" s="93" t="s">
        <v>352</v>
      </c>
      <c r="I887" s="94">
        <v>7.5</v>
      </c>
      <c r="J887" s="95">
        <v>300</v>
      </c>
    </row>
    <row r="888" spans="1:10" x14ac:dyDescent="0.25">
      <c r="A888" s="92">
        <v>45817</v>
      </c>
      <c r="B888" s="93" t="s">
        <v>324</v>
      </c>
      <c r="C888" s="89" t="s">
        <v>40</v>
      </c>
      <c r="D888" s="93" t="s">
        <v>314</v>
      </c>
      <c r="E888" s="93" t="s">
        <v>35</v>
      </c>
      <c r="F888" s="93" t="s">
        <v>359</v>
      </c>
      <c r="G888" s="93" t="s">
        <v>339</v>
      </c>
      <c r="H888" s="93" t="s">
        <v>352</v>
      </c>
      <c r="I888" s="94">
        <v>5.5</v>
      </c>
      <c r="J888" s="95">
        <v>412.5</v>
      </c>
    </row>
    <row r="889" spans="1:10" x14ac:dyDescent="0.25">
      <c r="A889" s="92">
        <v>45818</v>
      </c>
      <c r="B889" s="93" t="s">
        <v>329</v>
      </c>
      <c r="C889" s="89" t="s">
        <v>40</v>
      </c>
      <c r="D889" s="93" t="s">
        <v>316</v>
      </c>
      <c r="E889" s="93" t="s">
        <v>35</v>
      </c>
      <c r="F889" s="93" t="s">
        <v>338</v>
      </c>
      <c r="G889" s="93" t="s">
        <v>337</v>
      </c>
      <c r="H889" s="93" t="s">
        <v>352</v>
      </c>
      <c r="I889" s="94">
        <v>1.33</v>
      </c>
      <c r="J889" s="95">
        <v>99.75</v>
      </c>
    </row>
    <row r="890" spans="1:10" x14ac:dyDescent="0.25">
      <c r="A890" s="92">
        <v>45818</v>
      </c>
      <c r="B890" s="93" t="s">
        <v>331</v>
      </c>
      <c r="C890" s="89" t="s">
        <v>40</v>
      </c>
      <c r="D890" s="93" t="s">
        <v>316</v>
      </c>
      <c r="E890" s="93" t="s">
        <v>35</v>
      </c>
      <c r="F890" s="93" t="s">
        <v>338</v>
      </c>
      <c r="G890" s="93" t="s">
        <v>337</v>
      </c>
      <c r="H890" s="93" t="s">
        <v>352</v>
      </c>
      <c r="I890" s="94">
        <v>2.58</v>
      </c>
      <c r="J890" s="95">
        <v>82.56</v>
      </c>
    </row>
    <row r="891" spans="1:10" x14ac:dyDescent="0.25">
      <c r="A891" s="92">
        <v>45818</v>
      </c>
      <c r="B891" s="93" t="s">
        <v>333</v>
      </c>
      <c r="C891" s="89" t="s">
        <v>40</v>
      </c>
      <c r="D891" s="93" t="s">
        <v>320</v>
      </c>
      <c r="E891" s="93" t="s">
        <v>35</v>
      </c>
      <c r="F891" s="93" t="s">
        <v>322</v>
      </c>
      <c r="G891" s="93" t="s">
        <v>319</v>
      </c>
      <c r="H891" s="93" t="s">
        <v>352</v>
      </c>
      <c r="I891" s="94">
        <v>7.45</v>
      </c>
      <c r="J891" s="95">
        <v>238.4</v>
      </c>
    </row>
    <row r="892" spans="1:10" x14ac:dyDescent="0.25">
      <c r="A892" s="92">
        <v>45818</v>
      </c>
      <c r="B892" s="93" t="s">
        <v>327</v>
      </c>
      <c r="C892" s="89" t="s">
        <v>40</v>
      </c>
      <c r="D892" s="93" t="s">
        <v>320</v>
      </c>
      <c r="E892" s="93" t="s">
        <v>35</v>
      </c>
      <c r="F892" s="93" t="s">
        <v>322</v>
      </c>
      <c r="G892" s="93" t="s">
        <v>319</v>
      </c>
      <c r="H892" s="93" t="s">
        <v>352</v>
      </c>
      <c r="I892" s="94">
        <v>7.42</v>
      </c>
      <c r="J892" s="95">
        <v>237.44</v>
      </c>
    </row>
    <row r="893" spans="1:10" x14ac:dyDescent="0.25">
      <c r="A893" s="92">
        <v>45818</v>
      </c>
      <c r="B893" s="93" t="s">
        <v>325</v>
      </c>
      <c r="C893" s="89" t="s">
        <v>40</v>
      </c>
      <c r="D893" s="93" t="s">
        <v>179</v>
      </c>
      <c r="E893" s="93" t="s">
        <v>34</v>
      </c>
      <c r="F893" s="93" t="s">
        <v>422</v>
      </c>
      <c r="G893" s="93" t="s">
        <v>347</v>
      </c>
      <c r="H893" s="93" t="s">
        <v>343</v>
      </c>
      <c r="I893" s="94">
        <v>0.25</v>
      </c>
      <c r="J893" s="95">
        <v>18.75</v>
      </c>
    </row>
    <row r="894" spans="1:10" x14ac:dyDescent="0.25">
      <c r="A894" s="92">
        <v>45818</v>
      </c>
      <c r="B894" s="93" t="s">
        <v>329</v>
      </c>
      <c r="C894" s="89" t="s">
        <v>40</v>
      </c>
      <c r="D894" s="93" t="s">
        <v>221</v>
      </c>
      <c r="E894" s="93" t="s">
        <v>34</v>
      </c>
      <c r="F894" s="93" t="s">
        <v>369</v>
      </c>
      <c r="G894" s="93" t="s">
        <v>347</v>
      </c>
      <c r="H894" s="93" t="s">
        <v>343</v>
      </c>
      <c r="I894" s="94">
        <v>0.17</v>
      </c>
      <c r="J894" s="95">
        <v>12.750000000000002</v>
      </c>
    </row>
    <row r="895" spans="1:10" x14ac:dyDescent="0.25">
      <c r="A895" s="92">
        <v>45818</v>
      </c>
      <c r="B895" s="93" t="s">
        <v>325</v>
      </c>
      <c r="C895" s="89" t="s">
        <v>40</v>
      </c>
      <c r="D895" s="93" t="s">
        <v>210</v>
      </c>
      <c r="E895" s="93" t="s">
        <v>34</v>
      </c>
      <c r="F895" s="93" t="s">
        <v>399</v>
      </c>
      <c r="G895" s="93" t="s">
        <v>347</v>
      </c>
      <c r="H895" s="93" t="s">
        <v>343</v>
      </c>
      <c r="I895" s="94">
        <v>0.17</v>
      </c>
      <c r="J895" s="95">
        <v>12.750000000000002</v>
      </c>
    </row>
    <row r="896" spans="1:10" x14ac:dyDescent="0.25">
      <c r="A896" s="92">
        <v>45818</v>
      </c>
      <c r="B896" s="93" t="s">
        <v>329</v>
      </c>
      <c r="C896" s="89" t="s">
        <v>40</v>
      </c>
      <c r="D896" s="93" t="s">
        <v>301</v>
      </c>
      <c r="E896" s="93" t="s">
        <v>34</v>
      </c>
      <c r="F896" s="93" t="s">
        <v>371</v>
      </c>
      <c r="G896" s="93" t="s">
        <v>347</v>
      </c>
      <c r="H896" s="93" t="s">
        <v>343</v>
      </c>
      <c r="I896" s="94">
        <v>0.17</v>
      </c>
      <c r="J896" s="95">
        <v>12.750000000000002</v>
      </c>
    </row>
    <row r="897" spans="1:10" x14ac:dyDescent="0.25">
      <c r="A897" s="92">
        <v>45818</v>
      </c>
      <c r="B897" s="93" t="s">
        <v>329</v>
      </c>
      <c r="C897" s="89" t="s">
        <v>40</v>
      </c>
      <c r="D897" s="93" t="s">
        <v>242</v>
      </c>
      <c r="E897" s="93" t="s">
        <v>34</v>
      </c>
      <c r="F897" s="93" t="s">
        <v>404</v>
      </c>
      <c r="G897" s="93" t="s">
        <v>347</v>
      </c>
      <c r="H897" s="93" t="s">
        <v>343</v>
      </c>
      <c r="I897" s="94">
        <v>0.25</v>
      </c>
      <c r="J897" s="95">
        <v>18.75</v>
      </c>
    </row>
    <row r="898" spans="1:10" x14ac:dyDescent="0.25">
      <c r="A898" s="92">
        <v>45818</v>
      </c>
      <c r="B898" s="93" t="s">
        <v>325</v>
      </c>
      <c r="C898" s="89" t="s">
        <v>40</v>
      </c>
      <c r="D898" s="93" t="s">
        <v>290</v>
      </c>
      <c r="E898" s="93" t="s">
        <v>34</v>
      </c>
      <c r="F898" s="93" t="s">
        <v>428</v>
      </c>
      <c r="G898" s="93" t="s">
        <v>347</v>
      </c>
      <c r="H898" s="93" t="s">
        <v>343</v>
      </c>
      <c r="I898" s="94">
        <v>0.17</v>
      </c>
      <c r="J898" s="95">
        <v>12.750000000000002</v>
      </c>
    </row>
    <row r="899" spans="1:10" x14ac:dyDescent="0.25">
      <c r="A899" s="92">
        <v>45818</v>
      </c>
      <c r="B899" s="93" t="s">
        <v>329</v>
      </c>
      <c r="C899" s="89" t="s">
        <v>40</v>
      </c>
      <c r="D899" s="93" t="s">
        <v>293</v>
      </c>
      <c r="E899" s="93" t="s">
        <v>34</v>
      </c>
      <c r="F899" s="93" t="s">
        <v>376</v>
      </c>
      <c r="G899" s="93" t="s">
        <v>347</v>
      </c>
      <c r="H899" s="93" t="s">
        <v>343</v>
      </c>
      <c r="I899" s="94">
        <v>1</v>
      </c>
      <c r="J899" s="95">
        <v>75</v>
      </c>
    </row>
    <row r="900" spans="1:10" x14ac:dyDescent="0.25">
      <c r="A900" s="92">
        <v>45818</v>
      </c>
      <c r="B900" s="93" t="s">
        <v>325</v>
      </c>
      <c r="C900" s="89" t="s">
        <v>40</v>
      </c>
      <c r="D900" s="93" t="s">
        <v>287</v>
      </c>
      <c r="E900" s="93" t="s">
        <v>34</v>
      </c>
      <c r="F900" s="93" t="s">
        <v>378</v>
      </c>
      <c r="G900" s="93" t="s">
        <v>347</v>
      </c>
      <c r="H900" s="93" t="s">
        <v>343</v>
      </c>
      <c r="I900" s="94">
        <v>0.25</v>
      </c>
      <c r="J900" s="95">
        <v>18.75</v>
      </c>
    </row>
    <row r="901" spans="1:10" x14ac:dyDescent="0.25">
      <c r="A901" s="92">
        <v>45818</v>
      </c>
      <c r="B901" s="93" t="s">
        <v>329</v>
      </c>
      <c r="C901" s="89" t="s">
        <v>40</v>
      </c>
      <c r="D901" s="93" t="s">
        <v>295</v>
      </c>
      <c r="E901" s="93" t="s">
        <v>34</v>
      </c>
      <c r="F901" s="93" t="s">
        <v>379</v>
      </c>
      <c r="G901" s="93" t="s">
        <v>347</v>
      </c>
      <c r="H901" s="93" t="s">
        <v>343</v>
      </c>
      <c r="I901" s="94">
        <v>0.17</v>
      </c>
      <c r="J901" s="95">
        <v>12.750000000000002</v>
      </c>
    </row>
    <row r="902" spans="1:10" x14ac:dyDescent="0.25">
      <c r="A902" s="92">
        <v>45818</v>
      </c>
      <c r="B902" s="93" t="s">
        <v>325</v>
      </c>
      <c r="C902" s="89" t="s">
        <v>40</v>
      </c>
      <c r="D902" s="93" t="s">
        <v>305</v>
      </c>
      <c r="E902" s="93" t="s">
        <v>34</v>
      </c>
      <c r="F902" s="93" t="s">
        <v>382</v>
      </c>
      <c r="G902" s="93" t="s">
        <v>347</v>
      </c>
      <c r="H902" s="93" t="s">
        <v>343</v>
      </c>
      <c r="I902" s="94">
        <v>0.17</v>
      </c>
      <c r="J902" s="95">
        <v>12.750000000000002</v>
      </c>
    </row>
    <row r="903" spans="1:10" x14ac:dyDescent="0.25">
      <c r="A903" s="92">
        <v>45818</v>
      </c>
      <c r="B903" s="93" t="s">
        <v>325</v>
      </c>
      <c r="C903" s="89" t="s">
        <v>40</v>
      </c>
      <c r="D903" s="93" t="s">
        <v>253</v>
      </c>
      <c r="E903" s="93" t="s">
        <v>34</v>
      </c>
      <c r="F903" s="93" t="s">
        <v>408</v>
      </c>
      <c r="G903" s="93" t="s">
        <v>347</v>
      </c>
      <c r="H903" s="93" t="s">
        <v>343</v>
      </c>
      <c r="I903" s="94">
        <v>0.17</v>
      </c>
      <c r="J903" s="95">
        <v>12.750000000000002</v>
      </c>
    </row>
    <row r="904" spans="1:10" x14ac:dyDescent="0.25">
      <c r="A904" s="92">
        <v>45818</v>
      </c>
      <c r="B904" s="93" t="s">
        <v>329</v>
      </c>
      <c r="C904" s="89" t="s">
        <v>40</v>
      </c>
      <c r="D904" s="93" t="s">
        <v>248</v>
      </c>
      <c r="E904" s="93" t="s">
        <v>34</v>
      </c>
      <c r="F904" s="93" t="s">
        <v>385</v>
      </c>
      <c r="G904" s="93" t="s">
        <v>347</v>
      </c>
      <c r="H904" s="93" t="s">
        <v>343</v>
      </c>
      <c r="I904" s="94">
        <v>0.25</v>
      </c>
      <c r="J904" s="95">
        <v>18.75</v>
      </c>
    </row>
    <row r="905" spans="1:10" x14ac:dyDescent="0.25">
      <c r="A905" s="92">
        <v>45818</v>
      </c>
      <c r="B905" s="93" t="s">
        <v>325</v>
      </c>
      <c r="C905" s="89" t="s">
        <v>40</v>
      </c>
      <c r="D905" s="93" t="s">
        <v>276</v>
      </c>
      <c r="E905" s="93" t="s">
        <v>34</v>
      </c>
      <c r="F905" s="93" t="s">
        <v>425</v>
      </c>
      <c r="G905" s="93" t="s">
        <v>347</v>
      </c>
      <c r="H905" s="93" t="s">
        <v>343</v>
      </c>
      <c r="I905" s="94">
        <v>0.75</v>
      </c>
      <c r="J905" s="95">
        <v>56.25</v>
      </c>
    </row>
    <row r="906" spans="1:10" x14ac:dyDescent="0.25">
      <c r="A906" s="92">
        <v>45818</v>
      </c>
      <c r="B906" s="93" t="s">
        <v>325</v>
      </c>
      <c r="C906" s="89" t="s">
        <v>40</v>
      </c>
      <c r="D906" s="93" t="s">
        <v>277</v>
      </c>
      <c r="E906" s="93" t="s">
        <v>34</v>
      </c>
      <c r="F906" s="93" t="s">
        <v>353</v>
      </c>
      <c r="G906" s="93" t="s">
        <v>347</v>
      </c>
      <c r="H906" s="93" t="s">
        <v>343</v>
      </c>
      <c r="I906" s="94">
        <v>0.33</v>
      </c>
      <c r="J906" s="95">
        <v>24.75</v>
      </c>
    </row>
    <row r="907" spans="1:10" x14ac:dyDescent="0.25">
      <c r="A907" s="92">
        <v>45818</v>
      </c>
      <c r="B907" s="93" t="s">
        <v>329</v>
      </c>
      <c r="C907" s="89" t="s">
        <v>40</v>
      </c>
      <c r="D907" s="93" t="s">
        <v>268</v>
      </c>
      <c r="E907" s="93" t="s">
        <v>34</v>
      </c>
      <c r="F907" s="93" t="s">
        <v>386</v>
      </c>
      <c r="G907" s="93" t="s">
        <v>347</v>
      </c>
      <c r="H907" s="93" t="s">
        <v>343</v>
      </c>
      <c r="I907" s="94">
        <v>0.17</v>
      </c>
      <c r="J907" s="95">
        <v>12.750000000000002</v>
      </c>
    </row>
    <row r="908" spans="1:10" x14ac:dyDescent="0.25">
      <c r="A908" s="92">
        <v>45818</v>
      </c>
      <c r="B908" s="93" t="s">
        <v>326</v>
      </c>
      <c r="C908" s="89" t="s">
        <v>40</v>
      </c>
      <c r="D908" s="93" t="s">
        <v>233</v>
      </c>
      <c r="E908" s="93" t="s">
        <v>36</v>
      </c>
      <c r="F908" s="93" t="s">
        <v>387</v>
      </c>
      <c r="G908" s="93" t="s">
        <v>348</v>
      </c>
      <c r="H908" s="93" t="s">
        <v>342</v>
      </c>
      <c r="I908" s="94">
        <v>1</v>
      </c>
      <c r="J908" s="95">
        <v>60</v>
      </c>
    </row>
    <row r="909" spans="1:10" x14ac:dyDescent="0.25">
      <c r="A909" s="92">
        <v>45818</v>
      </c>
      <c r="B909" s="93" t="s">
        <v>326</v>
      </c>
      <c r="C909" s="89" t="s">
        <v>40</v>
      </c>
      <c r="D909" s="93" t="s">
        <v>236</v>
      </c>
      <c r="E909" s="93" t="s">
        <v>36</v>
      </c>
      <c r="F909" s="93" t="s">
        <v>357</v>
      </c>
      <c r="G909" s="93" t="s">
        <v>348</v>
      </c>
      <c r="H909" s="93" t="s">
        <v>342</v>
      </c>
      <c r="I909" s="94">
        <v>1.42</v>
      </c>
      <c r="J909" s="95">
        <v>85.199999999999989</v>
      </c>
    </row>
    <row r="910" spans="1:10" x14ac:dyDescent="0.25">
      <c r="A910" s="92">
        <v>45818</v>
      </c>
      <c r="B910" s="93" t="s">
        <v>326</v>
      </c>
      <c r="C910" s="89" t="s">
        <v>40</v>
      </c>
      <c r="D910" s="93" t="s">
        <v>300</v>
      </c>
      <c r="E910" s="93" t="s">
        <v>341</v>
      </c>
      <c r="F910" s="93" t="s">
        <v>464</v>
      </c>
      <c r="G910" s="93" t="s">
        <v>348</v>
      </c>
      <c r="H910" s="93" t="s">
        <v>344</v>
      </c>
      <c r="I910" s="94">
        <v>1.67</v>
      </c>
      <c r="J910" s="95">
        <v>100.19999999999999</v>
      </c>
    </row>
    <row r="911" spans="1:10" x14ac:dyDescent="0.25">
      <c r="A911" s="92">
        <v>45818</v>
      </c>
      <c r="B911" s="93" t="s">
        <v>332</v>
      </c>
      <c r="C911" s="89" t="s">
        <v>40</v>
      </c>
      <c r="D911" s="93" t="s">
        <v>314</v>
      </c>
      <c r="E911" s="93" t="s">
        <v>35</v>
      </c>
      <c r="F911" s="93" t="s">
        <v>359</v>
      </c>
      <c r="G911" s="93" t="s">
        <v>339</v>
      </c>
      <c r="H911" s="93" t="s">
        <v>352</v>
      </c>
      <c r="I911" s="94">
        <v>8.83</v>
      </c>
      <c r="J911" s="95">
        <v>353.2</v>
      </c>
    </row>
    <row r="912" spans="1:10" x14ac:dyDescent="0.25">
      <c r="A912" s="92">
        <v>45818</v>
      </c>
      <c r="B912" s="93" t="s">
        <v>324</v>
      </c>
      <c r="C912" s="89" t="s">
        <v>40</v>
      </c>
      <c r="D912" s="93" t="s">
        <v>314</v>
      </c>
      <c r="E912" s="93" t="s">
        <v>35</v>
      </c>
      <c r="F912" s="93" t="s">
        <v>359</v>
      </c>
      <c r="G912" s="93" t="s">
        <v>339</v>
      </c>
      <c r="H912" s="93" t="s">
        <v>352</v>
      </c>
      <c r="I912" s="94">
        <v>6</v>
      </c>
      <c r="J912" s="95">
        <v>450</v>
      </c>
    </row>
    <row r="913" spans="1:10" x14ac:dyDescent="0.25">
      <c r="A913" s="92">
        <v>45819</v>
      </c>
      <c r="B913" s="93" t="s">
        <v>329</v>
      </c>
      <c r="C913" s="89" t="s">
        <v>40</v>
      </c>
      <c r="D913" s="93" t="s">
        <v>269</v>
      </c>
      <c r="E913" s="93" t="s">
        <v>34</v>
      </c>
      <c r="F913" s="93" t="s">
        <v>361</v>
      </c>
      <c r="G913" s="93" t="s">
        <v>347</v>
      </c>
      <c r="H913" s="93" t="s">
        <v>343</v>
      </c>
      <c r="I913" s="94">
        <v>0.08</v>
      </c>
      <c r="J913" s="95">
        <v>6</v>
      </c>
    </row>
    <row r="914" spans="1:10" x14ac:dyDescent="0.25">
      <c r="A914" s="92">
        <v>45819</v>
      </c>
      <c r="B914" s="93" t="s">
        <v>329</v>
      </c>
      <c r="C914" s="89" t="s">
        <v>40</v>
      </c>
      <c r="D914" s="93" t="s">
        <v>316</v>
      </c>
      <c r="E914" s="93" t="s">
        <v>35</v>
      </c>
      <c r="F914" s="93" t="s">
        <v>338</v>
      </c>
      <c r="G914" s="93" t="s">
        <v>337</v>
      </c>
      <c r="H914" s="93" t="s">
        <v>352</v>
      </c>
      <c r="I914" s="94">
        <v>1.17</v>
      </c>
      <c r="J914" s="95">
        <v>87.75</v>
      </c>
    </row>
    <row r="915" spans="1:10" x14ac:dyDescent="0.25">
      <c r="A915" s="92">
        <v>45819</v>
      </c>
      <c r="B915" s="93" t="s">
        <v>331</v>
      </c>
      <c r="C915" s="89" t="s">
        <v>40</v>
      </c>
      <c r="D915" s="93" t="s">
        <v>316</v>
      </c>
      <c r="E915" s="93" t="s">
        <v>35</v>
      </c>
      <c r="F915" s="93" t="s">
        <v>338</v>
      </c>
      <c r="G915" s="93" t="s">
        <v>337</v>
      </c>
      <c r="H915" s="93" t="s">
        <v>352</v>
      </c>
      <c r="I915" s="94">
        <v>0.75</v>
      </c>
      <c r="J915" s="95">
        <v>24</v>
      </c>
    </row>
    <row r="916" spans="1:10" x14ac:dyDescent="0.25">
      <c r="A916" s="92">
        <v>45819</v>
      </c>
      <c r="B916" s="93" t="s">
        <v>333</v>
      </c>
      <c r="C916" s="89" t="s">
        <v>40</v>
      </c>
      <c r="D916" s="93" t="s">
        <v>320</v>
      </c>
      <c r="E916" s="93" t="s">
        <v>35</v>
      </c>
      <c r="F916" s="93" t="s">
        <v>322</v>
      </c>
      <c r="G916" s="93" t="s">
        <v>319</v>
      </c>
      <c r="H916" s="93" t="s">
        <v>352</v>
      </c>
      <c r="I916" s="94">
        <v>7.75</v>
      </c>
      <c r="J916" s="95">
        <v>248</v>
      </c>
    </row>
    <row r="917" spans="1:10" x14ac:dyDescent="0.25">
      <c r="A917" s="92">
        <v>45819</v>
      </c>
      <c r="B917" s="93" t="s">
        <v>327</v>
      </c>
      <c r="C917" s="89" t="s">
        <v>40</v>
      </c>
      <c r="D917" s="93" t="s">
        <v>320</v>
      </c>
      <c r="E917" s="93" t="s">
        <v>35</v>
      </c>
      <c r="F917" s="93" t="s">
        <v>322</v>
      </c>
      <c r="G917" s="93" t="s">
        <v>319</v>
      </c>
      <c r="H917" s="93" t="s">
        <v>352</v>
      </c>
      <c r="I917" s="94">
        <v>4</v>
      </c>
      <c r="J917" s="95">
        <v>128</v>
      </c>
    </row>
    <row r="918" spans="1:10" x14ac:dyDescent="0.25">
      <c r="A918" s="92">
        <v>45819</v>
      </c>
      <c r="B918" s="93" t="s">
        <v>325</v>
      </c>
      <c r="C918" s="89" t="s">
        <v>40</v>
      </c>
      <c r="D918" s="93" t="s">
        <v>191</v>
      </c>
      <c r="E918" s="93" t="s">
        <v>34</v>
      </c>
      <c r="F918" s="93" t="s">
        <v>466</v>
      </c>
      <c r="G918" s="93" t="s">
        <v>347</v>
      </c>
      <c r="H918" s="93" t="s">
        <v>343</v>
      </c>
      <c r="I918" s="94">
        <v>0.33</v>
      </c>
      <c r="J918" s="95">
        <v>24.75</v>
      </c>
    </row>
    <row r="919" spans="1:10" x14ac:dyDescent="0.25">
      <c r="A919" s="92">
        <v>45819</v>
      </c>
      <c r="B919" s="93" t="s">
        <v>325</v>
      </c>
      <c r="C919" s="89" t="s">
        <v>40</v>
      </c>
      <c r="D919" s="93" t="s">
        <v>290</v>
      </c>
      <c r="E919" s="93" t="s">
        <v>36</v>
      </c>
      <c r="F919" s="93" t="s">
        <v>428</v>
      </c>
      <c r="G919" s="93" t="s">
        <v>347</v>
      </c>
      <c r="H919" s="93" t="s">
        <v>342</v>
      </c>
      <c r="I919" s="94">
        <v>0.42</v>
      </c>
      <c r="J919" s="95">
        <v>31.5</v>
      </c>
    </row>
    <row r="920" spans="1:10" x14ac:dyDescent="0.25">
      <c r="A920" s="92">
        <v>45819</v>
      </c>
      <c r="B920" s="93" t="s">
        <v>325</v>
      </c>
      <c r="C920" s="89" t="s">
        <v>40</v>
      </c>
      <c r="D920" s="93" t="s">
        <v>179</v>
      </c>
      <c r="E920" s="93" t="s">
        <v>34</v>
      </c>
      <c r="F920" s="93" t="s">
        <v>422</v>
      </c>
      <c r="G920" s="93" t="s">
        <v>347</v>
      </c>
      <c r="H920" s="93" t="s">
        <v>343</v>
      </c>
      <c r="I920" s="94">
        <v>0.17</v>
      </c>
      <c r="J920" s="95">
        <v>12.750000000000002</v>
      </c>
    </row>
    <row r="921" spans="1:10" x14ac:dyDescent="0.25">
      <c r="A921" s="92">
        <v>45819</v>
      </c>
      <c r="B921" s="93" t="s">
        <v>329</v>
      </c>
      <c r="C921" s="89" t="s">
        <v>40</v>
      </c>
      <c r="D921" s="93" t="s">
        <v>302</v>
      </c>
      <c r="E921" s="93" t="s">
        <v>34</v>
      </c>
      <c r="F921" s="93" t="s">
        <v>398</v>
      </c>
      <c r="G921" s="93" t="s">
        <v>347</v>
      </c>
      <c r="H921" s="93" t="s">
        <v>343</v>
      </c>
      <c r="I921" s="94">
        <v>0.08</v>
      </c>
      <c r="J921" s="95">
        <v>6</v>
      </c>
    </row>
    <row r="922" spans="1:10" x14ac:dyDescent="0.25">
      <c r="A922" s="92">
        <v>45819</v>
      </c>
      <c r="B922" s="93" t="s">
        <v>329</v>
      </c>
      <c r="C922" s="89" t="s">
        <v>40</v>
      </c>
      <c r="D922" s="93" t="s">
        <v>301</v>
      </c>
      <c r="E922" s="93" t="s">
        <v>34</v>
      </c>
      <c r="F922" s="93" t="s">
        <v>371</v>
      </c>
      <c r="G922" s="93" t="s">
        <v>347</v>
      </c>
      <c r="H922" s="93" t="s">
        <v>343</v>
      </c>
      <c r="I922" s="94">
        <v>0.08</v>
      </c>
      <c r="J922" s="95">
        <v>6</v>
      </c>
    </row>
    <row r="923" spans="1:10" x14ac:dyDescent="0.25">
      <c r="A923" s="92">
        <v>45819</v>
      </c>
      <c r="B923" s="93" t="s">
        <v>329</v>
      </c>
      <c r="C923" s="89" t="s">
        <v>40</v>
      </c>
      <c r="D923" s="93" t="s">
        <v>303</v>
      </c>
      <c r="E923" s="93" t="s">
        <v>34</v>
      </c>
      <c r="F923" s="93" t="s">
        <v>400</v>
      </c>
      <c r="G923" s="93" t="s">
        <v>347</v>
      </c>
      <c r="H923" s="93" t="s">
        <v>343</v>
      </c>
      <c r="I923" s="94">
        <v>0.08</v>
      </c>
      <c r="J923" s="95">
        <v>6</v>
      </c>
    </row>
    <row r="924" spans="1:10" x14ac:dyDescent="0.25">
      <c r="A924" s="92">
        <v>45819</v>
      </c>
      <c r="B924" s="93" t="s">
        <v>329</v>
      </c>
      <c r="C924" s="89" t="s">
        <v>40</v>
      </c>
      <c r="D924" s="93" t="s">
        <v>293</v>
      </c>
      <c r="E924" s="93" t="s">
        <v>34</v>
      </c>
      <c r="F924" s="93" t="s">
        <v>376</v>
      </c>
      <c r="G924" s="93" t="s">
        <v>347</v>
      </c>
      <c r="H924" s="93" t="s">
        <v>343</v>
      </c>
      <c r="I924" s="94">
        <v>0.25</v>
      </c>
      <c r="J924" s="95">
        <v>18.75</v>
      </c>
    </row>
    <row r="925" spans="1:10" x14ac:dyDescent="0.25">
      <c r="A925" s="92">
        <v>45819</v>
      </c>
      <c r="B925" s="93" t="s">
        <v>325</v>
      </c>
      <c r="C925" s="89" t="s">
        <v>40</v>
      </c>
      <c r="D925" s="93" t="s">
        <v>287</v>
      </c>
      <c r="E925" s="93" t="s">
        <v>34</v>
      </c>
      <c r="F925" s="93" t="s">
        <v>378</v>
      </c>
      <c r="G925" s="93" t="s">
        <v>347</v>
      </c>
      <c r="H925" s="93" t="s">
        <v>343</v>
      </c>
      <c r="I925" s="94">
        <v>0.57999999999999996</v>
      </c>
      <c r="J925" s="95">
        <v>43.5</v>
      </c>
    </row>
    <row r="926" spans="1:10" x14ac:dyDescent="0.25">
      <c r="A926" s="92">
        <v>45819</v>
      </c>
      <c r="B926" s="93" t="s">
        <v>329</v>
      </c>
      <c r="C926" s="89" t="s">
        <v>40</v>
      </c>
      <c r="D926" s="93" t="s">
        <v>296</v>
      </c>
      <c r="E926" s="93" t="s">
        <v>34</v>
      </c>
      <c r="F926" s="93" t="s">
        <v>411</v>
      </c>
      <c r="G926" s="93" t="s">
        <v>347</v>
      </c>
      <c r="H926" s="93" t="s">
        <v>343</v>
      </c>
      <c r="I926" s="94">
        <v>0.17</v>
      </c>
      <c r="J926" s="95">
        <v>12.750000000000002</v>
      </c>
    </row>
    <row r="927" spans="1:10" x14ac:dyDescent="0.25">
      <c r="A927" s="92">
        <v>45819</v>
      </c>
      <c r="B927" s="93" t="s">
        <v>329</v>
      </c>
      <c r="C927" s="89" t="s">
        <v>40</v>
      </c>
      <c r="D927" s="93" t="s">
        <v>258</v>
      </c>
      <c r="E927" s="93" t="s">
        <v>34</v>
      </c>
      <c r="F927" s="93" t="s">
        <v>381</v>
      </c>
      <c r="G927" s="93" t="s">
        <v>347</v>
      </c>
      <c r="H927" s="93" t="s">
        <v>343</v>
      </c>
      <c r="I927" s="94">
        <v>0.08</v>
      </c>
      <c r="J927" s="95">
        <v>6</v>
      </c>
    </row>
    <row r="928" spans="1:10" x14ac:dyDescent="0.25">
      <c r="A928" s="92">
        <v>45819</v>
      </c>
      <c r="B928" s="93" t="s">
        <v>329</v>
      </c>
      <c r="C928" s="89" t="s">
        <v>40</v>
      </c>
      <c r="D928" s="93" t="s">
        <v>259</v>
      </c>
      <c r="E928" s="93" t="s">
        <v>34</v>
      </c>
      <c r="F928" s="93" t="s">
        <v>407</v>
      </c>
      <c r="G928" s="93" t="s">
        <v>347</v>
      </c>
      <c r="H928" s="93" t="s">
        <v>343</v>
      </c>
      <c r="I928" s="94">
        <v>0.17</v>
      </c>
      <c r="J928" s="95">
        <v>12.750000000000002</v>
      </c>
    </row>
    <row r="929" spans="1:10" x14ac:dyDescent="0.25">
      <c r="A929" s="92">
        <v>45819</v>
      </c>
      <c r="B929" s="93" t="s">
        <v>325</v>
      </c>
      <c r="C929" s="89" t="s">
        <v>40</v>
      </c>
      <c r="D929" s="93" t="s">
        <v>277</v>
      </c>
      <c r="E929" s="93" t="s">
        <v>34</v>
      </c>
      <c r="F929" s="93" t="s">
        <v>353</v>
      </c>
      <c r="G929" s="93" t="s">
        <v>347</v>
      </c>
      <c r="H929" s="93" t="s">
        <v>343</v>
      </c>
      <c r="I929" s="94">
        <v>0.25</v>
      </c>
      <c r="J929" s="95">
        <v>18.75</v>
      </c>
    </row>
    <row r="930" spans="1:10" x14ac:dyDescent="0.25">
      <c r="A930" s="92">
        <v>45819</v>
      </c>
      <c r="B930" s="93" t="s">
        <v>329</v>
      </c>
      <c r="C930" s="89" t="s">
        <v>40</v>
      </c>
      <c r="D930" s="93" t="s">
        <v>268</v>
      </c>
      <c r="E930" s="93" t="s">
        <v>34</v>
      </c>
      <c r="F930" s="93" t="s">
        <v>386</v>
      </c>
      <c r="G930" s="93" t="s">
        <v>347</v>
      </c>
      <c r="H930" s="93" t="s">
        <v>343</v>
      </c>
      <c r="I930" s="94">
        <v>0.08</v>
      </c>
      <c r="J930" s="95">
        <v>6</v>
      </c>
    </row>
    <row r="931" spans="1:10" x14ac:dyDescent="0.25">
      <c r="A931" s="92">
        <v>45819</v>
      </c>
      <c r="B931" s="93" t="s">
        <v>329</v>
      </c>
      <c r="C931" s="89" t="s">
        <v>40</v>
      </c>
      <c r="D931" s="93" t="s">
        <v>247</v>
      </c>
      <c r="E931" s="93" t="s">
        <v>341</v>
      </c>
      <c r="F931" s="93" t="s">
        <v>375</v>
      </c>
      <c r="G931" s="93" t="s">
        <v>347</v>
      </c>
      <c r="H931" s="93" t="s">
        <v>344</v>
      </c>
      <c r="I931" s="94">
        <v>1.83</v>
      </c>
      <c r="J931" s="95">
        <v>137.25</v>
      </c>
    </row>
    <row r="932" spans="1:10" x14ac:dyDescent="0.25">
      <c r="A932" s="92">
        <v>45819</v>
      </c>
      <c r="B932" s="93" t="s">
        <v>326</v>
      </c>
      <c r="C932" s="89" t="s">
        <v>40</v>
      </c>
      <c r="D932" s="93" t="s">
        <v>234</v>
      </c>
      <c r="E932" s="93" t="s">
        <v>34</v>
      </c>
      <c r="F932" s="93" t="s">
        <v>389</v>
      </c>
      <c r="G932" s="93" t="s">
        <v>348</v>
      </c>
      <c r="H932" s="93" t="s">
        <v>343</v>
      </c>
      <c r="I932" s="94">
        <v>1</v>
      </c>
      <c r="J932" s="95">
        <v>60</v>
      </c>
    </row>
    <row r="933" spans="1:10" x14ac:dyDescent="0.25">
      <c r="A933" s="92">
        <v>45819</v>
      </c>
      <c r="B933" s="93" t="s">
        <v>332</v>
      </c>
      <c r="C933" s="89" t="s">
        <v>40</v>
      </c>
      <c r="D933" s="93" t="s">
        <v>314</v>
      </c>
      <c r="E933" s="93" t="s">
        <v>35</v>
      </c>
      <c r="F933" s="93" t="s">
        <v>359</v>
      </c>
      <c r="G933" s="93" t="s">
        <v>339</v>
      </c>
      <c r="H933" s="93" t="s">
        <v>352</v>
      </c>
      <c r="I933" s="94">
        <v>7.67</v>
      </c>
      <c r="J933" s="95">
        <v>306.8</v>
      </c>
    </row>
    <row r="934" spans="1:10" x14ac:dyDescent="0.25">
      <c r="A934" s="92">
        <v>45819</v>
      </c>
      <c r="B934" s="93" t="s">
        <v>324</v>
      </c>
      <c r="C934" s="89" t="s">
        <v>40</v>
      </c>
      <c r="D934" s="93" t="s">
        <v>314</v>
      </c>
      <c r="E934" s="93" t="s">
        <v>35</v>
      </c>
      <c r="F934" s="93" t="s">
        <v>359</v>
      </c>
      <c r="G934" s="93" t="s">
        <v>339</v>
      </c>
      <c r="H934" s="93" t="s">
        <v>352</v>
      </c>
      <c r="I934" s="94">
        <v>7.75</v>
      </c>
      <c r="J934" s="95">
        <v>581.25</v>
      </c>
    </row>
    <row r="935" spans="1:10" x14ac:dyDescent="0.25">
      <c r="A935" s="92">
        <v>45820</v>
      </c>
      <c r="B935" s="93" t="s">
        <v>323</v>
      </c>
      <c r="C935" s="89" t="s">
        <v>40</v>
      </c>
      <c r="D935" s="93" t="s">
        <v>169</v>
      </c>
      <c r="E935" s="93" t="s">
        <v>36</v>
      </c>
      <c r="F935" s="93" t="s">
        <v>433</v>
      </c>
      <c r="G935" s="93" t="s">
        <v>346</v>
      </c>
      <c r="H935" s="93" t="s">
        <v>342</v>
      </c>
      <c r="I935" s="94">
        <v>0.25</v>
      </c>
      <c r="J935" s="95">
        <v>15</v>
      </c>
    </row>
    <row r="936" spans="1:10" x14ac:dyDescent="0.25">
      <c r="A936" s="92">
        <v>45820</v>
      </c>
      <c r="B936" s="93" t="s">
        <v>323</v>
      </c>
      <c r="C936" s="89" t="s">
        <v>40</v>
      </c>
      <c r="D936" s="93" t="s">
        <v>201</v>
      </c>
      <c r="E936" s="93" t="s">
        <v>36</v>
      </c>
      <c r="F936" s="93" t="s">
        <v>395</v>
      </c>
      <c r="G936" s="93" t="s">
        <v>346</v>
      </c>
      <c r="H936" s="93" t="s">
        <v>342</v>
      </c>
      <c r="I936" s="94">
        <v>0.25</v>
      </c>
      <c r="J936" s="95">
        <v>15</v>
      </c>
    </row>
    <row r="937" spans="1:10" x14ac:dyDescent="0.25">
      <c r="A937" s="92">
        <v>45820</v>
      </c>
      <c r="B937" s="93" t="s">
        <v>323</v>
      </c>
      <c r="C937" s="89" t="s">
        <v>40</v>
      </c>
      <c r="D937" s="93" t="s">
        <v>202</v>
      </c>
      <c r="E937" s="93" t="s">
        <v>36</v>
      </c>
      <c r="F937" s="93" t="s">
        <v>431</v>
      </c>
      <c r="G937" s="93" t="s">
        <v>346</v>
      </c>
      <c r="H937" s="93" t="s">
        <v>342</v>
      </c>
      <c r="I937" s="94">
        <v>0.5</v>
      </c>
      <c r="J937" s="95">
        <v>30</v>
      </c>
    </row>
    <row r="938" spans="1:10" x14ac:dyDescent="0.25">
      <c r="A938" s="92">
        <v>45820</v>
      </c>
      <c r="B938" s="93" t="s">
        <v>323</v>
      </c>
      <c r="C938" s="89" t="s">
        <v>40</v>
      </c>
      <c r="D938" s="93" t="s">
        <v>208</v>
      </c>
      <c r="E938" s="93" t="s">
        <v>36</v>
      </c>
      <c r="F938" s="93" t="s">
        <v>456</v>
      </c>
      <c r="G938" s="93" t="s">
        <v>346</v>
      </c>
      <c r="H938" s="93" t="s">
        <v>342</v>
      </c>
      <c r="I938" s="94">
        <v>0.25</v>
      </c>
      <c r="J938" s="95">
        <v>15</v>
      </c>
    </row>
    <row r="939" spans="1:10" x14ac:dyDescent="0.25">
      <c r="A939" s="92">
        <v>45820</v>
      </c>
      <c r="B939" s="93" t="s">
        <v>334</v>
      </c>
      <c r="C939" s="89" t="s">
        <v>40</v>
      </c>
      <c r="D939" s="93" t="s">
        <v>316</v>
      </c>
      <c r="E939" s="93" t="s">
        <v>35</v>
      </c>
      <c r="F939" s="93" t="s">
        <v>321</v>
      </c>
      <c r="G939" s="93" t="s">
        <v>317</v>
      </c>
      <c r="H939" s="93" t="s">
        <v>352</v>
      </c>
      <c r="I939" s="94">
        <v>1</v>
      </c>
      <c r="J939" s="95">
        <v>32</v>
      </c>
    </row>
    <row r="940" spans="1:10" x14ac:dyDescent="0.25">
      <c r="A940" s="92">
        <v>45820</v>
      </c>
      <c r="B940" s="93" t="s">
        <v>329</v>
      </c>
      <c r="C940" s="89" t="s">
        <v>40</v>
      </c>
      <c r="D940" s="93" t="s">
        <v>316</v>
      </c>
      <c r="E940" s="93" t="s">
        <v>35</v>
      </c>
      <c r="F940" s="93" t="s">
        <v>338</v>
      </c>
      <c r="G940" s="93" t="s">
        <v>337</v>
      </c>
      <c r="H940" s="93" t="s">
        <v>352</v>
      </c>
      <c r="I940" s="94">
        <v>1.08</v>
      </c>
      <c r="J940" s="95">
        <v>81</v>
      </c>
    </row>
    <row r="941" spans="1:10" x14ac:dyDescent="0.25">
      <c r="A941" s="92">
        <v>45820</v>
      </c>
      <c r="B941" s="93" t="s">
        <v>333</v>
      </c>
      <c r="C941" s="89" t="s">
        <v>40</v>
      </c>
      <c r="D941" s="93" t="s">
        <v>320</v>
      </c>
      <c r="E941" s="93" t="s">
        <v>35</v>
      </c>
      <c r="F941" s="93" t="s">
        <v>322</v>
      </c>
      <c r="G941" s="93" t="s">
        <v>319</v>
      </c>
      <c r="H941" s="93" t="s">
        <v>352</v>
      </c>
      <c r="I941" s="94">
        <v>8.83</v>
      </c>
      <c r="J941" s="95">
        <v>282.56</v>
      </c>
    </row>
    <row r="942" spans="1:10" x14ac:dyDescent="0.25">
      <c r="A942" s="92">
        <v>45820</v>
      </c>
      <c r="B942" s="93" t="s">
        <v>327</v>
      </c>
      <c r="C942" s="89" t="s">
        <v>40</v>
      </c>
      <c r="D942" s="93" t="s">
        <v>320</v>
      </c>
      <c r="E942" s="93" t="s">
        <v>35</v>
      </c>
      <c r="F942" s="93" t="s">
        <v>322</v>
      </c>
      <c r="G942" s="93" t="s">
        <v>319</v>
      </c>
      <c r="H942" s="93" t="s">
        <v>352</v>
      </c>
      <c r="I942" s="94">
        <v>4</v>
      </c>
      <c r="J942" s="95">
        <v>128</v>
      </c>
    </row>
    <row r="943" spans="1:10" x14ac:dyDescent="0.25">
      <c r="A943" s="92">
        <v>45820</v>
      </c>
      <c r="B943" s="93" t="s">
        <v>323</v>
      </c>
      <c r="C943" s="89" t="s">
        <v>40</v>
      </c>
      <c r="D943" s="93" t="s">
        <v>232</v>
      </c>
      <c r="E943" s="93" t="s">
        <v>36</v>
      </c>
      <c r="F943" s="93" t="s">
        <v>393</v>
      </c>
      <c r="G943" s="93" t="s">
        <v>346</v>
      </c>
      <c r="H943" s="93" t="s">
        <v>342</v>
      </c>
      <c r="I943" s="94">
        <v>0.25</v>
      </c>
      <c r="J943" s="95">
        <v>15</v>
      </c>
    </row>
    <row r="944" spans="1:10" x14ac:dyDescent="0.25">
      <c r="A944" s="92">
        <v>45820</v>
      </c>
      <c r="B944" s="93" t="s">
        <v>323</v>
      </c>
      <c r="C944" s="89" t="s">
        <v>40</v>
      </c>
      <c r="D944" s="93" t="s">
        <v>245</v>
      </c>
      <c r="E944" s="93" t="s">
        <v>36</v>
      </c>
      <c r="F944" s="93" t="s">
        <v>435</v>
      </c>
      <c r="G944" s="93" t="s">
        <v>346</v>
      </c>
      <c r="H944" s="93" t="s">
        <v>342</v>
      </c>
      <c r="I944" s="94">
        <v>0.25</v>
      </c>
      <c r="J944" s="95">
        <v>15</v>
      </c>
    </row>
    <row r="945" spans="1:10" x14ac:dyDescent="0.25">
      <c r="A945" s="92">
        <v>45820</v>
      </c>
      <c r="B945" s="93" t="s">
        <v>323</v>
      </c>
      <c r="C945" s="89" t="s">
        <v>40</v>
      </c>
      <c r="D945" s="93" t="s">
        <v>274</v>
      </c>
      <c r="E945" s="93" t="s">
        <v>36</v>
      </c>
      <c r="F945" s="93" t="s">
        <v>421</v>
      </c>
      <c r="G945" s="93" t="s">
        <v>346</v>
      </c>
      <c r="H945" s="93" t="s">
        <v>342</v>
      </c>
      <c r="I945" s="94">
        <v>0.25</v>
      </c>
      <c r="J945" s="95">
        <v>15</v>
      </c>
    </row>
    <row r="946" spans="1:10" x14ac:dyDescent="0.25">
      <c r="A946" s="92">
        <v>45820</v>
      </c>
      <c r="B946" s="93" t="s">
        <v>323</v>
      </c>
      <c r="C946" s="89" t="s">
        <v>40</v>
      </c>
      <c r="D946" s="93" t="s">
        <v>231</v>
      </c>
      <c r="E946" s="93" t="s">
        <v>34</v>
      </c>
      <c r="F946" s="93" t="s">
        <v>420</v>
      </c>
      <c r="G946" s="93" t="s">
        <v>346</v>
      </c>
      <c r="H946" s="93" t="s">
        <v>343</v>
      </c>
      <c r="I946" s="94">
        <v>0.25</v>
      </c>
      <c r="J946" s="95">
        <v>15</v>
      </c>
    </row>
    <row r="947" spans="1:10" x14ac:dyDescent="0.25">
      <c r="A947" s="92">
        <v>45820</v>
      </c>
      <c r="B947" s="93" t="s">
        <v>325</v>
      </c>
      <c r="C947" s="89" t="s">
        <v>40</v>
      </c>
      <c r="D947" s="93" t="s">
        <v>182</v>
      </c>
      <c r="E947" s="93" t="s">
        <v>34</v>
      </c>
      <c r="F947" s="93" t="s">
        <v>467</v>
      </c>
      <c r="G947" s="93" t="s">
        <v>347</v>
      </c>
      <c r="H947" s="93" t="s">
        <v>343</v>
      </c>
      <c r="I947" s="94">
        <v>0.25</v>
      </c>
      <c r="J947" s="95">
        <v>18.75</v>
      </c>
    </row>
    <row r="948" spans="1:10" x14ac:dyDescent="0.25">
      <c r="A948" s="92">
        <v>45820</v>
      </c>
      <c r="B948" s="93" t="s">
        <v>325</v>
      </c>
      <c r="C948" s="89" t="s">
        <v>40</v>
      </c>
      <c r="D948" s="93" t="s">
        <v>179</v>
      </c>
      <c r="E948" s="93" t="s">
        <v>34</v>
      </c>
      <c r="F948" s="93" t="s">
        <v>422</v>
      </c>
      <c r="G948" s="93" t="s">
        <v>347</v>
      </c>
      <c r="H948" s="93" t="s">
        <v>343</v>
      </c>
      <c r="I948" s="94">
        <v>0.33</v>
      </c>
      <c r="J948" s="95">
        <v>24.75</v>
      </c>
    </row>
    <row r="949" spans="1:10" x14ac:dyDescent="0.25">
      <c r="A949" s="92">
        <v>45820</v>
      </c>
      <c r="B949" s="93" t="s">
        <v>329</v>
      </c>
      <c r="C949" s="89" t="s">
        <v>40</v>
      </c>
      <c r="D949" s="93" t="s">
        <v>259</v>
      </c>
      <c r="E949" s="93" t="s">
        <v>34</v>
      </c>
      <c r="F949" s="93" t="s">
        <v>407</v>
      </c>
      <c r="G949" s="93" t="s">
        <v>347</v>
      </c>
      <c r="H949" s="93" t="s">
        <v>343</v>
      </c>
      <c r="I949" s="94">
        <v>0.33</v>
      </c>
      <c r="J949" s="95">
        <v>24.75</v>
      </c>
    </row>
    <row r="950" spans="1:10" x14ac:dyDescent="0.25">
      <c r="A950" s="92">
        <v>45820</v>
      </c>
      <c r="B950" s="93" t="s">
        <v>325</v>
      </c>
      <c r="C950" s="89" t="s">
        <v>40</v>
      </c>
      <c r="D950" s="93" t="s">
        <v>262</v>
      </c>
      <c r="E950" s="93" t="s">
        <v>34</v>
      </c>
      <c r="F950" s="93" t="s">
        <v>442</v>
      </c>
      <c r="G950" s="93" t="s">
        <v>347</v>
      </c>
      <c r="H950" s="93" t="s">
        <v>343</v>
      </c>
      <c r="I950" s="94">
        <v>0.17</v>
      </c>
      <c r="J950" s="95">
        <v>12.750000000000002</v>
      </c>
    </row>
    <row r="951" spans="1:10" x14ac:dyDescent="0.25">
      <c r="A951" s="92">
        <v>45820</v>
      </c>
      <c r="B951" s="93" t="s">
        <v>325</v>
      </c>
      <c r="C951" s="89" t="s">
        <v>40</v>
      </c>
      <c r="D951" s="93" t="s">
        <v>264</v>
      </c>
      <c r="E951" s="93" t="s">
        <v>34</v>
      </c>
      <c r="F951" s="93" t="s">
        <v>384</v>
      </c>
      <c r="G951" s="93" t="s">
        <v>347</v>
      </c>
      <c r="H951" s="93" t="s">
        <v>343</v>
      </c>
      <c r="I951" s="94">
        <v>0.25</v>
      </c>
      <c r="J951" s="95">
        <v>18.75</v>
      </c>
    </row>
    <row r="952" spans="1:10" x14ac:dyDescent="0.25">
      <c r="A952" s="92">
        <v>45820</v>
      </c>
      <c r="B952" s="93" t="s">
        <v>329</v>
      </c>
      <c r="C952" s="89" t="s">
        <v>40</v>
      </c>
      <c r="D952" s="93" t="s">
        <v>247</v>
      </c>
      <c r="E952" s="93" t="s">
        <v>34</v>
      </c>
      <c r="F952" s="93" t="s">
        <v>375</v>
      </c>
      <c r="G952" s="93" t="s">
        <v>347</v>
      </c>
      <c r="H952" s="93" t="s">
        <v>343</v>
      </c>
      <c r="I952" s="94">
        <v>0.17</v>
      </c>
      <c r="J952" s="95">
        <v>12.750000000000002</v>
      </c>
    </row>
    <row r="953" spans="1:10" x14ac:dyDescent="0.25">
      <c r="A953" s="92">
        <v>45820</v>
      </c>
      <c r="B953" s="93" t="s">
        <v>325</v>
      </c>
      <c r="C953" s="89" t="s">
        <v>40</v>
      </c>
      <c r="D953" s="93" t="s">
        <v>277</v>
      </c>
      <c r="E953" s="93" t="s">
        <v>34</v>
      </c>
      <c r="F953" s="93" t="s">
        <v>353</v>
      </c>
      <c r="G953" s="93" t="s">
        <v>347</v>
      </c>
      <c r="H953" s="93" t="s">
        <v>343</v>
      </c>
      <c r="I953" s="94">
        <v>0.17</v>
      </c>
      <c r="J953" s="95">
        <v>12.750000000000002</v>
      </c>
    </row>
    <row r="954" spans="1:10" x14ac:dyDescent="0.25">
      <c r="A954" s="92">
        <v>45820</v>
      </c>
      <c r="B954" s="93" t="s">
        <v>326</v>
      </c>
      <c r="C954" s="89" t="s">
        <v>40</v>
      </c>
      <c r="D954" s="93" t="s">
        <v>236</v>
      </c>
      <c r="E954" s="93" t="s">
        <v>36</v>
      </c>
      <c r="F954" s="93" t="s">
        <v>357</v>
      </c>
      <c r="G954" s="93" t="s">
        <v>348</v>
      </c>
      <c r="H954" s="93" t="s">
        <v>342</v>
      </c>
      <c r="I954" s="94">
        <v>1.75</v>
      </c>
      <c r="J954" s="95">
        <v>105</v>
      </c>
    </row>
    <row r="955" spans="1:10" x14ac:dyDescent="0.25">
      <c r="A955" s="92">
        <v>45820</v>
      </c>
      <c r="B955" s="93" t="s">
        <v>326</v>
      </c>
      <c r="C955" s="89" t="s">
        <v>40</v>
      </c>
      <c r="D955" s="93" t="s">
        <v>265</v>
      </c>
      <c r="E955" s="93" t="s">
        <v>36</v>
      </c>
      <c r="F955" s="93" t="s">
        <v>358</v>
      </c>
      <c r="G955" s="93" t="s">
        <v>348</v>
      </c>
      <c r="H955" s="93" t="s">
        <v>342</v>
      </c>
      <c r="I955" s="94">
        <v>1.25</v>
      </c>
      <c r="J955" s="95">
        <v>75</v>
      </c>
    </row>
    <row r="956" spans="1:10" x14ac:dyDescent="0.25">
      <c r="A956" s="92">
        <v>45820</v>
      </c>
      <c r="B956" s="93" t="s">
        <v>326</v>
      </c>
      <c r="C956" s="89" t="s">
        <v>40</v>
      </c>
      <c r="D956" s="93" t="s">
        <v>309</v>
      </c>
      <c r="E956" s="93" t="s">
        <v>34</v>
      </c>
      <c r="F956" s="93" t="s">
        <v>454</v>
      </c>
      <c r="G956" s="93" t="s">
        <v>348</v>
      </c>
      <c r="H956" s="93" t="s">
        <v>343</v>
      </c>
      <c r="I956" s="94">
        <v>1.33</v>
      </c>
      <c r="J956" s="95">
        <v>79.800000000000011</v>
      </c>
    </row>
    <row r="957" spans="1:10" x14ac:dyDescent="0.25">
      <c r="A957" s="92">
        <v>45820</v>
      </c>
      <c r="B957" s="93" t="s">
        <v>326</v>
      </c>
      <c r="C957" s="89" t="s">
        <v>40</v>
      </c>
      <c r="D957" s="93" t="s">
        <v>300</v>
      </c>
      <c r="E957" s="93" t="s">
        <v>341</v>
      </c>
      <c r="F957" s="93" t="s">
        <v>464</v>
      </c>
      <c r="G957" s="93" t="s">
        <v>348</v>
      </c>
      <c r="H957" s="93" t="s">
        <v>344</v>
      </c>
      <c r="I957" s="94">
        <v>1.17</v>
      </c>
      <c r="J957" s="95">
        <v>70.199999999999989</v>
      </c>
    </row>
    <row r="958" spans="1:10" x14ac:dyDescent="0.25">
      <c r="A958" s="92">
        <v>45820</v>
      </c>
      <c r="B958" s="93" t="s">
        <v>332</v>
      </c>
      <c r="C958" s="89" t="s">
        <v>40</v>
      </c>
      <c r="D958" s="93" t="s">
        <v>314</v>
      </c>
      <c r="E958" s="93" t="s">
        <v>35</v>
      </c>
      <c r="F958" s="93" t="s">
        <v>359</v>
      </c>
      <c r="G958" s="93" t="s">
        <v>339</v>
      </c>
      <c r="H958" s="93" t="s">
        <v>352</v>
      </c>
      <c r="I958" s="94">
        <v>9.17</v>
      </c>
      <c r="J958" s="95">
        <v>366.8</v>
      </c>
    </row>
    <row r="959" spans="1:10" x14ac:dyDescent="0.25">
      <c r="A959" s="92">
        <v>45820</v>
      </c>
      <c r="B959" s="93" t="s">
        <v>324</v>
      </c>
      <c r="C959" s="89" t="s">
        <v>40</v>
      </c>
      <c r="D959" s="93" t="s">
        <v>314</v>
      </c>
      <c r="E959" s="93" t="s">
        <v>35</v>
      </c>
      <c r="F959" s="93" t="s">
        <v>359</v>
      </c>
      <c r="G959" s="93" t="s">
        <v>339</v>
      </c>
      <c r="H959" s="93" t="s">
        <v>352</v>
      </c>
      <c r="I959" s="94">
        <v>6</v>
      </c>
      <c r="J959" s="95">
        <v>450</v>
      </c>
    </row>
    <row r="960" spans="1:10" x14ac:dyDescent="0.25">
      <c r="A960" s="92">
        <v>45821</v>
      </c>
      <c r="B960" s="93" t="s">
        <v>323</v>
      </c>
      <c r="C960" s="89" t="s">
        <v>40</v>
      </c>
      <c r="D960" s="93" t="s">
        <v>168</v>
      </c>
      <c r="E960" s="93" t="s">
        <v>36</v>
      </c>
      <c r="F960" s="93" t="s">
        <v>419</v>
      </c>
      <c r="G960" s="93" t="s">
        <v>346</v>
      </c>
      <c r="H960" s="93" t="s">
        <v>342</v>
      </c>
      <c r="I960" s="94">
        <v>0.25</v>
      </c>
      <c r="J960" s="95">
        <v>15</v>
      </c>
    </row>
    <row r="961" spans="1:10" x14ac:dyDescent="0.25">
      <c r="A961" s="92">
        <v>45821</v>
      </c>
      <c r="B961" s="93" t="s">
        <v>323</v>
      </c>
      <c r="C961" s="89" t="s">
        <v>40</v>
      </c>
      <c r="D961" s="93" t="s">
        <v>208</v>
      </c>
      <c r="E961" s="93" t="s">
        <v>36</v>
      </c>
      <c r="F961" s="93" t="s">
        <v>456</v>
      </c>
      <c r="G961" s="93" t="s">
        <v>346</v>
      </c>
      <c r="H961" s="93" t="s">
        <v>342</v>
      </c>
      <c r="I961" s="94">
        <v>0.25</v>
      </c>
      <c r="J961" s="95">
        <v>15</v>
      </c>
    </row>
    <row r="962" spans="1:10" x14ac:dyDescent="0.25">
      <c r="A962" s="92">
        <v>45821</v>
      </c>
      <c r="B962" s="93" t="s">
        <v>329</v>
      </c>
      <c r="C962" s="89" t="s">
        <v>40</v>
      </c>
      <c r="D962" s="93" t="s">
        <v>316</v>
      </c>
      <c r="E962" s="93" t="s">
        <v>35</v>
      </c>
      <c r="F962" s="93" t="s">
        <v>338</v>
      </c>
      <c r="G962" s="93" t="s">
        <v>337</v>
      </c>
      <c r="H962" s="93" t="s">
        <v>352</v>
      </c>
      <c r="I962" s="94">
        <v>2</v>
      </c>
      <c r="J962" s="95">
        <v>150</v>
      </c>
    </row>
    <row r="963" spans="1:10" x14ac:dyDescent="0.25">
      <c r="A963" s="92">
        <v>45821</v>
      </c>
      <c r="B963" s="93" t="s">
        <v>333</v>
      </c>
      <c r="C963" s="89" t="s">
        <v>40</v>
      </c>
      <c r="D963" s="93" t="s">
        <v>320</v>
      </c>
      <c r="E963" s="93" t="s">
        <v>35</v>
      </c>
      <c r="F963" s="93" t="s">
        <v>322</v>
      </c>
      <c r="G963" s="93" t="s">
        <v>319</v>
      </c>
      <c r="H963" s="93" t="s">
        <v>352</v>
      </c>
      <c r="I963" s="94">
        <v>7.47</v>
      </c>
      <c r="J963" s="95">
        <v>239.04</v>
      </c>
    </row>
    <row r="964" spans="1:10" x14ac:dyDescent="0.25">
      <c r="A964" s="92">
        <v>45821</v>
      </c>
      <c r="B964" s="93" t="s">
        <v>327</v>
      </c>
      <c r="C964" s="89" t="s">
        <v>40</v>
      </c>
      <c r="D964" s="93" t="s">
        <v>320</v>
      </c>
      <c r="E964" s="93" t="s">
        <v>35</v>
      </c>
      <c r="F964" s="93" t="s">
        <v>322</v>
      </c>
      <c r="G964" s="93" t="s">
        <v>319</v>
      </c>
      <c r="H964" s="93" t="s">
        <v>352</v>
      </c>
      <c r="I964" s="94">
        <v>7.25</v>
      </c>
      <c r="J964" s="95">
        <v>232</v>
      </c>
    </row>
    <row r="965" spans="1:10" x14ac:dyDescent="0.25">
      <c r="A965" s="92">
        <v>45821</v>
      </c>
      <c r="B965" s="93" t="s">
        <v>323</v>
      </c>
      <c r="C965" s="89" t="s">
        <v>40</v>
      </c>
      <c r="D965" s="93" t="s">
        <v>231</v>
      </c>
      <c r="E965" s="93" t="s">
        <v>34</v>
      </c>
      <c r="F965" s="93" t="s">
        <v>420</v>
      </c>
      <c r="G965" s="93" t="s">
        <v>346</v>
      </c>
      <c r="H965" s="93" t="s">
        <v>343</v>
      </c>
      <c r="I965" s="94">
        <v>0.25</v>
      </c>
      <c r="J965" s="95">
        <v>15</v>
      </c>
    </row>
    <row r="966" spans="1:10" x14ac:dyDescent="0.25">
      <c r="A966" s="92">
        <v>45821</v>
      </c>
      <c r="B966" s="93" t="s">
        <v>329</v>
      </c>
      <c r="C966" s="89" t="s">
        <v>40</v>
      </c>
      <c r="D966" s="93" t="s">
        <v>186</v>
      </c>
      <c r="E966" s="93" t="s">
        <v>34</v>
      </c>
      <c r="F966" s="93" t="s">
        <v>397</v>
      </c>
      <c r="G966" s="93" t="s">
        <v>347</v>
      </c>
      <c r="H966" s="93" t="s">
        <v>343</v>
      </c>
      <c r="I966" s="94">
        <v>0.17</v>
      </c>
      <c r="J966" s="95">
        <v>12.750000000000002</v>
      </c>
    </row>
    <row r="967" spans="1:10" x14ac:dyDescent="0.25">
      <c r="A967" s="92">
        <v>45821</v>
      </c>
      <c r="B967" s="93" t="s">
        <v>329</v>
      </c>
      <c r="C967" s="89" t="s">
        <v>40</v>
      </c>
      <c r="D967" s="93" t="s">
        <v>197</v>
      </c>
      <c r="E967" s="93" t="s">
        <v>34</v>
      </c>
      <c r="F967" s="93" t="s">
        <v>366</v>
      </c>
      <c r="G967" s="93" t="s">
        <v>347</v>
      </c>
      <c r="H967" s="93" t="s">
        <v>343</v>
      </c>
      <c r="I967" s="94">
        <v>0.08</v>
      </c>
      <c r="J967" s="95">
        <v>6</v>
      </c>
    </row>
    <row r="968" spans="1:10" x14ac:dyDescent="0.25">
      <c r="A968" s="92">
        <v>45821</v>
      </c>
      <c r="B968" s="93" t="s">
        <v>329</v>
      </c>
      <c r="C968" s="89" t="s">
        <v>40</v>
      </c>
      <c r="D968" s="93" t="s">
        <v>221</v>
      </c>
      <c r="E968" s="93" t="s">
        <v>34</v>
      </c>
      <c r="F968" s="93" t="s">
        <v>369</v>
      </c>
      <c r="G968" s="93" t="s">
        <v>347</v>
      </c>
      <c r="H968" s="93" t="s">
        <v>343</v>
      </c>
      <c r="I968" s="94">
        <v>0.42</v>
      </c>
      <c r="J968" s="95">
        <v>31.5</v>
      </c>
    </row>
    <row r="969" spans="1:10" x14ac:dyDescent="0.25">
      <c r="A969" s="92">
        <v>45821</v>
      </c>
      <c r="B969" s="93" t="s">
        <v>329</v>
      </c>
      <c r="C969" s="89" t="s">
        <v>40</v>
      </c>
      <c r="D969" s="93" t="s">
        <v>301</v>
      </c>
      <c r="E969" s="93" t="s">
        <v>34</v>
      </c>
      <c r="F969" s="93" t="s">
        <v>371</v>
      </c>
      <c r="G969" s="93" t="s">
        <v>347</v>
      </c>
      <c r="H969" s="93" t="s">
        <v>343</v>
      </c>
      <c r="I969" s="94">
        <v>0.75</v>
      </c>
      <c r="J969" s="95">
        <v>56.25</v>
      </c>
    </row>
    <row r="970" spans="1:10" x14ac:dyDescent="0.25">
      <c r="A970" s="92">
        <v>45821</v>
      </c>
      <c r="B970" s="93" t="s">
        <v>329</v>
      </c>
      <c r="C970" s="89" t="s">
        <v>40</v>
      </c>
      <c r="D970" s="93" t="s">
        <v>242</v>
      </c>
      <c r="E970" s="93" t="s">
        <v>34</v>
      </c>
      <c r="F970" s="93" t="s">
        <v>404</v>
      </c>
      <c r="G970" s="93" t="s">
        <v>347</v>
      </c>
      <c r="H970" s="93" t="s">
        <v>343</v>
      </c>
      <c r="I970" s="94">
        <v>0.67</v>
      </c>
      <c r="J970" s="95">
        <v>50.25</v>
      </c>
    </row>
    <row r="971" spans="1:10" x14ac:dyDescent="0.25">
      <c r="A971" s="92">
        <v>45821</v>
      </c>
      <c r="B971" s="93" t="s">
        <v>330</v>
      </c>
      <c r="C971" s="89" t="s">
        <v>40</v>
      </c>
      <c r="D971" s="93" t="s">
        <v>255</v>
      </c>
      <c r="E971" s="93" t="s">
        <v>34</v>
      </c>
      <c r="F971" s="93" t="s">
        <v>462</v>
      </c>
      <c r="G971" s="93" t="s">
        <v>347</v>
      </c>
      <c r="H971" s="93" t="s">
        <v>343</v>
      </c>
      <c r="I971" s="94">
        <v>0.5</v>
      </c>
      <c r="J971" s="95">
        <v>30</v>
      </c>
    </row>
    <row r="972" spans="1:10" x14ac:dyDescent="0.25">
      <c r="A972" s="92">
        <v>45821</v>
      </c>
      <c r="B972" s="93" t="s">
        <v>329</v>
      </c>
      <c r="C972" s="89" t="s">
        <v>40</v>
      </c>
      <c r="D972" s="93" t="s">
        <v>259</v>
      </c>
      <c r="E972" s="93" t="s">
        <v>34</v>
      </c>
      <c r="F972" s="93" t="s">
        <v>407</v>
      </c>
      <c r="G972" s="93" t="s">
        <v>347</v>
      </c>
      <c r="H972" s="93" t="s">
        <v>343</v>
      </c>
      <c r="I972" s="94">
        <v>0.17</v>
      </c>
      <c r="J972" s="95">
        <v>12.750000000000002</v>
      </c>
    </row>
    <row r="973" spans="1:10" x14ac:dyDescent="0.25">
      <c r="A973" s="92">
        <v>45821</v>
      </c>
      <c r="B973" s="93" t="s">
        <v>329</v>
      </c>
      <c r="C973" s="89" t="s">
        <v>40</v>
      </c>
      <c r="D973" s="93" t="s">
        <v>247</v>
      </c>
      <c r="E973" s="93" t="s">
        <v>34</v>
      </c>
      <c r="F973" s="93" t="s">
        <v>375</v>
      </c>
      <c r="G973" s="93" t="s">
        <v>347</v>
      </c>
      <c r="H973" s="93" t="s">
        <v>343</v>
      </c>
      <c r="I973" s="94">
        <v>0.5</v>
      </c>
      <c r="J973" s="95">
        <v>37.5</v>
      </c>
    </row>
    <row r="974" spans="1:10" x14ac:dyDescent="0.25">
      <c r="A974" s="92">
        <v>45821</v>
      </c>
      <c r="B974" s="93" t="s">
        <v>329</v>
      </c>
      <c r="C974" s="89" t="s">
        <v>40</v>
      </c>
      <c r="D974" s="93" t="s">
        <v>248</v>
      </c>
      <c r="E974" s="93" t="s">
        <v>34</v>
      </c>
      <c r="F974" s="93" t="s">
        <v>385</v>
      </c>
      <c r="G974" s="93" t="s">
        <v>347</v>
      </c>
      <c r="H974" s="93" t="s">
        <v>343</v>
      </c>
      <c r="I974" s="94">
        <v>0.17</v>
      </c>
      <c r="J974" s="95">
        <v>12.750000000000002</v>
      </c>
    </row>
    <row r="975" spans="1:10" x14ac:dyDescent="0.25">
      <c r="A975" s="92">
        <v>45821</v>
      </c>
      <c r="B975" s="93" t="s">
        <v>326</v>
      </c>
      <c r="C975" s="89" t="s">
        <v>40</v>
      </c>
      <c r="D975" s="93" t="s">
        <v>236</v>
      </c>
      <c r="E975" s="93" t="s">
        <v>36</v>
      </c>
      <c r="F975" s="93" t="s">
        <v>357</v>
      </c>
      <c r="G975" s="93" t="s">
        <v>348</v>
      </c>
      <c r="H975" s="93" t="s">
        <v>342</v>
      </c>
      <c r="I975" s="94">
        <v>1.25</v>
      </c>
      <c r="J975" s="95">
        <v>75</v>
      </c>
    </row>
    <row r="976" spans="1:10" x14ac:dyDescent="0.25">
      <c r="A976" s="92">
        <v>45821</v>
      </c>
      <c r="B976" s="93" t="s">
        <v>332</v>
      </c>
      <c r="C976" s="89" t="s">
        <v>40</v>
      </c>
      <c r="D976" s="93" t="s">
        <v>314</v>
      </c>
      <c r="E976" s="93" t="s">
        <v>35</v>
      </c>
      <c r="F976" s="93" t="s">
        <v>359</v>
      </c>
      <c r="G976" s="93" t="s">
        <v>339</v>
      </c>
      <c r="H976" s="93" t="s">
        <v>352</v>
      </c>
      <c r="I976" s="94">
        <v>6</v>
      </c>
      <c r="J976" s="95">
        <v>240</v>
      </c>
    </row>
    <row r="977" spans="1:10" x14ac:dyDescent="0.25">
      <c r="A977" s="92">
        <v>45821</v>
      </c>
      <c r="B977" s="93" t="s">
        <v>324</v>
      </c>
      <c r="C977" s="89" t="s">
        <v>40</v>
      </c>
      <c r="D977" s="93" t="s">
        <v>314</v>
      </c>
      <c r="E977" s="93" t="s">
        <v>35</v>
      </c>
      <c r="F977" s="93" t="s">
        <v>359</v>
      </c>
      <c r="G977" s="93" t="s">
        <v>339</v>
      </c>
      <c r="H977" s="93" t="s">
        <v>352</v>
      </c>
      <c r="I977" s="94">
        <v>6.25</v>
      </c>
      <c r="J977" s="95">
        <v>468.75</v>
      </c>
    </row>
    <row r="978" spans="1:10" x14ac:dyDescent="0.25">
      <c r="A978" s="92">
        <v>45822</v>
      </c>
      <c r="B978" s="93" t="s">
        <v>332</v>
      </c>
      <c r="C978" s="89" t="s">
        <v>40</v>
      </c>
      <c r="D978" s="93" t="s">
        <v>314</v>
      </c>
      <c r="E978" s="93" t="s">
        <v>35</v>
      </c>
      <c r="F978" s="93" t="s">
        <v>359</v>
      </c>
      <c r="G978" s="93" t="s">
        <v>339</v>
      </c>
      <c r="H978" s="93" t="s">
        <v>352</v>
      </c>
      <c r="I978" s="94">
        <v>2</v>
      </c>
      <c r="J978" s="95">
        <v>80</v>
      </c>
    </row>
    <row r="979" spans="1:10" x14ac:dyDescent="0.25">
      <c r="A979" s="92">
        <v>45824</v>
      </c>
      <c r="B979" s="93" t="s">
        <v>329</v>
      </c>
      <c r="C979" s="89" t="s">
        <v>40</v>
      </c>
      <c r="D979" s="93" t="s">
        <v>242</v>
      </c>
      <c r="E979" s="93" t="s">
        <v>341</v>
      </c>
      <c r="F979" s="93" t="s">
        <v>404</v>
      </c>
      <c r="G979" s="93" t="s">
        <v>347</v>
      </c>
      <c r="H979" s="93" t="s">
        <v>344</v>
      </c>
      <c r="I979" s="94">
        <v>3.5</v>
      </c>
      <c r="J979" s="95">
        <v>262.5</v>
      </c>
    </row>
    <row r="980" spans="1:10" x14ac:dyDescent="0.25">
      <c r="A980" s="92">
        <v>45824</v>
      </c>
      <c r="B980" s="93" t="s">
        <v>325</v>
      </c>
      <c r="C980" s="89" t="s">
        <v>40</v>
      </c>
      <c r="D980" s="93" t="s">
        <v>179</v>
      </c>
      <c r="E980" s="93" t="s">
        <v>341</v>
      </c>
      <c r="F980" s="93" t="s">
        <v>422</v>
      </c>
      <c r="G980" s="93" t="s">
        <v>347</v>
      </c>
      <c r="H980" s="93" t="s">
        <v>344</v>
      </c>
      <c r="I980" s="94">
        <v>1.42</v>
      </c>
      <c r="J980" s="95">
        <v>106.5</v>
      </c>
    </row>
    <row r="981" spans="1:10" x14ac:dyDescent="0.25">
      <c r="A981" s="92">
        <v>45824</v>
      </c>
      <c r="B981" s="93" t="s">
        <v>329</v>
      </c>
      <c r="C981" s="89" t="s">
        <v>40</v>
      </c>
      <c r="D981" s="93" t="s">
        <v>316</v>
      </c>
      <c r="E981" s="93" t="s">
        <v>35</v>
      </c>
      <c r="F981" s="93" t="s">
        <v>338</v>
      </c>
      <c r="G981" s="93" t="s">
        <v>337</v>
      </c>
      <c r="H981" s="93" t="s">
        <v>352</v>
      </c>
      <c r="I981" s="94">
        <v>1.25</v>
      </c>
      <c r="J981" s="95">
        <v>93.75</v>
      </c>
    </row>
    <row r="982" spans="1:10" x14ac:dyDescent="0.25">
      <c r="A982" s="92">
        <v>45824</v>
      </c>
      <c r="B982" s="93" t="s">
        <v>333</v>
      </c>
      <c r="C982" s="89" t="s">
        <v>40</v>
      </c>
      <c r="D982" s="93" t="s">
        <v>320</v>
      </c>
      <c r="E982" s="93" t="s">
        <v>35</v>
      </c>
      <c r="F982" s="93" t="s">
        <v>322</v>
      </c>
      <c r="G982" s="93" t="s">
        <v>319</v>
      </c>
      <c r="H982" s="93" t="s">
        <v>352</v>
      </c>
      <c r="I982" s="94">
        <v>7.63</v>
      </c>
      <c r="J982" s="95">
        <v>244.16</v>
      </c>
    </row>
    <row r="983" spans="1:10" x14ac:dyDescent="0.25">
      <c r="A983" s="92">
        <v>45824</v>
      </c>
      <c r="B983" s="93" t="s">
        <v>327</v>
      </c>
      <c r="C983" s="89" t="s">
        <v>40</v>
      </c>
      <c r="D983" s="93" t="s">
        <v>320</v>
      </c>
      <c r="E983" s="93" t="s">
        <v>35</v>
      </c>
      <c r="F983" s="93" t="s">
        <v>322</v>
      </c>
      <c r="G983" s="93" t="s">
        <v>319</v>
      </c>
      <c r="H983" s="93" t="s">
        <v>352</v>
      </c>
      <c r="I983" s="94">
        <v>7.5</v>
      </c>
      <c r="J983" s="95">
        <v>240</v>
      </c>
    </row>
    <row r="984" spans="1:10" x14ac:dyDescent="0.25">
      <c r="A984" s="92">
        <v>45824</v>
      </c>
      <c r="B984" s="93" t="s">
        <v>323</v>
      </c>
      <c r="C984" s="89" t="s">
        <v>40</v>
      </c>
      <c r="D984" s="93" t="s">
        <v>168</v>
      </c>
      <c r="E984" s="93" t="s">
        <v>341</v>
      </c>
      <c r="F984" s="93" t="s">
        <v>419</v>
      </c>
      <c r="G984" s="93" t="s">
        <v>346</v>
      </c>
      <c r="H984" s="93" t="s">
        <v>344</v>
      </c>
      <c r="I984" s="94">
        <v>1</v>
      </c>
      <c r="J984" s="95">
        <v>60</v>
      </c>
    </row>
    <row r="985" spans="1:10" x14ac:dyDescent="0.25">
      <c r="A985" s="92">
        <v>45824</v>
      </c>
      <c r="B985" s="93" t="s">
        <v>323</v>
      </c>
      <c r="C985" s="89" t="s">
        <v>40</v>
      </c>
      <c r="D985" s="93" t="s">
        <v>281</v>
      </c>
      <c r="E985" s="93" t="s">
        <v>341</v>
      </c>
      <c r="F985" s="93" t="s">
        <v>430</v>
      </c>
      <c r="G985" s="93" t="s">
        <v>346</v>
      </c>
      <c r="H985" s="93" t="s">
        <v>344</v>
      </c>
      <c r="I985" s="94">
        <v>1.5</v>
      </c>
      <c r="J985" s="95">
        <v>90</v>
      </c>
    </row>
    <row r="986" spans="1:10" x14ac:dyDescent="0.25">
      <c r="A986" s="92">
        <v>45824</v>
      </c>
      <c r="B986" s="93" t="s">
        <v>329</v>
      </c>
      <c r="C986" s="89" t="s">
        <v>40</v>
      </c>
      <c r="D986" s="93" t="s">
        <v>186</v>
      </c>
      <c r="E986" s="93" t="s">
        <v>34</v>
      </c>
      <c r="F986" s="93" t="s">
        <v>397</v>
      </c>
      <c r="G986" s="93" t="s">
        <v>347</v>
      </c>
      <c r="H986" s="93" t="s">
        <v>343</v>
      </c>
      <c r="I986" s="94">
        <v>0.08</v>
      </c>
      <c r="J986" s="95">
        <v>6</v>
      </c>
    </row>
    <row r="987" spans="1:10" x14ac:dyDescent="0.25">
      <c r="A987" s="92">
        <v>45824</v>
      </c>
      <c r="B987" s="93" t="s">
        <v>325</v>
      </c>
      <c r="C987" s="89" t="s">
        <v>40</v>
      </c>
      <c r="D987" s="93" t="s">
        <v>191</v>
      </c>
      <c r="E987" s="93" t="s">
        <v>34</v>
      </c>
      <c r="F987" s="93" t="s">
        <v>466</v>
      </c>
      <c r="G987" s="93" t="s">
        <v>347</v>
      </c>
      <c r="H987" s="93" t="s">
        <v>343</v>
      </c>
      <c r="I987" s="94">
        <v>0.17</v>
      </c>
      <c r="J987" s="95">
        <v>12.750000000000002</v>
      </c>
    </row>
    <row r="988" spans="1:10" x14ac:dyDescent="0.25">
      <c r="A988" s="92">
        <v>45824</v>
      </c>
      <c r="B988" s="93" t="s">
        <v>325</v>
      </c>
      <c r="C988" s="89" t="s">
        <v>40</v>
      </c>
      <c r="D988" s="93" t="s">
        <v>179</v>
      </c>
      <c r="E988" s="93" t="s">
        <v>36</v>
      </c>
      <c r="F988" s="93" t="s">
        <v>422</v>
      </c>
      <c r="G988" s="93" t="s">
        <v>347</v>
      </c>
      <c r="H988" s="93" t="s">
        <v>342</v>
      </c>
      <c r="I988" s="94">
        <v>0.25</v>
      </c>
      <c r="J988" s="95">
        <v>18.75</v>
      </c>
    </row>
    <row r="989" spans="1:10" x14ac:dyDescent="0.25">
      <c r="A989" s="92">
        <v>45824</v>
      </c>
      <c r="B989" s="93" t="s">
        <v>325</v>
      </c>
      <c r="C989" s="89" t="s">
        <v>40</v>
      </c>
      <c r="D989" s="93" t="s">
        <v>180</v>
      </c>
      <c r="E989" s="93" t="s">
        <v>34</v>
      </c>
      <c r="F989" s="93" t="s">
        <v>465</v>
      </c>
      <c r="G989" s="93" t="s">
        <v>347</v>
      </c>
      <c r="H989" s="93" t="s">
        <v>343</v>
      </c>
      <c r="I989" s="94">
        <v>0.25</v>
      </c>
      <c r="J989" s="95">
        <v>18.75</v>
      </c>
    </row>
    <row r="990" spans="1:10" x14ac:dyDescent="0.25">
      <c r="A990" s="92">
        <v>45824</v>
      </c>
      <c r="B990" s="93" t="s">
        <v>329</v>
      </c>
      <c r="C990" s="89" t="s">
        <v>40</v>
      </c>
      <c r="D990" s="93" t="s">
        <v>183</v>
      </c>
      <c r="E990" s="93" t="s">
        <v>34</v>
      </c>
      <c r="F990" s="93" t="s">
        <v>368</v>
      </c>
      <c r="G990" s="93" t="s">
        <v>347</v>
      </c>
      <c r="H990" s="93" t="s">
        <v>343</v>
      </c>
      <c r="I990" s="94">
        <v>0.17</v>
      </c>
      <c r="J990" s="95">
        <v>12.750000000000002</v>
      </c>
    </row>
    <row r="991" spans="1:10" x14ac:dyDescent="0.25">
      <c r="A991" s="92">
        <v>45824</v>
      </c>
      <c r="B991" s="93" t="s">
        <v>329</v>
      </c>
      <c r="C991" s="89" t="s">
        <v>40</v>
      </c>
      <c r="D991" s="93" t="s">
        <v>221</v>
      </c>
      <c r="E991" s="93" t="s">
        <v>34</v>
      </c>
      <c r="F991" s="93" t="s">
        <v>369</v>
      </c>
      <c r="G991" s="93" t="s">
        <v>347</v>
      </c>
      <c r="H991" s="93" t="s">
        <v>343</v>
      </c>
      <c r="I991" s="94">
        <v>0.17</v>
      </c>
      <c r="J991" s="95">
        <v>12.750000000000002</v>
      </c>
    </row>
    <row r="992" spans="1:10" x14ac:dyDescent="0.25">
      <c r="A992" s="92">
        <v>45824</v>
      </c>
      <c r="B992" s="93" t="s">
        <v>329</v>
      </c>
      <c r="C992" s="89" t="s">
        <v>40</v>
      </c>
      <c r="D992" s="93" t="s">
        <v>301</v>
      </c>
      <c r="E992" s="93" t="s">
        <v>34</v>
      </c>
      <c r="F992" s="93" t="s">
        <v>371</v>
      </c>
      <c r="G992" s="93" t="s">
        <v>347</v>
      </c>
      <c r="H992" s="93" t="s">
        <v>343</v>
      </c>
      <c r="I992" s="94">
        <v>0.17</v>
      </c>
      <c r="J992" s="95">
        <v>12.750000000000002</v>
      </c>
    </row>
    <row r="993" spans="1:10" x14ac:dyDescent="0.25">
      <c r="A993" s="92">
        <v>45824</v>
      </c>
      <c r="B993" s="93" t="s">
        <v>325</v>
      </c>
      <c r="C993" s="89" t="s">
        <v>40</v>
      </c>
      <c r="D993" s="93" t="s">
        <v>226</v>
      </c>
      <c r="E993" s="93" t="s">
        <v>34</v>
      </c>
      <c r="F993" s="93" t="s">
        <v>401</v>
      </c>
      <c r="G993" s="93" t="s">
        <v>347</v>
      </c>
      <c r="H993" s="93" t="s">
        <v>343</v>
      </c>
      <c r="I993" s="94">
        <v>0.17</v>
      </c>
      <c r="J993" s="95">
        <v>12.750000000000002</v>
      </c>
    </row>
    <row r="994" spans="1:10" x14ac:dyDescent="0.25">
      <c r="A994" s="92">
        <v>45824</v>
      </c>
      <c r="B994" s="93" t="s">
        <v>329</v>
      </c>
      <c r="C994" s="89" t="s">
        <v>40</v>
      </c>
      <c r="D994" s="93" t="s">
        <v>242</v>
      </c>
      <c r="E994" s="93" t="s">
        <v>34</v>
      </c>
      <c r="F994" s="93" t="s">
        <v>404</v>
      </c>
      <c r="G994" s="93" t="s">
        <v>347</v>
      </c>
      <c r="H994" s="93" t="s">
        <v>343</v>
      </c>
      <c r="I994" s="94">
        <v>0.33</v>
      </c>
      <c r="J994" s="95">
        <v>24.75</v>
      </c>
    </row>
    <row r="995" spans="1:10" x14ac:dyDescent="0.25">
      <c r="A995" s="92">
        <v>45824</v>
      </c>
      <c r="B995" s="93" t="s">
        <v>329</v>
      </c>
      <c r="C995" s="89" t="s">
        <v>40</v>
      </c>
      <c r="D995" s="93" t="s">
        <v>295</v>
      </c>
      <c r="E995" s="93" t="s">
        <v>34</v>
      </c>
      <c r="F995" s="93" t="s">
        <v>379</v>
      </c>
      <c r="G995" s="93" t="s">
        <v>347</v>
      </c>
      <c r="H995" s="93" t="s">
        <v>343</v>
      </c>
      <c r="I995" s="94">
        <v>0.17</v>
      </c>
      <c r="J995" s="95">
        <v>12.750000000000002</v>
      </c>
    </row>
    <row r="996" spans="1:10" x14ac:dyDescent="0.25">
      <c r="A996" s="92">
        <v>45824</v>
      </c>
      <c r="B996" s="93" t="s">
        <v>329</v>
      </c>
      <c r="C996" s="89" t="s">
        <v>40</v>
      </c>
      <c r="D996" s="93" t="s">
        <v>296</v>
      </c>
      <c r="E996" s="93" t="s">
        <v>34</v>
      </c>
      <c r="F996" s="93" t="s">
        <v>411</v>
      </c>
      <c r="G996" s="93" t="s">
        <v>347</v>
      </c>
      <c r="H996" s="93" t="s">
        <v>343</v>
      </c>
      <c r="I996" s="94">
        <v>0.33</v>
      </c>
      <c r="J996" s="95">
        <v>24.75</v>
      </c>
    </row>
    <row r="997" spans="1:10" x14ac:dyDescent="0.25">
      <c r="A997" s="92">
        <v>45824</v>
      </c>
      <c r="B997" s="93" t="s">
        <v>325</v>
      </c>
      <c r="C997" s="89" t="s">
        <v>40</v>
      </c>
      <c r="D997" s="93" t="s">
        <v>264</v>
      </c>
      <c r="E997" s="93" t="s">
        <v>34</v>
      </c>
      <c r="F997" s="93" t="s">
        <v>384</v>
      </c>
      <c r="G997" s="93" t="s">
        <v>347</v>
      </c>
      <c r="H997" s="93" t="s">
        <v>343</v>
      </c>
      <c r="I997" s="94">
        <v>0.25</v>
      </c>
      <c r="J997" s="95">
        <v>18.75</v>
      </c>
    </row>
    <row r="998" spans="1:10" x14ac:dyDescent="0.25">
      <c r="A998" s="92">
        <v>45824</v>
      </c>
      <c r="B998" s="93" t="s">
        <v>329</v>
      </c>
      <c r="C998" s="89" t="s">
        <v>40</v>
      </c>
      <c r="D998" s="93" t="s">
        <v>247</v>
      </c>
      <c r="E998" s="93" t="s">
        <v>34</v>
      </c>
      <c r="F998" s="93" t="s">
        <v>375</v>
      </c>
      <c r="G998" s="93" t="s">
        <v>347</v>
      </c>
      <c r="H998" s="93" t="s">
        <v>343</v>
      </c>
      <c r="I998" s="94">
        <v>0.5</v>
      </c>
      <c r="J998" s="95">
        <v>37.5</v>
      </c>
    </row>
    <row r="999" spans="1:10" x14ac:dyDescent="0.25">
      <c r="A999" s="92">
        <v>45824</v>
      </c>
      <c r="B999" s="93" t="s">
        <v>329</v>
      </c>
      <c r="C999" s="89" t="s">
        <v>40</v>
      </c>
      <c r="D999" s="93" t="s">
        <v>248</v>
      </c>
      <c r="E999" s="93" t="s">
        <v>34</v>
      </c>
      <c r="F999" s="93" t="s">
        <v>385</v>
      </c>
      <c r="G999" s="93" t="s">
        <v>347</v>
      </c>
      <c r="H999" s="93" t="s">
        <v>343</v>
      </c>
      <c r="I999" s="94">
        <v>0.08</v>
      </c>
      <c r="J999" s="95">
        <v>6</v>
      </c>
    </row>
    <row r="1000" spans="1:10" x14ac:dyDescent="0.25">
      <c r="A1000" s="92">
        <v>45824</v>
      </c>
      <c r="B1000" s="93" t="s">
        <v>325</v>
      </c>
      <c r="C1000" s="89" t="s">
        <v>40</v>
      </c>
      <c r="D1000" s="93" t="s">
        <v>277</v>
      </c>
      <c r="E1000" s="93" t="s">
        <v>34</v>
      </c>
      <c r="F1000" s="93" t="s">
        <v>353</v>
      </c>
      <c r="G1000" s="93" t="s">
        <v>347</v>
      </c>
      <c r="H1000" s="93" t="s">
        <v>343</v>
      </c>
      <c r="I1000" s="94">
        <v>0.17</v>
      </c>
      <c r="J1000" s="95">
        <v>12.750000000000002</v>
      </c>
    </row>
    <row r="1001" spans="1:10" x14ac:dyDescent="0.25">
      <c r="A1001" s="92">
        <v>45824</v>
      </c>
      <c r="B1001" s="93" t="s">
        <v>325</v>
      </c>
      <c r="C1001" s="89" t="s">
        <v>40</v>
      </c>
      <c r="D1001" s="93" t="s">
        <v>278</v>
      </c>
      <c r="E1001" s="93" t="s">
        <v>34</v>
      </c>
      <c r="F1001" s="93" t="s">
        <v>452</v>
      </c>
      <c r="G1001" s="93" t="s">
        <v>347</v>
      </c>
      <c r="H1001" s="93" t="s">
        <v>343</v>
      </c>
      <c r="I1001" s="94">
        <v>0.17</v>
      </c>
      <c r="J1001" s="95">
        <v>12.750000000000002</v>
      </c>
    </row>
    <row r="1002" spans="1:10" x14ac:dyDescent="0.25">
      <c r="A1002" s="92">
        <v>45824</v>
      </c>
      <c r="B1002" s="93" t="s">
        <v>325</v>
      </c>
      <c r="C1002" s="89" t="s">
        <v>40</v>
      </c>
      <c r="D1002" s="93" t="s">
        <v>264</v>
      </c>
      <c r="E1002" s="93" t="s">
        <v>341</v>
      </c>
      <c r="F1002" s="93" t="s">
        <v>384</v>
      </c>
      <c r="G1002" s="93" t="s">
        <v>347</v>
      </c>
      <c r="H1002" s="93" t="s">
        <v>344</v>
      </c>
      <c r="I1002" s="94">
        <v>1.67</v>
      </c>
      <c r="J1002" s="95">
        <v>125.25</v>
      </c>
    </row>
    <row r="1003" spans="1:10" x14ac:dyDescent="0.25">
      <c r="A1003" s="92">
        <v>45824</v>
      </c>
      <c r="B1003" s="93" t="s">
        <v>326</v>
      </c>
      <c r="C1003" s="89" t="s">
        <v>40</v>
      </c>
      <c r="D1003" s="93" t="s">
        <v>233</v>
      </c>
      <c r="E1003" s="93" t="s">
        <v>36</v>
      </c>
      <c r="F1003" s="93" t="s">
        <v>387</v>
      </c>
      <c r="G1003" s="93" t="s">
        <v>348</v>
      </c>
      <c r="H1003" s="93" t="s">
        <v>342</v>
      </c>
      <c r="I1003" s="94">
        <v>0.5</v>
      </c>
      <c r="J1003" s="95">
        <v>30</v>
      </c>
    </row>
    <row r="1004" spans="1:10" x14ac:dyDescent="0.25">
      <c r="A1004" s="92">
        <v>45824</v>
      </c>
      <c r="B1004" s="93" t="s">
        <v>326</v>
      </c>
      <c r="C1004" s="89" t="s">
        <v>40</v>
      </c>
      <c r="D1004" s="93" t="s">
        <v>236</v>
      </c>
      <c r="E1004" s="93" t="s">
        <v>36</v>
      </c>
      <c r="F1004" s="93" t="s">
        <v>357</v>
      </c>
      <c r="G1004" s="93" t="s">
        <v>348</v>
      </c>
      <c r="H1004" s="93" t="s">
        <v>342</v>
      </c>
      <c r="I1004" s="94">
        <v>0.67</v>
      </c>
      <c r="J1004" s="95">
        <v>40.200000000000003</v>
      </c>
    </row>
    <row r="1005" spans="1:10" x14ac:dyDescent="0.25">
      <c r="A1005" s="92">
        <v>45824</v>
      </c>
      <c r="B1005" s="93" t="s">
        <v>332</v>
      </c>
      <c r="C1005" s="89" t="s">
        <v>40</v>
      </c>
      <c r="D1005" s="93" t="s">
        <v>314</v>
      </c>
      <c r="E1005" s="93" t="s">
        <v>35</v>
      </c>
      <c r="F1005" s="93" t="s">
        <v>359</v>
      </c>
      <c r="G1005" s="93" t="s">
        <v>339</v>
      </c>
      <c r="H1005" s="93" t="s">
        <v>352</v>
      </c>
      <c r="I1005" s="94">
        <v>8.67</v>
      </c>
      <c r="J1005" s="95">
        <v>346.8</v>
      </c>
    </row>
    <row r="1006" spans="1:10" x14ac:dyDescent="0.25">
      <c r="A1006" s="92">
        <v>45824</v>
      </c>
      <c r="B1006" s="93" t="s">
        <v>324</v>
      </c>
      <c r="C1006" s="89" t="s">
        <v>40</v>
      </c>
      <c r="D1006" s="93" t="s">
        <v>314</v>
      </c>
      <c r="E1006" s="93" t="s">
        <v>35</v>
      </c>
      <c r="F1006" s="93" t="s">
        <v>359</v>
      </c>
      <c r="G1006" s="93" t="s">
        <v>339</v>
      </c>
      <c r="H1006" s="93" t="s">
        <v>352</v>
      </c>
      <c r="I1006" s="94">
        <v>6.5</v>
      </c>
      <c r="J1006" s="95">
        <v>487.5</v>
      </c>
    </row>
    <row r="1007" spans="1:10" x14ac:dyDescent="0.25">
      <c r="A1007" s="92">
        <v>45825</v>
      </c>
      <c r="B1007" s="93" t="s">
        <v>323</v>
      </c>
      <c r="C1007" s="89" t="s">
        <v>40</v>
      </c>
      <c r="D1007" s="93" t="s">
        <v>168</v>
      </c>
      <c r="E1007" s="93" t="s">
        <v>36</v>
      </c>
      <c r="F1007" s="93" t="s">
        <v>419</v>
      </c>
      <c r="G1007" s="93" t="s">
        <v>346</v>
      </c>
      <c r="H1007" s="93" t="s">
        <v>342</v>
      </c>
      <c r="I1007" s="94">
        <v>0.5</v>
      </c>
      <c r="J1007" s="95">
        <v>30</v>
      </c>
    </row>
    <row r="1008" spans="1:10" x14ac:dyDescent="0.25">
      <c r="A1008" s="92">
        <v>45825</v>
      </c>
      <c r="B1008" s="93" t="s">
        <v>329</v>
      </c>
      <c r="C1008" s="89" t="s">
        <v>40</v>
      </c>
      <c r="D1008" s="93" t="s">
        <v>316</v>
      </c>
      <c r="E1008" s="93" t="s">
        <v>35</v>
      </c>
      <c r="F1008" s="93" t="s">
        <v>338</v>
      </c>
      <c r="G1008" s="93" t="s">
        <v>337</v>
      </c>
      <c r="H1008" s="93" t="s">
        <v>352</v>
      </c>
      <c r="I1008" s="94">
        <v>1.25</v>
      </c>
      <c r="J1008" s="95">
        <v>93.75</v>
      </c>
    </row>
    <row r="1009" spans="1:10" x14ac:dyDescent="0.25">
      <c r="A1009" s="92">
        <v>45825</v>
      </c>
      <c r="B1009" s="93" t="s">
        <v>333</v>
      </c>
      <c r="C1009" s="89" t="s">
        <v>40</v>
      </c>
      <c r="D1009" s="93" t="s">
        <v>320</v>
      </c>
      <c r="E1009" s="93" t="s">
        <v>35</v>
      </c>
      <c r="F1009" s="93" t="s">
        <v>322</v>
      </c>
      <c r="G1009" s="93" t="s">
        <v>319</v>
      </c>
      <c r="H1009" s="93" t="s">
        <v>352</v>
      </c>
      <c r="I1009" s="94">
        <v>7.3</v>
      </c>
      <c r="J1009" s="95">
        <v>233.6</v>
      </c>
    </row>
    <row r="1010" spans="1:10" x14ac:dyDescent="0.25">
      <c r="A1010" s="92">
        <v>45825</v>
      </c>
      <c r="B1010" s="93" t="s">
        <v>327</v>
      </c>
      <c r="C1010" s="89" t="s">
        <v>40</v>
      </c>
      <c r="D1010" s="93" t="s">
        <v>320</v>
      </c>
      <c r="E1010" s="93" t="s">
        <v>35</v>
      </c>
      <c r="F1010" s="93" t="s">
        <v>322</v>
      </c>
      <c r="G1010" s="93" t="s">
        <v>319</v>
      </c>
      <c r="H1010" s="93" t="s">
        <v>352</v>
      </c>
      <c r="I1010" s="94">
        <v>7.25</v>
      </c>
      <c r="J1010" s="95">
        <v>232</v>
      </c>
    </row>
    <row r="1011" spans="1:10" x14ac:dyDescent="0.25">
      <c r="A1011" s="92">
        <v>45825</v>
      </c>
      <c r="B1011" s="93" t="s">
        <v>323</v>
      </c>
      <c r="C1011" s="89" t="s">
        <v>40</v>
      </c>
      <c r="D1011" s="93" t="s">
        <v>201</v>
      </c>
      <c r="E1011" s="93" t="s">
        <v>341</v>
      </c>
      <c r="F1011" s="93" t="s">
        <v>395</v>
      </c>
      <c r="G1011" s="93" t="s">
        <v>346</v>
      </c>
      <c r="H1011" s="93" t="s">
        <v>344</v>
      </c>
      <c r="I1011" s="94">
        <v>0.5</v>
      </c>
      <c r="J1011" s="95">
        <v>30</v>
      </c>
    </row>
    <row r="1012" spans="1:10" x14ac:dyDescent="0.25">
      <c r="A1012" s="92">
        <v>45825</v>
      </c>
      <c r="B1012" s="93" t="s">
        <v>323</v>
      </c>
      <c r="C1012" s="89" t="s">
        <v>40</v>
      </c>
      <c r="D1012" s="93" t="s">
        <v>231</v>
      </c>
      <c r="E1012" s="93" t="s">
        <v>341</v>
      </c>
      <c r="F1012" s="93" t="s">
        <v>420</v>
      </c>
      <c r="G1012" s="93" t="s">
        <v>346</v>
      </c>
      <c r="H1012" s="93" t="s">
        <v>344</v>
      </c>
      <c r="I1012" s="94">
        <v>0.5</v>
      </c>
      <c r="J1012" s="95">
        <v>30</v>
      </c>
    </row>
    <row r="1013" spans="1:10" x14ac:dyDescent="0.25">
      <c r="A1013" s="92">
        <v>45825</v>
      </c>
      <c r="B1013" s="93" t="s">
        <v>323</v>
      </c>
      <c r="C1013" s="89" t="s">
        <v>40</v>
      </c>
      <c r="D1013" s="93" t="s">
        <v>232</v>
      </c>
      <c r="E1013" s="93" t="s">
        <v>341</v>
      </c>
      <c r="F1013" s="93" t="s">
        <v>393</v>
      </c>
      <c r="G1013" s="93" t="s">
        <v>346</v>
      </c>
      <c r="H1013" s="93" t="s">
        <v>344</v>
      </c>
      <c r="I1013" s="94">
        <v>0.5</v>
      </c>
      <c r="J1013" s="95">
        <v>30</v>
      </c>
    </row>
    <row r="1014" spans="1:10" x14ac:dyDescent="0.25">
      <c r="A1014" s="92">
        <v>45825</v>
      </c>
      <c r="B1014" s="93" t="s">
        <v>329</v>
      </c>
      <c r="C1014" s="89" t="s">
        <v>40</v>
      </c>
      <c r="D1014" s="93" t="s">
        <v>186</v>
      </c>
      <c r="E1014" s="93" t="s">
        <v>34</v>
      </c>
      <c r="F1014" s="93" t="s">
        <v>397</v>
      </c>
      <c r="G1014" s="93" t="s">
        <v>347</v>
      </c>
      <c r="H1014" s="93" t="s">
        <v>343</v>
      </c>
      <c r="I1014" s="94">
        <v>0.08</v>
      </c>
      <c r="J1014" s="95">
        <v>6</v>
      </c>
    </row>
    <row r="1015" spans="1:10" x14ac:dyDescent="0.25">
      <c r="A1015" s="92">
        <v>45825</v>
      </c>
      <c r="B1015" s="93" t="s">
        <v>330</v>
      </c>
      <c r="C1015" s="89" t="s">
        <v>40</v>
      </c>
      <c r="D1015" s="93" t="s">
        <v>199</v>
      </c>
      <c r="E1015" s="93" t="s">
        <v>34</v>
      </c>
      <c r="F1015" s="93" t="s">
        <v>414</v>
      </c>
      <c r="G1015" s="93" t="s">
        <v>347</v>
      </c>
      <c r="H1015" s="93" t="s">
        <v>343</v>
      </c>
      <c r="I1015" s="94">
        <v>0.5</v>
      </c>
      <c r="J1015" s="95">
        <v>30</v>
      </c>
    </row>
    <row r="1016" spans="1:10" x14ac:dyDescent="0.25">
      <c r="A1016" s="92">
        <v>45825</v>
      </c>
      <c r="B1016" s="93" t="s">
        <v>325</v>
      </c>
      <c r="C1016" s="89" t="s">
        <v>40</v>
      </c>
      <c r="D1016" s="93" t="s">
        <v>179</v>
      </c>
      <c r="E1016" s="93" t="s">
        <v>34</v>
      </c>
      <c r="F1016" s="93" t="s">
        <v>422</v>
      </c>
      <c r="G1016" s="93" t="s">
        <v>347</v>
      </c>
      <c r="H1016" s="93" t="s">
        <v>343</v>
      </c>
      <c r="I1016" s="94">
        <v>0.25</v>
      </c>
      <c r="J1016" s="95">
        <v>18.75</v>
      </c>
    </row>
    <row r="1017" spans="1:10" x14ac:dyDescent="0.25">
      <c r="A1017" s="92">
        <v>45825</v>
      </c>
      <c r="B1017" s="93" t="s">
        <v>329</v>
      </c>
      <c r="C1017" s="89" t="s">
        <v>40</v>
      </c>
      <c r="D1017" s="93" t="s">
        <v>242</v>
      </c>
      <c r="E1017" s="93" t="s">
        <v>34</v>
      </c>
      <c r="F1017" s="93" t="s">
        <v>404</v>
      </c>
      <c r="G1017" s="93" t="s">
        <v>347</v>
      </c>
      <c r="H1017" s="93" t="s">
        <v>343</v>
      </c>
      <c r="I1017" s="94">
        <v>0.33</v>
      </c>
      <c r="J1017" s="95">
        <v>24.75</v>
      </c>
    </row>
    <row r="1018" spans="1:10" x14ac:dyDescent="0.25">
      <c r="A1018" s="92">
        <v>45825</v>
      </c>
      <c r="B1018" s="93" t="s">
        <v>329</v>
      </c>
      <c r="C1018" s="89" t="s">
        <v>40</v>
      </c>
      <c r="D1018" s="93" t="s">
        <v>293</v>
      </c>
      <c r="E1018" s="93" t="s">
        <v>34</v>
      </c>
      <c r="F1018" s="93" t="s">
        <v>376</v>
      </c>
      <c r="G1018" s="93" t="s">
        <v>347</v>
      </c>
      <c r="H1018" s="93" t="s">
        <v>343</v>
      </c>
      <c r="I1018" s="94">
        <v>0.17</v>
      </c>
      <c r="J1018" s="95">
        <v>12.750000000000002</v>
      </c>
    </row>
    <row r="1019" spans="1:10" x14ac:dyDescent="0.25">
      <c r="A1019" s="92">
        <v>45825</v>
      </c>
      <c r="B1019" s="93" t="s">
        <v>329</v>
      </c>
      <c r="C1019" s="89" t="s">
        <v>40</v>
      </c>
      <c r="D1019" s="93" t="s">
        <v>294</v>
      </c>
      <c r="E1019" s="93" t="s">
        <v>34</v>
      </c>
      <c r="F1019" s="93" t="s">
        <v>377</v>
      </c>
      <c r="G1019" s="93" t="s">
        <v>347</v>
      </c>
      <c r="H1019" s="93" t="s">
        <v>343</v>
      </c>
      <c r="I1019" s="94">
        <v>0.17</v>
      </c>
      <c r="J1019" s="95">
        <v>12.750000000000002</v>
      </c>
    </row>
    <row r="1020" spans="1:10" x14ac:dyDescent="0.25">
      <c r="A1020" s="92">
        <v>45825</v>
      </c>
      <c r="B1020" s="93" t="s">
        <v>329</v>
      </c>
      <c r="C1020" s="89" t="s">
        <v>40</v>
      </c>
      <c r="D1020" s="93" t="s">
        <v>259</v>
      </c>
      <c r="E1020" s="93" t="s">
        <v>34</v>
      </c>
      <c r="F1020" s="93" t="s">
        <v>407</v>
      </c>
      <c r="G1020" s="93" t="s">
        <v>347</v>
      </c>
      <c r="H1020" s="93" t="s">
        <v>343</v>
      </c>
      <c r="I1020" s="94">
        <v>0.17</v>
      </c>
      <c r="J1020" s="95">
        <v>12.750000000000002</v>
      </c>
    </row>
    <row r="1021" spans="1:10" x14ac:dyDescent="0.25">
      <c r="A1021" s="92">
        <v>45825</v>
      </c>
      <c r="B1021" s="93" t="s">
        <v>325</v>
      </c>
      <c r="C1021" s="89" t="s">
        <v>40</v>
      </c>
      <c r="D1021" s="93" t="s">
        <v>249</v>
      </c>
      <c r="E1021" s="93" t="s">
        <v>34</v>
      </c>
      <c r="F1021" s="93" t="s">
        <v>409</v>
      </c>
      <c r="G1021" s="93" t="s">
        <v>347</v>
      </c>
      <c r="H1021" s="93" t="s">
        <v>343</v>
      </c>
      <c r="I1021" s="94">
        <v>0.25</v>
      </c>
      <c r="J1021" s="95">
        <v>18.75</v>
      </c>
    </row>
    <row r="1022" spans="1:10" x14ac:dyDescent="0.25">
      <c r="A1022" s="92">
        <v>45825</v>
      </c>
      <c r="B1022" s="93" t="s">
        <v>330</v>
      </c>
      <c r="C1022" s="89" t="s">
        <v>40</v>
      </c>
      <c r="D1022" s="93" t="s">
        <v>275</v>
      </c>
      <c r="E1022" s="93" t="s">
        <v>34</v>
      </c>
      <c r="F1022" s="93" t="s">
        <v>443</v>
      </c>
      <c r="G1022" s="93" t="s">
        <v>347</v>
      </c>
      <c r="H1022" s="93" t="s">
        <v>343</v>
      </c>
      <c r="I1022" s="94">
        <v>0.5</v>
      </c>
      <c r="J1022" s="95">
        <v>30</v>
      </c>
    </row>
    <row r="1023" spans="1:10" x14ac:dyDescent="0.25">
      <c r="A1023" s="92">
        <v>45825</v>
      </c>
      <c r="B1023" s="93" t="s">
        <v>330</v>
      </c>
      <c r="C1023" s="89" t="s">
        <v>40</v>
      </c>
      <c r="D1023" s="93" t="s">
        <v>256</v>
      </c>
      <c r="E1023" s="93" t="s">
        <v>341</v>
      </c>
      <c r="F1023" s="93" t="s">
        <v>463</v>
      </c>
      <c r="G1023" s="93" t="s">
        <v>347</v>
      </c>
      <c r="H1023" s="93" t="s">
        <v>344</v>
      </c>
      <c r="I1023" s="94">
        <v>1.5</v>
      </c>
      <c r="J1023" s="95">
        <v>90</v>
      </c>
    </row>
    <row r="1024" spans="1:10" x14ac:dyDescent="0.25">
      <c r="A1024" s="92">
        <v>45825</v>
      </c>
      <c r="B1024" s="93" t="s">
        <v>329</v>
      </c>
      <c r="C1024" s="89" t="s">
        <v>40</v>
      </c>
      <c r="D1024" s="93" t="s">
        <v>296</v>
      </c>
      <c r="E1024" s="93" t="s">
        <v>341</v>
      </c>
      <c r="F1024" s="93" t="s">
        <v>411</v>
      </c>
      <c r="G1024" s="93" t="s">
        <v>347</v>
      </c>
      <c r="H1024" s="93" t="s">
        <v>344</v>
      </c>
      <c r="I1024" s="94">
        <v>1.67</v>
      </c>
      <c r="J1024" s="95">
        <v>125.25</v>
      </c>
    </row>
    <row r="1025" spans="1:10" x14ac:dyDescent="0.25">
      <c r="A1025" s="92">
        <v>45825</v>
      </c>
      <c r="B1025" s="93" t="s">
        <v>329</v>
      </c>
      <c r="C1025" s="89" t="s">
        <v>40</v>
      </c>
      <c r="D1025" s="93" t="s">
        <v>299</v>
      </c>
      <c r="E1025" s="93" t="s">
        <v>312</v>
      </c>
      <c r="F1025" s="93" t="s">
        <v>455</v>
      </c>
      <c r="G1025" s="93" t="s">
        <v>347</v>
      </c>
      <c r="H1025" s="93" t="s">
        <v>350</v>
      </c>
      <c r="I1025" s="94">
        <v>0.08</v>
      </c>
      <c r="J1025" s="95">
        <v>6</v>
      </c>
    </row>
    <row r="1026" spans="1:10" x14ac:dyDescent="0.25">
      <c r="A1026" s="92">
        <v>45825</v>
      </c>
      <c r="B1026" s="93" t="s">
        <v>326</v>
      </c>
      <c r="C1026" s="89" t="s">
        <v>40</v>
      </c>
      <c r="D1026" s="93" t="s">
        <v>175</v>
      </c>
      <c r="E1026" s="93" t="s">
        <v>36</v>
      </c>
      <c r="F1026" s="93" t="s">
        <v>388</v>
      </c>
      <c r="G1026" s="93" t="s">
        <v>348</v>
      </c>
      <c r="H1026" s="93" t="s">
        <v>342</v>
      </c>
      <c r="I1026" s="94">
        <v>0.5</v>
      </c>
      <c r="J1026" s="95">
        <v>30</v>
      </c>
    </row>
    <row r="1027" spans="1:10" x14ac:dyDescent="0.25">
      <c r="A1027" s="92">
        <v>45825</v>
      </c>
      <c r="B1027" s="93" t="s">
        <v>326</v>
      </c>
      <c r="C1027" s="89" t="s">
        <v>40</v>
      </c>
      <c r="D1027" s="93" t="s">
        <v>227</v>
      </c>
      <c r="E1027" s="93" t="s">
        <v>36</v>
      </c>
      <c r="F1027" s="93" t="s">
        <v>453</v>
      </c>
      <c r="G1027" s="93" t="s">
        <v>348</v>
      </c>
      <c r="H1027" s="93" t="s">
        <v>342</v>
      </c>
      <c r="I1027" s="94">
        <v>0.57999999999999996</v>
      </c>
      <c r="J1027" s="95">
        <v>34.799999999999997</v>
      </c>
    </row>
    <row r="1028" spans="1:10" x14ac:dyDescent="0.25">
      <c r="A1028" s="92">
        <v>45825</v>
      </c>
      <c r="B1028" s="93" t="s">
        <v>326</v>
      </c>
      <c r="C1028" s="89" t="s">
        <v>40</v>
      </c>
      <c r="D1028" s="93" t="s">
        <v>207</v>
      </c>
      <c r="E1028" s="93" t="s">
        <v>36</v>
      </c>
      <c r="F1028" s="93" t="s">
        <v>417</v>
      </c>
      <c r="G1028" s="93" t="s">
        <v>348</v>
      </c>
      <c r="H1028" s="93" t="s">
        <v>342</v>
      </c>
      <c r="I1028" s="94">
        <v>0.75</v>
      </c>
      <c r="J1028" s="95">
        <v>45</v>
      </c>
    </row>
    <row r="1029" spans="1:10" x14ac:dyDescent="0.25">
      <c r="A1029" s="92">
        <v>45825</v>
      </c>
      <c r="B1029" s="93" t="s">
        <v>326</v>
      </c>
      <c r="C1029" s="89" t="s">
        <v>40</v>
      </c>
      <c r="D1029" s="93" t="s">
        <v>175</v>
      </c>
      <c r="E1029" s="93" t="s">
        <v>34</v>
      </c>
      <c r="F1029" s="93" t="s">
        <v>388</v>
      </c>
      <c r="G1029" s="93" t="s">
        <v>348</v>
      </c>
      <c r="H1029" s="93" t="s">
        <v>343</v>
      </c>
      <c r="I1029" s="94">
        <v>1</v>
      </c>
      <c r="J1029" s="95">
        <v>60</v>
      </c>
    </row>
    <row r="1030" spans="1:10" x14ac:dyDescent="0.25">
      <c r="A1030" s="92">
        <v>45825</v>
      </c>
      <c r="B1030" s="93" t="s">
        <v>332</v>
      </c>
      <c r="C1030" s="89" t="s">
        <v>40</v>
      </c>
      <c r="D1030" s="93" t="s">
        <v>314</v>
      </c>
      <c r="E1030" s="93" t="s">
        <v>35</v>
      </c>
      <c r="F1030" s="93" t="s">
        <v>359</v>
      </c>
      <c r="G1030" s="93" t="s">
        <v>339</v>
      </c>
      <c r="H1030" s="93" t="s">
        <v>352</v>
      </c>
      <c r="I1030" s="94">
        <v>9.33</v>
      </c>
      <c r="J1030" s="95">
        <v>373.2</v>
      </c>
    </row>
    <row r="1031" spans="1:10" x14ac:dyDescent="0.25">
      <c r="A1031" s="92">
        <v>45825</v>
      </c>
      <c r="B1031" s="93" t="s">
        <v>324</v>
      </c>
      <c r="C1031" s="89" t="s">
        <v>40</v>
      </c>
      <c r="D1031" s="93" t="s">
        <v>314</v>
      </c>
      <c r="E1031" s="93" t="s">
        <v>35</v>
      </c>
      <c r="F1031" s="93" t="s">
        <v>359</v>
      </c>
      <c r="G1031" s="93" t="s">
        <v>339</v>
      </c>
      <c r="H1031" s="93" t="s">
        <v>352</v>
      </c>
      <c r="I1031" s="94">
        <v>5.75</v>
      </c>
      <c r="J1031" s="95">
        <v>431.25</v>
      </c>
    </row>
    <row r="1032" spans="1:10" x14ac:dyDescent="0.25">
      <c r="A1032" s="92">
        <v>45826</v>
      </c>
      <c r="B1032" s="93" t="s">
        <v>329</v>
      </c>
      <c r="C1032" s="89" t="s">
        <v>40</v>
      </c>
      <c r="D1032" s="93" t="s">
        <v>269</v>
      </c>
      <c r="E1032" s="93" t="s">
        <v>34</v>
      </c>
      <c r="F1032" s="93" t="s">
        <v>361</v>
      </c>
      <c r="G1032" s="93" t="s">
        <v>347</v>
      </c>
      <c r="H1032" s="93" t="s">
        <v>343</v>
      </c>
      <c r="I1032" s="94">
        <v>0.17</v>
      </c>
      <c r="J1032" s="95">
        <v>12.750000000000002</v>
      </c>
    </row>
    <row r="1033" spans="1:10" x14ac:dyDescent="0.25">
      <c r="A1033" s="92">
        <v>45826</v>
      </c>
      <c r="B1033" s="93" t="s">
        <v>323</v>
      </c>
      <c r="C1033" s="89" t="s">
        <v>40</v>
      </c>
      <c r="D1033" s="93" t="s">
        <v>168</v>
      </c>
      <c r="E1033" s="93" t="s">
        <v>36</v>
      </c>
      <c r="F1033" s="93" t="s">
        <v>419</v>
      </c>
      <c r="G1033" s="93" t="s">
        <v>346</v>
      </c>
      <c r="H1033" s="93" t="s">
        <v>342</v>
      </c>
      <c r="I1033" s="94">
        <v>0.5</v>
      </c>
      <c r="J1033" s="95">
        <v>30</v>
      </c>
    </row>
    <row r="1034" spans="1:10" x14ac:dyDescent="0.25">
      <c r="A1034" s="92">
        <v>45826</v>
      </c>
      <c r="B1034" s="93" t="s">
        <v>323</v>
      </c>
      <c r="C1034" s="89" t="s">
        <v>40</v>
      </c>
      <c r="D1034" s="93" t="s">
        <v>169</v>
      </c>
      <c r="E1034" s="93" t="s">
        <v>36</v>
      </c>
      <c r="F1034" s="93" t="s">
        <v>433</v>
      </c>
      <c r="G1034" s="93" t="s">
        <v>346</v>
      </c>
      <c r="H1034" s="93" t="s">
        <v>342</v>
      </c>
      <c r="I1034" s="94">
        <v>0.25</v>
      </c>
      <c r="J1034" s="95">
        <v>15</v>
      </c>
    </row>
    <row r="1035" spans="1:10" x14ac:dyDescent="0.25">
      <c r="A1035" s="92">
        <v>45826</v>
      </c>
      <c r="B1035" s="93" t="s">
        <v>323</v>
      </c>
      <c r="C1035" s="89" t="s">
        <v>40</v>
      </c>
      <c r="D1035" s="93" t="s">
        <v>200</v>
      </c>
      <c r="E1035" s="93" t="s">
        <v>36</v>
      </c>
      <c r="F1035" s="93" t="s">
        <v>391</v>
      </c>
      <c r="G1035" s="93" t="s">
        <v>346</v>
      </c>
      <c r="H1035" s="93" t="s">
        <v>342</v>
      </c>
      <c r="I1035" s="94">
        <v>0.25</v>
      </c>
      <c r="J1035" s="95">
        <v>15</v>
      </c>
    </row>
    <row r="1036" spans="1:10" x14ac:dyDescent="0.25">
      <c r="A1036" s="92">
        <v>45826</v>
      </c>
      <c r="B1036" s="93" t="s">
        <v>323</v>
      </c>
      <c r="C1036" s="89" t="s">
        <v>40</v>
      </c>
      <c r="D1036" s="93" t="s">
        <v>208</v>
      </c>
      <c r="E1036" s="93" t="s">
        <v>36</v>
      </c>
      <c r="F1036" s="93" t="s">
        <v>456</v>
      </c>
      <c r="G1036" s="93" t="s">
        <v>346</v>
      </c>
      <c r="H1036" s="93" t="s">
        <v>342</v>
      </c>
      <c r="I1036" s="94">
        <v>0.25</v>
      </c>
      <c r="J1036" s="95">
        <v>15</v>
      </c>
    </row>
    <row r="1037" spans="1:10" x14ac:dyDescent="0.25">
      <c r="A1037" s="92">
        <v>45826</v>
      </c>
      <c r="B1037" s="93" t="s">
        <v>329</v>
      </c>
      <c r="C1037" s="89" t="s">
        <v>40</v>
      </c>
      <c r="D1037" s="93" t="s">
        <v>316</v>
      </c>
      <c r="E1037" s="93" t="s">
        <v>35</v>
      </c>
      <c r="F1037" s="93" t="s">
        <v>338</v>
      </c>
      <c r="G1037" s="93" t="s">
        <v>337</v>
      </c>
      <c r="H1037" s="93" t="s">
        <v>352</v>
      </c>
      <c r="I1037" s="94">
        <v>1.33</v>
      </c>
      <c r="J1037" s="95">
        <v>99.75</v>
      </c>
    </row>
    <row r="1038" spans="1:10" x14ac:dyDescent="0.25">
      <c r="A1038" s="92">
        <v>45826</v>
      </c>
      <c r="B1038" s="93" t="s">
        <v>333</v>
      </c>
      <c r="C1038" s="89" t="s">
        <v>40</v>
      </c>
      <c r="D1038" s="93" t="s">
        <v>320</v>
      </c>
      <c r="E1038" s="93" t="s">
        <v>35</v>
      </c>
      <c r="F1038" s="93" t="s">
        <v>322</v>
      </c>
      <c r="G1038" s="93" t="s">
        <v>319</v>
      </c>
      <c r="H1038" s="93" t="s">
        <v>352</v>
      </c>
      <c r="I1038" s="94">
        <v>7.53</v>
      </c>
      <c r="J1038" s="95">
        <v>240.96</v>
      </c>
    </row>
    <row r="1039" spans="1:10" x14ac:dyDescent="0.25">
      <c r="A1039" s="92">
        <v>45826</v>
      </c>
      <c r="B1039" s="93" t="s">
        <v>327</v>
      </c>
      <c r="C1039" s="89" t="s">
        <v>40</v>
      </c>
      <c r="D1039" s="93" t="s">
        <v>320</v>
      </c>
      <c r="E1039" s="93" t="s">
        <v>35</v>
      </c>
      <c r="F1039" s="93" t="s">
        <v>322</v>
      </c>
      <c r="G1039" s="93" t="s">
        <v>319</v>
      </c>
      <c r="H1039" s="93" t="s">
        <v>352</v>
      </c>
      <c r="I1039" s="94">
        <v>7.33</v>
      </c>
      <c r="J1039" s="95">
        <v>234.56</v>
      </c>
    </row>
    <row r="1040" spans="1:10" x14ac:dyDescent="0.25">
      <c r="A1040" s="92">
        <v>45826</v>
      </c>
      <c r="B1040" s="93" t="s">
        <v>323</v>
      </c>
      <c r="C1040" s="89" t="s">
        <v>40</v>
      </c>
      <c r="D1040" s="93" t="s">
        <v>231</v>
      </c>
      <c r="E1040" s="93" t="s">
        <v>36</v>
      </c>
      <c r="F1040" s="93" t="s">
        <v>420</v>
      </c>
      <c r="G1040" s="93" t="s">
        <v>346</v>
      </c>
      <c r="H1040" s="93" t="s">
        <v>342</v>
      </c>
      <c r="I1040" s="94">
        <v>0.25</v>
      </c>
      <c r="J1040" s="95">
        <v>15</v>
      </c>
    </row>
    <row r="1041" spans="1:10" x14ac:dyDescent="0.25">
      <c r="A1041" s="92">
        <v>45826</v>
      </c>
      <c r="B1041" s="93" t="s">
        <v>323</v>
      </c>
      <c r="C1041" s="89" t="s">
        <v>40</v>
      </c>
      <c r="D1041" s="93" t="s">
        <v>285</v>
      </c>
      <c r="E1041" s="93" t="s">
        <v>36</v>
      </c>
      <c r="F1041" s="93" t="s">
        <v>448</v>
      </c>
      <c r="G1041" s="93" t="s">
        <v>346</v>
      </c>
      <c r="H1041" s="93" t="s">
        <v>342</v>
      </c>
      <c r="I1041" s="94">
        <v>0.5</v>
      </c>
      <c r="J1041" s="95">
        <v>30</v>
      </c>
    </row>
    <row r="1042" spans="1:10" x14ac:dyDescent="0.25">
      <c r="A1042" s="92">
        <v>45826</v>
      </c>
      <c r="B1042" s="93" t="s">
        <v>323</v>
      </c>
      <c r="C1042" s="89" t="s">
        <v>40</v>
      </c>
      <c r="D1042" s="93" t="s">
        <v>280</v>
      </c>
      <c r="E1042" s="93" t="s">
        <v>36</v>
      </c>
      <c r="F1042" s="93" t="s">
        <v>445</v>
      </c>
      <c r="G1042" s="93" t="s">
        <v>346</v>
      </c>
      <c r="H1042" s="93" t="s">
        <v>342</v>
      </c>
      <c r="I1042" s="94">
        <v>0.25</v>
      </c>
      <c r="J1042" s="95">
        <v>15</v>
      </c>
    </row>
    <row r="1043" spans="1:10" x14ac:dyDescent="0.25">
      <c r="A1043" s="92">
        <v>45826</v>
      </c>
      <c r="B1043" s="93" t="s">
        <v>323</v>
      </c>
      <c r="C1043" s="89" t="s">
        <v>40</v>
      </c>
      <c r="D1043" s="93" t="s">
        <v>281</v>
      </c>
      <c r="E1043" s="93" t="s">
        <v>36</v>
      </c>
      <c r="F1043" s="93" t="s">
        <v>430</v>
      </c>
      <c r="G1043" s="93" t="s">
        <v>346</v>
      </c>
      <c r="H1043" s="93" t="s">
        <v>342</v>
      </c>
      <c r="I1043" s="94">
        <v>0.5</v>
      </c>
      <c r="J1043" s="95">
        <v>30</v>
      </c>
    </row>
    <row r="1044" spans="1:10" x14ac:dyDescent="0.25">
      <c r="A1044" s="92">
        <v>45826</v>
      </c>
      <c r="B1044" s="93" t="s">
        <v>323</v>
      </c>
      <c r="C1044" s="89" t="s">
        <v>40</v>
      </c>
      <c r="D1044" s="93" t="s">
        <v>201</v>
      </c>
      <c r="E1044" s="93" t="s">
        <v>341</v>
      </c>
      <c r="F1044" s="93" t="s">
        <v>395</v>
      </c>
      <c r="G1044" s="93" t="s">
        <v>346</v>
      </c>
      <c r="H1044" s="93" t="s">
        <v>344</v>
      </c>
      <c r="I1044" s="94">
        <v>0.5</v>
      </c>
      <c r="J1044" s="95">
        <v>30</v>
      </c>
    </row>
    <row r="1045" spans="1:10" x14ac:dyDescent="0.25">
      <c r="A1045" s="92">
        <v>45826</v>
      </c>
      <c r="B1045" s="93" t="s">
        <v>329</v>
      </c>
      <c r="C1045" s="89" t="s">
        <v>40</v>
      </c>
      <c r="D1045" s="93" t="s">
        <v>197</v>
      </c>
      <c r="E1045" s="93" t="s">
        <v>34</v>
      </c>
      <c r="F1045" s="93" t="s">
        <v>366</v>
      </c>
      <c r="G1045" s="93" t="s">
        <v>347</v>
      </c>
      <c r="H1045" s="93" t="s">
        <v>343</v>
      </c>
      <c r="I1045" s="94">
        <v>0.5</v>
      </c>
      <c r="J1045" s="95">
        <v>37.5</v>
      </c>
    </row>
    <row r="1046" spans="1:10" x14ac:dyDescent="0.25">
      <c r="A1046" s="92">
        <v>45826</v>
      </c>
      <c r="B1046" s="93" t="s">
        <v>330</v>
      </c>
      <c r="C1046" s="89" t="s">
        <v>40</v>
      </c>
      <c r="D1046" s="93" t="s">
        <v>199</v>
      </c>
      <c r="E1046" s="93" t="s">
        <v>34</v>
      </c>
      <c r="F1046" s="93" t="s">
        <v>414</v>
      </c>
      <c r="G1046" s="93" t="s">
        <v>347</v>
      </c>
      <c r="H1046" s="93" t="s">
        <v>343</v>
      </c>
      <c r="I1046" s="94">
        <v>0.5</v>
      </c>
      <c r="J1046" s="95">
        <v>30</v>
      </c>
    </row>
    <row r="1047" spans="1:10" x14ac:dyDescent="0.25">
      <c r="A1047" s="92">
        <v>45826</v>
      </c>
      <c r="B1047" s="93" t="s">
        <v>330</v>
      </c>
      <c r="C1047" s="89" t="s">
        <v>40</v>
      </c>
      <c r="D1047" s="93" t="s">
        <v>252</v>
      </c>
      <c r="E1047" s="93" t="s">
        <v>36</v>
      </c>
      <c r="F1047" s="93" t="s">
        <v>416</v>
      </c>
      <c r="G1047" s="93" t="s">
        <v>347</v>
      </c>
      <c r="H1047" s="93" t="s">
        <v>342</v>
      </c>
      <c r="I1047" s="94">
        <v>0.5</v>
      </c>
      <c r="J1047" s="95">
        <v>30</v>
      </c>
    </row>
    <row r="1048" spans="1:10" x14ac:dyDescent="0.25">
      <c r="A1048" s="92">
        <v>45826</v>
      </c>
      <c r="B1048" s="93" t="s">
        <v>329</v>
      </c>
      <c r="C1048" s="89" t="s">
        <v>40</v>
      </c>
      <c r="D1048" s="93" t="s">
        <v>181</v>
      </c>
      <c r="E1048" s="93" t="s">
        <v>34</v>
      </c>
      <c r="F1048" s="93" t="s">
        <v>396</v>
      </c>
      <c r="G1048" s="93" t="s">
        <v>347</v>
      </c>
      <c r="H1048" s="93" t="s">
        <v>343</v>
      </c>
      <c r="I1048" s="94">
        <v>0.17</v>
      </c>
      <c r="J1048" s="95">
        <v>12.750000000000002</v>
      </c>
    </row>
    <row r="1049" spans="1:10" x14ac:dyDescent="0.25">
      <c r="A1049" s="92">
        <v>45826</v>
      </c>
      <c r="B1049" s="93" t="s">
        <v>325</v>
      </c>
      <c r="C1049" s="89" t="s">
        <v>40</v>
      </c>
      <c r="D1049" s="93" t="s">
        <v>306</v>
      </c>
      <c r="E1049" s="93" t="s">
        <v>34</v>
      </c>
      <c r="F1049" s="93" t="s">
        <v>468</v>
      </c>
      <c r="G1049" s="93" t="s">
        <v>347</v>
      </c>
      <c r="H1049" s="93" t="s">
        <v>343</v>
      </c>
      <c r="I1049" s="94">
        <v>0.17</v>
      </c>
      <c r="J1049" s="95">
        <v>12.750000000000002</v>
      </c>
    </row>
    <row r="1050" spans="1:10" x14ac:dyDescent="0.25">
      <c r="A1050" s="92">
        <v>45826</v>
      </c>
      <c r="B1050" s="93" t="s">
        <v>329</v>
      </c>
      <c r="C1050" s="89" t="s">
        <v>40</v>
      </c>
      <c r="D1050" s="93" t="s">
        <v>221</v>
      </c>
      <c r="E1050" s="93" t="s">
        <v>34</v>
      </c>
      <c r="F1050" s="93" t="s">
        <v>369</v>
      </c>
      <c r="G1050" s="93" t="s">
        <v>347</v>
      </c>
      <c r="H1050" s="93" t="s">
        <v>343</v>
      </c>
      <c r="I1050" s="94">
        <v>0.5</v>
      </c>
      <c r="J1050" s="95">
        <v>37.5</v>
      </c>
    </row>
    <row r="1051" spans="1:10" x14ac:dyDescent="0.25">
      <c r="A1051" s="92">
        <v>45826</v>
      </c>
      <c r="B1051" s="93" t="s">
        <v>329</v>
      </c>
      <c r="C1051" s="89" t="s">
        <v>40</v>
      </c>
      <c r="D1051" s="93" t="s">
        <v>301</v>
      </c>
      <c r="E1051" s="93" t="s">
        <v>34</v>
      </c>
      <c r="F1051" s="93" t="s">
        <v>371</v>
      </c>
      <c r="G1051" s="93" t="s">
        <v>347</v>
      </c>
      <c r="H1051" s="93" t="s">
        <v>343</v>
      </c>
      <c r="I1051" s="94">
        <v>0.33</v>
      </c>
      <c r="J1051" s="95">
        <v>24.75</v>
      </c>
    </row>
    <row r="1052" spans="1:10" x14ac:dyDescent="0.25">
      <c r="A1052" s="92">
        <v>45826</v>
      </c>
      <c r="B1052" s="93" t="s">
        <v>329</v>
      </c>
      <c r="C1052" s="89" t="s">
        <v>40</v>
      </c>
      <c r="D1052" s="93" t="s">
        <v>229</v>
      </c>
      <c r="E1052" s="93" t="s">
        <v>34</v>
      </c>
      <c r="F1052" s="93" t="s">
        <v>373</v>
      </c>
      <c r="G1052" s="93" t="s">
        <v>347</v>
      </c>
      <c r="H1052" s="93" t="s">
        <v>343</v>
      </c>
      <c r="I1052" s="94">
        <v>0.08</v>
      </c>
      <c r="J1052" s="95">
        <v>6</v>
      </c>
    </row>
    <row r="1053" spans="1:10" x14ac:dyDescent="0.25">
      <c r="A1053" s="92">
        <v>45826</v>
      </c>
      <c r="B1053" s="93" t="s">
        <v>329</v>
      </c>
      <c r="C1053" s="89" t="s">
        <v>40</v>
      </c>
      <c r="D1053" s="93" t="s">
        <v>240</v>
      </c>
      <c r="E1053" s="93" t="s">
        <v>34</v>
      </c>
      <c r="F1053" s="93" t="s">
        <v>402</v>
      </c>
      <c r="G1053" s="93" t="s">
        <v>347</v>
      </c>
      <c r="H1053" s="93" t="s">
        <v>343</v>
      </c>
      <c r="I1053" s="94">
        <v>0.17</v>
      </c>
      <c r="J1053" s="95">
        <v>12.750000000000002</v>
      </c>
    </row>
    <row r="1054" spans="1:10" x14ac:dyDescent="0.25">
      <c r="A1054" s="92">
        <v>45826</v>
      </c>
      <c r="B1054" s="93" t="s">
        <v>329</v>
      </c>
      <c r="C1054" s="89" t="s">
        <v>40</v>
      </c>
      <c r="D1054" s="93" t="s">
        <v>238</v>
      </c>
      <c r="E1054" s="93" t="s">
        <v>34</v>
      </c>
      <c r="F1054" s="93" t="s">
        <v>374</v>
      </c>
      <c r="G1054" s="93" t="s">
        <v>347</v>
      </c>
      <c r="H1054" s="93" t="s">
        <v>343</v>
      </c>
      <c r="I1054" s="94">
        <v>0.17</v>
      </c>
      <c r="J1054" s="95">
        <v>12.750000000000002</v>
      </c>
    </row>
    <row r="1055" spans="1:10" x14ac:dyDescent="0.25">
      <c r="A1055" s="92">
        <v>45826</v>
      </c>
      <c r="B1055" s="93" t="s">
        <v>329</v>
      </c>
      <c r="C1055" s="89" t="s">
        <v>40</v>
      </c>
      <c r="D1055" s="93" t="s">
        <v>241</v>
      </c>
      <c r="E1055" s="93" t="s">
        <v>34</v>
      </c>
      <c r="F1055" s="93" t="s">
        <v>403</v>
      </c>
      <c r="G1055" s="93" t="s">
        <v>347</v>
      </c>
      <c r="H1055" s="93" t="s">
        <v>343</v>
      </c>
      <c r="I1055" s="94">
        <v>0.33</v>
      </c>
      <c r="J1055" s="95">
        <v>24.75</v>
      </c>
    </row>
    <row r="1056" spans="1:10" x14ac:dyDescent="0.25">
      <c r="A1056" s="92">
        <v>45826</v>
      </c>
      <c r="B1056" s="93" t="s">
        <v>329</v>
      </c>
      <c r="C1056" s="89" t="s">
        <v>40</v>
      </c>
      <c r="D1056" s="93" t="s">
        <v>242</v>
      </c>
      <c r="E1056" s="93" t="s">
        <v>34</v>
      </c>
      <c r="F1056" s="93" t="s">
        <v>404</v>
      </c>
      <c r="G1056" s="93" t="s">
        <v>347</v>
      </c>
      <c r="H1056" s="93" t="s">
        <v>343</v>
      </c>
      <c r="I1056" s="94">
        <v>0.5</v>
      </c>
      <c r="J1056" s="95">
        <v>37.5</v>
      </c>
    </row>
    <row r="1057" spans="1:10" x14ac:dyDescent="0.25">
      <c r="A1057" s="92">
        <v>45826</v>
      </c>
      <c r="B1057" s="93" t="s">
        <v>329</v>
      </c>
      <c r="C1057" s="89" t="s">
        <v>40</v>
      </c>
      <c r="D1057" s="93" t="s">
        <v>293</v>
      </c>
      <c r="E1057" s="93" t="s">
        <v>34</v>
      </c>
      <c r="F1057" s="93" t="s">
        <v>376</v>
      </c>
      <c r="G1057" s="93" t="s">
        <v>347</v>
      </c>
      <c r="H1057" s="93" t="s">
        <v>343</v>
      </c>
      <c r="I1057" s="94">
        <v>0.75</v>
      </c>
      <c r="J1057" s="95">
        <v>56.25</v>
      </c>
    </row>
    <row r="1058" spans="1:10" x14ac:dyDescent="0.25">
      <c r="A1058" s="92">
        <v>45826</v>
      </c>
      <c r="B1058" s="93" t="s">
        <v>325</v>
      </c>
      <c r="C1058" s="89" t="s">
        <v>40</v>
      </c>
      <c r="D1058" s="93" t="s">
        <v>287</v>
      </c>
      <c r="E1058" s="93" t="s">
        <v>34</v>
      </c>
      <c r="F1058" s="93" t="s">
        <v>378</v>
      </c>
      <c r="G1058" s="93" t="s">
        <v>347</v>
      </c>
      <c r="H1058" s="93" t="s">
        <v>343</v>
      </c>
      <c r="I1058" s="94">
        <v>0.17</v>
      </c>
      <c r="J1058" s="95">
        <v>12.750000000000002</v>
      </c>
    </row>
    <row r="1059" spans="1:10" x14ac:dyDescent="0.25">
      <c r="A1059" s="92">
        <v>45826</v>
      </c>
      <c r="B1059" s="93" t="s">
        <v>329</v>
      </c>
      <c r="C1059" s="89" t="s">
        <v>40</v>
      </c>
      <c r="D1059" s="93" t="s">
        <v>295</v>
      </c>
      <c r="E1059" s="93" t="s">
        <v>34</v>
      </c>
      <c r="F1059" s="93" t="s">
        <v>379</v>
      </c>
      <c r="G1059" s="93" t="s">
        <v>347</v>
      </c>
      <c r="H1059" s="93" t="s">
        <v>343</v>
      </c>
      <c r="I1059" s="94">
        <v>0.17</v>
      </c>
      <c r="J1059" s="95">
        <v>12.750000000000002</v>
      </c>
    </row>
    <row r="1060" spans="1:10" x14ac:dyDescent="0.25">
      <c r="A1060" s="92">
        <v>45826</v>
      </c>
      <c r="B1060" s="93" t="s">
        <v>330</v>
      </c>
      <c r="C1060" s="89" t="s">
        <v>40</v>
      </c>
      <c r="D1060" s="93" t="s">
        <v>261</v>
      </c>
      <c r="E1060" s="93" t="s">
        <v>34</v>
      </c>
      <c r="F1060" s="93" t="s">
        <v>444</v>
      </c>
      <c r="G1060" s="93" t="s">
        <v>347</v>
      </c>
      <c r="H1060" s="93" t="s">
        <v>343</v>
      </c>
      <c r="I1060" s="94">
        <v>0.5</v>
      </c>
      <c r="J1060" s="95">
        <v>30</v>
      </c>
    </row>
    <row r="1061" spans="1:10" x14ac:dyDescent="0.25">
      <c r="A1061" s="92">
        <v>45826</v>
      </c>
      <c r="B1061" s="93" t="s">
        <v>325</v>
      </c>
      <c r="C1061" s="89" t="s">
        <v>40</v>
      </c>
      <c r="D1061" s="93" t="s">
        <v>249</v>
      </c>
      <c r="E1061" s="93" t="s">
        <v>34</v>
      </c>
      <c r="F1061" s="93" t="s">
        <v>409</v>
      </c>
      <c r="G1061" s="93" t="s">
        <v>347</v>
      </c>
      <c r="H1061" s="93" t="s">
        <v>343</v>
      </c>
      <c r="I1061" s="94">
        <v>0.25</v>
      </c>
      <c r="J1061" s="95">
        <v>18.75</v>
      </c>
    </row>
    <row r="1062" spans="1:10" x14ac:dyDescent="0.25">
      <c r="A1062" s="92">
        <v>45826</v>
      </c>
      <c r="B1062" s="93" t="s">
        <v>330</v>
      </c>
      <c r="C1062" s="89" t="s">
        <v>40</v>
      </c>
      <c r="D1062" s="93" t="s">
        <v>275</v>
      </c>
      <c r="E1062" s="93" t="s">
        <v>34</v>
      </c>
      <c r="F1062" s="93" t="s">
        <v>443</v>
      </c>
      <c r="G1062" s="93" t="s">
        <v>347</v>
      </c>
      <c r="H1062" s="93" t="s">
        <v>343</v>
      </c>
      <c r="I1062" s="94">
        <v>0.5</v>
      </c>
      <c r="J1062" s="95">
        <v>30</v>
      </c>
    </row>
    <row r="1063" spans="1:10" x14ac:dyDescent="0.25">
      <c r="A1063" s="92">
        <v>45826</v>
      </c>
      <c r="B1063" s="93" t="s">
        <v>329</v>
      </c>
      <c r="C1063" s="89" t="s">
        <v>40</v>
      </c>
      <c r="D1063" s="93" t="s">
        <v>230</v>
      </c>
      <c r="E1063" s="93" t="s">
        <v>34</v>
      </c>
      <c r="F1063" s="93" t="s">
        <v>410</v>
      </c>
      <c r="G1063" s="93" t="s">
        <v>347</v>
      </c>
      <c r="H1063" s="93" t="s">
        <v>343</v>
      </c>
      <c r="I1063" s="94">
        <v>0.17</v>
      </c>
      <c r="J1063" s="95">
        <v>12.750000000000002</v>
      </c>
    </row>
    <row r="1064" spans="1:10" x14ac:dyDescent="0.25">
      <c r="A1064" s="92">
        <v>45826</v>
      </c>
      <c r="B1064" s="93" t="s">
        <v>329</v>
      </c>
      <c r="C1064" s="89" t="s">
        <v>40</v>
      </c>
      <c r="D1064" s="93" t="s">
        <v>268</v>
      </c>
      <c r="E1064" s="93" t="s">
        <v>34</v>
      </c>
      <c r="F1064" s="93" t="s">
        <v>386</v>
      </c>
      <c r="G1064" s="93" t="s">
        <v>347</v>
      </c>
      <c r="H1064" s="93" t="s">
        <v>343</v>
      </c>
      <c r="I1064" s="94">
        <v>0.17</v>
      </c>
      <c r="J1064" s="95">
        <v>12.750000000000002</v>
      </c>
    </row>
    <row r="1065" spans="1:10" x14ac:dyDescent="0.25">
      <c r="A1065" s="92">
        <v>45826</v>
      </c>
      <c r="B1065" s="93" t="s">
        <v>326</v>
      </c>
      <c r="C1065" s="89" t="s">
        <v>40</v>
      </c>
      <c r="D1065" s="93" t="s">
        <v>265</v>
      </c>
      <c r="E1065" s="93" t="s">
        <v>36</v>
      </c>
      <c r="F1065" s="93" t="s">
        <v>358</v>
      </c>
      <c r="G1065" s="93" t="s">
        <v>348</v>
      </c>
      <c r="H1065" s="93" t="s">
        <v>342</v>
      </c>
      <c r="I1065" s="94">
        <v>1</v>
      </c>
      <c r="J1065" s="95">
        <v>60</v>
      </c>
    </row>
    <row r="1066" spans="1:10" x14ac:dyDescent="0.25">
      <c r="A1066" s="92">
        <v>45826</v>
      </c>
      <c r="B1066" s="93" t="s">
        <v>326</v>
      </c>
      <c r="C1066" s="89" t="s">
        <v>40</v>
      </c>
      <c r="D1066" s="93" t="s">
        <v>175</v>
      </c>
      <c r="E1066" s="93" t="s">
        <v>34</v>
      </c>
      <c r="F1066" s="93" t="s">
        <v>388</v>
      </c>
      <c r="G1066" s="93" t="s">
        <v>348</v>
      </c>
      <c r="H1066" s="93" t="s">
        <v>343</v>
      </c>
      <c r="I1066" s="94">
        <v>1.17</v>
      </c>
      <c r="J1066" s="95">
        <v>70.199999999999989</v>
      </c>
    </row>
    <row r="1067" spans="1:10" x14ac:dyDescent="0.25">
      <c r="A1067" s="92">
        <v>45826</v>
      </c>
      <c r="B1067" s="93" t="s">
        <v>326</v>
      </c>
      <c r="C1067" s="89" t="s">
        <v>40</v>
      </c>
      <c r="D1067" s="93" t="s">
        <v>309</v>
      </c>
      <c r="E1067" s="93" t="s">
        <v>341</v>
      </c>
      <c r="F1067" s="93" t="s">
        <v>454</v>
      </c>
      <c r="G1067" s="93" t="s">
        <v>348</v>
      </c>
      <c r="H1067" s="93" t="s">
        <v>344</v>
      </c>
      <c r="I1067" s="94">
        <v>2</v>
      </c>
      <c r="J1067" s="95">
        <v>120</v>
      </c>
    </row>
    <row r="1068" spans="1:10" x14ac:dyDescent="0.25">
      <c r="A1068" s="92">
        <v>45826</v>
      </c>
      <c r="B1068" s="93" t="s">
        <v>332</v>
      </c>
      <c r="C1068" s="89" t="s">
        <v>40</v>
      </c>
      <c r="D1068" s="93" t="s">
        <v>314</v>
      </c>
      <c r="E1068" s="93" t="s">
        <v>35</v>
      </c>
      <c r="F1068" s="93" t="s">
        <v>359</v>
      </c>
      <c r="G1068" s="93" t="s">
        <v>339</v>
      </c>
      <c r="H1068" s="93" t="s">
        <v>352</v>
      </c>
      <c r="I1068" s="94">
        <v>8.5</v>
      </c>
      <c r="J1068" s="95">
        <v>340</v>
      </c>
    </row>
    <row r="1069" spans="1:10" x14ac:dyDescent="0.25">
      <c r="A1069" s="92">
        <v>45826</v>
      </c>
      <c r="B1069" s="93" t="s">
        <v>324</v>
      </c>
      <c r="C1069" s="89" t="s">
        <v>40</v>
      </c>
      <c r="D1069" s="93" t="s">
        <v>314</v>
      </c>
      <c r="E1069" s="93" t="s">
        <v>35</v>
      </c>
      <c r="F1069" s="93" t="s">
        <v>359</v>
      </c>
      <c r="G1069" s="93" t="s">
        <v>339</v>
      </c>
      <c r="H1069" s="93" t="s">
        <v>352</v>
      </c>
      <c r="I1069" s="94">
        <v>6</v>
      </c>
      <c r="J1069" s="95">
        <v>450</v>
      </c>
    </row>
    <row r="1070" spans="1:10" x14ac:dyDescent="0.25">
      <c r="A1070" s="92">
        <v>45827</v>
      </c>
      <c r="B1070" s="93" t="s">
        <v>323</v>
      </c>
      <c r="C1070" s="89" t="s">
        <v>40</v>
      </c>
      <c r="D1070" s="93" t="s">
        <v>208</v>
      </c>
      <c r="E1070" s="93" t="s">
        <v>36</v>
      </c>
      <c r="F1070" s="93" t="s">
        <v>456</v>
      </c>
      <c r="G1070" s="93" t="s">
        <v>346</v>
      </c>
      <c r="H1070" s="93" t="s">
        <v>342</v>
      </c>
      <c r="I1070" s="94">
        <v>0.25</v>
      </c>
      <c r="J1070" s="95">
        <v>15</v>
      </c>
    </row>
    <row r="1071" spans="1:10" x14ac:dyDescent="0.25">
      <c r="A1071" s="92">
        <v>45827</v>
      </c>
      <c r="B1071" s="93" t="s">
        <v>323</v>
      </c>
      <c r="C1071" s="89" t="s">
        <v>40</v>
      </c>
      <c r="D1071" s="93" t="s">
        <v>212</v>
      </c>
      <c r="E1071" s="93" t="s">
        <v>36</v>
      </c>
      <c r="F1071" s="93" t="s">
        <v>392</v>
      </c>
      <c r="G1071" s="93" t="s">
        <v>346</v>
      </c>
      <c r="H1071" s="93" t="s">
        <v>342</v>
      </c>
      <c r="I1071" s="94">
        <v>0.5</v>
      </c>
      <c r="J1071" s="95">
        <v>30</v>
      </c>
    </row>
    <row r="1072" spans="1:10" x14ac:dyDescent="0.25">
      <c r="A1072" s="92">
        <v>45827</v>
      </c>
      <c r="B1072" s="93" t="s">
        <v>329</v>
      </c>
      <c r="C1072" s="89" t="s">
        <v>40</v>
      </c>
      <c r="D1072" s="93" t="s">
        <v>316</v>
      </c>
      <c r="E1072" s="93" t="s">
        <v>35</v>
      </c>
      <c r="F1072" s="93" t="s">
        <v>338</v>
      </c>
      <c r="G1072" s="93" t="s">
        <v>337</v>
      </c>
      <c r="H1072" s="93" t="s">
        <v>352</v>
      </c>
      <c r="I1072" s="94">
        <v>1</v>
      </c>
      <c r="J1072" s="95">
        <v>75</v>
      </c>
    </row>
    <row r="1073" spans="1:10" x14ac:dyDescent="0.25">
      <c r="A1073" s="92">
        <v>45827</v>
      </c>
      <c r="B1073" s="93" t="s">
        <v>333</v>
      </c>
      <c r="C1073" s="89" t="s">
        <v>40</v>
      </c>
      <c r="D1073" s="93" t="s">
        <v>320</v>
      </c>
      <c r="E1073" s="93" t="s">
        <v>35</v>
      </c>
      <c r="F1073" s="93" t="s">
        <v>322</v>
      </c>
      <c r="G1073" s="93" t="s">
        <v>319</v>
      </c>
      <c r="H1073" s="93" t="s">
        <v>352</v>
      </c>
      <c r="I1073" s="94">
        <v>7.28</v>
      </c>
      <c r="J1073" s="95">
        <v>232.96</v>
      </c>
    </row>
    <row r="1074" spans="1:10" x14ac:dyDescent="0.25">
      <c r="A1074" s="92">
        <v>45827</v>
      </c>
      <c r="B1074" s="93" t="s">
        <v>327</v>
      </c>
      <c r="C1074" s="89" t="s">
        <v>40</v>
      </c>
      <c r="D1074" s="93" t="s">
        <v>320</v>
      </c>
      <c r="E1074" s="93" t="s">
        <v>35</v>
      </c>
      <c r="F1074" s="93" t="s">
        <v>322</v>
      </c>
      <c r="G1074" s="93" t="s">
        <v>319</v>
      </c>
      <c r="H1074" s="93" t="s">
        <v>352</v>
      </c>
      <c r="I1074" s="94">
        <v>7.42</v>
      </c>
      <c r="J1074" s="95">
        <v>237.44</v>
      </c>
    </row>
    <row r="1075" spans="1:10" x14ac:dyDescent="0.25">
      <c r="A1075" s="92">
        <v>45827</v>
      </c>
      <c r="B1075" s="93" t="s">
        <v>323</v>
      </c>
      <c r="C1075" s="89" t="s">
        <v>40</v>
      </c>
      <c r="D1075" s="93" t="s">
        <v>231</v>
      </c>
      <c r="E1075" s="93" t="s">
        <v>36</v>
      </c>
      <c r="F1075" s="93" t="s">
        <v>420</v>
      </c>
      <c r="G1075" s="93" t="s">
        <v>346</v>
      </c>
      <c r="H1075" s="93" t="s">
        <v>342</v>
      </c>
      <c r="I1075" s="94">
        <v>0.25</v>
      </c>
      <c r="J1075" s="95">
        <v>15</v>
      </c>
    </row>
    <row r="1076" spans="1:10" x14ac:dyDescent="0.25">
      <c r="A1076" s="92">
        <v>45827</v>
      </c>
      <c r="B1076" s="93" t="s">
        <v>329</v>
      </c>
      <c r="C1076" s="89" t="s">
        <v>40</v>
      </c>
      <c r="D1076" s="93" t="s">
        <v>186</v>
      </c>
      <c r="E1076" s="93" t="s">
        <v>34</v>
      </c>
      <c r="F1076" s="93" t="s">
        <v>397</v>
      </c>
      <c r="G1076" s="93" t="s">
        <v>347</v>
      </c>
      <c r="H1076" s="93" t="s">
        <v>343</v>
      </c>
      <c r="I1076" s="94">
        <v>0.17</v>
      </c>
      <c r="J1076" s="95">
        <v>12.750000000000002</v>
      </c>
    </row>
    <row r="1077" spans="1:10" x14ac:dyDescent="0.25">
      <c r="A1077" s="92">
        <v>45827</v>
      </c>
      <c r="B1077" s="93" t="s">
        <v>330</v>
      </c>
      <c r="C1077" s="89" t="s">
        <v>40</v>
      </c>
      <c r="D1077" s="93" t="s">
        <v>196</v>
      </c>
      <c r="E1077" s="93" t="s">
        <v>34</v>
      </c>
      <c r="F1077" s="93" t="s">
        <v>446</v>
      </c>
      <c r="G1077" s="93" t="s">
        <v>347</v>
      </c>
      <c r="H1077" s="93" t="s">
        <v>343</v>
      </c>
      <c r="I1077" s="94">
        <v>0.5</v>
      </c>
      <c r="J1077" s="95">
        <v>30</v>
      </c>
    </row>
    <row r="1078" spans="1:10" x14ac:dyDescent="0.25">
      <c r="A1078" s="92">
        <v>45827</v>
      </c>
      <c r="B1078" s="93" t="s">
        <v>329</v>
      </c>
      <c r="C1078" s="89" t="s">
        <v>40</v>
      </c>
      <c r="D1078" s="93" t="s">
        <v>303</v>
      </c>
      <c r="E1078" s="93" t="s">
        <v>34</v>
      </c>
      <c r="F1078" s="93" t="s">
        <v>400</v>
      </c>
      <c r="G1078" s="93" t="s">
        <v>347</v>
      </c>
      <c r="H1078" s="93" t="s">
        <v>343</v>
      </c>
      <c r="I1078" s="94">
        <v>0.5</v>
      </c>
      <c r="J1078" s="95">
        <v>37.5</v>
      </c>
    </row>
    <row r="1079" spans="1:10" x14ac:dyDescent="0.25">
      <c r="A1079" s="92">
        <v>45827</v>
      </c>
      <c r="B1079" s="93" t="s">
        <v>329</v>
      </c>
      <c r="C1079" s="89" t="s">
        <v>40</v>
      </c>
      <c r="D1079" s="93" t="s">
        <v>241</v>
      </c>
      <c r="E1079" s="93" t="s">
        <v>34</v>
      </c>
      <c r="F1079" s="93" t="s">
        <v>403</v>
      </c>
      <c r="G1079" s="93" t="s">
        <v>347</v>
      </c>
      <c r="H1079" s="93" t="s">
        <v>343</v>
      </c>
      <c r="I1079" s="94">
        <v>0.17</v>
      </c>
      <c r="J1079" s="95">
        <v>12.750000000000002</v>
      </c>
    </row>
    <row r="1080" spans="1:10" x14ac:dyDescent="0.25">
      <c r="A1080" s="92">
        <v>45827</v>
      </c>
      <c r="B1080" s="93" t="s">
        <v>329</v>
      </c>
      <c r="C1080" s="89" t="s">
        <v>40</v>
      </c>
      <c r="D1080" s="93" t="s">
        <v>242</v>
      </c>
      <c r="E1080" s="93" t="s">
        <v>34</v>
      </c>
      <c r="F1080" s="93" t="s">
        <v>404</v>
      </c>
      <c r="G1080" s="93" t="s">
        <v>347</v>
      </c>
      <c r="H1080" s="93" t="s">
        <v>343</v>
      </c>
      <c r="I1080" s="94">
        <v>0.17</v>
      </c>
      <c r="J1080" s="95">
        <v>12.750000000000002</v>
      </c>
    </row>
    <row r="1081" spans="1:10" x14ac:dyDescent="0.25">
      <c r="A1081" s="92">
        <v>45827</v>
      </c>
      <c r="B1081" s="93" t="s">
        <v>330</v>
      </c>
      <c r="C1081" s="89" t="s">
        <v>40</v>
      </c>
      <c r="D1081" s="93" t="s">
        <v>255</v>
      </c>
      <c r="E1081" s="93" t="s">
        <v>34</v>
      </c>
      <c r="F1081" s="93" t="s">
        <v>462</v>
      </c>
      <c r="G1081" s="93" t="s">
        <v>347</v>
      </c>
      <c r="H1081" s="93" t="s">
        <v>343</v>
      </c>
      <c r="I1081" s="94">
        <v>0.5</v>
      </c>
      <c r="J1081" s="95">
        <v>30</v>
      </c>
    </row>
    <row r="1082" spans="1:10" x14ac:dyDescent="0.25">
      <c r="A1082" s="92">
        <v>45827</v>
      </c>
      <c r="B1082" s="93" t="s">
        <v>325</v>
      </c>
      <c r="C1082" s="89" t="s">
        <v>40</v>
      </c>
      <c r="D1082" s="93" t="s">
        <v>264</v>
      </c>
      <c r="E1082" s="93" t="s">
        <v>34</v>
      </c>
      <c r="F1082" s="93" t="s">
        <v>384</v>
      </c>
      <c r="G1082" s="93" t="s">
        <v>347</v>
      </c>
      <c r="H1082" s="93" t="s">
        <v>343</v>
      </c>
      <c r="I1082" s="94">
        <v>0.33</v>
      </c>
      <c r="J1082" s="95">
        <v>24.75</v>
      </c>
    </row>
    <row r="1083" spans="1:10" x14ac:dyDescent="0.25">
      <c r="A1083" s="92">
        <v>45827</v>
      </c>
      <c r="B1083" s="93" t="s">
        <v>325</v>
      </c>
      <c r="C1083" s="89" t="s">
        <v>40</v>
      </c>
      <c r="D1083" s="93" t="s">
        <v>249</v>
      </c>
      <c r="E1083" s="93" t="s">
        <v>34</v>
      </c>
      <c r="F1083" s="93" t="s">
        <v>409</v>
      </c>
      <c r="G1083" s="93" t="s">
        <v>347</v>
      </c>
      <c r="H1083" s="93" t="s">
        <v>343</v>
      </c>
      <c r="I1083" s="94">
        <v>0.17</v>
      </c>
      <c r="J1083" s="95">
        <v>12.750000000000002</v>
      </c>
    </row>
    <row r="1084" spans="1:10" x14ac:dyDescent="0.25">
      <c r="A1084" s="92">
        <v>45827</v>
      </c>
      <c r="B1084" s="93" t="s">
        <v>329</v>
      </c>
      <c r="C1084" s="89" t="s">
        <v>40</v>
      </c>
      <c r="D1084" s="93" t="s">
        <v>247</v>
      </c>
      <c r="E1084" s="93" t="s">
        <v>34</v>
      </c>
      <c r="F1084" s="93" t="s">
        <v>375</v>
      </c>
      <c r="G1084" s="93" t="s">
        <v>347</v>
      </c>
      <c r="H1084" s="93" t="s">
        <v>343</v>
      </c>
      <c r="I1084" s="94">
        <v>0.33</v>
      </c>
      <c r="J1084" s="95">
        <v>24.75</v>
      </c>
    </row>
    <row r="1085" spans="1:10" x14ac:dyDescent="0.25">
      <c r="A1085" s="92">
        <v>45827</v>
      </c>
      <c r="B1085" s="93" t="s">
        <v>330</v>
      </c>
      <c r="C1085" s="89" t="s">
        <v>40</v>
      </c>
      <c r="D1085" s="93" t="s">
        <v>273</v>
      </c>
      <c r="E1085" s="93" t="s">
        <v>34</v>
      </c>
      <c r="F1085" s="93" t="s">
        <v>469</v>
      </c>
      <c r="G1085" s="93" t="s">
        <v>347</v>
      </c>
      <c r="H1085" s="93" t="s">
        <v>343</v>
      </c>
      <c r="I1085" s="94">
        <v>0.5</v>
      </c>
      <c r="J1085" s="95">
        <v>30</v>
      </c>
    </row>
    <row r="1086" spans="1:10" x14ac:dyDescent="0.25">
      <c r="A1086" s="92">
        <v>45827</v>
      </c>
      <c r="B1086" s="93" t="s">
        <v>329</v>
      </c>
      <c r="C1086" s="89" t="s">
        <v>40</v>
      </c>
      <c r="D1086" s="93" t="s">
        <v>296</v>
      </c>
      <c r="E1086" s="93" t="s">
        <v>341</v>
      </c>
      <c r="F1086" s="93" t="s">
        <v>411</v>
      </c>
      <c r="G1086" s="93" t="s">
        <v>347</v>
      </c>
      <c r="H1086" s="93" t="s">
        <v>344</v>
      </c>
      <c r="I1086" s="94">
        <v>2.25</v>
      </c>
      <c r="J1086" s="95">
        <v>168.75</v>
      </c>
    </row>
    <row r="1087" spans="1:10" x14ac:dyDescent="0.25">
      <c r="A1087" s="92">
        <v>45827</v>
      </c>
      <c r="B1087" s="93" t="s">
        <v>326</v>
      </c>
      <c r="C1087" s="89" t="s">
        <v>40</v>
      </c>
      <c r="D1087" s="93" t="s">
        <v>188</v>
      </c>
      <c r="E1087" s="93" t="s">
        <v>36</v>
      </c>
      <c r="F1087" s="93" t="s">
        <v>356</v>
      </c>
      <c r="G1087" s="93" t="s">
        <v>348</v>
      </c>
      <c r="H1087" s="93" t="s">
        <v>342</v>
      </c>
      <c r="I1087" s="94">
        <v>1</v>
      </c>
      <c r="J1087" s="95">
        <v>60</v>
      </c>
    </row>
    <row r="1088" spans="1:10" x14ac:dyDescent="0.25">
      <c r="A1088" s="92">
        <v>45827</v>
      </c>
      <c r="B1088" s="93" t="s">
        <v>326</v>
      </c>
      <c r="C1088" s="89" t="s">
        <v>40</v>
      </c>
      <c r="D1088" s="93" t="s">
        <v>235</v>
      </c>
      <c r="E1088" s="93" t="s">
        <v>36</v>
      </c>
      <c r="F1088" s="93" t="s">
        <v>355</v>
      </c>
      <c r="G1088" s="93" t="s">
        <v>348</v>
      </c>
      <c r="H1088" s="93" t="s">
        <v>342</v>
      </c>
      <c r="I1088" s="94">
        <v>1</v>
      </c>
      <c r="J1088" s="95">
        <v>60</v>
      </c>
    </row>
    <row r="1089" spans="1:10" x14ac:dyDescent="0.25">
      <c r="A1089" s="92">
        <v>45827</v>
      </c>
      <c r="B1089" s="93" t="s">
        <v>326</v>
      </c>
      <c r="C1089" s="89" t="s">
        <v>40</v>
      </c>
      <c r="D1089" s="93" t="s">
        <v>300</v>
      </c>
      <c r="E1089" s="93" t="s">
        <v>36</v>
      </c>
      <c r="F1089" s="93" t="s">
        <v>464</v>
      </c>
      <c r="G1089" s="93" t="s">
        <v>348</v>
      </c>
      <c r="H1089" s="93" t="s">
        <v>342</v>
      </c>
      <c r="I1089" s="94">
        <v>0.5</v>
      </c>
      <c r="J1089" s="95">
        <v>30</v>
      </c>
    </row>
    <row r="1090" spans="1:10" x14ac:dyDescent="0.25">
      <c r="A1090" s="92">
        <v>45827</v>
      </c>
      <c r="B1090" s="93" t="s">
        <v>332</v>
      </c>
      <c r="C1090" s="89" t="s">
        <v>40</v>
      </c>
      <c r="D1090" s="93" t="s">
        <v>314</v>
      </c>
      <c r="E1090" s="93" t="s">
        <v>35</v>
      </c>
      <c r="F1090" s="93" t="s">
        <v>359</v>
      </c>
      <c r="G1090" s="93" t="s">
        <v>339</v>
      </c>
      <c r="H1090" s="93" t="s">
        <v>352</v>
      </c>
      <c r="I1090" s="94">
        <v>7.5</v>
      </c>
      <c r="J1090" s="95">
        <v>300</v>
      </c>
    </row>
    <row r="1091" spans="1:10" x14ac:dyDescent="0.25">
      <c r="A1091" s="92">
        <v>45827</v>
      </c>
      <c r="B1091" s="93" t="s">
        <v>324</v>
      </c>
      <c r="C1091" s="89" t="s">
        <v>40</v>
      </c>
      <c r="D1091" s="93" t="s">
        <v>314</v>
      </c>
      <c r="E1091" s="93" t="s">
        <v>35</v>
      </c>
      <c r="F1091" s="93" t="s">
        <v>359</v>
      </c>
      <c r="G1091" s="93" t="s">
        <v>339</v>
      </c>
      <c r="H1091" s="93" t="s">
        <v>352</v>
      </c>
      <c r="I1091" s="94">
        <v>4.75</v>
      </c>
      <c r="J1091" s="95">
        <v>356.25</v>
      </c>
    </row>
    <row r="1092" spans="1:10" x14ac:dyDescent="0.25">
      <c r="A1092" s="92">
        <v>45828</v>
      </c>
      <c r="B1092" s="93" t="s">
        <v>330</v>
      </c>
      <c r="C1092" s="89" t="s">
        <v>40</v>
      </c>
      <c r="D1092" s="93" t="s">
        <v>196</v>
      </c>
      <c r="E1092" s="93" t="s">
        <v>341</v>
      </c>
      <c r="F1092" s="93" t="s">
        <v>446</v>
      </c>
      <c r="G1092" s="93" t="s">
        <v>347</v>
      </c>
      <c r="H1092" s="93" t="s">
        <v>344</v>
      </c>
      <c r="I1092" s="94">
        <v>1</v>
      </c>
      <c r="J1092" s="95">
        <v>60</v>
      </c>
    </row>
    <row r="1093" spans="1:10" x14ac:dyDescent="0.25">
      <c r="A1093" s="92">
        <v>45828</v>
      </c>
      <c r="B1093" s="93" t="s">
        <v>323</v>
      </c>
      <c r="C1093" s="89" t="s">
        <v>40</v>
      </c>
      <c r="D1093" s="93" t="s">
        <v>212</v>
      </c>
      <c r="E1093" s="93" t="s">
        <v>36</v>
      </c>
      <c r="F1093" s="93" t="s">
        <v>392</v>
      </c>
      <c r="G1093" s="93" t="s">
        <v>346</v>
      </c>
      <c r="H1093" s="93" t="s">
        <v>342</v>
      </c>
      <c r="I1093" s="94">
        <v>0.5</v>
      </c>
      <c r="J1093" s="95">
        <v>30</v>
      </c>
    </row>
    <row r="1094" spans="1:10" x14ac:dyDescent="0.25">
      <c r="A1094" s="92">
        <v>45828</v>
      </c>
      <c r="B1094" s="93" t="s">
        <v>323</v>
      </c>
      <c r="C1094" s="89" t="s">
        <v>40</v>
      </c>
      <c r="D1094" s="93" t="s">
        <v>219</v>
      </c>
      <c r="E1094" s="93" t="s">
        <v>36</v>
      </c>
      <c r="F1094" s="93" t="s">
        <v>432</v>
      </c>
      <c r="G1094" s="93" t="s">
        <v>346</v>
      </c>
      <c r="H1094" s="93" t="s">
        <v>342</v>
      </c>
      <c r="I1094" s="94">
        <v>0.5</v>
      </c>
      <c r="J1094" s="95">
        <v>30</v>
      </c>
    </row>
    <row r="1095" spans="1:10" x14ac:dyDescent="0.25">
      <c r="A1095" s="92">
        <v>45828</v>
      </c>
      <c r="B1095" s="93" t="s">
        <v>331</v>
      </c>
      <c r="C1095" s="89" t="s">
        <v>40</v>
      </c>
      <c r="D1095" s="93" t="s">
        <v>316</v>
      </c>
      <c r="E1095" s="93" t="s">
        <v>35</v>
      </c>
      <c r="F1095" s="93" t="s">
        <v>338</v>
      </c>
      <c r="G1095" s="93" t="s">
        <v>337</v>
      </c>
      <c r="H1095" s="93" t="s">
        <v>352</v>
      </c>
      <c r="I1095" s="94">
        <v>0.25</v>
      </c>
      <c r="J1095" s="95">
        <v>8</v>
      </c>
    </row>
    <row r="1096" spans="1:10" x14ac:dyDescent="0.25">
      <c r="A1096" s="92">
        <v>45828</v>
      </c>
      <c r="B1096" s="93" t="s">
        <v>333</v>
      </c>
      <c r="C1096" s="89" t="s">
        <v>40</v>
      </c>
      <c r="D1096" s="93" t="s">
        <v>320</v>
      </c>
      <c r="E1096" s="93" t="s">
        <v>35</v>
      </c>
      <c r="F1096" s="93" t="s">
        <v>322</v>
      </c>
      <c r="G1096" s="93" t="s">
        <v>319</v>
      </c>
      <c r="H1096" s="93" t="s">
        <v>352</v>
      </c>
      <c r="I1096" s="94">
        <v>7.65</v>
      </c>
      <c r="J1096" s="95">
        <v>244.8</v>
      </c>
    </row>
    <row r="1097" spans="1:10" x14ac:dyDescent="0.25">
      <c r="A1097" s="92">
        <v>45828</v>
      </c>
      <c r="B1097" s="93" t="s">
        <v>327</v>
      </c>
      <c r="C1097" s="89" t="s">
        <v>40</v>
      </c>
      <c r="D1097" s="93" t="s">
        <v>320</v>
      </c>
      <c r="E1097" s="93" t="s">
        <v>35</v>
      </c>
      <c r="F1097" s="93" t="s">
        <v>322</v>
      </c>
      <c r="G1097" s="93" t="s">
        <v>319</v>
      </c>
      <c r="H1097" s="93" t="s">
        <v>352</v>
      </c>
      <c r="I1097" s="94">
        <v>7.25</v>
      </c>
      <c r="J1097" s="95">
        <v>232</v>
      </c>
    </row>
    <row r="1098" spans="1:10" x14ac:dyDescent="0.25">
      <c r="A1098" s="92">
        <v>45828</v>
      </c>
      <c r="B1098" s="93" t="s">
        <v>323</v>
      </c>
      <c r="C1098" s="89" t="s">
        <v>40</v>
      </c>
      <c r="D1098" s="93" t="s">
        <v>283</v>
      </c>
      <c r="E1098" s="93" t="s">
        <v>36</v>
      </c>
      <c r="F1098" s="93" t="s">
        <v>429</v>
      </c>
      <c r="G1098" s="93" t="s">
        <v>346</v>
      </c>
      <c r="H1098" s="93" t="s">
        <v>342</v>
      </c>
      <c r="I1098" s="94">
        <v>0.5</v>
      </c>
      <c r="J1098" s="95">
        <v>30</v>
      </c>
    </row>
    <row r="1099" spans="1:10" x14ac:dyDescent="0.25">
      <c r="A1099" s="92">
        <v>45828</v>
      </c>
      <c r="B1099" s="93" t="s">
        <v>323</v>
      </c>
      <c r="C1099" s="89" t="s">
        <v>40</v>
      </c>
      <c r="D1099" s="93" t="s">
        <v>202</v>
      </c>
      <c r="E1099" s="93" t="s">
        <v>34</v>
      </c>
      <c r="F1099" s="93" t="s">
        <v>431</v>
      </c>
      <c r="G1099" s="93" t="s">
        <v>346</v>
      </c>
      <c r="H1099" s="93" t="s">
        <v>343</v>
      </c>
      <c r="I1099" s="94">
        <v>0.25</v>
      </c>
      <c r="J1099" s="95">
        <v>15</v>
      </c>
    </row>
    <row r="1100" spans="1:10" x14ac:dyDescent="0.25">
      <c r="A1100" s="92">
        <v>45828</v>
      </c>
      <c r="B1100" s="93" t="s">
        <v>323</v>
      </c>
      <c r="C1100" s="89" t="s">
        <v>40</v>
      </c>
      <c r="D1100" s="93" t="s">
        <v>266</v>
      </c>
      <c r="E1100" s="93" t="s">
        <v>34</v>
      </c>
      <c r="F1100" s="93" t="s">
        <v>394</v>
      </c>
      <c r="G1100" s="93" t="s">
        <v>346</v>
      </c>
      <c r="H1100" s="93" t="s">
        <v>343</v>
      </c>
      <c r="I1100" s="94">
        <v>0.5</v>
      </c>
      <c r="J1100" s="95">
        <v>30</v>
      </c>
    </row>
    <row r="1101" spans="1:10" x14ac:dyDescent="0.25">
      <c r="A1101" s="92">
        <v>45828</v>
      </c>
      <c r="B1101" s="93" t="s">
        <v>325</v>
      </c>
      <c r="C1101" s="89" t="s">
        <v>40</v>
      </c>
      <c r="D1101" s="93" t="s">
        <v>179</v>
      </c>
      <c r="E1101" s="93" t="s">
        <v>36</v>
      </c>
      <c r="F1101" s="93" t="s">
        <v>422</v>
      </c>
      <c r="G1101" s="93" t="s">
        <v>347</v>
      </c>
      <c r="H1101" s="93" t="s">
        <v>342</v>
      </c>
      <c r="I1101" s="94">
        <v>0.33</v>
      </c>
      <c r="J1101" s="95">
        <v>24.75</v>
      </c>
    </row>
    <row r="1102" spans="1:10" x14ac:dyDescent="0.25">
      <c r="A1102" s="92">
        <v>45828</v>
      </c>
      <c r="B1102" s="93" t="s">
        <v>325</v>
      </c>
      <c r="C1102" s="89" t="s">
        <v>40</v>
      </c>
      <c r="D1102" s="93" t="s">
        <v>290</v>
      </c>
      <c r="E1102" s="93" t="s">
        <v>36</v>
      </c>
      <c r="F1102" s="93" t="s">
        <v>428</v>
      </c>
      <c r="G1102" s="93" t="s">
        <v>347</v>
      </c>
      <c r="H1102" s="93" t="s">
        <v>342</v>
      </c>
      <c r="I1102" s="94">
        <v>0.17</v>
      </c>
      <c r="J1102" s="95">
        <v>12.750000000000002</v>
      </c>
    </row>
    <row r="1103" spans="1:10" x14ac:dyDescent="0.25">
      <c r="A1103" s="92">
        <v>45828</v>
      </c>
      <c r="B1103" s="93" t="s">
        <v>325</v>
      </c>
      <c r="C1103" s="89" t="s">
        <v>40</v>
      </c>
      <c r="D1103" s="93" t="s">
        <v>182</v>
      </c>
      <c r="E1103" s="93" t="s">
        <v>34</v>
      </c>
      <c r="F1103" s="93" t="s">
        <v>467</v>
      </c>
      <c r="G1103" s="93" t="s">
        <v>347</v>
      </c>
      <c r="H1103" s="93" t="s">
        <v>343</v>
      </c>
      <c r="I1103" s="94">
        <v>0.33</v>
      </c>
      <c r="J1103" s="95">
        <v>24.75</v>
      </c>
    </row>
    <row r="1104" spans="1:10" x14ac:dyDescent="0.25">
      <c r="A1104" s="92">
        <v>45828</v>
      </c>
      <c r="B1104" s="93" t="s">
        <v>325</v>
      </c>
      <c r="C1104" s="89" t="s">
        <v>40</v>
      </c>
      <c r="D1104" s="93" t="s">
        <v>304</v>
      </c>
      <c r="E1104" s="93" t="s">
        <v>34</v>
      </c>
      <c r="F1104" s="93" t="s">
        <v>372</v>
      </c>
      <c r="G1104" s="93" t="s">
        <v>347</v>
      </c>
      <c r="H1104" s="93" t="s">
        <v>343</v>
      </c>
      <c r="I1104" s="94">
        <v>0.17</v>
      </c>
      <c r="J1104" s="95">
        <v>12.750000000000002</v>
      </c>
    </row>
    <row r="1105" spans="1:10" x14ac:dyDescent="0.25">
      <c r="A1105" s="92">
        <v>45828</v>
      </c>
      <c r="B1105" s="93" t="s">
        <v>325</v>
      </c>
      <c r="C1105" s="89" t="s">
        <v>40</v>
      </c>
      <c r="D1105" s="93" t="s">
        <v>271</v>
      </c>
      <c r="E1105" s="93" t="s">
        <v>34</v>
      </c>
      <c r="F1105" s="93" t="s">
        <v>363</v>
      </c>
      <c r="G1105" s="93" t="s">
        <v>347</v>
      </c>
      <c r="H1105" s="93" t="s">
        <v>343</v>
      </c>
      <c r="I1105" s="94">
        <v>0.57999999999999996</v>
      </c>
      <c r="J1105" s="95">
        <v>43.5</v>
      </c>
    </row>
    <row r="1106" spans="1:10" x14ac:dyDescent="0.25">
      <c r="A1106" s="92">
        <v>45828</v>
      </c>
      <c r="B1106" s="93" t="s">
        <v>325</v>
      </c>
      <c r="C1106" s="89" t="s">
        <v>40</v>
      </c>
      <c r="D1106" s="93" t="s">
        <v>291</v>
      </c>
      <c r="E1106" s="93" t="s">
        <v>34</v>
      </c>
      <c r="F1106" s="93" t="s">
        <v>412</v>
      </c>
      <c r="G1106" s="93" t="s">
        <v>347</v>
      </c>
      <c r="H1106" s="93" t="s">
        <v>343</v>
      </c>
      <c r="I1106" s="94">
        <v>0.33</v>
      </c>
      <c r="J1106" s="95">
        <v>24.75</v>
      </c>
    </row>
    <row r="1107" spans="1:10" x14ac:dyDescent="0.25">
      <c r="A1107" s="92">
        <v>45828</v>
      </c>
      <c r="B1107" s="93" t="s">
        <v>330</v>
      </c>
      <c r="C1107" s="89" t="s">
        <v>40</v>
      </c>
      <c r="D1107" s="93" t="s">
        <v>252</v>
      </c>
      <c r="E1107" s="93" t="s">
        <v>34</v>
      </c>
      <c r="F1107" s="93" t="s">
        <v>416</v>
      </c>
      <c r="G1107" s="93" t="s">
        <v>347</v>
      </c>
      <c r="H1107" s="93" t="s">
        <v>343</v>
      </c>
      <c r="I1107" s="94">
        <v>0.5</v>
      </c>
      <c r="J1107" s="95">
        <v>30</v>
      </c>
    </row>
    <row r="1108" spans="1:10" x14ac:dyDescent="0.25">
      <c r="A1108" s="92">
        <v>45828</v>
      </c>
      <c r="B1108" s="93" t="s">
        <v>325</v>
      </c>
      <c r="C1108" s="89" t="s">
        <v>40</v>
      </c>
      <c r="D1108" s="93" t="s">
        <v>264</v>
      </c>
      <c r="E1108" s="93" t="s">
        <v>34</v>
      </c>
      <c r="F1108" s="93" t="s">
        <v>384</v>
      </c>
      <c r="G1108" s="93" t="s">
        <v>347</v>
      </c>
      <c r="H1108" s="93" t="s">
        <v>343</v>
      </c>
      <c r="I1108" s="94">
        <v>0.17</v>
      </c>
      <c r="J1108" s="95">
        <v>12.750000000000002</v>
      </c>
    </row>
    <row r="1109" spans="1:10" x14ac:dyDescent="0.25">
      <c r="A1109" s="92">
        <v>45828</v>
      </c>
      <c r="B1109" s="93" t="s">
        <v>326</v>
      </c>
      <c r="C1109" s="89" t="s">
        <v>40</v>
      </c>
      <c r="D1109" s="93" t="s">
        <v>227</v>
      </c>
      <c r="E1109" s="93" t="s">
        <v>36</v>
      </c>
      <c r="F1109" s="93" t="s">
        <v>453</v>
      </c>
      <c r="G1109" s="93" t="s">
        <v>348</v>
      </c>
      <c r="H1109" s="93" t="s">
        <v>342</v>
      </c>
      <c r="I1109" s="94">
        <v>1.17</v>
      </c>
      <c r="J1109" s="95">
        <v>70.199999999999989</v>
      </c>
    </row>
    <row r="1110" spans="1:10" x14ac:dyDescent="0.25">
      <c r="A1110" s="92">
        <v>45828</v>
      </c>
      <c r="B1110" s="93" t="s">
        <v>326</v>
      </c>
      <c r="C1110" s="89" t="s">
        <v>40</v>
      </c>
      <c r="D1110" s="93" t="s">
        <v>236</v>
      </c>
      <c r="E1110" s="93" t="s">
        <v>36</v>
      </c>
      <c r="F1110" s="93" t="s">
        <v>357</v>
      </c>
      <c r="G1110" s="93" t="s">
        <v>348</v>
      </c>
      <c r="H1110" s="93" t="s">
        <v>342</v>
      </c>
      <c r="I1110" s="94">
        <v>0.83</v>
      </c>
      <c r="J1110" s="95">
        <v>49.8</v>
      </c>
    </row>
    <row r="1111" spans="1:10" x14ac:dyDescent="0.25">
      <c r="A1111" s="92">
        <v>45828</v>
      </c>
      <c r="B1111" s="93" t="s">
        <v>332</v>
      </c>
      <c r="C1111" s="89" t="s">
        <v>40</v>
      </c>
      <c r="D1111" s="93" t="s">
        <v>314</v>
      </c>
      <c r="E1111" s="93" t="s">
        <v>35</v>
      </c>
      <c r="F1111" s="93" t="s">
        <v>359</v>
      </c>
      <c r="G1111" s="93" t="s">
        <v>339</v>
      </c>
      <c r="H1111" s="93" t="s">
        <v>352</v>
      </c>
      <c r="I1111" s="94">
        <v>7.5</v>
      </c>
      <c r="J1111" s="95">
        <v>300</v>
      </c>
    </row>
    <row r="1112" spans="1:10" x14ac:dyDescent="0.25">
      <c r="A1112" s="92">
        <v>45828</v>
      </c>
      <c r="B1112" s="93" t="s">
        <v>324</v>
      </c>
      <c r="C1112" s="89" t="s">
        <v>40</v>
      </c>
      <c r="D1112" s="93" t="s">
        <v>314</v>
      </c>
      <c r="E1112" s="93" t="s">
        <v>35</v>
      </c>
      <c r="F1112" s="93" t="s">
        <v>359</v>
      </c>
      <c r="G1112" s="93" t="s">
        <v>339</v>
      </c>
      <c r="H1112" s="93" t="s">
        <v>352</v>
      </c>
      <c r="I1112" s="94">
        <v>5.5</v>
      </c>
      <c r="J1112" s="95">
        <v>412.5</v>
      </c>
    </row>
    <row r="1113" spans="1:10" x14ac:dyDescent="0.25">
      <c r="A1113" s="92">
        <v>45829</v>
      </c>
      <c r="B1113" s="93" t="s">
        <v>332</v>
      </c>
      <c r="C1113" s="89" t="s">
        <v>40</v>
      </c>
      <c r="D1113" s="93" t="s">
        <v>314</v>
      </c>
      <c r="E1113" s="93" t="s">
        <v>35</v>
      </c>
      <c r="F1113" s="93" t="s">
        <v>359</v>
      </c>
      <c r="G1113" s="93" t="s">
        <v>339</v>
      </c>
      <c r="H1113" s="93" t="s">
        <v>352</v>
      </c>
      <c r="I1113" s="94">
        <v>4</v>
      </c>
      <c r="J1113" s="95">
        <v>160</v>
      </c>
    </row>
    <row r="1114" spans="1:10" x14ac:dyDescent="0.25">
      <c r="A1114" s="92">
        <v>45831</v>
      </c>
      <c r="B1114" s="93" t="s">
        <v>329</v>
      </c>
      <c r="C1114" s="89" t="s">
        <v>40</v>
      </c>
      <c r="D1114" s="93" t="s">
        <v>316</v>
      </c>
      <c r="E1114" s="93" t="s">
        <v>35</v>
      </c>
      <c r="F1114" s="93" t="s">
        <v>338</v>
      </c>
      <c r="G1114" s="93" t="s">
        <v>337</v>
      </c>
      <c r="H1114" s="93" t="s">
        <v>352</v>
      </c>
      <c r="I1114" s="94">
        <v>0.83</v>
      </c>
      <c r="J1114" s="95">
        <v>62.25</v>
      </c>
    </row>
    <row r="1115" spans="1:10" x14ac:dyDescent="0.25">
      <c r="A1115" s="92">
        <v>45831</v>
      </c>
      <c r="B1115" s="93" t="s">
        <v>333</v>
      </c>
      <c r="C1115" s="89" t="s">
        <v>40</v>
      </c>
      <c r="D1115" s="93" t="s">
        <v>320</v>
      </c>
      <c r="E1115" s="93" t="s">
        <v>35</v>
      </c>
      <c r="F1115" s="93" t="s">
        <v>322</v>
      </c>
      <c r="G1115" s="93" t="s">
        <v>319</v>
      </c>
      <c r="H1115" s="93" t="s">
        <v>352</v>
      </c>
      <c r="I1115" s="94">
        <v>7.2</v>
      </c>
      <c r="J1115" s="95">
        <v>230.4</v>
      </c>
    </row>
    <row r="1116" spans="1:10" x14ac:dyDescent="0.25">
      <c r="A1116" s="92">
        <v>45831</v>
      </c>
      <c r="B1116" s="93" t="s">
        <v>327</v>
      </c>
      <c r="C1116" s="89" t="s">
        <v>40</v>
      </c>
      <c r="D1116" s="93" t="s">
        <v>320</v>
      </c>
      <c r="E1116" s="93" t="s">
        <v>35</v>
      </c>
      <c r="F1116" s="93" t="s">
        <v>322</v>
      </c>
      <c r="G1116" s="93" t="s">
        <v>319</v>
      </c>
      <c r="H1116" s="93" t="s">
        <v>352</v>
      </c>
      <c r="I1116" s="94">
        <v>7.5</v>
      </c>
      <c r="J1116" s="95">
        <v>240</v>
      </c>
    </row>
    <row r="1117" spans="1:10" x14ac:dyDescent="0.25">
      <c r="A1117" s="92">
        <v>45831</v>
      </c>
      <c r="B1117" s="93" t="s">
        <v>323</v>
      </c>
      <c r="C1117" s="89" t="s">
        <v>40</v>
      </c>
      <c r="D1117" s="93" t="s">
        <v>172</v>
      </c>
      <c r="E1117" s="93" t="s">
        <v>341</v>
      </c>
      <c r="F1117" s="93" t="s">
        <v>426</v>
      </c>
      <c r="G1117" s="93" t="s">
        <v>346</v>
      </c>
      <c r="H1117" s="93" t="s">
        <v>344</v>
      </c>
      <c r="I1117" s="94">
        <v>1.33</v>
      </c>
      <c r="J1117" s="95">
        <v>79.800000000000011</v>
      </c>
    </row>
    <row r="1118" spans="1:10" x14ac:dyDescent="0.25">
      <c r="A1118" s="92">
        <v>45831</v>
      </c>
      <c r="B1118" s="93" t="s">
        <v>323</v>
      </c>
      <c r="C1118" s="89" t="s">
        <v>40</v>
      </c>
      <c r="D1118" s="93" t="s">
        <v>245</v>
      </c>
      <c r="E1118" s="93" t="s">
        <v>341</v>
      </c>
      <c r="F1118" s="93" t="s">
        <v>435</v>
      </c>
      <c r="G1118" s="93" t="s">
        <v>346</v>
      </c>
      <c r="H1118" s="93" t="s">
        <v>344</v>
      </c>
      <c r="I1118" s="94">
        <v>1.33</v>
      </c>
      <c r="J1118" s="95">
        <v>79.800000000000011</v>
      </c>
    </row>
    <row r="1119" spans="1:10" x14ac:dyDescent="0.25">
      <c r="A1119" s="92">
        <v>45831</v>
      </c>
      <c r="B1119" s="93" t="s">
        <v>323</v>
      </c>
      <c r="C1119" s="89" t="s">
        <v>40</v>
      </c>
      <c r="D1119" s="93" t="s">
        <v>280</v>
      </c>
      <c r="E1119" s="93" t="s">
        <v>341</v>
      </c>
      <c r="F1119" s="93" t="s">
        <v>445</v>
      </c>
      <c r="G1119" s="93" t="s">
        <v>346</v>
      </c>
      <c r="H1119" s="93" t="s">
        <v>344</v>
      </c>
      <c r="I1119" s="94">
        <v>1</v>
      </c>
      <c r="J1119" s="95">
        <v>60</v>
      </c>
    </row>
    <row r="1120" spans="1:10" x14ac:dyDescent="0.25">
      <c r="A1120" s="92">
        <v>45831</v>
      </c>
      <c r="B1120" s="93" t="s">
        <v>323</v>
      </c>
      <c r="C1120" s="89" t="s">
        <v>40</v>
      </c>
      <c r="D1120" s="93" t="s">
        <v>274</v>
      </c>
      <c r="E1120" s="93" t="s">
        <v>341</v>
      </c>
      <c r="F1120" s="93" t="s">
        <v>421</v>
      </c>
      <c r="G1120" s="93" t="s">
        <v>346</v>
      </c>
      <c r="H1120" s="93" t="s">
        <v>344</v>
      </c>
      <c r="I1120" s="94">
        <v>1</v>
      </c>
      <c r="J1120" s="95">
        <v>60</v>
      </c>
    </row>
    <row r="1121" spans="1:10" x14ac:dyDescent="0.25">
      <c r="A1121" s="92">
        <v>45831</v>
      </c>
      <c r="B1121" s="93" t="s">
        <v>323</v>
      </c>
      <c r="C1121" s="89" t="s">
        <v>40</v>
      </c>
      <c r="D1121" s="93" t="s">
        <v>281</v>
      </c>
      <c r="E1121" s="93" t="s">
        <v>341</v>
      </c>
      <c r="F1121" s="93" t="s">
        <v>430</v>
      </c>
      <c r="G1121" s="93" t="s">
        <v>346</v>
      </c>
      <c r="H1121" s="93" t="s">
        <v>344</v>
      </c>
      <c r="I1121" s="94">
        <v>1</v>
      </c>
      <c r="J1121" s="95">
        <v>60</v>
      </c>
    </row>
    <row r="1122" spans="1:10" x14ac:dyDescent="0.25">
      <c r="A1122" s="92">
        <v>45831</v>
      </c>
      <c r="B1122" s="93" t="s">
        <v>323</v>
      </c>
      <c r="C1122" s="89" t="s">
        <v>40</v>
      </c>
      <c r="D1122" s="93" t="s">
        <v>282</v>
      </c>
      <c r="E1122" s="93" t="s">
        <v>341</v>
      </c>
      <c r="F1122" s="93" t="s">
        <v>451</v>
      </c>
      <c r="G1122" s="93" t="s">
        <v>346</v>
      </c>
      <c r="H1122" s="93" t="s">
        <v>344</v>
      </c>
      <c r="I1122" s="94">
        <v>0.5</v>
      </c>
      <c r="J1122" s="95">
        <v>30</v>
      </c>
    </row>
    <row r="1123" spans="1:10" x14ac:dyDescent="0.25">
      <c r="A1123" s="92">
        <v>45831</v>
      </c>
      <c r="B1123" s="93" t="s">
        <v>325</v>
      </c>
      <c r="C1123" s="89" t="s">
        <v>40</v>
      </c>
      <c r="D1123" s="93" t="s">
        <v>180</v>
      </c>
      <c r="E1123" s="93" t="s">
        <v>36</v>
      </c>
      <c r="F1123" s="93" t="s">
        <v>465</v>
      </c>
      <c r="G1123" s="93" t="s">
        <v>347</v>
      </c>
      <c r="H1123" s="93" t="s">
        <v>342</v>
      </c>
      <c r="I1123" s="94">
        <v>0.25</v>
      </c>
      <c r="J1123" s="95">
        <v>18.75</v>
      </c>
    </row>
    <row r="1124" spans="1:10" x14ac:dyDescent="0.25">
      <c r="A1124" s="92">
        <v>45831</v>
      </c>
      <c r="B1124" s="93" t="s">
        <v>329</v>
      </c>
      <c r="C1124" s="89" t="s">
        <v>40</v>
      </c>
      <c r="D1124" s="93" t="s">
        <v>301</v>
      </c>
      <c r="E1124" s="93" t="s">
        <v>34</v>
      </c>
      <c r="F1124" s="93" t="s">
        <v>371</v>
      </c>
      <c r="G1124" s="93" t="s">
        <v>347</v>
      </c>
      <c r="H1124" s="93" t="s">
        <v>343</v>
      </c>
      <c r="I1124" s="94">
        <v>0.25</v>
      </c>
      <c r="J1124" s="95">
        <v>18.75</v>
      </c>
    </row>
    <row r="1125" spans="1:10" x14ac:dyDescent="0.25">
      <c r="A1125" s="92">
        <v>45831</v>
      </c>
      <c r="B1125" s="93" t="s">
        <v>330</v>
      </c>
      <c r="C1125" s="89" t="s">
        <v>40</v>
      </c>
      <c r="D1125" s="93" t="s">
        <v>222</v>
      </c>
      <c r="E1125" s="93" t="s">
        <v>34</v>
      </c>
      <c r="F1125" s="93" t="s">
        <v>447</v>
      </c>
      <c r="G1125" s="93" t="s">
        <v>347</v>
      </c>
      <c r="H1125" s="93" t="s">
        <v>343</v>
      </c>
      <c r="I1125" s="94">
        <v>0.17</v>
      </c>
      <c r="J1125" s="95">
        <v>10.200000000000001</v>
      </c>
    </row>
    <row r="1126" spans="1:10" x14ac:dyDescent="0.25">
      <c r="A1126" s="92">
        <v>45831</v>
      </c>
      <c r="B1126" s="93" t="s">
        <v>329</v>
      </c>
      <c r="C1126" s="89" t="s">
        <v>40</v>
      </c>
      <c r="D1126" s="93" t="s">
        <v>240</v>
      </c>
      <c r="E1126" s="93" t="s">
        <v>34</v>
      </c>
      <c r="F1126" s="93" t="s">
        <v>402</v>
      </c>
      <c r="G1126" s="93" t="s">
        <v>347</v>
      </c>
      <c r="H1126" s="93" t="s">
        <v>343</v>
      </c>
      <c r="I1126" s="94">
        <v>0.17</v>
      </c>
      <c r="J1126" s="95">
        <v>12.750000000000002</v>
      </c>
    </row>
    <row r="1127" spans="1:10" x14ac:dyDescent="0.25">
      <c r="A1127" s="92">
        <v>45831</v>
      </c>
      <c r="B1127" s="93" t="s">
        <v>329</v>
      </c>
      <c r="C1127" s="89" t="s">
        <v>40</v>
      </c>
      <c r="D1127" s="93" t="s">
        <v>293</v>
      </c>
      <c r="E1127" s="93" t="s">
        <v>34</v>
      </c>
      <c r="F1127" s="93" t="s">
        <v>376</v>
      </c>
      <c r="G1127" s="93" t="s">
        <v>347</v>
      </c>
      <c r="H1127" s="93" t="s">
        <v>343</v>
      </c>
      <c r="I1127" s="94">
        <v>0.33</v>
      </c>
      <c r="J1127" s="95">
        <v>24.75</v>
      </c>
    </row>
    <row r="1128" spans="1:10" x14ac:dyDescent="0.25">
      <c r="A1128" s="92">
        <v>45831</v>
      </c>
      <c r="B1128" s="93" t="s">
        <v>329</v>
      </c>
      <c r="C1128" s="89" t="s">
        <v>40</v>
      </c>
      <c r="D1128" s="93" t="s">
        <v>295</v>
      </c>
      <c r="E1128" s="93" t="s">
        <v>34</v>
      </c>
      <c r="F1128" s="93" t="s">
        <v>379</v>
      </c>
      <c r="G1128" s="93" t="s">
        <v>347</v>
      </c>
      <c r="H1128" s="93" t="s">
        <v>343</v>
      </c>
      <c r="I1128" s="94">
        <v>0.17</v>
      </c>
      <c r="J1128" s="95">
        <v>12.750000000000002</v>
      </c>
    </row>
    <row r="1129" spans="1:10" x14ac:dyDescent="0.25">
      <c r="A1129" s="92">
        <v>45831</v>
      </c>
      <c r="B1129" s="93" t="s">
        <v>329</v>
      </c>
      <c r="C1129" s="89" t="s">
        <v>40</v>
      </c>
      <c r="D1129" s="93" t="s">
        <v>259</v>
      </c>
      <c r="E1129" s="93" t="s">
        <v>34</v>
      </c>
      <c r="F1129" s="93" t="s">
        <v>407</v>
      </c>
      <c r="G1129" s="93" t="s">
        <v>347</v>
      </c>
      <c r="H1129" s="93" t="s">
        <v>343</v>
      </c>
      <c r="I1129" s="94">
        <v>0.17</v>
      </c>
      <c r="J1129" s="95">
        <v>12.750000000000002</v>
      </c>
    </row>
    <row r="1130" spans="1:10" x14ac:dyDescent="0.25">
      <c r="A1130" s="92">
        <v>45831</v>
      </c>
      <c r="B1130" s="93" t="s">
        <v>330</v>
      </c>
      <c r="C1130" s="89" t="s">
        <v>40</v>
      </c>
      <c r="D1130" s="93" t="s">
        <v>284</v>
      </c>
      <c r="E1130" s="93" t="s">
        <v>34</v>
      </c>
      <c r="F1130" s="93" t="s">
        <v>415</v>
      </c>
      <c r="G1130" s="93" t="s">
        <v>347</v>
      </c>
      <c r="H1130" s="93" t="s">
        <v>343</v>
      </c>
      <c r="I1130" s="94">
        <v>0.17</v>
      </c>
      <c r="J1130" s="95">
        <v>10.200000000000001</v>
      </c>
    </row>
    <row r="1131" spans="1:10" x14ac:dyDescent="0.25">
      <c r="A1131" s="92">
        <v>45831</v>
      </c>
      <c r="B1131" s="93" t="s">
        <v>329</v>
      </c>
      <c r="C1131" s="89" t="s">
        <v>40</v>
      </c>
      <c r="D1131" s="93" t="s">
        <v>247</v>
      </c>
      <c r="E1131" s="93" t="s">
        <v>341</v>
      </c>
      <c r="F1131" s="93" t="s">
        <v>375</v>
      </c>
      <c r="G1131" s="93" t="s">
        <v>347</v>
      </c>
      <c r="H1131" s="93" t="s">
        <v>344</v>
      </c>
      <c r="I1131" s="94">
        <v>2</v>
      </c>
      <c r="J1131" s="95">
        <v>150</v>
      </c>
    </row>
    <row r="1132" spans="1:10" x14ac:dyDescent="0.25">
      <c r="A1132" s="92">
        <v>45831</v>
      </c>
      <c r="B1132" s="93" t="s">
        <v>326</v>
      </c>
      <c r="C1132" s="89" t="s">
        <v>40</v>
      </c>
      <c r="D1132" s="93" t="s">
        <v>236</v>
      </c>
      <c r="E1132" s="93" t="s">
        <v>36</v>
      </c>
      <c r="F1132" s="93" t="s">
        <v>357</v>
      </c>
      <c r="G1132" s="93" t="s">
        <v>348</v>
      </c>
      <c r="H1132" s="93" t="s">
        <v>342</v>
      </c>
      <c r="I1132" s="94">
        <v>0.83</v>
      </c>
      <c r="J1132" s="95">
        <v>49.8</v>
      </c>
    </row>
    <row r="1133" spans="1:10" x14ac:dyDescent="0.25">
      <c r="A1133" s="92">
        <v>45831</v>
      </c>
      <c r="B1133" s="93" t="s">
        <v>326</v>
      </c>
      <c r="C1133" s="89" t="s">
        <v>40</v>
      </c>
      <c r="D1133" s="93" t="s">
        <v>309</v>
      </c>
      <c r="E1133" s="93" t="s">
        <v>34</v>
      </c>
      <c r="F1133" s="93" t="s">
        <v>454</v>
      </c>
      <c r="G1133" s="93" t="s">
        <v>348</v>
      </c>
      <c r="H1133" s="93" t="s">
        <v>343</v>
      </c>
      <c r="I1133" s="94">
        <v>0.75</v>
      </c>
      <c r="J1133" s="95">
        <v>45</v>
      </c>
    </row>
    <row r="1134" spans="1:10" x14ac:dyDescent="0.25">
      <c r="A1134" s="92">
        <v>45831</v>
      </c>
      <c r="B1134" s="93" t="s">
        <v>326</v>
      </c>
      <c r="C1134" s="89" t="s">
        <v>40</v>
      </c>
      <c r="D1134" s="93" t="s">
        <v>233</v>
      </c>
      <c r="E1134" s="93" t="s">
        <v>341</v>
      </c>
      <c r="F1134" s="93" t="s">
        <v>387</v>
      </c>
      <c r="G1134" s="93" t="s">
        <v>348</v>
      </c>
      <c r="H1134" s="93" t="s">
        <v>344</v>
      </c>
      <c r="I1134" s="94">
        <v>2</v>
      </c>
      <c r="J1134" s="95">
        <v>120</v>
      </c>
    </row>
    <row r="1135" spans="1:10" x14ac:dyDescent="0.25">
      <c r="A1135" s="92">
        <v>45831</v>
      </c>
      <c r="B1135" s="93" t="s">
        <v>332</v>
      </c>
      <c r="C1135" s="89" t="s">
        <v>40</v>
      </c>
      <c r="D1135" s="93" t="s">
        <v>314</v>
      </c>
      <c r="E1135" s="93" t="s">
        <v>35</v>
      </c>
      <c r="F1135" s="93" t="s">
        <v>359</v>
      </c>
      <c r="G1135" s="93" t="s">
        <v>339</v>
      </c>
      <c r="H1135" s="93" t="s">
        <v>352</v>
      </c>
      <c r="I1135" s="94">
        <v>9.17</v>
      </c>
      <c r="J1135" s="95">
        <v>366.8</v>
      </c>
    </row>
    <row r="1136" spans="1:10" x14ac:dyDescent="0.25">
      <c r="A1136" s="92">
        <v>45831</v>
      </c>
      <c r="B1136" s="93" t="s">
        <v>324</v>
      </c>
      <c r="C1136" s="89" t="s">
        <v>40</v>
      </c>
      <c r="D1136" s="93" t="s">
        <v>314</v>
      </c>
      <c r="E1136" s="93" t="s">
        <v>35</v>
      </c>
      <c r="F1136" s="93" t="s">
        <v>359</v>
      </c>
      <c r="G1136" s="93" t="s">
        <v>339</v>
      </c>
      <c r="H1136" s="93" t="s">
        <v>352</v>
      </c>
      <c r="I1136" s="94">
        <v>6</v>
      </c>
      <c r="J1136" s="95">
        <v>450</v>
      </c>
    </row>
    <row r="1137" spans="1:10" x14ac:dyDescent="0.25">
      <c r="A1137" s="92">
        <v>45832</v>
      </c>
      <c r="B1137" s="93" t="s">
        <v>323</v>
      </c>
      <c r="C1137" s="89" t="s">
        <v>40</v>
      </c>
      <c r="D1137" s="93" t="s">
        <v>200</v>
      </c>
      <c r="E1137" s="93" t="s">
        <v>36</v>
      </c>
      <c r="F1137" s="93" t="s">
        <v>391</v>
      </c>
      <c r="G1137" s="93" t="s">
        <v>346</v>
      </c>
      <c r="H1137" s="93" t="s">
        <v>342</v>
      </c>
      <c r="I1137" s="94">
        <v>0.25</v>
      </c>
      <c r="J1137" s="95">
        <v>15</v>
      </c>
    </row>
    <row r="1138" spans="1:10" x14ac:dyDescent="0.25">
      <c r="A1138" s="92">
        <v>45832</v>
      </c>
      <c r="B1138" s="93" t="s">
        <v>323</v>
      </c>
      <c r="C1138" s="89" t="s">
        <v>40</v>
      </c>
      <c r="D1138" s="93" t="s">
        <v>212</v>
      </c>
      <c r="E1138" s="93" t="s">
        <v>36</v>
      </c>
      <c r="F1138" s="93" t="s">
        <v>392</v>
      </c>
      <c r="G1138" s="93" t="s">
        <v>346</v>
      </c>
      <c r="H1138" s="93" t="s">
        <v>342</v>
      </c>
      <c r="I1138" s="94">
        <v>0.25</v>
      </c>
      <c r="J1138" s="95">
        <v>15</v>
      </c>
    </row>
    <row r="1139" spans="1:10" x14ac:dyDescent="0.25">
      <c r="A1139" s="92">
        <v>45832</v>
      </c>
      <c r="B1139" s="93" t="s">
        <v>329</v>
      </c>
      <c r="C1139" s="89" t="s">
        <v>40</v>
      </c>
      <c r="D1139" s="93" t="s">
        <v>316</v>
      </c>
      <c r="E1139" s="93" t="s">
        <v>35</v>
      </c>
      <c r="F1139" s="93" t="s">
        <v>338</v>
      </c>
      <c r="G1139" s="93" t="s">
        <v>337</v>
      </c>
      <c r="H1139" s="93" t="s">
        <v>352</v>
      </c>
      <c r="I1139" s="94">
        <v>0.5</v>
      </c>
      <c r="J1139" s="95">
        <v>37.5</v>
      </c>
    </row>
    <row r="1140" spans="1:10" x14ac:dyDescent="0.25">
      <c r="A1140" s="92">
        <v>45832</v>
      </c>
      <c r="B1140" s="93" t="s">
        <v>333</v>
      </c>
      <c r="C1140" s="89" t="s">
        <v>40</v>
      </c>
      <c r="D1140" s="93" t="s">
        <v>320</v>
      </c>
      <c r="E1140" s="93" t="s">
        <v>35</v>
      </c>
      <c r="F1140" s="93" t="s">
        <v>322</v>
      </c>
      <c r="G1140" s="93" t="s">
        <v>319</v>
      </c>
      <c r="H1140" s="93" t="s">
        <v>352</v>
      </c>
      <c r="I1140" s="94">
        <v>8.77</v>
      </c>
      <c r="J1140" s="95">
        <v>280.64</v>
      </c>
    </row>
    <row r="1141" spans="1:10" x14ac:dyDescent="0.25">
      <c r="A1141" s="92">
        <v>45832</v>
      </c>
      <c r="B1141" s="93" t="s">
        <v>323</v>
      </c>
      <c r="C1141" s="89" t="s">
        <v>40</v>
      </c>
      <c r="D1141" s="93" t="s">
        <v>245</v>
      </c>
      <c r="E1141" s="93" t="s">
        <v>36</v>
      </c>
      <c r="F1141" s="93" t="s">
        <v>435</v>
      </c>
      <c r="G1141" s="93" t="s">
        <v>346</v>
      </c>
      <c r="H1141" s="93" t="s">
        <v>342</v>
      </c>
      <c r="I1141" s="94">
        <v>0.25</v>
      </c>
      <c r="J1141" s="95">
        <v>15</v>
      </c>
    </row>
    <row r="1142" spans="1:10" x14ac:dyDescent="0.25">
      <c r="A1142" s="92">
        <v>45832</v>
      </c>
      <c r="B1142" s="93" t="s">
        <v>323</v>
      </c>
      <c r="C1142" s="89" t="s">
        <v>40</v>
      </c>
      <c r="D1142" s="93" t="s">
        <v>266</v>
      </c>
      <c r="E1142" s="93" t="s">
        <v>34</v>
      </c>
      <c r="F1142" s="93" t="s">
        <v>394</v>
      </c>
      <c r="G1142" s="93" t="s">
        <v>346</v>
      </c>
      <c r="H1142" s="93" t="s">
        <v>343</v>
      </c>
      <c r="I1142" s="94">
        <v>0.5</v>
      </c>
      <c r="J1142" s="95">
        <v>30</v>
      </c>
    </row>
    <row r="1143" spans="1:10" x14ac:dyDescent="0.25">
      <c r="A1143" s="92">
        <v>45832</v>
      </c>
      <c r="B1143" s="93" t="s">
        <v>330</v>
      </c>
      <c r="C1143" s="89" t="s">
        <v>40</v>
      </c>
      <c r="D1143" s="93" t="s">
        <v>252</v>
      </c>
      <c r="E1143" s="93" t="s">
        <v>36</v>
      </c>
      <c r="F1143" s="93" t="s">
        <v>416</v>
      </c>
      <c r="G1143" s="93" t="s">
        <v>347</v>
      </c>
      <c r="H1143" s="93" t="s">
        <v>342</v>
      </c>
      <c r="I1143" s="94">
        <v>0.5</v>
      </c>
      <c r="J1143" s="95">
        <v>30</v>
      </c>
    </row>
    <row r="1144" spans="1:10" x14ac:dyDescent="0.25">
      <c r="A1144" s="92">
        <v>45832</v>
      </c>
      <c r="B1144" s="93" t="s">
        <v>330</v>
      </c>
      <c r="C1144" s="89" t="s">
        <v>40</v>
      </c>
      <c r="D1144" s="93" t="s">
        <v>176</v>
      </c>
      <c r="E1144" s="93" t="s">
        <v>34</v>
      </c>
      <c r="F1144" s="93" t="s">
        <v>458</v>
      </c>
      <c r="G1144" s="93" t="s">
        <v>347</v>
      </c>
      <c r="H1144" s="93" t="s">
        <v>343</v>
      </c>
      <c r="I1144" s="94">
        <v>0.5</v>
      </c>
      <c r="J1144" s="95">
        <v>30</v>
      </c>
    </row>
    <row r="1145" spans="1:10" x14ac:dyDescent="0.25">
      <c r="A1145" s="92">
        <v>45832</v>
      </c>
      <c r="B1145" s="93" t="s">
        <v>325</v>
      </c>
      <c r="C1145" s="89" t="s">
        <v>40</v>
      </c>
      <c r="D1145" s="93" t="s">
        <v>304</v>
      </c>
      <c r="E1145" s="93" t="s">
        <v>34</v>
      </c>
      <c r="F1145" s="93" t="s">
        <v>372</v>
      </c>
      <c r="G1145" s="93" t="s">
        <v>347</v>
      </c>
      <c r="H1145" s="93" t="s">
        <v>343</v>
      </c>
      <c r="I1145" s="94">
        <v>0.17</v>
      </c>
      <c r="J1145" s="95">
        <v>12.750000000000002</v>
      </c>
    </row>
    <row r="1146" spans="1:10" x14ac:dyDescent="0.25">
      <c r="A1146" s="92">
        <v>45832</v>
      </c>
      <c r="B1146" s="93" t="s">
        <v>329</v>
      </c>
      <c r="C1146" s="89" t="s">
        <v>40</v>
      </c>
      <c r="D1146" s="93" t="s">
        <v>242</v>
      </c>
      <c r="E1146" s="93" t="s">
        <v>34</v>
      </c>
      <c r="F1146" s="93" t="s">
        <v>404</v>
      </c>
      <c r="G1146" s="93" t="s">
        <v>347</v>
      </c>
      <c r="H1146" s="93" t="s">
        <v>343</v>
      </c>
      <c r="I1146" s="94">
        <v>0.33</v>
      </c>
      <c r="J1146" s="95">
        <v>24.75</v>
      </c>
    </row>
    <row r="1147" spans="1:10" x14ac:dyDescent="0.25">
      <c r="A1147" s="92">
        <v>45832</v>
      </c>
      <c r="B1147" s="93" t="s">
        <v>325</v>
      </c>
      <c r="C1147" s="89" t="s">
        <v>40</v>
      </c>
      <c r="D1147" s="93" t="s">
        <v>287</v>
      </c>
      <c r="E1147" s="93" t="s">
        <v>34</v>
      </c>
      <c r="F1147" s="93" t="s">
        <v>378</v>
      </c>
      <c r="G1147" s="93" t="s">
        <v>347</v>
      </c>
      <c r="H1147" s="93" t="s">
        <v>343</v>
      </c>
      <c r="I1147" s="94">
        <v>0.25</v>
      </c>
      <c r="J1147" s="95">
        <v>18.75</v>
      </c>
    </row>
    <row r="1148" spans="1:10" x14ac:dyDescent="0.25">
      <c r="A1148" s="92">
        <v>45832</v>
      </c>
      <c r="B1148" s="93" t="s">
        <v>329</v>
      </c>
      <c r="C1148" s="89" t="s">
        <v>40</v>
      </c>
      <c r="D1148" s="93" t="s">
        <v>247</v>
      </c>
      <c r="E1148" s="93" t="s">
        <v>34</v>
      </c>
      <c r="F1148" s="93" t="s">
        <v>375</v>
      </c>
      <c r="G1148" s="93" t="s">
        <v>347</v>
      </c>
      <c r="H1148" s="93" t="s">
        <v>343</v>
      </c>
      <c r="I1148" s="94">
        <v>0.33</v>
      </c>
      <c r="J1148" s="95">
        <v>24.75</v>
      </c>
    </row>
    <row r="1149" spans="1:10" x14ac:dyDescent="0.25">
      <c r="A1149" s="92">
        <v>45832</v>
      </c>
      <c r="B1149" s="93" t="s">
        <v>329</v>
      </c>
      <c r="C1149" s="89" t="s">
        <v>40</v>
      </c>
      <c r="D1149" s="93" t="s">
        <v>248</v>
      </c>
      <c r="E1149" s="93" t="s">
        <v>34</v>
      </c>
      <c r="F1149" s="93" t="s">
        <v>385</v>
      </c>
      <c r="G1149" s="93" t="s">
        <v>347</v>
      </c>
      <c r="H1149" s="93" t="s">
        <v>343</v>
      </c>
      <c r="I1149" s="94">
        <v>0.17</v>
      </c>
      <c r="J1149" s="95">
        <v>12.750000000000002</v>
      </c>
    </row>
    <row r="1150" spans="1:10" x14ac:dyDescent="0.25">
      <c r="A1150" s="92">
        <v>45832</v>
      </c>
      <c r="B1150" s="93" t="s">
        <v>326</v>
      </c>
      <c r="C1150" s="89" t="s">
        <v>40</v>
      </c>
      <c r="D1150" s="93" t="s">
        <v>236</v>
      </c>
      <c r="E1150" s="93" t="s">
        <v>36</v>
      </c>
      <c r="F1150" s="93" t="s">
        <v>357</v>
      </c>
      <c r="G1150" s="93" t="s">
        <v>348</v>
      </c>
      <c r="H1150" s="93" t="s">
        <v>342</v>
      </c>
      <c r="I1150" s="94">
        <v>0.5</v>
      </c>
      <c r="J1150" s="95">
        <v>30</v>
      </c>
    </row>
    <row r="1151" spans="1:10" x14ac:dyDescent="0.25">
      <c r="A1151" s="92">
        <v>45832</v>
      </c>
      <c r="B1151" s="93" t="s">
        <v>332</v>
      </c>
      <c r="C1151" s="89" t="s">
        <v>40</v>
      </c>
      <c r="D1151" s="93" t="s">
        <v>314</v>
      </c>
      <c r="E1151" s="93" t="s">
        <v>35</v>
      </c>
      <c r="F1151" s="93" t="s">
        <v>359</v>
      </c>
      <c r="G1151" s="93" t="s">
        <v>339</v>
      </c>
      <c r="H1151" s="93" t="s">
        <v>352</v>
      </c>
      <c r="I1151" s="94">
        <v>8.83</v>
      </c>
      <c r="J1151" s="95">
        <v>353.2</v>
      </c>
    </row>
    <row r="1152" spans="1:10" x14ac:dyDescent="0.25">
      <c r="A1152" s="92">
        <v>45832</v>
      </c>
      <c r="B1152" s="93" t="s">
        <v>324</v>
      </c>
      <c r="C1152" s="89" t="s">
        <v>40</v>
      </c>
      <c r="D1152" s="93" t="s">
        <v>314</v>
      </c>
      <c r="E1152" s="93" t="s">
        <v>35</v>
      </c>
      <c r="F1152" s="93" t="s">
        <v>359</v>
      </c>
      <c r="G1152" s="93" t="s">
        <v>339</v>
      </c>
      <c r="H1152" s="93" t="s">
        <v>352</v>
      </c>
      <c r="I1152" s="94">
        <v>5.75</v>
      </c>
      <c r="J1152" s="95">
        <v>431.25</v>
      </c>
    </row>
    <row r="1153" spans="1:10" x14ac:dyDescent="0.25">
      <c r="A1153" s="92">
        <v>45833</v>
      </c>
      <c r="B1153" s="93" t="s">
        <v>329</v>
      </c>
      <c r="C1153" s="89" t="s">
        <v>40</v>
      </c>
      <c r="D1153" s="93" t="s">
        <v>270</v>
      </c>
      <c r="E1153" s="93" t="s">
        <v>34</v>
      </c>
      <c r="F1153" s="93" t="s">
        <v>360</v>
      </c>
      <c r="G1153" s="93" t="s">
        <v>347</v>
      </c>
      <c r="H1153" s="93" t="s">
        <v>343</v>
      </c>
      <c r="I1153" s="94">
        <v>0.25</v>
      </c>
      <c r="J1153" s="95">
        <v>18.75</v>
      </c>
    </row>
    <row r="1154" spans="1:10" x14ac:dyDescent="0.25">
      <c r="A1154" s="92">
        <v>45833</v>
      </c>
      <c r="B1154" s="93" t="s">
        <v>323</v>
      </c>
      <c r="C1154" s="89" t="s">
        <v>40</v>
      </c>
      <c r="D1154" s="93" t="s">
        <v>208</v>
      </c>
      <c r="E1154" s="93" t="s">
        <v>36</v>
      </c>
      <c r="F1154" s="93" t="s">
        <v>456</v>
      </c>
      <c r="G1154" s="93" t="s">
        <v>346</v>
      </c>
      <c r="H1154" s="93" t="s">
        <v>342</v>
      </c>
      <c r="I1154" s="94">
        <v>0.33</v>
      </c>
      <c r="J1154" s="95">
        <v>19.8</v>
      </c>
    </row>
    <row r="1155" spans="1:10" x14ac:dyDescent="0.25">
      <c r="A1155" s="92">
        <v>45833</v>
      </c>
      <c r="B1155" s="93" t="s">
        <v>329</v>
      </c>
      <c r="C1155" s="89" t="s">
        <v>40</v>
      </c>
      <c r="D1155" s="93" t="s">
        <v>316</v>
      </c>
      <c r="E1155" s="93" t="s">
        <v>35</v>
      </c>
      <c r="F1155" s="93" t="s">
        <v>338</v>
      </c>
      <c r="G1155" s="93" t="s">
        <v>337</v>
      </c>
      <c r="H1155" s="93" t="s">
        <v>352</v>
      </c>
      <c r="I1155" s="94">
        <v>0.33</v>
      </c>
      <c r="J1155" s="95">
        <v>24.75</v>
      </c>
    </row>
    <row r="1156" spans="1:10" x14ac:dyDescent="0.25">
      <c r="A1156" s="92">
        <v>45833</v>
      </c>
      <c r="B1156" s="93" t="s">
        <v>333</v>
      </c>
      <c r="C1156" s="89" t="s">
        <v>40</v>
      </c>
      <c r="D1156" s="93" t="s">
        <v>320</v>
      </c>
      <c r="E1156" s="93" t="s">
        <v>35</v>
      </c>
      <c r="F1156" s="93" t="s">
        <v>322</v>
      </c>
      <c r="G1156" s="93" t="s">
        <v>319</v>
      </c>
      <c r="H1156" s="93" t="s">
        <v>352</v>
      </c>
      <c r="I1156" s="94">
        <v>8.85</v>
      </c>
      <c r="J1156" s="95">
        <v>283.2</v>
      </c>
    </row>
    <row r="1157" spans="1:10" x14ac:dyDescent="0.25">
      <c r="A1157" s="92">
        <v>45833</v>
      </c>
      <c r="B1157" s="93" t="s">
        <v>329</v>
      </c>
      <c r="C1157" s="89" t="s">
        <v>40</v>
      </c>
      <c r="D1157" s="93" t="s">
        <v>181</v>
      </c>
      <c r="E1157" s="93" t="s">
        <v>34</v>
      </c>
      <c r="F1157" s="93" t="s">
        <v>396</v>
      </c>
      <c r="G1157" s="93" t="s">
        <v>347</v>
      </c>
      <c r="H1157" s="93" t="s">
        <v>343</v>
      </c>
      <c r="I1157" s="94">
        <v>0.33</v>
      </c>
      <c r="J1157" s="95">
        <v>24.75</v>
      </c>
    </row>
    <row r="1158" spans="1:10" x14ac:dyDescent="0.25">
      <c r="A1158" s="92">
        <v>45833</v>
      </c>
      <c r="B1158" s="93" t="s">
        <v>330</v>
      </c>
      <c r="C1158" s="89" t="s">
        <v>40</v>
      </c>
      <c r="D1158" s="93" t="s">
        <v>184</v>
      </c>
      <c r="E1158" s="93" t="s">
        <v>34</v>
      </c>
      <c r="F1158" s="93" t="s">
        <v>459</v>
      </c>
      <c r="G1158" s="93" t="s">
        <v>347</v>
      </c>
      <c r="H1158" s="93" t="s">
        <v>343</v>
      </c>
      <c r="I1158" s="94">
        <v>0.5</v>
      </c>
      <c r="J1158" s="95">
        <v>30</v>
      </c>
    </row>
    <row r="1159" spans="1:10" x14ac:dyDescent="0.25">
      <c r="A1159" s="92">
        <v>45833</v>
      </c>
      <c r="B1159" s="93" t="s">
        <v>329</v>
      </c>
      <c r="C1159" s="89" t="s">
        <v>40</v>
      </c>
      <c r="D1159" s="93" t="s">
        <v>221</v>
      </c>
      <c r="E1159" s="93" t="s">
        <v>34</v>
      </c>
      <c r="F1159" s="93" t="s">
        <v>369</v>
      </c>
      <c r="G1159" s="93" t="s">
        <v>347</v>
      </c>
      <c r="H1159" s="93" t="s">
        <v>343</v>
      </c>
      <c r="I1159" s="94">
        <v>0.25</v>
      </c>
      <c r="J1159" s="95">
        <v>18.75</v>
      </c>
    </row>
    <row r="1160" spans="1:10" x14ac:dyDescent="0.25">
      <c r="A1160" s="92">
        <v>45833</v>
      </c>
      <c r="B1160" s="93" t="s">
        <v>329</v>
      </c>
      <c r="C1160" s="89" t="s">
        <v>40</v>
      </c>
      <c r="D1160" s="93" t="s">
        <v>242</v>
      </c>
      <c r="E1160" s="93" t="s">
        <v>34</v>
      </c>
      <c r="F1160" s="93" t="s">
        <v>404</v>
      </c>
      <c r="G1160" s="93" t="s">
        <v>347</v>
      </c>
      <c r="H1160" s="93" t="s">
        <v>343</v>
      </c>
      <c r="I1160" s="94">
        <v>0.08</v>
      </c>
      <c r="J1160" s="95">
        <v>6</v>
      </c>
    </row>
    <row r="1161" spans="1:10" x14ac:dyDescent="0.25">
      <c r="A1161" s="92">
        <v>45833</v>
      </c>
      <c r="B1161" s="93" t="s">
        <v>329</v>
      </c>
      <c r="C1161" s="89" t="s">
        <v>40</v>
      </c>
      <c r="D1161" s="93" t="s">
        <v>293</v>
      </c>
      <c r="E1161" s="93" t="s">
        <v>34</v>
      </c>
      <c r="F1161" s="93" t="s">
        <v>376</v>
      </c>
      <c r="G1161" s="93" t="s">
        <v>347</v>
      </c>
      <c r="H1161" s="93" t="s">
        <v>343</v>
      </c>
      <c r="I1161" s="94">
        <v>0.08</v>
      </c>
      <c r="J1161" s="95">
        <v>6</v>
      </c>
    </row>
    <row r="1162" spans="1:10" x14ac:dyDescent="0.25">
      <c r="A1162" s="92">
        <v>45833</v>
      </c>
      <c r="B1162" s="93" t="s">
        <v>329</v>
      </c>
      <c r="C1162" s="89" t="s">
        <v>40</v>
      </c>
      <c r="D1162" s="93" t="s">
        <v>296</v>
      </c>
      <c r="E1162" s="93" t="s">
        <v>34</v>
      </c>
      <c r="F1162" s="93" t="s">
        <v>411</v>
      </c>
      <c r="G1162" s="93" t="s">
        <v>347</v>
      </c>
      <c r="H1162" s="93" t="s">
        <v>343</v>
      </c>
      <c r="I1162" s="94">
        <v>0.25</v>
      </c>
      <c r="J1162" s="95">
        <v>18.75</v>
      </c>
    </row>
    <row r="1163" spans="1:10" x14ac:dyDescent="0.25">
      <c r="A1163" s="92">
        <v>45833</v>
      </c>
      <c r="B1163" s="93" t="s">
        <v>325</v>
      </c>
      <c r="C1163" s="89" t="s">
        <v>40</v>
      </c>
      <c r="D1163" s="93" t="s">
        <v>254</v>
      </c>
      <c r="E1163" s="93" t="s">
        <v>34</v>
      </c>
      <c r="F1163" s="93" t="s">
        <v>441</v>
      </c>
      <c r="G1163" s="93" t="s">
        <v>347</v>
      </c>
      <c r="H1163" s="93" t="s">
        <v>343</v>
      </c>
      <c r="I1163" s="94">
        <v>0.33</v>
      </c>
      <c r="J1163" s="95">
        <v>24.75</v>
      </c>
    </row>
    <row r="1164" spans="1:10" x14ac:dyDescent="0.25">
      <c r="A1164" s="92">
        <v>45833</v>
      </c>
      <c r="B1164" s="93" t="s">
        <v>329</v>
      </c>
      <c r="C1164" s="89" t="s">
        <v>40</v>
      </c>
      <c r="D1164" s="93" t="s">
        <v>258</v>
      </c>
      <c r="E1164" s="93" t="s">
        <v>34</v>
      </c>
      <c r="F1164" s="93" t="s">
        <v>381</v>
      </c>
      <c r="G1164" s="93" t="s">
        <v>347</v>
      </c>
      <c r="H1164" s="93" t="s">
        <v>343</v>
      </c>
      <c r="I1164" s="94">
        <v>0.33</v>
      </c>
      <c r="J1164" s="95">
        <v>24.75</v>
      </c>
    </row>
    <row r="1165" spans="1:10" x14ac:dyDescent="0.25">
      <c r="A1165" s="92">
        <v>45833</v>
      </c>
      <c r="B1165" s="93" t="s">
        <v>329</v>
      </c>
      <c r="C1165" s="89" t="s">
        <v>40</v>
      </c>
      <c r="D1165" s="93" t="s">
        <v>247</v>
      </c>
      <c r="E1165" s="93" t="s">
        <v>34</v>
      </c>
      <c r="F1165" s="93" t="s">
        <v>375</v>
      </c>
      <c r="G1165" s="93" t="s">
        <v>347</v>
      </c>
      <c r="H1165" s="93" t="s">
        <v>343</v>
      </c>
      <c r="I1165" s="94">
        <v>0.42</v>
      </c>
      <c r="J1165" s="95">
        <v>31.5</v>
      </c>
    </row>
    <row r="1166" spans="1:10" x14ac:dyDescent="0.25">
      <c r="A1166" s="92">
        <v>45833</v>
      </c>
      <c r="B1166" s="93" t="s">
        <v>329</v>
      </c>
      <c r="C1166" s="89" t="s">
        <v>40</v>
      </c>
      <c r="D1166" s="93" t="s">
        <v>248</v>
      </c>
      <c r="E1166" s="93" t="s">
        <v>34</v>
      </c>
      <c r="F1166" s="93" t="s">
        <v>385</v>
      </c>
      <c r="G1166" s="93" t="s">
        <v>347</v>
      </c>
      <c r="H1166" s="93" t="s">
        <v>343</v>
      </c>
      <c r="I1166" s="94">
        <v>0.33</v>
      </c>
      <c r="J1166" s="95">
        <v>24.75</v>
      </c>
    </row>
    <row r="1167" spans="1:10" x14ac:dyDescent="0.25">
      <c r="A1167" s="92">
        <v>45833</v>
      </c>
      <c r="B1167" s="93" t="s">
        <v>329</v>
      </c>
      <c r="C1167" s="89" t="s">
        <v>40</v>
      </c>
      <c r="D1167" s="93" t="s">
        <v>230</v>
      </c>
      <c r="E1167" s="93" t="s">
        <v>34</v>
      </c>
      <c r="F1167" s="93" t="s">
        <v>410</v>
      </c>
      <c r="G1167" s="93" t="s">
        <v>347</v>
      </c>
      <c r="H1167" s="93" t="s">
        <v>343</v>
      </c>
      <c r="I1167" s="94">
        <v>0.08</v>
      </c>
      <c r="J1167" s="95">
        <v>6</v>
      </c>
    </row>
    <row r="1168" spans="1:10" x14ac:dyDescent="0.25">
      <c r="A1168" s="92">
        <v>45833</v>
      </c>
      <c r="B1168" s="93" t="s">
        <v>326</v>
      </c>
      <c r="C1168" s="89" t="s">
        <v>40</v>
      </c>
      <c r="D1168" s="93" t="s">
        <v>309</v>
      </c>
      <c r="E1168" s="93" t="s">
        <v>36</v>
      </c>
      <c r="F1168" s="93" t="s">
        <v>454</v>
      </c>
      <c r="G1168" s="93" t="s">
        <v>348</v>
      </c>
      <c r="H1168" s="93" t="s">
        <v>342</v>
      </c>
      <c r="I1168" s="94">
        <v>1.33</v>
      </c>
      <c r="J1168" s="95">
        <v>79.800000000000011</v>
      </c>
    </row>
    <row r="1169" spans="1:10" x14ac:dyDescent="0.25">
      <c r="A1169" s="92">
        <v>45833</v>
      </c>
      <c r="B1169" s="93" t="s">
        <v>326</v>
      </c>
      <c r="C1169" s="89" t="s">
        <v>40</v>
      </c>
      <c r="D1169" s="93" t="s">
        <v>300</v>
      </c>
      <c r="E1169" s="93" t="s">
        <v>36</v>
      </c>
      <c r="F1169" s="93" t="s">
        <v>464</v>
      </c>
      <c r="G1169" s="93" t="s">
        <v>348</v>
      </c>
      <c r="H1169" s="93" t="s">
        <v>342</v>
      </c>
      <c r="I1169" s="94">
        <v>1</v>
      </c>
      <c r="J1169" s="95">
        <v>60</v>
      </c>
    </row>
    <row r="1170" spans="1:10" x14ac:dyDescent="0.25">
      <c r="A1170" s="92">
        <v>45833</v>
      </c>
      <c r="B1170" s="93" t="s">
        <v>326</v>
      </c>
      <c r="C1170" s="89" t="s">
        <v>40</v>
      </c>
      <c r="D1170" s="93" t="s">
        <v>207</v>
      </c>
      <c r="E1170" s="93" t="s">
        <v>34</v>
      </c>
      <c r="F1170" s="93" t="s">
        <v>417</v>
      </c>
      <c r="G1170" s="93" t="s">
        <v>348</v>
      </c>
      <c r="H1170" s="93" t="s">
        <v>343</v>
      </c>
      <c r="I1170" s="94">
        <v>1.17</v>
      </c>
      <c r="J1170" s="95">
        <v>70.199999999999989</v>
      </c>
    </row>
    <row r="1171" spans="1:10" x14ac:dyDescent="0.25">
      <c r="A1171" s="92">
        <v>45833</v>
      </c>
      <c r="B1171" s="93" t="s">
        <v>326</v>
      </c>
      <c r="C1171" s="89" t="s">
        <v>40</v>
      </c>
      <c r="D1171" s="93" t="s">
        <v>227</v>
      </c>
      <c r="E1171" s="93" t="s">
        <v>34</v>
      </c>
      <c r="F1171" s="93" t="s">
        <v>453</v>
      </c>
      <c r="G1171" s="93" t="s">
        <v>348</v>
      </c>
      <c r="H1171" s="93" t="s">
        <v>343</v>
      </c>
      <c r="I1171" s="94">
        <v>1.25</v>
      </c>
      <c r="J1171" s="95">
        <v>75</v>
      </c>
    </row>
    <row r="1172" spans="1:10" x14ac:dyDescent="0.25">
      <c r="A1172" s="92">
        <v>45833</v>
      </c>
      <c r="B1172" s="93" t="s">
        <v>332</v>
      </c>
      <c r="C1172" s="89" t="s">
        <v>40</v>
      </c>
      <c r="D1172" s="93" t="s">
        <v>314</v>
      </c>
      <c r="E1172" s="93" t="s">
        <v>35</v>
      </c>
      <c r="F1172" s="93" t="s">
        <v>359</v>
      </c>
      <c r="G1172" s="93" t="s">
        <v>339</v>
      </c>
      <c r="H1172" s="93" t="s">
        <v>352</v>
      </c>
      <c r="I1172" s="94">
        <v>8.83</v>
      </c>
      <c r="J1172" s="95">
        <v>353.2</v>
      </c>
    </row>
    <row r="1173" spans="1:10" x14ac:dyDescent="0.25">
      <c r="A1173" s="92">
        <v>45833</v>
      </c>
      <c r="B1173" s="93" t="s">
        <v>324</v>
      </c>
      <c r="C1173" s="89" t="s">
        <v>40</v>
      </c>
      <c r="D1173" s="93" t="s">
        <v>314</v>
      </c>
      <c r="E1173" s="93" t="s">
        <v>35</v>
      </c>
      <c r="F1173" s="93" t="s">
        <v>359</v>
      </c>
      <c r="G1173" s="93" t="s">
        <v>339</v>
      </c>
      <c r="H1173" s="93" t="s">
        <v>352</v>
      </c>
      <c r="I1173" s="94">
        <v>7</v>
      </c>
      <c r="J1173" s="95">
        <v>525</v>
      </c>
    </row>
    <row r="1174" spans="1:10" x14ac:dyDescent="0.25">
      <c r="A1174" s="92">
        <v>45834</v>
      </c>
      <c r="B1174" s="93" t="s">
        <v>329</v>
      </c>
      <c r="C1174" s="89" t="s">
        <v>40</v>
      </c>
      <c r="D1174" s="93" t="s">
        <v>272</v>
      </c>
      <c r="E1174" s="93" t="s">
        <v>34</v>
      </c>
      <c r="F1174" s="93" t="s">
        <v>362</v>
      </c>
      <c r="G1174" s="93" t="s">
        <v>347</v>
      </c>
      <c r="H1174" s="93" t="s">
        <v>343</v>
      </c>
      <c r="I1174" s="94">
        <v>0.33</v>
      </c>
      <c r="J1174" s="95">
        <v>24.75</v>
      </c>
    </row>
    <row r="1175" spans="1:10" x14ac:dyDescent="0.25">
      <c r="A1175" s="92">
        <v>45834</v>
      </c>
      <c r="B1175" s="93" t="s">
        <v>329</v>
      </c>
      <c r="C1175" s="89" t="s">
        <v>40</v>
      </c>
      <c r="D1175" s="93" t="s">
        <v>316</v>
      </c>
      <c r="E1175" s="93" t="s">
        <v>35</v>
      </c>
      <c r="F1175" s="93" t="s">
        <v>338</v>
      </c>
      <c r="G1175" s="93" t="s">
        <v>337</v>
      </c>
      <c r="H1175" s="93" t="s">
        <v>352</v>
      </c>
      <c r="I1175" s="94">
        <v>1.25</v>
      </c>
      <c r="J1175" s="95">
        <v>93.75</v>
      </c>
    </row>
    <row r="1176" spans="1:10" x14ac:dyDescent="0.25">
      <c r="A1176" s="92">
        <v>45834</v>
      </c>
      <c r="B1176" s="93" t="s">
        <v>333</v>
      </c>
      <c r="C1176" s="89" t="s">
        <v>40</v>
      </c>
      <c r="D1176" s="93" t="s">
        <v>320</v>
      </c>
      <c r="E1176" s="93" t="s">
        <v>35</v>
      </c>
      <c r="F1176" s="93" t="s">
        <v>322</v>
      </c>
      <c r="G1176" s="93" t="s">
        <v>319</v>
      </c>
      <c r="H1176" s="93" t="s">
        <v>352</v>
      </c>
      <c r="I1176" s="94">
        <v>7.67</v>
      </c>
      <c r="J1176" s="95">
        <v>245.44</v>
      </c>
    </row>
    <row r="1177" spans="1:10" x14ac:dyDescent="0.25">
      <c r="A1177" s="92">
        <v>45834</v>
      </c>
      <c r="B1177" s="93" t="s">
        <v>327</v>
      </c>
      <c r="C1177" s="89" t="s">
        <v>40</v>
      </c>
      <c r="D1177" s="93" t="s">
        <v>320</v>
      </c>
      <c r="E1177" s="93" t="s">
        <v>35</v>
      </c>
      <c r="F1177" s="93" t="s">
        <v>322</v>
      </c>
      <c r="G1177" s="93" t="s">
        <v>319</v>
      </c>
      <c r="H1177" s="93" t="s">
        <v>352</v>
      </c>
      <c r="I1177" s="94">
        <v>7.25</v>
      </c>
      <c r="J1177" s="95">
        <v>232</v>
      </c>
    </row>
    <row r="1178" spans="1:10" x14ac:dyDescent="0.25">
      <c r="A1178" s="92">
        <v>45834</v>
      </c>
      <c r="B1178" s="93" t="s">
        <v>323</v>
      </c>
      <c r="C1178" s="89" t="s">
        <v>40</v>
      </c>
      <c r="D1178" s="93" t="s">
        <v>169</v>
      </c>
      <c r="E1178" s="93" t="s">
        <v>34</v>
      </c>
      <c r="F1178" s="93" t="s">
        <v>433</v>
      </c>
      <c r="G1178" s="93" t="s">
        <v>346</v>
      </c>
      <c r="H1178" s="93" t="s">
        <v>343</v>
      </c>
      <c r="I1178" s="94">
        <v>0.25</v>
      </c>
      <c r="J1178" s="95">
        <v>15</v>
      </c>
    </row>
    <row r="1179" spans="1:10" x14ac:dyDescent="0.25">
      <c r="A1179" s="92">
        <v>45834</v>
      </c>
      <c r="B1179" s="93" t="s">
        <v>329</v>
      </c>
      <c r="C1179" s="89" t="s">
        <v>40</v>
      </c>
      <c r="D1179" s="93" t="s">
        <v>186</v>
      </c>
      <c r="E1179" s="93" t="s">
        <v>34</v>
      </c>
      <c r="F1179" s="93" t="s">
        <v>397</v>
      </c>
      <c r="G1179" s="93" t="s">
        <v>347</v>
      </c>
      <c r="H1179" s="93" t="s">
        <v>343</v>
      </c>
      <c r="I1179" s="94">
        <v>0.17</v>
      </c>
      <c r="J1179" s="95">
        <v>12.750000000000002</v>
      </c>
    </row>
    <row r="1180" spans="1:10" x14ac:dyDescent="0.25">
      <c r="A1180" s="92">
        <v>45834</v>
      </c>
      <c r="B1180" s="93" t="s">
        <v>329</v>
      </c>
      <c r="C1180" s="89" t="s">
        <v>40</v>
      </c>
      <c r="D1180" s="93" t="s">
        <v>197</v>
      </c>
      <c r="E1180" s="93" t="s">
        <v>34</v>
      </c>
      <c r="F1180" s="93" t="s">
        <v>366</v>
      </c>
      <c r="G1180" s="93" t="s">
        <v>347</v>
      </c>
      <c r="H1180" s="93" t="s">
        <v>343</v>
      </c>
      <c r="I1180" s="94">
        <v>0.33</v>
      </c>
      <c r="J1180" s="95">
        <v>24.75</v>
      </c>
    </row>
    <row r="1181" spans="1:10" x14ac:dyDescent="0.25">
      <c r="A1181" s="92">
        <v>45834</v>
      </c>
      <c r="B1181" s="93" t="s">
        <v>329</v>
      </c>
      <c r="C1181" s="89" t="s">
        <v>40</v>
      </c>
      <c r="D1181" s="93" t="s">
        <v>302</v>
      </c>
      <c r="E1181" s="93" t="s">
        <v>34</v>
      </c>
      <c r="F1181" s="93" t="s">
        <v>398</v>
      </c>
      <c r="G1181" s="93" t="s">
        <v>347</v>
      </c>
      <c r="H1181" s="93" t="s">
        <v>343</v>
      </c>
      <c r="I1181" s="94">
        <v>0.08</v>
      </c>
      <c r="J1181" s="95">
        <v>6</v>
      </c>
    </row>
    <row r="1182" spans="1:10" x14ac:dyDescent="0.25">
      <c r="A1182" s="92">
        <v>45834</v>
      </c>
      <c r="B1182" s="93" t="s">
        <v>329</v>
      </c>
      <c r="C1182" s="89" t="s">
        <v>40</v>
      </c>
      <c r="D1182" s="93" t="s">
        <v>221</v>
      </c>
      <c r="E1182" s="93" t="s">
        <v>34</v>
      </c>
      <c r="F1182" s="93" t="s">
        <v>369</v>
      </c>
      <c r="G1182" s="93" t="s">
        <v>347</v>
      </c>
      <c r="H1182" s="93" t="s">
        <v>343</v>
      </c>
      <c r="I1182" s="94">
        <v>0.08</v>
      </c>
      <c r="J1182" s="95">
        <v>6</v>
      </c>
    </row>
    <row r="1183" spans="1:10" x14ac:dyDescent="0.25">
      <c r="A1183" s="92">
        <v>45834</v>
      </c>
      <c r="B1183" s="93" t="s">
        <v>329</v>
      </c>
      <c r="C1183" s="89" t="s">
        <v>40</v>
      </c>
      <c r="D1183" s="93" t="s">
        <v>301</v>
      </c>
      <c r="E1183" s="93" t="s">
        <v>34</v>
      </c>
      <c r="F1183" s="93" t="s">
        <v>371</v>
      </c>
      <c r="G1183" s="93" t="s">
        <v>347</v>
      </c>
      <c r="H1183" s="93" t="s">
        <v>343</v>
      </c>
      <c r="I1183" s="94">
        <v>0.17</v>
      </c>
      <c r="J1183" s="95">
        <v>12.750000000000002</v>
      </c>
    </row>
    <row r="1184" spans="1:10" x14ac:dyDescent="0.25">
      <c r="A1184" s="92">
        <v>45834</v>
      </c>
      <c r="B1184" s="93" t="s">
        <v>329</v>
      </c>
      <c r="C1184" s="89" t="s">
        <v>40</v>
      </c>
      <c r="D1184" s="93" t="s">
        <v>229</v>
      </c>
      <c r="E1184" s="93" t="s">
        <v>34</v>
      </c>
      <c r="F1184" s="93" t="s">
        <v>373</v>
      </c>
      <c r="G1184" s="93" t="s">
        <v>347</v>
      </c>
      <c r="H1184" s="93" t="s">
        <v>343</v>
      </c>
      <c r="I1184" s="94">
        <v>0.5</v>
      </c>
      <c r="J1184" s="95">
        <v>37.5</v>
      </c>
    </row>
    <row r="1185" spans="1:10" x14ac:dyDescent="0.25">
      <c r="A1185" s="92">
        <v>45834</v>
      </c>
      <c r="B1185" s="93" t="s">
        <v>329</v>
      </c>
      <c r="C1185" s="89" t="s">
        <v>40</v>
      </c>
      <c r="D1185" s="93" t="s">
        <v>238</v>
      </c>
      <c r="E1185" s="93" t="s">
        <v>34</v>
      </c>
      <c r="F1185" s="93" t="s">
        <v>374</v>
      </c>
      <c r="G1185" s="93" t="s">
        <v>347</v>
      </c>
      <c r="H1185" s="93" t="s">
        <v>343</v>
      </c>
      <c r="I1185" s="94">
        <v>0.17</v>
      </c>
      <c r="J1185" s="95">
        <v>12.750000000000002</v>
      </c>
    </row>
    <row r="1186" spans="1:10" x14ac:dyDescent="0.25">
      <c r="A1186" s="92">
        <v>45834</v>
      </c>
      <c r="B1186" s="93" t="s">
        <v>329</v>
      </c>
      <c r="C1186" s="89" t="s">
        <v>40</v>
      </c>
      <c r="D1186" s="93" t="s">
        <v>242</v>
      </c>
      <c r="E1186" s="93" t="s">
        <v>34</v>
      </c>
      <c r="F1186" s="93" t="s">
        <v>404</v>
      </c>
      <c r="G1186" s="93" t="s">
        <v>347</v>
      </c>
      <c r="H1186" s="93" t="s">
        <v>343</v>
      </c>
      <c r="I1186" s="94">
        <v>1</v>
      </c>
      <c r="J1186" s="95">
        <v>75</v>
      </c>
    </row>
    <row r="1187" spans="1:10" x14ac:dyDescent="0.25">
      <c r="A1187" s="92">
        <v>45834</v>
      </c>
      <c r="B1187" s="93" t="s">
        <v>329</v>
      </c>
      <c r="C1187" s="89" t="s">
        <v>40</v>
      </c>
      <c r="D1187" s="93" t="s">
        <v>294</v>
      </c>
      <c r="E1187" s="93" t="s">
        <v>34</v>
      </c>
      <c r="F1187" s="93" t="s">
        <v>377</v>
      </c>
      <c r="G1187" s="93" t="s">
        <v>347</v>
      </c>
      <c r="H1187" s="93" t="s">
        <v>343</v>
      </c>
      <c r="I1187" s="94">
        <v>0.17</v>
      </c>
      <c r="J1187" s="95">
        <v>12.750000000000002</v>
      </c>
    </row>
    <row r="1188" spans="1:10" x14ac:dyDescent="0.25">
      <c r="A1188" s="92">
        <v>45834</v>
      </c>
      <c r="B1188" s="93" t="s">
        <v>329</v>
      </c>
      <c r="C1188" s="89" t="s">
        <v>40</v>
      </c>
      <c r="D1188" s="93" t="s">
        <v>295</v>
      </c>
      <c r="E1188" s="93" t="s">
        <v>34</v>
      </c>
      <c r="F1188" s="93" t="s">
        <v>379</v>
      </c>
      <c r="G1188" s="93" t="s">
        <v>347</v>
      </c>
      <c r="H1188" s="93" t="s">
        <v>343</v>
      </c>
      <c r="I1188" s="94">
        <v>0.33</v>
      </c>
      <c r="J1188" s="95">
        <v>24.75</v>
      </c>
    </row>
    <row r="1189" spans="1:10" x14ac:dyDescent="0.25">
      <c r="A1189" s="92">
        <v>45834</v>
      </c>
      <c r="B1189" s="93" t="s">
        <v>325</v>
      </c>
      <c r="C1189" s="89" t="s">
        <v>40</v>
      </c>
      <c r="D1189" s="93" t="s">
        <v>291</v>
      </c>
      <c r="E1189" s="93" t="s">
        <v>34</v>
      </c>
      <c r="F1189" s="93" t="s">
        <v>412</v>
      </c>
      <c r="G1189" s="93" t="s">
        <v>347</v>
      </c>
      <c r="H1189" s="93" t="s">
        <v>343</v>
      </c>
      <c r="I1189" s="94">
        <v>0.17</v>
      </c>
      <c r="J1189" s="95">
        <v>12.750000000000002</v>
      </c>
    </row>
    <row r="1190" spans="1:10" x14ac:dyDescent="0.25">
      <c r="A1190" s="92">
        <v>45834</v>
      </c>
      <c r="B1190" s="93" t="s">
        <v>329</v>
      </c>
      <c r="C1190" s="89" t="s">
        <v>40</v>
      </c>
      <c r="D1190" s="93" t="s">
        <v>258</v>
      </c>
      <c r="E1190" s="93" t="s">
        <v>34</v>
      </c>
      <c r="F1190" s="93" t="s">
        <v>381</v>
      </c>
      <c r="G1190" s="93" t="s">
        <v>347</v>
      </c>
      <c r="H1190" s="93" t="s">
        <v>343</v>
      </c>
      <c r="I1190" s="94">
        <v>0.17</v>
      </c>
      <c r="J1190" s="95">
        <v>12.750000000000002</v>
      </c>
    </row>
    <row r="1191" spans="1:10" x14ac:dyDescent="0.25">
      <c r="A1191" s="92">
        <v>45834</v>
      </c>
      <c r="B1191" s="93" t="s">
        <v>329</v>
      </c>
      <c r="C1191" s="89" t="s">
        <v>40</v>
      </c>
      <c r="D1191" s="93" t="s">
        <v>247</v>
      </c>
      <c r="E1191" s="93" t="s">
        <v>34</v>
      </c>
      <c r="F1191" s="93" t="s">
        <v>375</v>
      </c>
      <c r="G1191" s="93" t="s">
        <v>347</v>
      </c>
      <c r="H1191" s="93" t="s">
        <v>343</v>
      </c>
      <c r="I1191" s="94">
        <v>0.17</v>
      </c>
      <c r="J1191" s="95">
        <v>12.750000000000002</v>
      </c>
    </row>
    <row r="1192" spans="1:10" x14ac:dyDescent="0.25">
      <c r="A1192" s="92">
        <v>45834</v>
      </c>
      <c r="B1192" s="93" t="s">
        <v>325</v>
      </c>
      <c r="C1192" s="89" t="s">
        <v>40</v>
      </c>
      <c r="D1192" s="93" t="s">
        <v>278</v>
      </c>
      <c r="E1192" s="93" t="s">
        <v>34</v>
      </c>
      <c r="F1192" s="93" t="s">
        <v>452</v>
      </c>
      <c r="G1192" s="93" t="s">
        <v>347</v>
      </c>
      <c r="H1192" s="93" t="s">
        <v>343</v>
      </c>
      <c r="I1192" s="94">
        <v>0.33</v>
      </c>
      <c r="J1192" s="95">
        <v>24.75</v>
      </c>
    </row>
    <row r="1193" spans="1:10" x14ac:dyDescent="0.25">
      <c r="A1193" s="92">
        <v>45834</v>
      </c>
      <c r="B1193" s="93" t="s">
        <v>330</v>
      </c>
      <c r="C1193" s="89" t="s">
        <v>40</v>
      </c>
      <c r="D1193" s="93" t="s">
        <v>284</v>
      </c>
      <c r="E1193" s="93" t="s">
        <v>34</v>
      </c>
      <c r="F1193" s="93" t="s">
        <v>415</v>
      </c>
      <c r="G1193" s="93" t="s">
        <v>347</v>
      </c>
      <c r="H1193" s="93" t="s">
        <v>343</v>
      </c>
      <c r="I1193" s="94">
        <v>0.17</v>
      </c>
      <c r="J1193" s="95">
        <v>10.200000000000001</v>
      </c>
    </row>
    <row r="1194" spans="1:10" x14ac:dyDescent="0.25">
      <c r="A1194" s="92">
        <v>45834</v>
      </c>
      <c r="B1194" s="93" t="s">
        <v>329</v>
      </c>
      <c r="C1194" s="89" t="s">
        <v>40</v>
      </c>
      <c r="D1194" s="93" t="s">
        <v>268</v>
      </c>
      <c r="E1194" s="93" t="s">
        <v>34</v>
      </c>
      <c r="F1194" s="93" t="s">
        <v>386</v>
      </c>
      <c r="G1194" s="93" t="s">
        <v>347</v>
      </c>
      <c r="H1194" s="93" t="s">
        <v>343</v>
      </c>
      <c r="I1194" s="94">
        <v>0.5</v>
      </c>
      <c r="J1194" s="95">
        <v>37.5</v>
      </c>
    </row>
    <row r="1195" spans="1:10" x14ac:dyDescent="0.25">
      <c r="A1195" s="92">
        <v>45834</v>
      </c>
      <c r="B1195" s="93" t="s">
        <v>326</v>
      </c>
      <c r="C1195" s="89" t="s">
        <v>40</v>
      </c>
      <c r="D1195" s="93" t="s">
        <v>227</v>
      </c>
      <c r="E1195" s="93" t="s">
        <v>34</v>
      </c>
      <c r="F1195" s="93" t="s">
        <v>453</v>
      </c>
      <c r="G1195" s="93" t="s">
        <v>348</v>
      </c>
      <c r="H1195" s="93" t="s">
        <v>343</v>
      </c>
      <c r="I1195" s="94">
        <v>1.42</v>
      </c>
      <c r="J1195" s="95">
        <v>85.199999999999989</v>
      </c>
    </row>
    <row r="1196" spans="1:10" x14ac:dyDescent="0.25">
      <c r="A1196" s="92">
        <v>45834</v>
      </c>
      <c r="B1196" s="93" t="s">
        <v>326</v>
      </c>
      <c r="C1196" s="89" t="s">
        <v>40</v>
      </c>
      <c r="D1196" s="93" t="s">
        <v>309</v>
      </c>
      <c r="E1196" s="93" t="s">
        <v>34</v>
      </c>
      <c r="F1196" s="93" t="s">
        <v>454</v>
      </c>
      <c r="G1196" s="93" t="s">
        <v>348</v>
      </c>
      <c r="H1196" s="93" t="s">
        <v>343</v>
      </c>
      <c r="I1196" s="94">
        <v>1</v>
      </c>
      <c r="J1196" s="95">
        <v>60</v>
      </c>
    </row>
    <row r="1197" spans="1:10" x14ac:dyDescent="0.25">
      <c r="A1197" s="92">
        <v>45834</v>
      </c>
      <c r="B1197" s="93" t="s">
        <v>332</v>
      </c>
      <c r="C1197" s="89" t="s">
        <v>40</v>
      </c>
      <c r="D1197" s="93" t="s">
        <v>314</v>
      </c>
      <c r="E1197" s="93" t="s">
        <v>35</v>
      </c>
      <c r="F1197" s="93" t="s">
        <v>359</v>
      </c>
      <c r="G1197" s="93" t="s">
        <v>339</v>
      </c>
      <c r="H1197" s="93" t="s">
        <v>352</v>
      </c>
      <c r="I1197" s="94">
        <v>7.33</v>
      </c>
      <c r="J1197" s="95">
        <v>293.2</v>
      </c>
    </row>
    <row r="1198" spans="1:10" x14ac:dyDescent="0.25">
      <c r="A1198" s="92">
        <v>45834</v>
      </c>
      <c r="B1198" s="93" t="s">
        <v>324</v>
      </c>
      <c r="C1198" s="89" t="s">
        <v>40</v>
      </c>
      <c r="D1198" s="93" t="s">
        <v>314</v>
      </c>
      <c r="E1198" s="93" t="s">
        <v>35</v>
      </c>
      <c r="F1198" s="93" t="s">
        <v>359</v>
      </c>
      <c r="G1198" s="93" t="s">
        <v>339</v>
      </c>
      <c r="H1198" s="93" t="s">
        <v>352</v>
      </c>
      <c r="I1198" s="94">
        <v>6.75</v>
      </c>
      <c r="J1198" s="95">
        <v>506.25</v>
      </c>
    </row>
    <row r="1199" spans="1:10" x14ac:dyDescent="0.25">
      <c r="A1199" s="92">
        <v>45835</v>
      </c>
      <c r="B1199" s="93" t="s">
        <v>329</v>
      </c>
      <c r="C1199" s="89" t="s">
        <v>40</v>
      </c>
      <c r="D1199" s="93" t="s">
        <v>270</v>
      </c>
      <c r="E1199" s="93" t="s">
        <v>34</v>
      </c>
      <c r="F1199" s="93" t="s">
        <v>360</v>
      </c>
      <c r="G1199" s="93" t="s">
        <v>347</v>
      </c>
      <c r="H1199" s="93" t="s">
        <v>343</v>
      </c>
      <c r="I1199" s="94">
        <v>0.17</v>
      </c>
      <c r="J1199" s="95">
        <v>12.750000000000002</v>
      </c>
    </row>
    <row r="1200" spans="1:10" x14ac:dyDescent="0.25">
      <c r="A1200" s="92">
        <v>45835</v>
      </c>
      <c r="B1200" s="93" t="s">
        <v>330</v>
      </c>
      <c r="C1200" s="89" t="s">
        <v>40</v>
      </c>
      <c r="D1200" s="93" t="s">
        <v>222</v>
      </c>
      <c r="E1200" s="93" t="s">
        <v>341</v>
      </c>
      <c r="F1200" s="93" t="s">
        <v>447</v>
      </c>
      <c r="G1200" s="93" t="s">
        <v>347</v>
      </c>
      <c r="H1200" s="93" t="s">
        <v>344</v>
      </c>
      <c r="I1200" s="94">
        <v>2</v>
      </c>
      <c r="J1200" s="95">
        <v>120</v>
      </c>
    </row>
    <row r="1201" spans="1:10" x14ac:dyDescent="0.25">
      <c r="A1201" s="92">
        <v>45835</v>
      </c>
      <c r="B1201" s="93" t="s">
        <v>329</v>
      </c>
      <c r="C1201" s="89" t="s">
        <v>40</v>
      </c>
      <c r="D1201" s="93" t="s">
        <v>316</v>
      </c>
      <c r="E1201" s="93" t="s">
        <v>35</v>
      </c>
      <c r="F1201" s="93" t="s">
        <v>338</v>
      </c>
      <c r="G1201" s="93" t="s">
        <v>337</v>
      </c>
      <c r="H1201" s="93" t="s">
        <v>352</v>
      </c>
      <c r="I1201" s="94">
        <v>1</v>
      </c>
      <c r="J1201" s="95">
        <v>75</v>
      </c>
    </row>
    <row r="1202" spans="1:10" x14ac:dyDescent="0.25">
      <c r="A1202" s="92">
        <v>45835</v>
      </c>
      <c r="B1202" s="93" t="s">
        <v>333</v>
      </c>
      <c r="C1202" s="89" t="s">
        <v>40</v>
      </c>
      <c r="D1202" s="93" t="s">
        <v>320</v>
      </c>
      <c r="E1202" s="93" t="s">
        <v>35</v>
      </c>
      <c r="F1202" s="93" t="s">
        <v>322</v>
      </c>
      <c r="G1202" s="93" t="s">
        <v>319</v>
      </c>
      <c r="H1202" s="93" t="s">
        <v>352</v>
      </c>
      <c r="I1202" s="94">
        <v>7.25</v>
      </c>
      <c r="J1202" s="95">
        <v>232</v>
      </c>
    </row>
    <row r="1203" spans="1:10" x14ac:dyDescent="0.25">
      <c r="A1203" s="92">
        <v>45835</v>
      </c>
      <c r="B1203" s="93" t="s">
        <v>327</v>
      </c>
      <c r="C1203" s="89" t="s">
        <v>40</v>
      </c>
      <c r="D1203" s="93" t="s">
        <v>320</v>
      </c>
      <c r="E1203" s="93" t="s">
        <v>35</v>
      </c>
      <c r="F1203" s="93" t="s">
        <v>322</v>
      </c>
      <c r="G1203" s="93" t="s">
        <v>319</v>
      </c>
      <c r="H1203" s="93" t="s">
        <v>352</v>
      </c>
      <c r="I1203" s="94">
        <v>7.42</v>
      </c>
      <c r="J1203" s="95">
        <v>237.44</v>
      </c>
    </row>
    <row r="1204" spans="1:10" x14ac:dyDescent="0.25">
      <c r="A1204" s="92">
        <v>45835</v>
      </c>
      <c r="B1204" s="93" t="s">
        <v>323</v>
      </c>
      <c r="C1204" s="89" t="s">
        <v>40</v>
      </c>
      <c r="D1204" s="93" t="s">
        <v>283</v>
      </c>
      <c r="E1204" s="93" t="s">
        <v>36</v>
      </c>
      <c r="F1204" s="93" t="s">
        <v>429</v>
      </c>
      <c r="G1204" s="93" t="s">
        <v>346</v>
      </c>
      <c r="H1204" s="93" t="s">
        <v>342</v>
      </c>
      <c r="I1204" s="94">
        <v>0.25</v>
      </c>
      <c r="J1204" s="95">
        <v>15</v>
      </c>
    </row>
    <row r="1205" spans="1:10" x14ac:dyDescent="0.25">
      <c r="A1205" s="92">
        <v>45835</v>
      </c>
      <c r="B1205" s="93" t="s">
        <v>323</v>
      </c>
      <c r="C1205" s="89" t="s">
        <v>40</v>
      </c>
      <c r="D1205" s="93" t="s">
        <v>281</v>
      </c>
      <c r="E1205" s="93" t="s">
        <v>36</v>
      </c>
      <c r="F1205" s="93" t="s">
        <v>430</v>
      </c>
      <c r="G1205" s="93" t="s">
        <v>346</v>
      </c>
      <c r="H1205" s="93" t="s">
        <v>342</v>
      </c>
      <c r="I1205" s="94">
        <v>0.33</v>
      </c>
      <c r="J1205" s="95">
        <v>19.8</v>
      </c>
    </row>
    <row r="1206" spans="1:10" x14ac:dyDescent="0.25">
      <c r="A1206" s="92">
        <v>45835</v>
      </c>
      <c r="B1206" s="93" t="s">
        <v>329</v>
      </c>
      <c r="C1206" s="89" t="s">
        <v>40</v>
      </c>
      <c r="D1206" s="93" t="s">
        <v>186</v>
      </c>
      <c r="E1206" s="93" t="s">
        <v>34</v>
      </c>
      <c r="F1206" s="93" t="s">
        <v>397</v>
      </c>
      <c r="G1206" s="93" t="s">
        <v>347</v>
      </c>
      <c r="H1206" s="93" t="s">
        <v>343</v>
      </c>
      <c r="I1206" s="94">
        <v>0.33</v>
      </c>
      <c r="J1206" s="95">
        <v>24.75</v>
      </c>
    </row>
    <row r="1207" spans="1:10" x14ac:dyDescent="0.25">
      <c r="A1207" s="92">
        <v>45835</v>
      </c>
      <c r="B1207" s="93" t="s">
        <v>329</v>
      </c>
      <c r="C1207" s="89" t="s">
        <v>40</v>
      </c>
      <c r="D1207" s="93" t="s">
        <v>197</v>
      </c>
      <c r="E1207" s="93" t="s">
        <v>34</v>
      </c>
      <c r="F1207" s="93" t="s">
        <v>366</v>
      </c>
      <c r="G1207" s="93" t="s">
        <v>347</v>
      </c>
      <c r="H1207" s="93" t="s">
        <v>343</v>
      </c>
      <c r="I1207" s="94">
        <v>0.08</v>
      </c>
      <c r="J1207" s="95">
        <v>6</v>
      </c>
    </row>
    <row r="1208" spans="1:10" x14ac:dyDescent="0.25">
      <c r="A1208" s="92">
        <v>45835</v>
      </c>
      <c r="B1208" s="93" t="s">
        <v>329</v>
      </c>
      <c r="C1208" s="89" t="s">
        <v>40</v>
      </c>
      <c r="D1208" s="93" t="s">
        <v>221</v>
      </c>
      <c r="E1208" s="93" t="s">
        <v>34</v>
      </c>
      <c r="F1208" s="93" t="s">
        <v>369</v>
      </c>
      <c r="G1208" s="93" t="s">
        <v>347</v>
      </c>
      <c r="H1208" s="93" t="s">
        <v>343</v>
      </c>
      <c r="I1208" s="94">
        <v>0.25</v>
      </c>
      <c r="J1208" s="95">
        <v>18.75</v>
      </c>
    </row>
    <row r="1209" spans="1:10" x14ac:dyDescent="0.25">
      <c r="A1209" s="92">
        <v>45835</v>
      </c>
      <c r="B1209" s="93" t="s">
        <v>330</v>
      </c>
      <c r="C1209" s="89" t="s">
        <v>40</v>
      </c>
      <c r="D1209" s="93" t="s">
        <v>209</v>
      </c>
      <c r="E1209" s="93" t="s">
        <v>34</v>
      </c>
      <c r="F1209" s="93" t="s">
        <v>370</v>
      </c>
      <c r="G1209" s="93" t="s">
        <v>347</v>
      </c>
      <c r="H1209" s="93" t="s">
        <v>343</v>
      </c>
      <c r="I1209" s="94">
        <v>0.5</v>
      </c>
      <c r="J1209" s="95">
        <v>30</v>
      </c>
    </row>
    <row r="1210" spans="1:10" x14ac:dyDescent="0.25">
      <c r="A1210" s="92">
        <v>45835</v>
      </c>
      <c r="B1210" s="93" t="s">
        <v>329</v>
      </c>
      <c r="C1210" s="89" t="s">
        <v>40</v>
      </c>
      <c r="D1210" s="93" t="s">
        <v>301</v>
      </c>
      <c r="E1210" s="93" t="s">
        <v>34</v>
      </c>
      <c r="F1210" s="93" t="s">
        <v>371</v>
      </c>
      <c r="G1210" s="93" t="s">
        <v>347</v>
      </c>
      <c r="H1210" s="93" t="s">
        <v>343</v>
      </c>
      <c r="I1210" s="94">
        <v>0.17</v>
      </c>
      <c r="J1210" s="95">
        <v>12.750000000000002</v>
      </c>
    </row>
    <row r="1211" spans="1:10" x14ac:dyDescent="0.25">
      <c r="A1211" s="92">
        <v>45835</v>
      </c>
      <c r="B1211" s="93" t="s">
        <v>329</v>
      </c>
      <c r="C1211" s="89" t="s">
        <v>40</v>
      </c>
      <c r="D1211" s="93" t="s">
        <v>229</v>
      </c>
      <c r="E1211" s="93" t="s">
        <v>34</v>
      </c>
      <c r="F1211" s="93" t="s">
        <v>373</v>
      </c>
      <c r="G1211" s="93" t="s">
        <v>347</v>
      </c>
      <c r="H1211" s="93" t="s">
        <v>343</v>
      </c>
      <c r="I1211" s="94">
        <v>0.17</v>
      </c>
      <c r="J1211" s="95">
        <v>12.750000000000002</v>
      </c>
    </row>
    <row r="1212" spans="1:10" x14ac:dyDescent="0.25">
      <c r="A1212" s="92">
        <v>45835</v>
      </c>
      <c r="B1212" s="93" t="s">
        <v>329</v>
      </c>
      <c r="C1212" s="89" t="s">
        <v>40</v>
      </c>
      <c r="D1212" s="93" t="s">
        <v>238</v>
      </c>
      <c r="E1212" s="93" t="s">
        <v>34</v>
      </c>
      <c r="F1212" s="93" t="s">
        <v>374</v>
      </c>
      <c r="G1212" s="93" t="s">
        <v>347</v>
      </c>
      <c r="H1212" s="93" t="s">
        <v>343</v>
      </c>
      <c r="I1212" s="94">
        <v>0.17</v>
      </c>
      <c r="J1212" s="95">
        <v>12.750000000000002</v>
      </c>
    </row>
    <row r="1213" spans="1:10" x14ac:dyDescent="0.25">
      <c r="A1213" s="92">
        <v>45835</v>
      </c>
      <c r="B1213" s="93" t="s">
        <v>329</v>
      </c>
      <c r="C1213" s="89" t="s">
        <v>40</v>
      </c>
      <c r="D1213" s="93" t="s">
        <v>293</v>
      </c>
      <c r="E1213" s="93" t="s">
        <v>34</v>
      </c>
      <c r="F1213" s="93" t="s">
        <v>376</v>
      </c>
      <c r="G1213" s="93" t="s">
        <v>347</v>
      </c>
      <c r="H1213" s="93" t="s">
        <v>343</v>
      </c>
      <c r="I1213" s="94">
        <v>0.5</v>
      </c>
      <c r="J1213" s="95">
        <v>37.5</v>
      </c>
    </row>
    <row r="1214" spans="1:10" x14ac:dyDescent="0.25">
      <c r="A1214" s="92">
        <v>45835</v>
      </c>
      <c r="B1214" s="93" t="s">
        <v>329</v>
      </c>
      <c r="C1214" s="89" t="s">
        <v>40</v>
      </c>
      <c r="D1214" s="93" t="s">
        <v>258</v>
      </c>
      <c r="E1214" s="93" t="s">
        <v>34</v>
      </c>
      <c r="F1214" s="93" t="s">
        <v>381</v>
      </c>
      <c r="G1214" s="93" t="s">
        <v>347</v>
      </c>
      <c r="H1214" s="93" t="s">
        <v>343</v>
      </c>
      <c r="I1214" s="94">
        <v>0.08</v>
      </c>
      <c r="J1214" s="95">
        <v>6</v>
      </c>
    </row>
    <row r="1215" spans="1:10" x14ac:dyDescent="0.25">
      <c r="A1215" s="92">
        <v>45835</v>
      </c>
      <c r="B1215" s="93" t="s">
        <v>325</v>
      </c>
      <c r="C1215" s="89" t="s">
        <v>40</v>
      </c>
      <c r="D1215" s="93" t="s">
        <v>305</v>
      </c>
      <c r="E1215" s="93" t="s">
        <v>34</v>
      </c>
      <c r="F1215" s="93" t="s">
        <v>382</v>
      </c>
      <c r="G1215" s="93" t="s">
        <v>347</v>
      </c>
      <c r="H1215" s="93" t="s">
        <v>343</v>
      </c>
      <c r="I1215" s="94">
        <v>0.17</v>
      </c>
      <c r="J1215" s="95">
        <v>12.750000000000002</v>
      </c>
    </row>
    <row r="1216" spans="1:10" x14ac:dyDescent="0.25">
      <c r="A1216" s="92">
        <v>45835</v>
      </c>
      <c r="B1216" s="93" t="s">
        <v>325</v>
      </c>
      <c r="C1216" s="89" t="s">
        <v>40</v>
      </c>
      <c r="D1216" s="93" t="s">
        <v>264</v>
      </c>
      <c r="E1216" s="93" t="s">
        <v>34</v>
      </c>
      <c r="F1216" s="93" t="s">
        <v>384</v>
      </c>
      <c r="G1216" s="93" t="s">
        <v>347</v>
      </c>
      <c r="H1216" s="93" t="s">
        <v>343</v>
      </c>
      <c r="I1216" s="94">
        <v>0.25</v>
      </c>
      <c r="J1216" s="95">
        <v>18.75</v>
      </c>
    </row>
    <row r="1217" spans="1:10" x14ac:dyDescent="0.25">
      <c r="A1217" s="92">
        <v>45835</v>
      </c>
      <c r="B1217" s="93" t="s">
        <v>325</v>
      </c>
      <c r="C1217" s="89" t="s">
        <v>40</v>
      </c>
      <c r="D1217" s="93" t="s">
        <v>253</v>
      </c>
      <c r="E1217" s="93" t="s">
        <v>34</v>
      </c>
      <c r="F1217" s="93" t="s">
        <v>408</v>
      </c>
      <c r="G1217" s="93" t="s">
        <v>347</v>
      </c>
      <c r="H1217" s="93" t="s">
        <v>343</v>
      </c>
      <c r="I1217" s="94">
        <v>0.25</v>
      </c>
      <c r="J1217" s="95">
        <v>18.75</v>
      </c>
    </row>
    <row r="1218" spans="1:10" x14ac:dyDescent="0.25">
      <c r="A1218" s="92">
        <v>45835</v>
      </c>
      <c r="B1218" s="93" t="s">
        <v>329</v>
      </c>
      <c r="C1218" s="89" t="s">
        <v>40</v>
      </c>
      <c r="D1218" s="93" t="s">
        <v>247</v>
      </c>
      <c r="E1218" s="93" t="s">
        <v>34</v>
      </c>
      <c r="F1218" s="93" t="s">
        <v>375</v>
      </c>
      <c r="G1218" s="93" t="s">
        <v>347</v>
      </c>
      <c r="H1218" s="93" t="s">
        <v>343</v>
      </c>
      <c r="I1218" s="94">
        <v>1</v>
      </c>
      <c r="J1218" s="95">
        <v>75</v>
      </c>
    </row>
    <row r="1219" spans="1:10" x14ac:dyDescent="0.25">
      <c r="A1219" s="92">
        <v>45835</v>
      </c>
      <c r="B1219" s="93" t="s">
        <v>330</v>
      </c>
      <c r="C1219" s="89" t="s">
        <v>40</v>
      </c>
      <c r="D1219" s="93" t="s">
        <v>284</v>
      </c>
      <c r="E1219" s="93" t="s">
        <v>34</v>
      </c>
      <c r="F1219" s="93" t="s">
        <v>415</v>
      </c>
      <c r="G1219" s="93" t="s">
        <v>347</v>
      </c>
      <c r="H1219" s="93" t="s">
        <v>343</v>
      </c>
      <c r="I1219" s="94">
        <v>0.5</v>
      </c>
      <c r="J1219" s="95">
        <v>30</v>
      </c>
    </row>
    <row r="1220" spans="1:10" x14ac:dyDescent="0.25">
      <c r="A1220" s="92">
        <v>45835</v>
      </c>
      <c r="B1220" s="93" t="s">
        <v>329</v>
      </c>
      <c r="C1220" s="89" t="s">
        <v>40</v>
      </c>
      <c r="D1220" s="93" t="s">
        <v>230</v>
      </c>
      <c r="E1220" s="93" t="s">
        <v>34</v>
      </c>
      <c r="F1220" s="93" t="s">
        <v>410</v>
      </c>
      <c r="G1220" s="93" t="s">
        <v>347</v>
      </c>
      <c r="H1220" s="93" t="s">
        <v>343</v>
      </c>
      <c r="I1220" s="94">
        <v>0.33</v>
      </c>
      <c r="J1220" s="95">
        <v>24.75</v>
      </c>
    </row>
    <row r="1221" spans="1:10" x14ac:dyDescent="0.25">
      <c r="A1221" s="92">
        <v>45835</v>
      </c>
      <c r="B1221" s="93" t="s">
        <v>329</v>
      </c>
      <c r="C1221" s="89" t="s">
        <v>40</v>
      </c>
      <c r="D1221" s="93" t="s">
        <v>299</v>
      </c>
      <c r="E1221" s="93" t="s">
        <v>312</v>
      </c>
      <c r="F1221" s="93" t="s">
        <v>455</v>
      </c>
      <c r="G1221" s="93" t="s">
        <v>347</v>
      </c>
      <c r="H1221" s="93" t="s">
        <v>350</v>
      </c>
      <c r="I1221" s="94">
        <v>0.5</v>
      </c>
      <c r="J1221" s="95">
        <v>37.5</v>
      </c>
    </row>
    <row r="1222" spans="1:10" x14ac:dyDescent="0.25">
      <c r="A1222" s="92">
        <v>45835</v>
      </c>
      <c r="B1222" s="93" t="s">
        <v>326</v>
      </c>
      <c r="C1222" s="89" t="s">
        <v>40</v>
      </c>
      <c r="D1222" s="93" t="s">
        <v>207</v>
      </c>
      <c r="E1222" s="93" t="s">
        <v>36</v>
      </c>
      <c r="F1222" s="93" t="s">
        <v>417</v>
      </c>
      <c r="G1222" s="93" t="s">
        <v>348</v>
      </c>
      <c r="H1222" s="93" t="s">
        <v>342</v>
      </c>
      <c r="I1222" s="94">
        <v>0.83</v>
      </c>
      <c r="J1222" s="95">
        <v>49.8</v>
      </c>
    </row>
    <row r="1223" spans="1:10" x14ac:dyDescent="0.25">
      <c r="A1223" s="92">
        <v>45835</v>
      </c>
      <c r="B1223" s="93" t="s">
        <v>326</v>
      </c>
      <c r="C1223" s="89" t="s">
        <v>40</v>
      </c>
      <c r="D1223" s="93" t="s">
        <v>227</v>
      </c>
      <c r="E1223" s="93" t="s">
        <v>34</v>
      </c>
      <c r="F1223" s="93" t="s">
        <v>453</v>
      </c>
      <c r="G1223" s="93" t="s">
        <v>348</v>
      </c>
      <c r="H1223" s="93" t="s">
        <v>343</v>
      </c>
      <c r="I1223" s="94">
        <v>1.17</v>
      </c>
      <c r="J1223" s="95">
        <v>70.199999999999989</v>
      </c>
    </row>
    <row r="1224" spans="1:10" x14ac:dyDescent="0.25">
      <c r="A1224" s="92">
        <v>45835</v>
      </c>
      <c r="B1224" s="93" t="s">
        <v>326</v>
      </c>
      <c r="C1224" s="89" t="s">
        <v>40</v>
      </c>
      <c r="D1224" s="93" t="s">
        <v>265</v>
      </c>
      <c r="E1224" s="93" t="s">
        <v>34</v>
      </c>
      <c r="F1224" s="93" t="s">
        <v>358</v>
      </c>
      <c r="G1224" s="93" t="s">
        <v>348</v>
      </c>
      <c r="H1224" s="93" t="s">
        <v>343</v>
      </c>
      <c r="I1224" s="94">
        <v>1</v>
      </c>
      <c r="J1224" s="95">
        <v>60</v>
      </c>
    </row>
    <row r="1225" spans="1:10" x14ac:dyDescent="0.25">
      <c r="A1225" s="92">
        <v>45835</v>
      </c>
      <c r="B1225" s="93" t="s">
        <v>326</v>
      </c>
      <c r="C1225" s="89" t="s">
        <v>40</v>
      </c>
      <c r="D1225" s="93" t="s">
        <v>175</v>
      </c>
      <c r="E1225" s="93" t="s">
        <v>341</v>
      </c>
      <c r="F1225" s="93" t="s">
        <v>388</v>
      </c>
      <c r="G1225" s="93" t="s">
        <v>348</v>
      </c>
      <c r="H1225" s="93" t="s">
        <v>344</v>
      </c>
      <c r="I1225" s="94">
        <v>1.25</v>
      </c>
      <c r="J1225" s="95">
        <v>75</v>
      </c>
    </row>
    <row r="1226" spans="1:10" x14ac:dyDescent="0.25">
      <c r="A1226" s="92">
        <v>45835</v>
      </c>
      <c r="B1226" s="93" t="s">
        <v>332</v>
      </c>
      <c r="C1226" s="89" t="s">
        <v>40</v>
      </c>
      <c r="D1226" s="93" t="s">
        <v>314</v>
      </c>
      <c r="E1226" s="93" t="s">
        <v>35</v>
      </c>
      <c r="F1226" s="93" t="s">
        <v>359</v>
      </c>
      <c r="G1226" s="93" t="s">
        <v>339</v>
      </c>
      <c r="H1226" s="93" t="s">
        <v>352</v>
      </c>
      <c r="I1226" s="94">
        <v>7.67</v>
      </c>
      <c r="J1226" s="95">
        <v>306.8</v>
      </c>
    </row>
    <row r="1227" spans="1:10" x14ac:dyDescent="0.25">
      <c r="A1227" s="92">
        <v>45835</v>
      </c>
      <c r="B1227" s="93" t="s">
        <v>324</v>
      </c>
      <c r="C1227" s="89" t="s">
        <v>40</v>
      </c>
      <c r="D1227" s="93" t="s">
        <v>314</v>
      </c>
      <c r="E1227" s="93" t="s">
        <v>35</v>
      </c>
      <c r="F1227" s="93" t="s">
        <v>359</v>
      </c>
      <c r="G1227" s="93" t="s">
        <v>339</v>
      </c>
      <c r="H1227" s="93" t="s">
        <v>352</v>
      </c>
      <c r="I1227" s="94">
        <v>6.25</v>
      </c>
      <c r="J1227" s="95">
        <v>468.75</v>
      </c>
    </row>
    <row r="1228" spans="1:10" x14ac:dyDescent="0.25">
      <c r="A1228" s="92">
        <v>45836</v>
      </c>
      <c r="B1228" s="93" t="s">
        <v>332</v>
      </c>
      <c r="C1228" s="89" t="s">
        <v>40</v>
      </c>
      <c r="D1228" s="93" t="s">
        <v>314</v>
      </c>
      <c r="E1228" s="93" t="s">
        <v>35</v>
      </c>
      <c r="F1228" s="93" t="s">
        <v>359</v>
      </c>
      <c r="G1228" s="93" t="s">
        <v>339</v>
      </c>
      <c r="H1228" s="93" t="s">
        <v>352</v>
      </c>
      <c r="I1228" s="94">
        <v>4</v>
      </c>
      <c r="J1228" s="95">
        <v>160</v>
      </c>
    </row>
    <row r="1229" spans="1:10" x14ac:dyDescent="0.25">
      <c r="A1229" s="92">
        <v>45838</v>
      </c>
      <c r="B1229" s="93" t="s">
        <v>329</v>
      </c>
      <c r="C1229" s="89" t="s">
        <v>40</v>
      </c>
      <c r="D1229" s="93" t="s">
        <v>269</v>
      </c>
      <c r="E1229" s="93" t="s">
        <v>34</v>
      </c>
      <c r="F1229" s="93" t="s">
        <v>361</v>
      </c>
      <c r="G1229" s="93" t="s">
        <v>347</v>
      </c>
      <c r="H1229" s="93" t="s">
        <v>343</v>
      </c>
      <c r="I1229" s="94">
        <v>0.17</v>
      </c>
      <c r="J1229" s="95">
        <v>12.750000000000002</v>
      </c>
    </row>
    <row r="1230" spans="1:10" x14ac:dyDescent="0.25">
      <c r="A1230" s="92">
        <v>45838</v>
      </c>
      <c r="B1230" s="93" t="s">
        <v>329</v>
      </c>
      <c r="C1230" s="89" t="s">
        <v>40</v>
      </c>
      <c r="D1230" s="93" t="s">
        <v>316</v>
      </c>
      <c r="E1230" s="93" t="s">
        <v>35</v>
      </c>
      <c r="F1230" s="93" t="s">
        <v>338</v>
      </c>
      <c r="G1230" s="93" t="s">
        <v>337</v>
      </c>
      <c r="H1230" s="93" t="s">
        <v>352</v>
      </c>
      <c r="I1230" s="94">
        <v>1.17</v>
      </c>
      <c r="J1230" s="95">
        <v>87.75</v>
      </c>
    </row>
    <row r="1231" spans="1:10" x14ac:dyDescent="0.25">
      <c r="A1231" s="92">
        <v>45838</v>
      </c>
      <c r="B1231" s="93" t="s">
        <v>327</v>
      </c>
      <c r="C1231" s="89" t="s">
        <v>40</v>
      </c>
      <c r="D1231" s="93" t="s">
        <v>320</v>
      </c>
      <c r="E1231" s="93" t="s">
        <v>35</v>
      </c>
      <c r="F1231" s="93" t="s">
        <v>322</v>
      </c>
      <c r="G1231" s="93" t="s">
        <v>319</v>
      </c>
      <c r="H1231" s="93" t="s">
        <v>352</v>
      </c>
      <c r="I1231" s="94">
        <v>7.5</v>
      </c>
      <c r="J1231" s="95">
        <v>240</v>
      </c>
    </row>
    <row r="1232" spans="1:10" x14ac:dyDescent="0.25">
      <c r="A1232" s="92">
        <v>45838</v>
      </c>
      <c r="B1232" s="93" t="s">
        <v>333</v>
      </c>
      <c r="C1232" s="89" t="s">
        <v>40</v>
      </c>
      <c r="D1232" s="93" t="s">
        <v>320</v>
      </c>
      <c r="E1232" s="93" t="s">
        <v>35</v>
      </c>
      <c r="F1232" s="93" t="s">
        <v>322</v>
      </c>
      <c r="G1232" s="93" t="s">
        <v>319</v>
      </c>
      <c r="H1232" s="93" t="s">
        <v>352</v>
      </c>
      <c r="I1232" s="94">
        <v>7.53</v>
      </c>
      <c r="J1232" s="95">
        <v>240.96</v>
      </c>
    </row>
    <row r="1233" spans="1:10" x14ac:dyDescent="0.25">
      <c r="A1233" s="92">
        <v>45838</v>
      </c>
      <c r="B1233" s="93" t="s">
        <v>323</v>
      </c>
      <c r="C1233" s="89" t="s">
        <v>40</v>
      </c>
      <c r="D1233" s="93" t="s">
        <v>200</v>
      </c>
      <c r="E1233" s="93" t="s">
        <v>341</v>
      </c>
      <c r="F1233" s="93" t="s">
        <v>391</v>
      </c>
      <c r="G1233" s="93" t="s">
        <v>346</v>
      </c>
      <c r="H1233" s="93" t="s">
        <v>344</v>
      </c>
      <c r="I1233" s="94">
        <v>1.5</v>
      </c>
      <c r="J1233" s="95">
        <v>90</v>
      </c>
    </row>
    <row r="1234" spans="1:10" x14ac:dyDescent="0.25">
      <c r="A1234" s="92">
        <v>45838</v>
      </c>
      <c r="B1234" s="93" t="s">
        <v>323</v>
      </c>
      <c r="C1234" s="89" t="s">
        <v>40</v>
      </c>
      <c r="D1234" s="93" t="s">
        <v>219</v>
      </c>
      <c r="E1234" s="93" t="s">
        <v>341</v>
      </c>
      <c r="F1234" s="93" t="s">
        <v>432</v>
      </c>
      <c r="G1234" s="93" t="s">
        <v>346</v>
      </c>
      <c r="H1234" s="93" t="s">
        <v>344</v>
      </c>
      <c r="I1234" s="94">
        <v>1.5</v>
      </c>
      <c r="J1234" s="95">
        <v>90</v>
      </c>
    </row>
    <row r="1235" spans="1:10" x14ac:dyDescent="0.25">
      <c r="A1235" s="92">
        <v>45838</v>
      </c>
      <c r="B1235" s="93" t="s">
        <v>323</v>
      </c>
      <c r="C1235" s="89" t="s">
        <v>40</v>
      </c>
      <c r="D1235" s="93" t="s">
        <v>286</v>
      </c>
      <c r="E1235" s="93" t="s">
        <v>341</v>
      </c>
      <c r="F1235" s="93" t="s">
        <v>434</v>
      </c>
      <c r="G1235" s="93" t="s">
        <v>346</v>
      </c>
      <c r="H1235" s="93" t="s">
        <v>344</v>
      </c>
      <c r="I1235" s="94">
        <v>1.5</v>
      </c>
      <c r="J1235" s="95">
        <v>90</v>
      </c>
    </row>
    <row r="1236" spans="1:10" x14ac:dyDescent="0.25">
      <c r="A1236" s="92">
        <v>45838</v>
      </c>
      <c r="B1236" s="93" t="s">
        <v>329</v>
      </c>
      <c r="C1236" s="89" t="s">
        <v>40</v>
      </c>
      <c r="D1236" s="93" t="s">
        <v>197</v>
      </c>
      <c r="E1236" s="93" t="s">
        <v>34</v>
      </c>
      <c r="F1236" s="93" t="s">
        <v>366</v>
      </c>
      <c r="G1236" s="93" t="s">
        <v>347</v>
      </c>
      <c r="H1236" s="93" t="s">
        <v>343</v>
      </c>
      <c r="I1236" s="94">
        <v>0.33</v>
      </c>
      <c r="J1236" s="95">
        <v>24.75</v>
      </c>
    </row>
    <row r="1237" spans="1:10" x14ac:dyDescent="0.25">
      <c r="A1237" s="92">
        <v>45838</v>
      </c>
      <c r="B1237" s="93" t="s">
        <v>329</v>
      </c>
      <c r="C1237" s="89" t="s">
        <v>40</v>
      </c>
      <c r="D1237" s="93" t="s">
        <v>301</v>
      </c>
      <c r="E1237" s="93" t="s">
        <v>34</v>
      </c>
      <c r="F1237" s="93" t="s">
        <v>371</v>
      </c>
      <c r="G1237" s="93" t="s">
        <v>347</v>
      </c>
      <c r="H1237" s="93" t="s">
        <v>343</v>
      </c>
      <c r="I1237" s="94">
        <v>0.17</v>
      </c>
      <c r="J1237" s="95">
        <v>12.750000000000002</v>
      </c>
    </row>
    <row r="1238" spans="1:10" x14ac:dyDescent="0.25">
      <c r="A1238" s="92">
        <v>45838</v>
      </c>
      <c r="B1238" s="93" t="s">
        <v>329</v>
      </c>
      <c r="C1238" s="89" t="s">
        <v>40</v>
      </c>
      <c r="D1238" s="93" t="s">
        <v>238</v>
      </c>
      <c r="E1238" s="93" t="s">
        <v>34</v>
      </c>
      <c r="F1238" s="93" t="s">
        <v>374</v>
      </c>
      <c r="G1238" s="93" t="s">
        <v>347</v>
      </c>
      <c r="H1238" s="93" t="s">
        <v>343</v>
      </c>
      <c r="I1238" s="94">
        <v>0.25</v>
      </c>
      <c r="J1238" s="95">
        <v>18.75</v>
      </c>
    </row>
    <row r="1239" spans="1:10" x14ac:dyDescent="0.25">
      <c r="A1239" s="92">
        <v>45838</v>
      </c>
      <c r="B1239" s="93" t="s">
        <v>330</v>
      </c>
      <c r="C1239" s="89" t="s">
        <v>40</v>
      </c>
      <c r="D1239" s="93" t="s">
        <v>252</v>
      </c>
      <c r="E1239" s="93" t="s">
        <v>34</v>
      </c>
      <c r="F1239" s="93" t="s">
        <v>416</v>
      </c>
      <c r="G1239" s="93" t="s">
        <v>347</v>
      </c>
      <c r="H1239" s="93" t="s">
        <v>343</v>
      </c>
      <c r="I1239" s="94">
        <v>0.5</v>
      </c>
      <c r="J1239" s="95">
        <v>30</v>
      </c>
    </row>
    <row r="1240" spans="1:10" x14ac:dyDescent="0.25">
      <c r="A1240" s="92">
        <v>45838</v>
      </c>
      <c r="B1240" s="93" t="s">
        <v>329</v>
      </c>
      <c r="C1240" s="89" t="s">
        <v>40</v>
      </c>
      <c r="D1240" s="93" t="s">
        <v>248</v>
      </c>
      <c r="E1240" s="93" t="s">
        <v>34</v>
      </c>
      <c r="F1240" s="93" t="s">
        <v>385</v>
      </c>
      <c r="G1240" s="93" t="s">
        <v>347</v>
      </c>
      <c r="H1240" s="93" t="s">
        <v>343</v>
      </c>
      <c r="I1240" s="94">
        <v>0.17</v>
      </c>
      <c r="J1240" s="95">
        <v>12.750000000000002</v>
      </c>
    </row>
    <row r="1241" spans="1:10" x14ac:dyDescent="0.25">
      <c r="A1241" s="92">
        <v>45838</v>
      </c>
      <c r="B1241" s="93" t="s">
        <v>329</v>
      </c>
      <c r="C1241" s="89" t="s">
        <v>40</v>
      </c>
      <c r="D1241" s="93" t="s">
        <v>247</v>
      </c>
      <c r="E1241" s="93" t="s">
        <v>34</v>
      </c>
      <c r="F1241" s="93" t="s">
        <v>375</v>
      </c>
      <c r="G1241" s="93" t="s">
        <v>347</v>
      </c>
      <c r="H1241" s="93" t="s">
        <v>343</v>
      </c>
      <c r="I1241" s="94">
        <v>0.17</v>
      </c>
      <c r="J1241" s="95">
        <v>12.750000000000002</v>
      </c>
    </row>
    <row r="1242" spans="1:10" x14ac:dyDescent="0.25">
      <c r="A1242" s="92">
        <v>45838</v>
      </c>
      <c r="B1242" s="93" t="s">
        <v>329</v>
      </c>
      <c r="C1242" s="89" t="s">
        <v>40</v>
      </c>
      <c r="D1242" s="93" t="s">
        <v>268</v>
      </c>
      <c r="E1242" s="93" t="s">
        <v>34</v>
      </c>
      <c r="F1242" s="93" t="s">
        <v>386</v>
      </c>
      <c r="G1242" s="93" t="s">
        <v>347</v>
      </c>
      <c r="H1242" s="93" t="s">
        <v>343</v>
      </c>
      <c r="I1242" s="94">
        <v>0.17</v>
      </c>
      <c r="J1242" s="95">
        <v>12.750000000000002</v>
      </c>
    </row>
    <row r="1243" spans="1:10" x14ac:dyDescent="0.25">
      <c r="A1243" s="92">
        <v>45838</v>
      </c>
      <c r="B1243" s="93" t="s">
        <v>329</v>
      </c>
      <c r="C1243" s="89" t="s">
        <v>40</v>
      </c>
      <c r="D1243" s="93" t="s">
        <v>248</v>
      </c>
      <c r="E1243" s="93" t="s">
        <v>341</v>
      </c>
      <c r="F1243" s="93" t="s">
        <v>385</v>
      </c>
      <c r="G1243" s="93" t="s">
        <v>347</v>
      </c>
      <c r="H1243" s="93" t="s">
        <v>344</v>
      </c>
      <c r="I1243" s="94">
        <v>0.75</v>
      </c>
      <c r="J1243" s="95">
        <v>56.25</v>
      </c>
    </row>
    <row r="1244" spans="1:10" x14ac:dyDescent="0.25">
      <c r="A1244" s="92">
        <v>45838</v>
      </c>
      <c r="B1244" s="93" t="s">
        <v>329</v>
      </c>
      <c r="C1244" s="89" t="s">
        <v>40</v>
      </c>
      <c r="D1244" s="93" t="s">
        <v>247</v>
      </c>
      <c r="E1244" s="93" t="s">
        <v>341</v>
      </c>
      <c r="F1244" s="93" t="s">
        <v>375</v>
      </c>
      <c r="G1244" s="93" t="s">
        <v>347</v>
      </c>
      <c r="H1244" s="93" t="s">
        <v>344</v>
      </c>
      <c r="I1244" s="94">
        <v>0.5</v>
      </c>
      <c r="J1244" s="95">
        <v>37.5</v>
      </c>
    </row>
    <row r="1245" spans="1:10" x14ac:dyDescent="0.25">
      <c r="A1245" s="92">
        <v>45838</v>
      </c>
      <c r="B1245" s="93" t="s">
        <v>329</v>
      </c>
      <c r="C1245" s="89" t="s">
        <v>40</v>
      </c>
      <c r="D1245" s="93" t="s">
        <v>296</v>
      </c>
      <c r="E1245" s="93" t="s">
        <v>341</v>
      </c>
      <c r="F1245" s="93" t="s">
        <v>411</v>
      </c>
      <c r="G1245" s="93" t="s">
        <v>347</v>
      </c>
      <c r="H1245" s="93" t="s">
        <v>344</v>
      </c>
      <c r="I1245" s="94">
        <v>0.5</v>
      </c>
      <c r="J1245" s="95">
        <v>37.5</v>
      </c>
    </row>
    <row r="1246" spans="1:10" x14ac:dyDescent="0.25">
      <c r="A1246" s="92">
        <v>45838</v>
      </c>
      <c r="B1246" s="93" t="s">
        <v>329</v>
      </c>
      <c r="C1246" s="89" t="s">
        <v>40</v>
      </c>
      <c r="D1246" s="93" t="s">
        <v>299</v>
      </c>
      <c r="E1246" s="93" t="s">
        <v>312</v>
      </c>
      <c r="F1246" s="93" t="s">
        <v>455</v>
      </c>
      <c r="G1246" s="93" t="s">
        <v>347</v>
      </c>
      <c r="H1246" s="93" t="s">
        <v>350</v>
      </c>
      <c r="I1246" s="94">
        <v>0.5</v>
      </c>
      <c r="J1246" s="95">
        <v>37.5</v>
      </c>
    </row>
    <row r="1247" spans="1:10" x14ac:dyDescent="0.25">
      <c r="A1247" s="92">
        <v>45838</v>
      </c>
      <c r="B1247" s="93" t="s">
        <v>326</v>
      </c>
      <c r="C1247" s="89" t="s">
        <v>40</v>
      </c>
      <c r="D1247" s="93" t="s">
        <v>175</v>
      </c>
      <c r="E1247" s="93" t="s">
        <v>36</v>
      </c>
      <c r="F1247" s="93" t="s">
        <v>388</v>
      </c>
      <c r="G1247" s="93" t="s">
        <v>348</v>
      </c>
      <c r="H1247" s="93" t="s">
        <v>342</v>
      </c>
      <c r="I1247" s="94">
        <v>0.75</v>
      </c>
      <c r="J1247" s="95">
        <v>45</v>
      </c>
    </row>
    <row r="1248" spans="1:10" x14ac:dyDescent="0.25">
      <c r="A1248" s="92">
        <v>45838</v>
      </c>
      <c r="B1248" s="93" t="s">
        <v>326</v>
      </c>
      <c r="C1248" s="89" t="s">
        <v>40</v>
      </c>
      <c r="D1248" s="93" t="s">
        <v>227</v>
      </c>
      <c r="E1248" s="93" t="s">
        <v>36</v>
      </c>
      <c r="F1248" s="93" t="s">
        <v>453</v>
      </c>
      <c r="G1248" s="93" t="s">
        <v>348</v>
      </c>
      <c r="H1248" s="93" t="s">
        <v>342</v>
      </c>
      <c r="I1248" s="94">
        <v>1</v>
      </c>
      <c r="J1248" s="95">
        <v>60</v>
      </c>
    </row>
    <row r="1249" spans="1:10" x14ac:dyDescent="0.25">
      <c r="A1249" s="92">
        <v>45838</v>
      </c>
      <c r="B1249" s="93" t="s">
        <v>326</v>
      </c>
      <c r="C1249" s="89" t="s">
        <v>40</v>
      </c>
      <c r="D1249" s="93" t="s">
        <v>207</v>
      </c>
      <c r="E1249" s="93" t="s">
        <v>34</v>
      </c>
      <c r="F1249" s="93" t="s">
        <v>417</v>
      </c>
      <c r="G1249" s="93" t="s">
        <v>348</v>
      </c>
      <c r="H1249" s="93" t="s">
        <v>343</v>
      </c>
      <c r="I1249" s="94">
        <v>0.5</v>
      </c>
      <c r="J1249" s="95">
        <v>30</v>
      </c>
    </row>
    <row r="1250" spans="1:10" x14ac:dyDescent="0.25">
      <c r="A1250" s="92">
        <v>45838</v>
      </c>
      <c r="B1250" s="93" t="s">
        <v>332</v>
      </c>
      <c r="C1250" s="89" t="s">
        <v>40</v>
      </c>
      <c r="D1250" s="93" t="s">
        <v>314</v>
      </c>
      <c r="E1250" s="93" t="s">
        <v>35</v>
      </c>
      <c r="F1250" s="93" t="s">
        <v>359</v>
      </c>
      <c r="G1250" s="93" t="s">
        <v>339</v>
      </c>
      <c r="H1250" s="93" t="s">
        <v>352</v>
      </c>
      <c r="I1250" s="94">
        <v>9.33</v>
      </c>
      <c r="J1250" s="95">
        <v>373.2</v>
      </c>
    </row>
    <row r="1251" spans="1:10" x14ac:dyDescent="0.25">
      <c r="A1251" s="92">
        <v>45838</v>
      </c>
      <c r="B1251" s="93" t="s">
        <v>324</v>
      </c>
      <c r="C1251" s="89" t="s">
        <v>40</v>
      </c>
      <c r="D1251" s="93" t="s">
        <v>314</v>
      </c>
      <c r="E1251" s="93" t="s">
        <v>35</v>
      </c>
      <c r="F1251" s="93" t="s">
        <v>359</v>
      </c>
      <c r="G1251" s="93" t="s">
        <v>339</v>
      </c>
      <c r="H1251" s="93" t="s">
        <v>352</v>
      </c>
      <c r="I1251" s="94">
        <v>4</v>
      </c>
      <c r="J1251" s="95">
        <v>300</v>
      </c>
    </row>
    <row r="1252" spans="1:10" x14ac:dyDescent="0.25">
      <c r="A1252" s="92">
        <v>45839</v>
      </c>
      <c r="B1252" s="93" t="s">
        <v>329</v>
      </c>
      <c r="C1252" s="89" t="s">
        <v>40</v>
      </c>
      <c r="D1252" s="93" t="s">
        <v>270</v>
      </c>
      <c r="E1252" s="93" t="s">
        <v>34</v>
      </c>
      <c r="F1252" s="93" t="s">
        <v>360</v>
      </c>
      <c r="G1252" s="93" t="s">
        <v>347</v>
      </c>
      <c r="H1252" s="93" t="s">
        <v>343</v>
      </c>
      <c r="I1252" s="94">
        <v>0.17</v>
      </c>
      <c r="J1252" s="95">
        <v>12.750000000000002</v>
      </c>
    </row>
    <row r="1253" spans="1:10" x14ac:dyDescent="0.25">
      <c r="A1253" s="92">
        <v>45839</v>
      </c>
      <c r="B1253" s="93" t="s">
        <v>329</v>
      </c>
      <c r="C1253" s="89" t="s">
        <v>40</v>
      </c>
      <c r="D1253" s="93" t="s">
        <v>238</v>
      </c>
      <c r="E1253" s="93" t="s">
        <v>341</v>
      </c>
      <c r="F1253" s="93" t="s">
        <v>374</v>
      </c>
      <c r="G1253" s="93" t="s">
        <v>347</v>
      </c>
      <c r="H1253" s="93" t="s">
        <v>344</v>
      </c>
      <c r="I1253" s="94">
        <v>2</v>
      </c>
      <c r="J1253" s="95">
        <v>150</v>
      </c>
    </row>
    <row r="1254" spans="1:10" x14ac:dyDescent="0.25">
      <c r="A1254" s="92">
        <v>45839</v>
      </c>
      <c r="B1254" s="93" t="s">
        <v>329</v>
      </c>
      <c r="C1254" s="89" t="s">
        <v>40</v>
      </c>
      <c r="D1254" s="93" t="s">
        <v>221</v>
      </c>
      <c r="E1254" s="93" t="s">
        <v>341</v>
      </c>
      <c r="F1254" s="93" t="s">
        <v>369</v>
      </c>
      <c r="G1254" s="93" t="s">
        <v>347</v>
      </c>
      <c r="H1254" s="93" t="s">
        <v>344</v>
      </c>
      <c r="I1254" s="94">
        <v>1.75</v>
      </c>
      <c r="J1254" s="95">
        <v>131.25</v>
      </c>
    </row>
    <row r="1255" spans="1:10" x14ac:dyDescent="0.25">
      <c r="A1255" s="92">
        <v>45839</v>
      </c>
      <c r="B1255" s="93" t="s">
        <v>323</v>
      </c>
      <c r="C1255" s="89" t="s">
        <v>40</v>
      </c>
      <c r="D1255" s="93" t="s">
        <v>208</v>
      </c>
      <c r="E1255" s="93" t="s">
        <v>36</v>
      </c>
      <c r="F1255" s="93" t="s">
        <v>456</v>
      </c>
      <c r="G1255" s="93" t="s">
        <v>346</v>
      </c>
      <c r="H1255" s="93" t="s">
        <v>342</v>
      </c>
      <c r="I1255" s="94">
        <v>0.25</v>
      </c>
      <c r="J1255" s="95">
        <v>15</v>
      </c>
    </row>
    <row r="1256" spans="1:10" x14ac:dyDescent="0.25">
      <c r="A1256" s="92">
        <v>45839</v>
      </c>
      <c r="B1256" s="93" t="s">
        <v>323</v>
      </c>
      <c r="C1256" s="89" t="s">
        <v>40</v>
      </c>
      <c r="D1256" s="93" t="s">
        <v>219</v>
      </c>
      <c r="E1256" s="93" t="s">
        <v>36</v>
      </c>
      <c r="F1256" s="93" t="s">
        <v>432</v>
      </c>
      <c r="G1256" s="93" t="s">
        <v>346</v>
      </c>
      <c r="H1256" s="93" t="s">
        <v>342</v>
      </c>
      <c r="I1256" s="94">
        <v>0.25</v>
      </c>
      <c r="J1256" s="95">
        <v>15</v>
      </c>
    </row>
    <row r="1257" spans="1:10" x14ac:dyDescent="0.25">
      <c r="A1257" s="92">
        <v>45839</v>
      </c>
      <c r="B1257" s="93" t="s">
        <v>329</v>
      </c>
      <c r="C1257" s="89" t="s">
        <v>40</v>
      </c>
      <c r="D1257" s="93" t="s">
        <v>316</v>
      </c>
      <c r="E1257" s="93" t="s">
        <v>35</v>
      </c>
      <c r="F1257" s="93" t="s">
        <v>338</v>
      </c>
      <c r="G1257" s="93" t="s">
        <v>337</v>
      </c>
      <c r="H1257" s="93" t="s">
        <v>352</v>
      </c>
      <c r="I1257" s="94">
        <v>1</v>
      </c>
      <c r="J1257" s="95">
        <v>75</v>
      </c>
    </row>
    <row r="1258" spans="1:10" x14ac:dyDescent="0.25">
      <c r="A1258" s="92">
        <v>45839</v>
      </c>
      <c r="B1258" s="93" t="s">
        <v>331</v>
      </c>
      <c r="C1258" s="89" t="s">
        <v>40</v>
      </c>
      <c r="D1258" s="93" t="s">
        <v>316</v>
      </c>
      <c r="E1258" s="93" t="s">
        <v>35</v>
      </c>
      <c r="F1258" s="93" t="s">
        <v>338</v>
      </c>
      <c r="G1258" s="93" t="s">
        <v>337</v>
      </c>
      <c r="H1258" s="93" t="s">
        <v>352</v>
      </c>
      <c r="I1258" s="94">
        <v>1</v>
      </c>
      <c r="J1258" s="95">
        <v>32</v>
      </c>
    </row>
    <row r="1259" spans="1:10" x14ac:dyDescent="0.25">
      <c r="A1259" s="92">
        <v>45839</v>
      </c>
      <c r="B1259" s="93" t="s">
        <v>327</v>
      </c>
      <c r="C1259" s="89" t="s">
        <v>40</v>
      </c>
      <c r="D1259" s="93" t="s">
        <v>320</v>
      </c>
      <c r="E1259" s="93" t="s">
        <v>35</v>
      </c>
      <c r="F1259" s="93" t="s">
        <v>322</v>
      </c>
      <c r="G1259" s="93" t="s">
        <v>319</v>
      </c>
      <c r="H1259" s="93" t="s">
        <v>352</v>
      </c>
      <c r="I1259" s="94">
        <v>7.43</v>
      </c>
      <c r="J1259" s="95">
        <v>237.76</v>
      </c>
    </row>
    <row r="1260" spans="1:10" x14ac:dyDescent="0.25">
      <c r="A1260" s="92">
        <v>45839</v>
      </c>
      <c r="B1260" s="93" t="s">
        <v>333</v>
      </c>
      <c r="C1260" s="89" t="s">
        <v>40</v>
      </c>
      <c r="D1260" s="93" t="s">
        <v>320</v>
      </c>
      <c r="E1260" s="93" t="s">
        <v>35</v>
      </c>
      <c r="F1260" s="93" t="s">
        <v>322</v>
      </c>
      <c r="G1260" s="93" t="s">
        <v>319</v>
      </c>
      <c r="H1260" s="93" t="s">
        <v>352</v>
      </c>
      <c r="I1260" s="94">
        <v>7.07</v>
      </c>
      <c r="J1260" s="95">
        <v>226.24</v>
      </c>
    </row>
    <row r="1261" spans="1:10" x14ac:dyDescent="0.25">
      <c r="A1261" s="92">
        <v>45839</v>
      </c>
      <c r="B1261" s="93" t="s">
        <v>323</v>
      </c>
      <c r="C1261" s="89" t="s">
        <v>40</v>
      </c>
      <c r="D1261" s="93" t="s">
        <v>286</v>
      </c>
      <c r="E1261" s="93" t="s">
        <v>36</v>
      </c>
      <c r="F1261" s="93" t="s">
        <v>434</v>
      </c>
      <c r="G1261" s="93" t="s">
        <v>346</v>
      </c>
      <c r="H1261" s="93" t="s">
        <v>342</v>
      </c>
      <c r="I1261" s="94">
        <v>0.25</v>
      </c>
      <c r="J1261" s="95">
        <v>15</v>
      </c>
    </row>
    <row r="1262" spans="1:10" x14ac:dyDescent="0.25">
      <c r="A1262" s="92">
        <v>45839</v>
      </c>
      <c r="B1262" s="93" t="s">
        <v>323</v>
      </c>
      <c r="C1262" s="89" t="s">
        <v>40</v>
      </c>
      <c r="D1262" s="93" t="s">
        <v>274</v>
      </c>
      <c r="E1262" s="93" t="s">
        <v>36</v>
      </c>
      <c r="F1262" s="93" t="s">
        <v>421</v>
      </c>
      <c r="G1262" s="93" t="s">
        <v>346</v>
      </c>
      <c r="H1262" s="93" t="s">
        <v>342</v>
      </c>
      <c r="I1262" s="94">
        <v>0.25</v>
      </c>
      <c r="J1262" s="95">
        <v>15</v>
      </c>
    </row>
    <row r="1263" spans="1:10" x14ac:dyDescent="0.25">
      <c r="A1263" s="92">
        <v>45839</v>
      </c>
      <c r="B1263" s="93" t="s">
        <v>329</v>
      </c>
      <c r="C1263" s="89" t="s">
        <v>40</v>
      </c>
      <c r="D1263" s="93" t="s">
        <v>221</v>
      </c>
      <c r="E1263" s="93" t="s">
        <v>34</v>
      </c>
      <c r="F1263" s="93" t="s">
        <v>369</v>
      </c>
      <c r="G1263" s="93" t="s">
        <v>347</v>
      </c>
      <c r="H1263" s="93" t="s">
        <v>343</v>
      </c>
      <c r="I1263" s="94">
        <v>0.25</v>
      </c>
      <c r="J1263" s="95">
        <v>18.75</v>
      </c>
    </row>
    <row r="1264" spans="1:10" x14ac:dyDescent="0.25">
      <c r="A1264" s="92">
        <v>45839</v>
      </c>
      <c r="B1264" s="93" t="s">
        <v>329</v>
      </c>
      <c r="C1264" s="89" t="s">
        <v>40</v>
      </c>
      <c r="D1264" s="93" t="s">
        <v>258</v>
      </c>
      <c r="E1264" s="93" t="s">
        <v>34</v>
      </c>
      <c r="F1264" s="93" t="s">
        <v>381</v>
      </c>
      <c r="G1264" s="93" t="s">
        <v>347</v>
      </c>
      <c r="H1264" s="93" t="s">
        <v>343</v>
      </c>
      <c r="I1264" s="94">
        <v>0.33</v>
      </c>
      <c r="J1264" s="95">
        <v>24.75</v>
      </c>
    </row>
    <row r="1265" spans="1:10" x14ac:dyDescent="0.25">
      <c r="A1265" s="92">
        <v>45839</v>
      </c>
      <c r="B1265" s="93" t="s">
        <v>325</v>
      </c>
      <c r="C1265" s="89" t="s">
        <v>40</v>
      </c>
      <c r="D1265" s="93" t="s">
        <v>249</v>
      </c>
      <c r="E1265" s="93" t="s">
        <v>34</v>
      </c>
      <c r="F1265" s="93" t="s">
        <v>409</v>
      </c>
      <c r="G1265" s="93" t="s">
        <v>347</v>
      </c>
      <c r="H1265" s="93" t="s">
        <v>343</v>
      </c>
      <c r="I1265" s="94">
        <v>0.17</v>
      </c>
      <c r="J1265" s="95">
        <v>12.750000000000002</v>
      </c>
    </row>
    <row r="1266" spans="1:10" x14ac:dyDescent="0.25">
      <c r="A1266" s="92">
        <v>45839</v>
      </c>
      <c r="B1266" s="93" t="s">
        <v>325</v>
      </c>
      <c r="C1266" s="89" t="s">
        <v>40</v>
      </c>
      <c r="D1266" s="93" t="s">
        <v>278</v>
      </c>
      <c r="E1266" s="93" t="s">
        <v>34</v>
      </c>
      <c r="F1266" s="93" t="s">
        <v>452</v>
      </c>
      <c r="G1266" s="93" t="s">
        <v>347</v>
      </c>
      <c r="H1266" s="93" t="s">
        <v>343</v>
      </c>
      <c r="I1266" s="94">
        <v>0.25</v>
      </c>
      <c r="J1266" s="95">
        <v>18.75</v>
      </c>
    </row>
    <row r="1267" spans="1:10" x14ac:dyDescent="0.25">
      <c r="A1267" s="92">
        <v>45839</v>
      </c>
      <c r="B1267" s="93" t="s">
        <v>329</v>
      </c>
      <c r="C1267" s="89" t="s">
        <v>40</v>
      </c>
      <c r="D1267" s="93" t="s">
        <v>299</v>
      </c>
      <c r="E1267" s="93" t="s">
        <v>312</v>
      </c>
      <c r="F1267" s="93" t="s">
        <v>455</v>
      </c>
      <c r="G1267" s="93" t="s">
        <v>347</v>
      </c>
      <c r="H1267" s="93" t="s">
        <v>350</v>
      </c>
      <c r="I1267" s="94">
        <v>0.33</v>
      </c>
      <c r="J1267" s="95">
        <v>24.75</v>
      </c>
    </row>
    <row r="1268" spans="1:10" x14ac:dyDescent="0.25">
      <c r="A1268" s="92">
        <v>45839</v>
      </c>
      <c r="B1268" s="93" t="s">
        <v>326</v>
      </c>
      <c r="C1268" s="89" t="s">
        <v>40</v>
      </c>
      <c r="D1268" s="93" t="s">
        <v>235</v>
      </c>
      <c r="E1268" s="93" t="s">
        <v>36</v>
      </c>
      <c r="F1268" s="93" t="s">
        <v>355</v>
      </c>
      <c r="G1268" s="93" t="s">
        <v>348</v>
      </c>
      <c r="H1268" s="93" t="s">
        <v>342</v>
      </c>
      <c r="I1268" s="94">
        <v>0.83</v>
      </c>
      <c r="J1268" s="95">
        <v>49.8</v>
      </c>
    </row>
    <row r="1269" spans="1:10" x14ac:dyDescent="0.25">
      <c r="A1269" s="92">
        <v>45839</v>
      </c>
      <c r="B1269" s="93" t="s">
        <v>326</v>
      </c>
      <c r="C1269" s="89" t="s">
        <v>40</v>
      </c>
      <c r="D1269" s="93" t="s">
        <v>175</v>
      </c>
      <c r="E1269" s="93" t="s">
        <v>34</v>
      </c>
      <c r="F1269" s="93" t="s">
        <v>388</v>
      </c>
      <c r="G1269" s="93" t="s">
        <v>348</v>
      </c>
      <c r="H1269" s="93" t="s">
        <v>343</v>
      </c>
      <c r="I1269" s="94">
        <v>1</v>
      </c>
      <c r="J1269" s="95">
        <v>60</v>
      </c>
    </row>
    <row r="1270" spans="1:10" x14ac:dyDescent="0.25">
      <c r="A1270" s="92">
        <v>45839</v>
      </c>
      <c r="B1270" s="93" t="s">
        <v>326</v>
      </c>
      <c r="C1270" s="89" t="s">
        <v>40</v>
      </c>
      <c r="D1270" s="93" t="s">
        <v>309</v>
      </c>
      <c r="E1270" s="93" t="s">
        <v>34</v>
      </c>
      <c r="F1270" s="93" t="s">
        <v>454</v>
      </c>
      <c r="G1270" s="93" t="s">
        <v>348</v>
      </c>
      <c r="H1270" s="93" t="s">
        <v>343</v>
      </c>
      <c r="I1270" s="94">
        <v>1.42</v>
      </c>
      <c r="J1270" s="95">
        <v>85.199999999999989</v>
      </c>
    </row>
    <row r="1271" spans="1:10" x14ac:dyDescent="0.25">
      <c r="A1271" s="92">
        <v>45839</v>
      </c>
      <c r="B1271" s="93" t="s">
        <v>332</v>
      </c>
      <c r="C1271" s="89" t="s">
        <v>40</v>
      </c>
      <c r="D1271" s="93" t="s">
        <v>314</v>
      </c>
      <c r="E1271" s="93" t="s">
        <v>35</v>
      </c>
      <c r="F1271" s="93" t="s">
        <v>359</v>
      </c>
      <c r="G1271" s="93" t="s">
        <v>339</v>
      </c>
      <c r="H1271" s="93" t="s">
        <v>352</v>
      </c>
      <c r="I1271" s="94">
        <v>8.83</v>
      </c>
      <c r="J1271" s="95">
        <v>353.2</v>
      </c>
    </row>
    <row r="1272" spans="1:10" x14ac:dyDescent="0.25">
      <c r="A1272" s="92">
        <v>45839</v>
      </c>
      <c r="B1272" s="93" t="s">
        <v>324</v>
      </c>
      <c r="C1272" s="89" t="s">
        <v>40</v>
      </c>
      <c r="D1272" s="93" t="s">
        <v>314</v>
      </c>
      <c r="E1272" s="93" t="s">
        <v>35</v>
      </c>
      <c r="F1272" s="93" t="s">
        <v>359</v>
      </c>
      <c r="G1272" s="93" t="s">
        <v>339</v>
      </c>
      <c r="H1272" s="93" t="s">
        <v>352</v>
      </c>
      <c r="I1272" s="94">
        <v>5.75</v>
      </c>
      <c r="J1272" s="95">
        <v>431.25</v>
      </c>
    </row>
    <row r="1273" spans="1:10" x14ac:dyDescent="0.25">
      <c r="A1273" s="92">
        <v>45840</v>
      </c>
      <c r="B1273" s="93" t="s">
        <v>329</v>
      </c>
      <c r="C1273" s="89" t="s">
        <v>40</v>
      </c>
      <c r="D1273" s="93" t="s">
        <v>270</v>
      </c>
      <c r="E1273" s="93" t="s">
        <v>34</v>
      </c>
      <c r="F1273" s="93" t="s">
        <v>360</v>
      </c>
      <c r="G1273" s="93" t="s">
        <v>347</v>
      </c>
      <c r="H1273" s="93" t="s">
        <v>343</v>
      </c>
      <c r="I1273" s="94">
        <v>0.17</v>
      </c>
      <c r="J1273" s="95">
        <v>12.750000000000002</v>
      </c>
    </row>
    <row r="1274" spans="1:10" x14ac:dyDescent="0.25">
      <c r="A1274" s="92">
        <v>45840</v>
      </c>
      <c r="B1274" s="93" t="s">
        <v>323</v>
      </c>
      <c r="C1274" s="89" t="s">
        <v>40</v>
      </c>
      <c r="D1274" s="93" t="s">
        <v>201</v>
      </c>
      <c r="E1274" s="93" t="s">
        <v>36</v>
      </c>
      <c r="F1274" s="93" t="s">
        <v>395</v>
      </c>
      <c r="G1274" s="93" t="s">
        <v>346</v>
      </c>
      <c r="H1274" s="93" t="s">
        <v>342</v>
      </c>
      <c r="I1274" s="94">
        <v>0.25</v>
      </c>
      <c r="J1274" s="95">
        <v>15</v>
      </c>
    </row>
    <row r="1275" spans="1:10" x14ac:dyDescent="0.25">
      <c r="A1275" s="92">
        <v>45840</v>
      </c>
      <c r="B1275" s="93" t="s">
        <v>329</v>
      </c>
      <c r="C1275" s="89" t="s">
        <v>40</v>
      </c>
      <c r="D1275" s="93" t="s">
        <v>316</v>
      </c>
      <c r="E1275" s="93" t="s">
        <v>35</v>
      </c>
      <c r="F1275" s="93" t="s">
        <v>338</v>
      </c>
      <c r="G1275" s="93" t="s">
        <v>337</v>
      </c>
      <c r="H1275" s="93" t="s">
        <v>352</v>
      </c>
      <c r="I1275" s="94">
        <v>1</v>
      </c>
      <c r="J1275" s="95">
        <v>75</v>
      </c>
    </row>
    <row r="1276" spans="1:10" x14ac:dyDescent="0.25">
      <c r="A1276" s="92">
        <v>45840</v>
      </c>
      <c r="B1276" s="93" t="s">
        <v>331</v>
      </c>
      <c r="C1276" s="89" t="s">
        <v>40</v>
      </c>
      <c r="D1276" s="93" t="s">
        <v>316</v>
      </c>
      <c r="E1276" s="93" t="s">
        <v>35</v>
      </c>
      <c r="F1276" s="93" t="s">
        <v>338</v>
      </c>
      <c r="G1276" s="93" t="s">
        <v>337</v>
      </c>
      <c r="H1276" s="93" t="s">
        <v>352</v>
      </c>
      <c r="I1276" s="94">
        <v>0.83</v>
      </c>
      <c r="J1276" s="95">
        <v>26.56</v>
      </c>
    </row>
    <row r="1277" spans="1:10" x14ac:dyDescent="0.25">
      <c r="A1277" s="92">
        <v>45840</v>
      </c>
      <c r="B1277" s="93" t="s">
        <v>327</v>
      </c>
      <c r="C1277" s="89" t="s">
        <v>40</v>
      </c>
      <c r="D1277" s="93" t="s">
        <v>320</v>
      </c>
      <c r="E1277" s="93" t="s">
        <v>35</v>
      </c>
      <c r="F1277" s="93" t="s">
        <v>322</v>
      </c>
      <c r="G1277" s="93" t="s">
        <v>319</v>
      </c>
      <c r="H1277" s="93" t="s">
        <v>352</v>
      </c>
      <c r="I1277" s="94">
        <v>7.58</v>
      </c>
      <c r="J1277" s="95">
        <v>242.56</v>
      </c>
    </row>
    <row r="1278" spans="1:10" x14ac:dyDescent="0.25">
      <c r="A1278" s="92">
        <v>45840</v>
      </c>
      <c r="B1278" s="93" t="s">
        <v>333</v>
      </c>
      <c r="C1278" s="89" t="s">
        <v>40</v>
      </c>
      <c r="D1278" s="93" t="s">
        <v>320</v>
      </c>
      <c r="E1278" s="93" t="s">
        <v>35</v>
      </c>
      <c r="F1278" s="93" t="s">
        <v>322</v>
      </c>
      <c r="G1278" s="93" t="s">
        <v>319</v>
      </c>
      <c r="H1278" s="93" t="s">
        <v>352</v>
      </c>
      <c r="I1278" s="94">
        <v>7.73</v>
      </c>
      <c r="J1278" s="95">
        <v>247.36</v>
      </c>
    </row>
    <row r="1279" spans="1:10" x14ac:dyDescent="0.25">
      <c r="A1279" s="92">
        <v>45840</v>
      </c>
      <c r="B1279" s="93" t="s">
        <v>323</v>
      </c>
      <c r="C1279" s="89" t="s">
        <v>40</v>
      </c>
      <c r="D1279" s="93" t="s">
        <v>232</v>
      </c>
      <c r="E1279" s="93" t="s">
        <v>36</v>
      </c>
      <c r="F1279" s="93" t="s">
        <v>393</v>
      </c>
      <c r="G1279" s="93" t="s">
        <v>346</v>
      </c>
      <c r="H1279" s="93" t="s">
        <v>342</v>
      </c>
      <c r="I1279" s="94">
        <v>0.33</v>
      </c>
      <c r="J1279" s="95">
        <v>19.8</v>
      </c>
    </row>
    <row r="1280" spans="1:10" x14ac:dyDescent="0.25">
      <c r="A1280" s="92">
        <v>45840</v>
      </c>
      <c r="B1280" s="93" t="s">
        <v>323</v>
      </c>
      <c r="C1280" s="89" t="s">
        <v>40</v>
      </c>
      <c r="D1280" s="93" t="s">
        <v>200</v>
      </c>
      <c r="E1280" s="93" t="s">
        <v>34</v>
      </c>
      <c r="F1280" s="93" t="s">
        <v>391</v>
      </c>
      <c r="G1280" s="93" t="s">
        <v>346</v>
      </c>
      <c r="H1280" s="93" t="s">
        <v>343</v>
      </c>
      <c r="I1280" s="94">
        <v>0.33</v>
      </c>
      <c r="J1280" s="95">
        <v>19.8</v>
      </c>
    </row>
    <row r="1281" spans="1:10" x14ac:dyDescent="0.25">
      <c r="A1281" s="92">
        <v>45840</v>
      </c>
      <c r="B1281" s="93" t="s">
        <v>323</v>
      </c>
      <c r="C1281" s="89" t="s">
        <v>40</v>
      </c>
      <c r="D1281" s="93" t="s">
        <v>280</v>
      </c>
      <c r="E1281" s="93" t="s">
        <v>341</v>
      </c>
      <c r="F1281" s="93" t="s">
        <v>445</v>
      </c>
      <c r="G1281" s="93" t="s">
        <v>346</v>
      </c>
      <c r="H1281" s="93" t="s">
        <v>344</v>
      </c>
      <c r="I1281" s="94">
        <v>0.5</v>
      </c>
      <c r="J1281" s="95">
        <v>30</v>
      </c>
    </row>
    <row r="1282" spans="1:10" x14ac:dyDescent="0.25">
      <c r="A1282" s="92">
        <v>45840</v>
      </c>
      <c r="B1282" s="93" t="s">
        <v>323</v>
      </c>
      <c r="C1282" s="89" t="s">
        <v>40</v>
      </c>
      <c r="D1282" s="93" t="s">
        <v>282</v>
      </c>
      <c r="E1282" s="93" t="s">
        <v>341</v>
      </c>
      <c r="F1282" s="93" t="s">
        <v>451</v>
      </c>
      <c r="G1282" s="93" t="s">
        <v>346</v>
      </c>
      <c r="H1282" s="93" t="s">
        <v>344</v>
      </c>
      <c r="I1282" s="94">
        <v>0.5</v>
      </c>
      <c r="J1282" s="95">
        <v>30</v>
      </c>
    </row>
    <row r="1283" spans="1:10" x14ac:dyDescent="0.25">
      <c r="A1283" s="92">
        <v>45840</v>
      </c>
      <c r="B1283" s="93" t="s">
        <v>323</v>
      </c>
      <c r="C1283" s="89" t="s">
        <v>40</v>
      </c>
      <c r="D1283" s="93" t="s">
        <v>281</v>
      </c>
      <c r="E1283" s="93" t="s">
        <v>341</v>
      </c>
      <c r="F1283" s="93" t="s">
        <v>430</v>
      </c>
      <c r="G1283" s="93" t="s">
        <v>346</v>
      </c>
      <c r="H1283" s="93" t="s">
        <v>344</v>
      </c>
      <c r="I1283" s="94">
        <v>0.5</v>
      </c>
      <c r="J1283" s="95">
        <v>30</v>
      </c>
    </row>
    <row r="1284" spans="1:10" x14ac:dyDescent="0.25">
      <c r="A1284" s="92">
        <v>45840</v>
      </c>
      <c r="B1284" s="93" t="s">
        <v>329</v>
      </c>
      <c r="C1284" s="89" t="s">
        <v>40</v>
      </c>
      <c r="D1284" s="93" t="s">
        <v>295</v>
      </c>
      <c r="E1284" s="93" t="s">
        <v>34</v>
      </c>
      <c r="F1284" s="93" t="s">
        <v>379</v>
      </c>
      <c r="G1284" s="93" t="s">
        <v>347</v>
      </c>
      <c r="H1284" s="93" t="s">
        <v>343</v>
      </c>
      <c r="I1284" s="94">
        <v>0.17</v>
      </c>
      <c r="J1284" s="95">
        <v>12.750000000000002</v>
      </c>
    </row>
    <row r="1285" spans="1:10" x14ac:dyDescent="0.25">
      <c r="A1285" s="92">
        <v>45840</v>
      </c>
      <c r="B1285" s="93" t="s">
        <v>325</v>
      </c>
      <c r="C1285" s="89" t="s">
        <v>40</v>
      </c>
      <c r="D1285" s="93" t="s">
        <v>305</v>
      </c>
      <c r="E1285" s="93" t="s">
        <v>34</v>
      </c>
      <c r="F1285" s="93" t="s">
        <v>382</v>
      </c>
      <c r="G1285" s="93" t="s">
        <v>347</v>
      </c>
      <c r="H1285" s="93" t="s">
        <v>343</v>
      </c>
      <c r="I1285" s="94">
        <v>0.25</v>
      </c>
      <c r="J1285" s="95">
        <v>18.75</v>
      </c>
    </row>
    <row r="1286" spans="1:10" x14ac:dyDescent="0.25">
      <c r="A1286" s="92">
        <v>45840</v>
      </c>
      <c r="B1286" s="93" t="s">
        <v>325</v>
      </c>
      <c r="C1286" s="89" t="s">
        <v>40</v>
      </c>
      <c r="D1286" s="93" t="s">
        <v>277</v>
      </c>
      <c r="E1286" s="93" t="s">
        <v>34</v>
      </c>
      <c r="F1286" s="93" t="s">
        <v>353</v>
      </c>
      <c r="G1286" s="93" t="s">
        <v>347</v>
      </c>
      <c r="H1286" s="93" t="s">
        <v>343</v>
      </c>
      <c r="I1286" s="94">
        <v>0.33</v>
      </c>
      <c r="J1286" s="95">
        <v>24.75</v>
      </c>
    </row>
    <row r="1287" spans="1:10" x14ac:dyDescent="0.25">
      <c r="A1287" s="92">
        <v>45840</v>
      </c>
      <c r="B1287" s="93" t="s">
        <v>325</v>
      </c>
      <c r="C1287" s="89" t="s">
        <v>40</v>
      </c>
      <c r="D1287" s="93" t="s">
        <v>278</v>
      </c>
      <c r="E1287" s="93" t="s">
        <v>34</v>
      </c>
      <c r="F1287" s="93" t="s">
        <v>452</v>
      </c>
      <c r="G1287" s="93" t="s">
        <v>347</v>
      </c>
      <c r="H1287" s="93" t="s">
        <v>343</v>
      </c>
      <c r="I1287" s="94">
        <v>0.33</v>
      </c>
      <c r="J1287" s="95">
        <v>24.75</v>
      </c>
    </row>
    <row r="1288" spans="1:10" x14ac:dyDescent="0.25">
      <c r="A1288" s="92">
        <v>45840</v>
      </c>
      <c r="B1288" s="93" t="s">
        <v>325</v>
      </c>
      <c r="C1288" s="89" t="s">
        <v>40</v>
      </c>
      <c r="D1288" s="93" t="s">
        <v>249</v>
      </c>
      <c r="E1288" s="93" t="s">
        <v>341</v>
      </c>
      <c r="F1288" s="93" t="s">
        <v>409</v>
      </c>
      <c r="G1288" s="93" t="s">
        <v>347</v>
      </c>
      <c r="H1288" s="93" t="s">
        <v>344</v>
      </c>
      <c r="I1288" s="94">
        <v>1.17</v>
      </c>
      <c r="J1288" s="95">
        <v>87.75</v>
      </c>
    </row>
    <row r="1289" spans="1:10" x14ac:dyDescent="0.25">
      <c r="A1289" s="92">
        <v>45840</v>
      </c>
      <c r="B1289" s="93" t="s">
        <v>330</v>
      </c>
      <c r="C1289" s="89" t="s">
        <v>40</v>
      </c>
      <c r="D1289" s="93" t="s">
        <v>252</v>
      </c>
      <c r="E1289" s="93" t="s">
        <v>341</v>
      </c>
      <c r="F1289" s="93" t="s">
        <v>416</v>
      </c>
      <c r="G1289" s="93" t="s">
        <v>347</v>
      </c>
      <c r="H1289" s="93" t="s">
        <v>344</v>
      </c>
      <c r="I1289" s="94">
        <v>2.5</v>
      </c>
      <c r="J1289" s="95">
        <v>150</v>
      </c>
    </row>
    <row r="1290" spans="1:10" x14ac:dyDescent="0.25">
      <c r="A1290" s="92">
        <v>45840</v>
      </c>
      <c r="B1290" s="93" t="s">
        <v>325</v>
      </c>
      <c r="C1290" s="89" t="s">
        <v>40</v>
      </c>
      <c r="D1290" s="93" t="s">
        <v>253</v>
      </c>
      <c r="E1290" s="93" t="s">
        <v>341</v>
      </c>
      <c r="F1290" s="93" t="s">
        <v>408</v>
      </c>
      <c r="G1290" s="93" t="s">
        <v>347</v>
      </c>
      <c r="H1290" s="93" t="s">
        <v>344</v>
      </c>
      <c r="I1290" s="94">
        <v>1.08</v>
      </c>
      <c r="J1290" s="95">
        <v>81</v>
      </c>
    </row>
    <row r="1291" spans="1:10" x14ac:dyDescent="0.25">
      <c r="A1291" s="92">
        <v>45840</v>
      </c>
      <c r="B1291" s="93" t="s">
        <v>329</v>
      </c>
      <c r="C1291" s="89" t="s">
        <v>40</v>
      </c>
      <c r="D1291" s="93" t="s">
        <v>288</v>
      </c>
      <c r="E1291" s="93" t="s">
        <v>341</v>
      </c>
      <c r="F1291" s="93" t="s">
        <v>405</v>
      </c>
      <c r="G1291" s="93" t="s">
        <v>347</v>
      </c>
      <c r="H1291" s="93" t="s">
        <v>344</v>
      </c>
      <c r="I1291" s="94">
        <v>2</v>
      </c>
      <c r="J1291" s="95">
        <v>150</v>
      </c>
    </row>
    <row r="1292" spans="1:10" x14ac:dyDescent="0.25">
      <c r="A1292" s="92">
        <v>45840</v>
      </c>
      <c r="B1292" s="93" t="s">
        <v>329</v>
      </c>
      <c r="C1292" s="89" t="s">
        <v>40</v>
      </c>
      <c r="D1292" s="93" t="s">
        <v>294</v>
      </c>
      <c r="E1292" s="93" t="s">
        <v>341</v>
      </c>
      <c r="F1292" s="93" t="s">
        <v>377</v>
      </c>
      <c r="G1292" s="93" t="s">
        <v>347</v>
      </c>
      <c r="H1292" s="93" t="s">
        <v>344</v>
      </c>
      <c r="I1292" s="94">
        <v>2</v>
      </c>
      <c r="J1292" s="95">
        <v>150</v>
      </c>
    </row>
    <row r="1293" spans="1:10" x14ac:dyDescent="0.25">
      <c r="A1293" s="92">
        <v>45840</v>
      </c>
      <c r="B1293" s="93" t="s">
        <v>329</v>
      </c>
      <c r="C1293" s="89" t="s">
        <v>40</v>
      </c>
      <c r="D1293" s="93" t="s">
        <v>299</v>
      </c>
      <c r="E1293" s="93" t="s">
        <v>312</v>
      </c>
      <c r="F1293" s="93" t="s">
        <v>455</v>
      </c>
      <c r="G1293" s="93" t="s">
        <v>347</v>
      </c>
      <c r="H1293" s="93" t="s">
        <v>350</v>
      </c>
      <c r="I1293" s="94">
        <v>0.5</v>
      </c>
      <c r="J1293" s="95">
        <v>37.5</v>
      </c>
    </row>
    <row r="1294" spans="1:10" x14ac:dyDescent="0.25">
      <c r="A1294" s="92">
        <v>45840</v>
      </c>
      <c r="B1294" s="93" t="s">
        <v>326</v>
      </c>
      <c r="C1294" s="89" t="s">
        <v>40</v>
      </c>
      <c r="D1294" s="93" t="s">
        <v>175</v>
      </c>
      <c r="E1294" s="93" t="s">
        <v>36</v>
      </c>
      <c r="F1294" s="93" t="s">
        <v>388</v>
      </c>
      <c r="G1294" s="93" t="s">
        <v>348</v>
      </c>
      <c r="H1294" s="93" t="s">
        <v>342</v>
      </c>
      <c r="I1294" s="94">
        <v>0.83</v>
      </c>
      <c r="J1294" s="95">
        <v>49.8</v>
      </c>
    </row>
    <row r="1295" spans="1:10" x14ac:dyDescent="0.25">
      <c r="A1295" s="92">
        <v>45840</v>
      </c>
      <c r="B1295" s="93" t="s">
        <v>326</v>
      </c>
      <c r="C1295" s="89" t="s">
        <v>40</v>
      </c>
      <c r="D1295" s="93" t="s">
        <v>207</v>
      </c>
      <c r="E1295" s="93" t="s">
        <v>34</v>
      </c>
      <c r="F1295" s="93" t="s">
        <v>417</v>
      </c>
      <c r="G1295" s="93" t="s">
        <v>348</v>
      </c>
      <c r="H1295" s="93" t="s">
        <v>343</v>
      </c>
      <c r="I1295" s="94">
        <v>0.5</v>
      </c>
      <c r="J1295" s="95">
        <v>30</v>
      </c>
    </row>
    <row r="1296" spans="1:10" x14ac:dyDescent="0.25">
      <c r="A1296" s="92">
        <v>45840</v>
      </c>
      <c r="B1296" s="93" t="s">
        <v>326</v>
      </c>
      <c r="C1296" s="89" t="s">
        <v>40</v>
      </c>
      <c r="D1296" s="93" t="s">
        <v>234</v>
      </c>
      <c r="E1296" s="93" t="s">
        <v>34</v>
      </c>
      <c r="F1296" s="93" t="s">
        <v>389</v>
      </c>
      <c r="G1296" s="93" t="s">
        <v>348</v>
      </c>
      <c r="H1296" s="93" t="s">
        <v>343</v>
      </c>
      <c r="I1296" s="94">
        <v>0.67</v>
      </c>
      <c r="J1296" s="95">
        <v>40.200000000000003</v>
      </c>
    </row>
    <row r="1297" spans="1:10" x14ac:dyDescent="0.25">
      <c r="A1297" s="92">
        <v>45840</v>
      </c>
      <c r="B1297" s="93" t="s">
        <v>326</v>
      </c>
      <c r="C1297" s="89" t="s">
        <v>40</v>
      </c>
      <c r="D1297" s="93" t="s">
        <v>188</v>
      </c>
      <c r="E1297" s="93" t="s">
        <v>34</v>
      </c>
      <c r="F1297" s="93" t="s">
        <v>356</v>
      </c>
      <c r="G1297" s="93" t="s">
        <v>348</v>
      </c>
      <c r="H1297" s="93" t="s">
        <v>343</v>
      </c>
      <c r="I1297" s="94">
        <v>0.75</v>
      </c>
      <c r="J1297" s="95">
        <v>45</v>
      </c>
    </row>
    <row r="1298" spans="1:10" x14ac:dyDescent="0.25">
      <c r="A1298" s="92">
        <v>45840</v>
      </c>
      <c r="B1298" s="93" t="s">
        <v>332</v>
      </c>
      <c r="C1298" s="89" t="s">
        <v>40</v>
      </c>
      <c r="D1298" s="93" t="s">
        <v>314</v>
      </c>
      <c r="E1298" s="93" t="s">
        <v>35</v>
      </c>
      <c r="F1298" s="93" t="s">
        <v>359</v>
      </c>
      <c r="G1298" s="93" t="s">
        <v>339</v>
      </c>
      <c r="H1298" s="93" t="s">
        <v>352</v>
      </c>
      <c r="I1298" s="94">
        <v>9</v>
      </c>
      <c r="J1298" s="95">
        <v>360</v>
      </c>
    </row>
    <row r="1299" spans="1:10" x14ac:dyDescent="0.25">
      <c r="A1299" s="92">
        <v>45841</v>
      </c>
      <c r="B1299" s="93" t="s">
        <v>329</v>
      </c>
      <c r="C1299" s="89" t="s">
        <v>40</v>
      </c>
      <c r="D1299" s="93" t="s">
        <v>269</v>
      </c>
      <c r="E1299" s="93" t="s">
        <v>34</v>
      </c>
      <c r="F1299" s="93" t="s">
        <v>361</v>
      </c>
      <c r="G1299" s="93" t="s">
        <v>347</v>
      </c>
      <c r="H1299" s="93" t="s">
        <v>343</v>
      </c>
      <c r="I1299" s="94">
        <v>0.5</v>
      </c>
      <c r="J1299" s="95">
        <v>37.5</v>
      </c>
    </row>
    <row r="1300" spans="1:10" x14ac:dyDescent="0.25">
      <c r="A1300" s="92">
        <v>45841</v>
      </c>
      <c r="B1300" s="93" t="s">
        <v>329</v>
      </c>
      <c r="C1300" s="89" t="s">
        <v>40</v>
      </c>
      <c r="D1300" s="93" t="s">
        <v>272</v>
      </c>
      <c r="E1300" s="93" t="s">
        <v>34</v>
      </c>
      <c r="F1300" s="93" t="s">
        <v>362</v>
      </c>
      <c r="G1300" s="93" t="s">
        <v>347</v>
      </c>
      <c r="H1300" s="93" t="s">
        <v>343</v>
      </c>
      <c r="I1300" s="94">
        <v>0.17</v>
      </c>
      <c r="J1300" s="95">
        <v>12.750000000000002</v>
      </c>
    </row>
    <row r="1301" spans="1:10" x14ac:dyDescent="0.25">
      <c r="A1301" s="92">
        <v>45841</v>
      </c>
      <c r="B1301" s="93" t="s">
        <v>329</v>
      </c>
      <c r="C1301" s="89" t="s">
        <v>40</v>
      </c>
      <c r="D1301" s="93" t="s">
        <v>316</v>
      </c>
      <c r="E1301" s="93" t="s">
        <v>35</v>
      </c>
      <c r="F1301" s="93" t="s">
        <v>338</v>
      </c>
      <c r="G1301" s="93" t="s">
        <v>337</v>
      </c>
      <c r="H1301" s="93" t="s">
        <v>352</v>
      </c>
      <c r="I1301" s="94">
        <v>0.83</v>
      </c>
      <c r="J1301" s="95">
        <v>62.25</v>
      </c>
    </row>
    <row r="1302" spans="1:10" x14ac:dyDescent="0.25">
      <c r="A1302" s="92">
        <v>45841</v>
      </c>
      <c r="B1302" s="93" t="s">
        <v>327</v>
      </c>
      <c r="C1302" s="89" t="s">
        <v>40</v>
      </c>
      <c r="D1302" s="93" t="s">
        <v>320</v>
      </c>
      <c r="E1302" s="93" t="s">
        <v>35</v>
      </c>
      <c r="F1302" s="93" t="s">
        <v>322</v>
      </c>
      <c r="G1302" s="93" t="s">
        <v>319</v>
      </c>
      <c r="H1302" s="93" t="s">
        <v>352</v>
      </c>
      <c r="I1302" s="94">
        <v>7.33</v>
      </c>
      <c r="J1302" s="95">
        <v>234.56</v>
      </c>
    </row>
    <row r="1303" spans="1:10" x14ac:dyDescent="0.25">
      <c r="A1303" s="92">
        <v>45841</v>
      </c>
      <c r="B1303" s="93" t="s">
        <v>333</v>
      </c>
      <c r="C1303" s="89" t="s">
        <v>40</v>
      </c>
      <c r="D1303" s="93" t="s">
        <v>320</v>
      </c>
      <c r="E1303" s="93" t="s">
        <v>35</v>
      </c>
      <c r="F1303" s="93" t="s">
        <v>322</v>
      </c>
      <c r="G1303" s="93" t="s">
        <v>319</v>
      </c>
      <c r="H1303" s="93" t="s">
        <v>352</v>
      </c>
      <c r="I1303" s="94">
        <v>7.42</v>
      </c>
      <c r="J1303" s="95">
        <v>237.44</v>
      </c>
    </row>
    <row r="1304" spans="1:10" x14ac:dyDescent="0.25">
      <c r="A1304" s="92">
        <v>45841</v>
      </c>
      <c r="B1304" s="93" t="s">
        <v>323</v>
      </c>
      <c r="C1304" s="89" t="s">
        <v>40</v>
      </c>
      <c r="D1304" s="93" t="s">
        <v>245</v>
      </c>
      <c r="E1304" s="93" t="s">
        <v>36</v>
      </c>
      <c r="F1304" s="93" t="s">
        <v>435</v>
      </c>
      <c r="G1304" s="93" t="s">
        <v>346</v>
      </c>
      <c r="H1304" s="93" t="s">
        <v>342</v>
      </c>
      <c r="I1304" s="94">
        <v>0.25</v>
      </c>
      <c r="J1304" s="95">
        <v>15</v>
      </c>
    </row>
    <row r="1305" spans="1:10" x14ac:dyDescent="0.25">
      <c r="A1305" s="92">
        <v>45841</v>
      </c>
      <c r="B1305" s="93" t="s">
        <v>323</v>
      </c>
      <c r="C1305" s="89" t="s">
        <v>40</v>
      </c>
      <c r="D1305" s="93" t="s">
        <v>283</v>
      </c>
      <c r="E1305" s="93" t="s">
        <v>36</v>
      </c>
      <c r="F1305" s="93" t="s">
        <v>429</v>
      </c>
      <c r="G1305" s="93" t="s">
        <v>346</v>
      </c>
      <c r="H1305" s="93" t="s">
        <v>342</v>
      </c>
      <c r="I1305" s="94">
        <v>0.33</v>
      </c>
      <c r="J1305" s="95">
        <v>19.8</v>
      </c>
    </row>
    <row r="1306" spans="1:10" x14ac:dyDescent="0.25">
      <c r="A1306" s="92">
        <v>45841</v>
      </c>
      <c r="B1306" s="93" t="s">
        <v>323</v>
      </c>
      <c r="C1306" s="89" t="s">
        <v>40</v>
      </c>
      <c r="D1306" s="93" t="s">
        <v>286</v>
      </c>
      <c r="E1306" s="93" t="s">
        <v>36</v>
      </c>
      <c r="F1306" s="93" t="s">
        <v>434</v>
      </c>
      <c r="G1306" s="93" t="s">
        <v>346</v>
      </c>
      <c r="H1306" s="93" t="s">
        <v>342</v>
      </c>
      <c r="I1306" s="94">
        <v>0.25</v>
      </c>
      <c r="J1306" s="95">
        <v>15</v>
      </c>
    </row>
    <row r="1307" spans="1:10" x14ac:dyDescent="0.25">
      <c r="A1307" s="92">
        <v>45841</v>
      </c>
      <c r="B1307" s="93" t="s">
        <v>323</v>
      </c>
      <c r="C1307" s="89" t="s">
        <v>40</v>
      </c>
      <c r="D1307" s="93" t="s">
        <v>266</v>
      </c>
      <c r="E1307" s="93" t="s">
        <v>36</v>
      </c>
      <c r="F1307" s="93" t="s">
        <v>394</v>
      </c>
      <c r="G1307" s="93" t="s">
        <v>346</v>
      </c>
      <c r="H1307" s="93" t="s">
        <v>342</v>
      </c>
      <c r="I1307" s="94">
        <v>0.5</v>
      </c>
      <c r="J1307" s="95">
        <v>30</v>
      </c>
    </row>
    <row r="1308" spans="1:10" x14ac:dyDescent="0.25">
      <c r="A1308" s="92">
        <v>45841</v>
      </c>
      <c r="B1308" s="93" t="s">
        <v>323</v>
      </c>
      <c r="C1308" s="89" t="s">
        <v>40</v>
      </c>
      <c r="D1308" s="93" t="s">
        <v>281</v>
      </c>
      <c r="E1308" s="93" t="s">
        <v>36</v>
      </c>
      <c r="F1308" s="93" t="s">
        <v>430</v>
      </c>
      <c r="G1308" s="93" t="s">
        <v>346</v>
      </c>
      <c r="H1308" s="93" t="s">
        <v>342</v>
      </c>
      <c r="I1308" s="94">
        <v>0.5</v>
      </c>
      <c r="J1308" s="95">
        <v>30</v>
      </c>
    </row>
    <row r="1309" spans="1:10" x14ac:dyDescent="0.25">
      <c r="A1309" s="92">
        <v>45841</v>
      </c>
      <c r="B1309" s="93" t="s">
        <v>325</v>
      </c>
      <c r="C1309" s="89" t="s">
        <v>40</v>
      </c>
      <c r="D1309" s="93" t="s">
        <v>198</v>
      </c>
      <c r="E1309" s="93" t="s">
        <v>36</v>
      </c>
      <c r="F1309" s="93" t="s">
        <v>413</v>
      </c>
      <c r="G1309" s="93" t="s">
        <v>347</v>
      </c>
      <c r="H1309" s="93" t="s">
        <v>342</v>
      </c>
      <c r="I1309" s="94">
        <v>0.33</v>
      </c>
      <c r="J1309" s="95">
        <v>24.75</v>
      </c>
    </row>
    <row r="1310" spans="1:10" x14ac:dyDescent="0.25">
      <c r="A1310" s="92">
        <v>45841</v>
      </c>
      <c r="B1310" s="93" t="s">
        <v>329</v>
      </c>
      <c r="C1310" s="89" t="s">
        <v>40</v>
      </c>
      <c r="D1310" s="93" t="s">
        <v>197</v>
      </c>
      <c r="E1310" s="93" t="s">
        <v>34</v>
      </c>
      <c r="F1310" s="93" t="s">
        <v>366</v>
      </c>
      <c r="G1310" s="93" t="s">
        <v>347</v>
      </c>
      <c r="H1310" s="93" t="s">
        <v>343</v>
      </c>
      <c r="I1310" s="94">
        <v>0.17</v>
      </c>
      <c r="J1310" s="95">
        <v>12.750000000000002</v>
      </c>
    </row>
    <row r="1311" spans="1:10" x14ac:dyDescent="0.25">
      <c r="A1311" s="92">
        <v>45841</v>
      </c>
      <c r="B1311" s="93" t="s">
        <v>329</v>
      </c>
      <c r="C1311" s="89" t="s">
        <v>40</v>
      </c>
      <c r="D1311" s="93" t="s">
        <v>301</v>
      </c>
      <c r="E1311" s="93" t="s">
        <v>34</v>
      </c>
      <c r="F1311" s="93" t="s">
        <v>371</v>
      </c>
      <c r="G1311" s="93" t="s">
        <v>347</v>
      </c>
      <c r="H1311" s="93" t="s">
        <v>343</v>
      </c>
      <c r="I1311" s="94">
        <v>0.25</v>
      </c>
      <c r="J1311" s="95">
        <v>18.75</v>
      </c>
    </row>
    <row r="1312" spans="1:10" x14ac:dyDescent="0.25">
      <c r="A1312" s="92">
        <v>45841</v>
      </c>
      <c r="B1312" s="93" t="s">
        <v>329</v>
      </c>
      <c r="C1312" s="89" t="s">
        <v>40</v>
      </c>
      <c r="D1312" s="93" t="s">
        <v>303</v>
      </c>
      <c r="E1312" s="93" t="s">
        <v>34</v>
      </c>
      <c r="F1312" s="93" t="s">
        <v>400</v>
      </c>
      <c r="G1312" s="93" t="s">
        <v>347</v>
      </c>
      <c r="H1312" s="93" t="s">
        <v>343</v>
      </c>
      <c r="I1312" s="94">
        <v>0.17</v>
      </c>
      <c r="J1312" s="95">
        <v>12.750000000000002</v>
      </c>
    </row>
    <row r="1313" spans="1:10" x14ac:dyDescent="0.25">
      <c r="A1313" s="92">
        <v>45841</v>
      </c>
      <c r="B1313" s="93" t="s">
        <v>329</v>
      </c>
      <c r="C1313" s="89" t="s">
        <v>40</v>
      </c>
      <c r="D1313" s="93" t="s">
        <v>229</v>
      </c>
      <c r="E1313" s="93" t="s">
        <v>34</v>
      </c>
      <c r="F1313" s="93" t="s">
        <v>373</v>
      </c>
      <c r="G1313" s="93" t="s">
        <v>347</v>
      </c>
      <c r="H1313" s="93" t="s">
        <v>343</v>
      </c>
      <c r="I1313" s="94">
        <v>0.42</v>
      </c>
      <c r="J1313" s="95">
        <v>31.5</v>
      </c>
    </row>
    <row r="1314" spans="1:10" x14ac:dyDescent="0.25">
      <c r="A1314" s="92">
        <v>45841</v>
      </c>
      <c r="B1314" s="93" t="s">
        <v>329</v>
      </c>
      <c r="C1314" s="89" t="s">
        <v>40</v>
      </c>
      <c r="D1314" s="93" t="s">
        <v>221</v>
      </c>
      <c r="E1314" s="93" t="s">
        <v>34</v>
      </c>
      <c r="F1314" s="93" t="s">
        <v>369</v>
      </c>
      <c r="G1314" s="93" t="s">
        <v>347</v>
      </c>
      <c r="H1314" s="93" t="s">
        <v>343</v>
      </c>
      <c r="I1314" s="94">
        <v>0.17</v>
      </c>
      <c r="J1314" s="95">
        <v>12.750000000000002</v>
      </c>
    </row>
    <row r="1315" spans="1:10" x14ac:dyDescent="0.25">
      <c r="A1315" s="92">
        <v>45841</v>
      </c>
      <c r="B1315" s="93" t="s">
        <v>329</v>
      </c>
      <c r="C1315" s="89" t="s">
        <v>40</v>
      </c>
      <c r="D1315" s="93" t="s">
        <v>238</v>
      </c>
      <c r="E1315" s="93" t="s">
        <v>34</v>
      </c>
      <c r="F1315" s="93" t="s">
        <v>374</v>
      </c>
      <c r="G1315" s="93" t="s">
        <v>347</v>
      </c>
      <c r="H1315" s="93" t="s">
        <v>343</v>
      </c>
      <c r="I1315" s="94">
        <v>0.17</v>
      </c>
      <c r="J1315" s="95">
        <v>12.750000000000002</v>
      </c>
    </row>
    <row r="1316" spans="1:10" x14ac:dyDescent="0.25">
      <c r="A1316" s="92">
        <v>45841</v>
      </c>
      <c r="B1316" s="93" t="s">
        <v>329</v>
      </c>
      <c r="C1316" s="89" t="s">
        <v>40</v>
      </c>
      <c r="D1316" s="93" t="s">
        <v>240</v>
      </c>
      <c r="E1316" s="93" t="s">
        <v>34</v>
      </c>
      <c r="F1316" s="93" t="s">
        <v>402</v>
      </c>
      <c r="G1316" s="93" t="s">
        <v>347</v>
      </c>
      <c r="H1316" s="93" t="s">
        <v>343</v>
      </c>
      <c r="I1316" s="94">
        <v>0.17</v>
      </c>
      <c r="J1316" s="95">
        <v>12.750000000000002</v>
      </c>
    </row>
    <row r="1317" spans="1:10" x14ac:dyDescent="0.25">
      <c r="A1317" s="92">
        <v>45841</v>
      </c>
      <c r="B1317" s="93" t="s">
        <v>329</v>
      </c>
      <c r="C1317" s="89" t="s">
        <v>40</v>
      </c>
      <c r="D1317" s="93" t="s">
        <v>241</v>
      </c>
      <c r="E1317" s="93" t="s">
        <v>34</v>
      </c>
      <c r="F1317" s="93" t="s">
        <v>403</v>
      </c>
      <c r="G1317" s="93" t="s">
        <v>347</v>
      </c>
      <c r="H1317" s="93" t="s">
        <v>343</v>
      </c>
      <c r="I1317" s="94">
        <v>0.17</v>
      </c>
      <c r="J1317" s="95">
        <v>12.750000000000002</v>
      </c>
    </row>
    <row r="1318" spans="1:10" x14ac:dyDescent="0.25">
      <c r="A1318" s="92">
        <v>45841</v>
      </c>
      <c r="B1318" s="93" t="s">
        <v>329</v>
      </c>
      <c r="C1318" s="89" t="s">
        <v>40</v>
      </c>
      <c r="D1318" s="93" t="s">
        <v>295</v>
      </c>
      <c r="E1318" s="93" t="s">
        <v>34</v>
      </c>
      <c r="F1318" s="93" t="s">
        <v>379</v>
      </c>
      <c r="G1318" s="93" t="s">
        <v>347</v>
      </c>
      <c r="H1318" s="93" t="s">
        <v>343</v>
      </c>
      <c r="I1318" s="94">
        <v>0.25</v>
      </c>
      <c r="J1318" s="95">
        <v>18.75</v>
      </c>
    </row>
    <row r="1319" spans="1:10" x14ac:dyDescent="0.25">
      <c r="A1319" s="92">
        <v>45841</v>
      </c>
      <c r="B1319" s="93" t="s">
        <v>325</v>
      </c>
      <c r="C1319" s="89" t="s">
        <v>40</v>
      </c>
      <c r="D1319" s="93" t="s">
        <v>253</v>
      </c>
      <c r="E1319" s="93" t="s">
        <v>34</v>
      </c>
      <c r="F1319" s="93" t="s">
        <v>408</v>
      </c>
      <c r="G1319" s="93" t="s">
        <v>347</v>
      </c>
      <c r="H1319" s="93" t="s">
        <v>343</v>
      </c>
      <c r="I1319" s="94">
        <v>0.25</v>
      </c>
      <c r="J1319" s="95">
        <v>18.75</v>
      </c>
    </row>
    <row r="1320" spans="1:10" x14ac:dyDescent="0.25">
      <c r="A1320" s="92">
        <v>45841</v>
      </c>
      <c r="B1320" s="93" t="s">
        <v>329</v>
      </c>
      <c r="C1320" s="89" t="s">
        <v>40</v>
      </c>
      <c r="D1320" s="93" t="s">
        <v>258</v>
      </c>
      <c r="E1320" s="93" t="s">
        <v>34</v>
      </c>
      <c r="F1320" s="93" t="s">
        <v>381</v>
      </c>
      <c r="G1320" s="93" t="s">
        <v>347</v>
      </c>
      <c r="H1320" s="93" t="s">
        <v>343</v>
      </c>
      <c r="I1320" s="94">
        <v>0.17</v>
      </c>
      <c r="J1320" s="95">
        <v>12.750000000000002</v>
      </c>
    </row>
    <row r="1321" spans="1:10" x14ac:dyDescent="0.25">
      <c r="A1321" s="92">
        <v>45841</v>
      </c>
      <c r="B1321" s="93" t="s">
        <v>329</v>
      </c>
      <c r="C1321" s="89" t="s">
        <v>40</v>
      </c>
      <c r="D1321" s="93" t="s">
        <v>259</v>
      </c>
      <c r="E1321" s="93" t="s">
        <v>34</v>
      </c>
      <c r="F1321" s="93" t="s">
        <v>407</v>
      </c>
      <c r="G1321" s="93" t="s">
        <v>347</v>
      </c>
      <c r="H1321" s="93" t="s">
        <v>343</v>
      </c>
      <c r="I1321" s="94">
        <v>0.17</v>
      </c>
      <c r="J1321" s="95">
        <v>12.750000000000002</v>
      </c>
    </row>
    <row r="1322" spans="1:10" x14ac:dyDescent="0.25">
      <c r="A1322" s="92">
        <v>45841</v>
      </c>
      <c r="B1322" s="93" t="s">
        <v>329</v>
      </c>
      <c r="C1322" s="89" t="s">
        <v>40</v>
      </c>
      <c r="D1322" s="93" t="s">
        <v>247</v>
      </c>
      <c r="E1322" s="93" t="s">
        <v>34</v>
      </c>
      <c r="F1322" s="93" t="s">
        <v>375</v>
      </c>
      <c r="G1322" s="93" t="s">
        <v>347</v>
      </c>
      <c r="H1322" s="93" t="s">
        <v>343</v>
      </c>
      <c r="I1322" s="94">
        <v>0.25</v>
      </c>
      <c r="J1322" s="95">
        <v>18.75</v>
      </c>
    </row>
    <row r="1323" spans="1:10" x14ac:dyDescent="0.25">
      <c r="A1323" s="92">
        <v>45841</v>
      </c>
      <c r="B1323" s="93" t="s">
        <v>329</v>
      </c>
      <c r="C1323" s="89" t="s">
        <v>40</v>
      </c>
      <c r="D1323" s="93" t="s">
        <v>230</v>
      </c>
      <c r="E1323" s="93" t="s">
        <v>34</v>
      </c>
      <c r="F1323" s="93" t="s">
        <v>410</v>
      </c>
      <c r="G1323" s="93" t="s">
        <v>347</v>
      </c>
      <c r="H1323" s="93" t="s">
        <v>343</v>
      </c>
      <c r="I1323" s="94">
        <v>0.83</v>
      </c>
      <c r="J1323" s="95">
        <v>62.25</v>
      </c>
    </row>
    <row r="1324" spans="1:10" x14ac:dyDescent="0.25">
      <c r="A1324" s="92">
        <v>45841</v>
      </c>
      <c r="B1324" s="93" t="s">
        <v>329</v>
      </c>
      <c r="C1324" s="89" t="s">
        <v>40</v>
      </c>
      <c r="D1324" s="93" t="s">
        <v>268</v>
      </c>
      <c r="E1324" s="93" t="s">
        <v>34</v>
      </c>
      <c r="F1324" s="93" t="s">
        <v>386</v>
      </c>
      <c r="G1324" s="93" t="s">
        <v>347</v>
      </c>
      <c r="H1324" s="93" t="s">
        <v>343</v>
      </c>
      <c r="I1324" s="94">
        <v>0.25</v>
      </c>
      <c r="J1324" s="95">
        <v>18.75</v>
      </c>
    </row>
    <row r="1325" spans="1:10" x14ac:dyDescent="0.25">
      <c r="A1325" s="92">
        <v>45841</v>
      </c>
      <c r="B1325" s="93" t="s">
        <v>329</v>
      </c>
      <c r="C1325" s="89" t="s">
        <v>40</v>
      </c>
      <c r="D1325" s="93" t="s">
        <v>299</v>
      </c>
      <c r="E1325" s="93" t="s">
        <v>312</v>
      </c>
      <c r="F1325" s="93" t="s">
        <v>455</v>
      </c>
      <c r="G1325" s="93" t="s">
        <v>347</v>
      </c>
      <c r="H1325" s="93" t="s">
        <v>350</v>
      </c>
      <c r="I1325" s="94">
        <v>0.08</v>
      </c>
      <c r="J1325" s="95">
        <v>6</v>
      </c>
    </row>
    <row r="1326" spans="1:10" x14ac:dyDescent="0.25">
      <c r="A1326" s="92">
        <v>45841</v>
      </c>
      <c r="B1326" s="93" t="s">
        <v>326</v>
      </c>
      <c r="C1326" s="89" t="s">
        <v>40</v>
      </c>
      <c r="D1326" s="93" t="s">
        <v>175</v>
      </c>
      <c r="E1326" s="93" t="s">
        <v>36</v>
      </c>
      <c r="F1326" s="93" t="s">
        <v>388</v>
      </c>
      <c r="G1326" s="93" t="s">
        <v>348</v>
      </c>
      <c r="H1326" s="93" t="s">
        <v>342</v>
      </c>
      <c r="I1326" s="94">
        <v>1.17</v>
      </c>
      <c r="J1326" s="95">
        <v>70.199999999999989</v>
      </c>
    </row>
    <row r="1327" spans="1:10" x14ac:dyDescent="0.25">
      <c r="A1327" s="92">
        <v>45841</v>
      </c>
      <c r="B1327" s="93" t="s">
        <v>326</v>
      </c>
      <c r="C1327" s="89" t="s">
        <v>40</v>
      </c>
      <c r="D1327" s="93" t="s">
        <v>188</v>
      </c>
      <c r="E1327" s="93" t="s">
        <v>36</v>
      </c>
      <c r="F1327" s="93" t="s">
        <v>356</v>
      </c>
      <c r="G1327" s="93" t="s">
        <v>348</v>
      </c>
      <c r="H1327" s="93" t="s">
        <v>342</v>
      </c>
      <c r="I1327" s="94">
        <v>1</v>
      </c>
      <c r="J1327" s="95">
        <v>60</v>
      </c>
    </row>
    <row r="1328" spans="1:10" x14ac:dyDescent="0.25">
      <c r="A1328" s="92">
        <v>45841</v>
      </c>
      <c r="B1328" s="93" t="s">
        <v>326</v>
      </c>
      <c r="C1328" s="89" t="s">
        <v>40</v>
      </c>
      <c r="D1328" s="93" t="s">
        <v>175</v>
      </c>
      <c r="E1328" s="93" t="s">
        <v>34</v>
      </c>
      <c r="F1328" s="93" t="s">
        <v>388</v>
      </c>
      <c r="G1328" s="93" t="s">
        <v>348</v>
      </c>
      <c r="H1328" s="93" t="s">
        <v>343</v>
      </c>
      <c r="I1328" s="94">
        <v>0.67</v>
      </c>
      <c r="J1328" s="95">
        <v>40.200000000000003</v>
      </c>
    </row>
    <row r="1329" spans="1:10" x14ac:dyDescent="0.25">
      <c r="A1329" s="92">
        <v>45841</v>
      </c>
      <c r="B1329" s="93" t="s">
        <v>326</v>
      </c>
      <c r="C1329" s="89" t="s">
        <v>40</v>
      </c>
      <c r="D1329" s="93" t="s">
        <v>309</v>
      </c>
      <c r="E1329" s="93" t="s">
        <v>34</v>
      </c>
      <c r="F1329" s="93" t="s">
        <v>454</v>
      </c>
      <c r="G1329" s="93" t="s">
        <v>348</v>
      </c>
      <c r="H1329" s="93" t="s">
        <v>343</v>
      </c>
      <c r="I1329" s="94">
        <v>1.25</v>
      </c>
      <c r="J1329" s="95">
        <v>75</v>
      </c>
    </row>
    <row r="1330" spans="1:10" x14ac:dyDescent="0.25">
      <c r="A1330" s="92">
        <v>45841</v>
      </c>
      <c r="B1330" s="93" t="s">
        <v>332</v>
      </c>
      <c r="C1330" s="89" t="s">
        <v>40</v>
      </c>
      <c r="D1330" s="93" t="s">
        <v>314</v>
      </c>
      <c r="E1330" s="93" t="s">
        <v>35</v>
      </c>
      <c r="F1330" s="93" t="s">
        <v>359</v>
      </c>
      <c r="G1330" s="93" t="s">
        <v>339</v>
      </c>
      <c r="H1330" s="93" t="s">
        <v>352</v>
      </c>
      <c r="I1330" s="94">
        <v>5.33</v>
      </c>
      <c r="J1330" s="95">
        <v>213.2</v>
      </c>
    </row>
    <row r="1331" spans="1:10" x14ac:dyDescent="0.25">
      <c r="A1331" s="92">
        <v>45842</v>
      </c>
      <c r="B1331" s="93" t="s">
        <v>329</v>
      </c>
      <c r="C1331" s="89" t="s">
        <v>40</v>
      </c>
      <c r="D1331" s="93" t="s">
        <v>270</v>
      </c>
      <c r="E1331" s="93" t="s">
        <v>34</v>
      </c>
      <c r="F1331" s="93" t="s">
        <v>360</v>
      </c>
      <c r="G1331" s="93" t="s">
        <v>347</v>
      </c>
      <c r="H1331" s="93" t="s">
        <v>343</v>
      </c>
      <c r="I1331" s="94">
        <v>0.08</v>
      </c>
      <c r="J1331" s="95">
        <v>6</v>
      </c>
    </row>
    <row r="1332" spans="1:10" x14ac:dyDescent="0.25">
      <c r="A1332" s="92">
        <v>45842</v>
      </c>
      <c r="B1332" s="93" t="s">
        <v>329</v>
      </c>
      <c r="C1332" s="89" t="s">
        <v>40</v>
      </c>
      <c r="D1332" s="93" t="s">
        <v>316</v>
      </c>
      <c r="E1332" s="93" t="s">
        <v>35</v>
      </c>
      <c r="F1332" s="93" t="s">
        <v>338</v>
      </c>
      <c r="G1332" s="93" t="s">
        <v>337</v>
      </c>
      <c r="H1332" s="93" t="s">
        <v>352</v>
      </c>
      <c r="I1332" s="94">
        <v>0.67</v>
      </c>
      <c r="J1332" s="95">
        <v>50.25</v>
      </c>
    </row>
    <row r="1333" spans="1:10" x14ac:dyDescent="0.25">
      <c r="A1333" s="92">
        <v>45842</v>
      </c>
      <c r="B1333" s="93" t="s">
        <v>331</v>
      </c>
      <c r="C1333" s="89" t="s">
        <v>40</v>
      </c>
      <c r="D1333" s="93" t="s">
        <v>316</v>
      </c>
      <c r="E1333" s="93" t="s">
        <v>35</v>
      </c>
      <c r="F1333" s="93" t="s">
        <v>338</v>
      </c>
      <c r="G1333" s="93" t="s">
        <v>337</v>
      </c>
      <c r="H1333" s="93" t="s">
        <v>352</v>
      </c>
      <c r="I1333" s="94">
        <v>0.57999999999999996</v>
      </c>
      <c r="J1333" s="95">
        <v>18.559999999999999</v>
      </c>
    </row>
    <row r="1334" spans="1:10" x14ac:dyDescent="0.25">
      <c r="A1334" s="92">
        <v>45842</v>
      </c>
      <c r="B1334" s="93" t="s">
        <v>327</v>
      </c>
      <c r="C1334" s="89" t="s">
        <v>40</v>
      </c>
      <c r="D1334" s="93" t="s">
        <v>320</v>
      </c>
      <c r="E1334" s="93" t="s">
        <v>35</v>
      </c>
      <c r="F1334" s="93" t="s">
        <v>322</v>
      </c>
      <c r="G1334" s="93" t="s">
        <v>319</v>
      </c>
      <c r="H1334" s="93" t="s">
        <v>352</v>
      </c>
      <c r="I1334" s="94">
        <v>4</v>
      </c>
      <c r="J1334" s="95">
        <v>128</v>
      </c>
    </row>
    <row r="1335" spans="1:10" x14ac:dyDescent="0.25">
      <c r="A1335" s="92">
        <v>45842</v>
      </c>
      <c r="B1335" s="93" t="s">
        <v>333</v>
      </c>
      <c r="C1335" s="89" t="s">
        <v>40</v>
      </c>
      <c r="D1335" s="93" t="s">
        <v>320</v>
      </c>
      <c r="E1335" s="93" t="s">
        <v>35</v>
      </c>
      <c r="F1335" s="93" t="s">
        <v>322</v>
      </c>
      <c r="G1335" s="93" t="s">
        <v>319</v>
      </c>
      <c r="H1335" s="93" t="s">
        <v>352</v>
      </c>
      <c r="I1335" s="94">
        <v>6.62</v>
      </c>
      <c r="J1335" s="95">
        <v>211.84</v>
      </c>
    </row>
    <row r="1336" spans="1:10" x14ac:dyDescent="0.25">
      <c r="A1336" s="92">
        <v>45842</v>
      </c>
      <c r="B1336" s="93" t="s">
        <v>323</v>
      </c>
      <c r="C1336" s="89" t="s">
        <v>40</v>
      </c>
      <c r="D1336" s="93" t="s">
        <v>200</v>
      </c>
      <c r="E1336" s="93" t="s">
        <v>34</v>
      </c>
      <c r="F1336" s="93" t="s">
        <v>391</v>
      </c>
      <c r="G1336" s="93" t="s">
        <v>346</v>
      </c>
      <c r="H1336" s="93" t="s">
        <v>343</v>
      </c>
      <c r="I1336" s="94">
        <v>0.33</v>
      </c>
      <c r="J1336" s="95">
        <v>19.8</v>
      </c>
    </row>
    <row r="1337" spans="1:10" x14ac:dyDescent="0.25">
      <c r="A1337" s="92">
        <v>45842</v>
      </c>
      <c r="B1337" s="93" t="s">
        <v>325</v>
      </c>
      <c r="C1337" s="89" t="s">
        <v>40</v>
      </c>
      <c r="D1337" s="93" t="s">
        <v>198</v>
      </c>
      <c r="E1337" s="93" t="s">
        <v>36</v>
      </c>
      <c r="F1337" s="93" t="s">
        <v>413</v>
      </c>
      <c r="G1337" s="93" t="s">
        <v>347</v>
      </c>
      <c r="H1337" s="93" t="s">
        <v>342</v>
      </c>
      <c r="I1337" s="94">
        <v>0.33</v>
      </c>
      <c r="J1337" s="95">
        <v>24.75</v>
      </c>
    </row>
    <row r="1338" spans="1:10" x14ac:dyDescent="0.25">
      <c r="A1338" s="92">
        <v>45842</v>
      </c>
      <c r="B1338" s="93" t="s">
        <v>329</v>
      </c>
      <c r="C1338" s="89" t="s">
        <v>40</v>
      </c>
      <c r="D1338" s="93" t="s">
        <v>186</v>
      </c>
      <c r="E1338" s="93" t="s">
        <v>34</v>
      </c>
      <c r="F1338" s="93" t="s">
        <v>397</v>
      </c>
      <c r="G1338" s="93" t="s">
        <v>347</v>
      </c>
      <c r="H1338" s="93" t="s">
        <v>343</v>
      </c>
      <c r="I1338" s="94">
        <v>0.17</v>
      </c>
      <c r="J1338" s="95">
        <v>12.750000000000002</v>
      </c>
    </row>
    <row r="1339" spans="1:10" x14ac:dyDescent="0.25">
      <c r="A1339" s="92">
        <v>45842</v>
      </c>
      <c r="B1339" s="93" t="s">
        <v>329</v>
      </c>
      <c r="C1339" s="89" t="s">
        <v>40</v>
      </c>
      <c r="D1339" s="93" t="s">
        <v>197</v>
      </c>
      <c r="E1339" s="93" t="s">
        <v>34</v>
      </c>
      <c r="F1339" s="93" t="s">
        <v>366</v>
      </c>
      <c r="G1339" s="93" t="s">
        <v>347</v>
      </c>
      <c r="H1339" s="93" t="s">
        <v>343</v>
      </c>
      <c r="I1339" s="94">
        <v>0.08</v>
      </c>
      <c r="J1339" s="95">
        <v>6</v>
      </c>
    </row>
    <row r="1340" spans="1:10" x14ac:dyDescent="0.25">
      <c r="A1340" s="92">
        <v>45842</v>
      </c>
      <c r="B1340" s="93" t="s">
        <v>329</v>
      </c>
      <c r="C1340" s="89" t="s">
        <v>40</v>
      </c>
      <c r="D1340" s="93" t="s">
        <v>301</v>
      </c>
      <c r="E1340" s="93" t="s">
        <v>34</v>
      </c>
      <c r="F1340" s="93" t="s">
        <v>371</v>
      </c>
      <c r="G1340" s="93" t="s">
        <v>347</v>
      </c>
      <c r="H1340" s="93" t="s">
        <v>343</v>
      </c>
      <c r="I1340" s="94">
        <v>0.17</v>
      </c>
      <c r="J1340" s="95">
        <v>12.750000000000002</v>
      </c>
    </row>
    <row r="1341" spans="1:10" x14ac:dyDescent="0.25">
      <c r="A1341" s="92">
        <v>45842</v>
      </c>
      <c r="B1341" s="93" t="s">
        <v>329</v>
      </c>
      <c r="C1341" s="89" t="s">
        <v>40</v>
      </c>
      <c r="D1341" s="93" t="s">
        <v>303</v>
      </c>
      <c r="E1341" s="93" t="s">
        <v>34</v>
      </c>
      <c r="F1341" s="93" t="s">
        <v>400</v>
      </c>
      <c r="G1341" s="93" t="s">
        <v>347</v>
      </c>
      <c r="H1341" s="93" t="s">
        <v>343</v>
      </c>
      <c r="I1341" s="94">
        <v>0.08</v>
      </c>
      <c r="J1341" s="95">
        <v>6</v>
      </c>
    </row>
    <row r="1342" spans="1:10" x14ac:dyDescent="0.25">
      <c r="A1342" s="92">
        <v>45842</v>
      </c>
      <c r="B1342" s="93" t="s">
        <v>329</v>
      </c>
      <c r="C1342" s="89" t="s">
        <v>40</v>
      </c>
      <c r="D1342" s="93" t="s">
        <v>221</v>
      </c>
      <c r="E1342" s="93" t="s">
        <v>34</v>
      </c>
      <c r="F1342" s="93" t="s">
        <v>369</v>
      </c>
      <c r="G1342" s="93" t="s">
        <v>347</v>
      </c>
      <c r="H1342" s="93" t="s">
        <v>343</v>
      </c>
      <c r="I1342" s="94">
        <v>0.17</v>
      </c>
      <c r="J1342" s="95">
        <v>12.750000000000002</v>
      </c>
    </row>
    <row r="1343" spans="1:10" x14ac:dyDescent="0.25">
      <c r="A1343" s="92">
        <v>45842</v>
      </c>
      <c r="B1343" s="93" t="s">
        <v>329</v>
      </c>
      <c r="C1343" s="89" t="s">
        <v>40</v>
      </c>
      <c r="D1343" s="93" t="s">
        <v>240</v>
      </c>
      <c r="E1343" s="93" t="s">
        <v>34</v>
      </c>
      <c r="F1343" s="93" t="s">
        <v>402</v>
      </c>
      <c r="G1343" s="93" t="s">
        <v>347</v>
      </c>
      <c r="H1343" s="93" t="s">
        <v>343</v>
      </c>
      <c r="I1343" s="94">
        <v>0.17</v>
      </c>
      <c r="J1343" s="95">
        <v>12.750000000000002</v>
      </c>
    </row>
    <row r="1344" spans="1:10" x14ac:dyDescent="0.25">
      <c r="A1344" s="92">
        <v>45842</v>
      </c>
      <c r="B1344" s="93" t="s">
        <v>329</v>
      </c>
      <c r="C1344" s="89" t="s">
        <v>40</v>
      </c>
      <c r="D1344" s="93" t="s">
        <v>241</v>
      </c>
      <c r="E1344" s="93" t="s">
        <v>34</v>
      </c>
      <c r="F1344" s="93" t="s">
        <v>403</v>
      </c>
      <c r="G1344" s="93" t="s">
        <v>347</v>
      </c>
      <c r="H1344" s="93" t="s">
        <v>343</v>
      </c>
      <c r="I1344" s="94">
        <v>0.25</v>
      </c>
      <c r="J1344" s="95">
        <v>18.75</v>
      </c>
    </row>
    <row r="1345" spans="1:10" x14ac:dyDescent="0.25">
      <c r="A1345" s="92">
        <v>45842</v>
      </c>
      <c r="B1345" s="93" t="s">
        <v>329</v>
      </c>
      <c r="C1345" s="89" t="s">
        <v>40</v>
      </c>
      <c r="D1345" s="93" t="s">
        <v>295</v>
      </c>
      <c r="E1345" s="93" t="s">
        <v>34</v>
      </c>
      <c r="F1345" s="93" t="s">
        <v>379</v>
      </c>
      <c r="G1345" s="93" t="s">
        <v>347</v>
      </c>
      <c r="H1345" s="93" t="s">
        <v>343</v>
      </c>
      <c r="I1345" s="94">
        <v>0.42</v>
      </c>
      <c r="J1345" s="95">
        <v>31.5</v>
      </c>
    </row>
    <row r="1346" spans="1:10" x14ac:dyDescent="0.25">
      <c r="A1346" s="92">
        <v>45842</v>
      </c>
      <c r="B1346" s="93" t="s">
        <v>329</v>
      </c>
      <c r="C1346" s="89" t="s">
        <v>40</v>
      </c>
      <c r="D1346" s="93" t="s">
        <v>296</v>
      </c>
      <c r="E1346" s="93" t="s">
        <v>34</v>
      </c>
      <c r="F1346" s="93" t="s">
        <v>411</v>
      </c>
      <c r="G1346" s="93" t="s">
        <v>347</v>
      </c>
      <c r="H1346" s="93" t="s">
        <v>343</v>
      </c>
      <c r="I1346" s="94">
        <v>0.25</v>
      </c>
      <c r="J1346" s="95">
        <v>18.75</v>
      </c>
    </row>
    <row r="1347" spans="1:10" x14ac:dyDescent="0.25">
      <c r="A1347" s="92">
        <v>45842</v>
      </c>
      <c r="B1347" s="93" t="s">
        <v>325</v>
      </c>
      <c r="C1347" s="89" t="s">
        <v>40</v>
      </c>
      <c r="D1347" s="93" t="s">
        <v>253</v>
      </c>
      <c r="E1347" s="93" t="s">
        <v>34</v>
      </c>
      <c r="F1347" s="93" t="s">
        <v>408</v>
      </c>
      <c r="G1347" s="93" t="s">
        <v>347</v>
      </c>
      <c r="H1347" s="93" t="s">
        <v>343</v>
      </c>
      <c r="I1347" s="94">
        <v>0.25</v>
      </c>
      <c r="J1347" s="95">
        <v>18.75</v>
      </c>
    </row>
    <row r="1348" spans="1:10" x14ac:dyDescent="0.25">
      <c r="A1348" s="92">
        <v>45842</v>
      </c>
      <c r="B1348" s="93" t="s">
        <v>329</v>
      </c>
      <c r="C1348" s="89" t="s">
        <v>40</v>
      </c>
      <c r="D1348" s="93" t="s">
        <v>258</v>
      </c>
      <c r="E1348" s="93" t="s">
        <v>34</v>
      </c>
      <c r="F1348" s="93" t="s">
        <v>381</v>
      </c>
      <c r="G1348" s="93" t="s">
        <v>347</v>
      </c>
      <c r="H1348" s="93" t="s">
        <v>343</v>
      </c>
      <c r="I1348" s="94">
        <v>0.08</v>
      </c>
      <c r="J1348" s="95">
        <v>6</v>
      </c>
    </row>
    <row r="1349" spans="1:10" x14ac:dyDescent="0.25">
      <c r="A1349" s="92">
        <v>45842</v>
      </c>
      <c r="B1349" s="93" t="s">
        <v>329</v>
      </c>
      <c r="C1349" s="89" t="s">
        <v>40</v>
      </c>
      <c r="D1349" s="93" t="s">
        <v>259</v>
      </c>
      <c r="E1349" s="93" t="s">
        <v>34</v>
      </c>
      <c r="F1349" s="93" t="s">
        <v>407</v>
      </c>
      <c r="G1349" s="93" t="s">
        <v>347</v>
      </c>
      <c r="H1349" s="93" t="s">
        <v>343</v>
      </c>
      <c r="I1349" s="94">
        <v>0.08</v>
      </c>
      <c r="J1349" s="95">
        <v>6</v>
      </c>
    </row>
    <row r="1350" spans="1:10" x14ac:dyDescent="0.25">
      <c r="A1350" s="92">
        <v>45842</v>
      </c>
      <c r="B1350" s="93" t="s">
        <v>329</v>
      </c>
      <c r="C1350" s="89" t="s">
        <v>40</v>
      </c>
      <c r="D1350" s="93" t="s">
        <v>247</v>
      </c>
      <c r="E1350" s="93" t="s">
        <v>34</v>
      </c>
      <c r="F1350" s="93" t="s">
        <v>375</v>
      </c>
      <c r="G1350" s="93" t="s">
        <v>347</v>
      </c>
      <c r="H1350" s="93" t="s">
        <v>343</v>
      </c>
      <c r="I1350" s="94">
        <v>0.17</v>
      </c>
      <c r="J1350" s="95">
        <v>12.750000000000002</v>
      </c>
    </row>
    <row r="1351" spans="1:10" x14ac:dyDescent="0.25">
      <c r="A1351" s="92">
        <v>45842</v>
      </c>
      <c r="B1351" s="93" t="s">
        <v>325</v>
      </c>
      <c r="C1351" s="89" t="s">
        <v>40</v>
      </c>
      <c r="D1351" s="93" t="s">
        <v>278</v>
      </c>
      <c r="E1351" s="93" t="s">
        <v>34</v>
      </c>
      <c r="F1351" s="93" t="s">
        <v>452</v>
      </c>
      <c r="G1351" s="93" t="s">
        <v>347</v>
      </c>
      <c r="H1351" s="93" t="s">
        <v>343</v>
      </c>
      <c r="I1351" s="94">
        <v>0.17</v>
      </c>
      <c r="J1351" s="95">
        <v>12.750000000000002</v>
      </c>
    </row>
    <row r="1352" spans="1:10" x14ac:dyDescent="0.25">
      <c r="A1352" s="92">
        <v>45842</v>
      </c>
      <c r="B1352" s="93" t="s">
        <v>329</v>
      </c>
      <c r="C1352" s="89" t="s">
        <v>40</v>
      </c>
      <c r="D1352" s="93" t="s">
        <v>230</v>
      </c>
      <c r="E1352" s="93" t="s">
        <v>34</v>
      </c>
      <c r="F1352" s="93" t="s">
        <v>410</v>
      </c>
      <c r="G1352" s="93" t="s">
        <v>347</v>
      </c>
      <c r="H1352" s="93" t="s">
        <v>343</v>
      </c>
      <c r="I1352" s="94">
        <v>0.08</v>
      </c>
      <c r="J1352" s="95">
        <v>6</v>
      </c>
    </row>
    <row r="1353" spans="1:10" x14ac:dyDescent="0.25">
      <c r="A1353" s="92">
        <v>45842</v>
      </c>
      <c r="B1353" s="93" t="s">
        <v>329</v>
      </c>
      <c r="C1353" s="89" t="s">
        <v>40</v>
      </c>
      <c r="D1353" s="93" t="s">
        <v>268</v>
      </c>
      <c r="E1353" s="93" t="s">
        <v>34</v>
      </c>
      <c r="F1353" s="93" t="s">
        <v>386</v>
      </c>
      <c r="G1353" s="93" t="s">
        <v>347</v>
      </c>
      <c r="H1353" s="93" t="s">
        <v>343</v>
      </c>
      <c r="I1353" s="94">
        <v>0.08</v>
      </c>
      <c r="J1353" s="95">
        <v>6</v>
      </c>
    </row>
    <row r="1354" spans="1:10" x14ac:dyDescent="0.25">
      <c r="A1354" s="92">
        <v>45842</v>
      </c>
      <c r="B1354" s="93" t="s">
        <v>329</v>
      </c>
      <c r="C1354" s="89" t="s">
        <v>40</v>
      </c>
      <c r="D1354" s="93" t="s">
        <v>299</v>
      </c>
      <c r="E1354" s="93" t="s">
        <v>312</v>
      </c>
      <c r="F1354" s="93" t="s">
        <v>455</v>
      </c>
      <c r="G1354" s="93" t="s">
        <v>347</v>
      </c>
      <c r="H1354" s="93" t="s">
        <v>350</v>
      </c>
      <c r="I1354" s="94">
        <v>0.5</v>
      </c>
      <c r="J1354" s="95">
        <v>37.5</v>
      </c>
    </row>
    <row r="1355" spans="1:10" x14ac:dyDescent="0.25">
      <c r="A1355" s="92">
        <v>45842</v>
      </c>
      <c r="B1355" s="93" t="s">
        <v>326</v>
      </c>
      <c r="C1355" s="89" t="s">
        <v>40</v>
      </c>
      <c r="D1355" s="93" t="s">
        <v>227</v>
      </c>
      <c r="E1355" s="93" t="s">
        <v>36</v>
      </c>
      <c r="F1355" s="93" t="s">
        <v>453</v>
      </c>
      <c r="G1355" s="93" t="s">
        <v>348</v>
      </c>
      <c r="H1355" s="93" t="s">
        <v>342</v>
      </c>
      <c r="I1355" s="94">
        <v>0.5</v>
      </c>
      <c r="J1355" s="95">
        <v>30</v>
      </c>
    </row>
    <row r="1356" spans="1:10" x14ac:dyDescent="0.25">
      <c r="A1356" s="92">
        <v>45842</v>
      </c>
      <c r="B1356" s="93" t="s">
        <v>326</v>
      </c>
      <c r="C1356" s="89" t="s">
        <v>40</v>
      </c>
      <c r="D1356" s="93" t="s">
        <v>235</v>
      </c>
      <c r="E1356" s="93" t="s">
        <v>36</v>
      </c>
      <c r="F1356" s="93" t="s">
        <v>355</v>
      </c>
      <c r="G1356" s="93" t="s">
        <v>348</v>
      </c>
      <c r="H1356" s="93" t="s">
        <v>342</v>
      </c>
      <c r="I1356" s="94">
        <v>0.57999999999999996</v>
      </c>
      <c r="J1356" s="95">
        <v>34.799999999999997</v>
      </c>
    </row>
    <row r="1357" spans="1:10" x14ac:dyDescent="0.25">
      <c r="A1357" s="92">
        <v>45842</v>
      </c>
      <c r="B1357" s="93" t="s">
        <v>332</v>
      </c>
      <c r="C1357" s="89" t="s">
        <v>40</v>
      </c>
      <c r="D1357" s="93" t="s">
        <v>314</v>
      </c>
      <c r="E1357" s="93" t="s">
        <v>35</v>
      </c>
      <c r="F1357" s="93" t="s">
        <v>359</v>
      </c>
      <c r="G1357" s="93" t="s">
        <v>339</v>
      </c>
      <c r="H1357" s="93" t="s">
        <v>352</v>
      </c>
      <c r="I1357" s="94">
        <v>7.5</v>
      </c>
      <c r="J1357" s="95">
        <v>300</v>
      </c>
    </row>
    <row r="1358" spans="1:10" x14ac:dyDescent="0.25">
      <c r="A1358" s="92">
        <v>45843</v>
      </c>
      <c r="B1358" s="93" t="s">
        <v>332</v>
      </c>
      <c r="C1358" s="89" t="s">
        <v>40</v>
      </c>
      <c r="D1358" s="93" t="s">
        <v>314</v>
      </c>
      <c r="E1358" s="93" t="s">
        <v>35</v>
      </c>
      <c r="F1358" s="93" t="s">
        <v>359</v>
      </c>
      <c r="G1358" s="93" t="s">
        <v>339</v>
      </c>
      <c r="H1358" s="93" t="s">
        <v>352</v>
      </c>
      <c r="I1358" s="94">
        <v>4</v>
      </c>
      <c r="J1358" s="95">
        <v>160</v>
      </c>
    </row>
    <row r="1359" spans="1:10" x14ac:dyDescent="0.25">
      <c r="A1359" s="92">
        <v>45845</v>
      </c>
      <c r="B1359" s="93" t="s">
        <v>323</v>
      </c>
      <c r="C1359" s="89" t="s">
        <v>40</v>
      </c>
      <c r="D1359" s="93" t="s">
        <v>168</v>
      </c>
      <c r="E1359" s="93" t="s">
        <v>36</v>
      </c>
      <c r="F1359" s="93" t="s">
        <v>419</v>
      </c>
      <c r="G1359" s="93" t="s">
        <v>346</v>
      </c>
      <c r="H1359" s="93" t="s">
        <v>342</v>
      </c>
      <c r="I1359" s="94">
        <v>0.5</v>
      </c>
      <c r="J1359" s="95">
        <v>30</v>
      </c>
    </row>
    <row r="1360" spans="1:10" x14ac:dyDescent="0.25">
      <c r="A1360" s="92">
        <v>45845</v>
      </c>
      <c r="B1360" s="93" t="s">
        <v>323</v>
      </c>
      <c r="C1360" s="89" t="s">
        <v>40</v>
      </c>
      <c r="D1360" s="93" t="s">
        <v>208</v>
      </c>
      <c r="E1360" s="93" t="s">
        <v>36</v>
      </c>
      <c r="F1360" s="93" t="s">
        <v>456</v>
      </c>
      <c r="G1360" s="93" t="s">
        <v>346</v>
      </c>
      <c r="H1360" s="93" t="s">
        <v>342</v>
      </c>
      <c r="I1360" s="94">
        <v>0.33</v>
      </c>
      <c r="J1360" s="95">
        <v>19.8</v>
      </c>
    </row>
    <row r="1361" spans="1:10" x14ac:dyDescent="0.25">
      <c r="A1361" s="92">
        <v>45845</v>
      </c>
      <c r="B1361" s="93" t="s">
        <v>331</v>
      </c>
      <c r="C1361" s="89" t="s">
        <v>40</v>
      </c>
      <c r="D1361" s="93" t="s">
        <v>316</v>
      </c>
      <c r="E1361" s="93" t="s">
        <v>35</v>
      </c>
      <c r="F1361" s="93" t="s">
        <v>338</v>
      </c>
      <c r="G1361" s="93" t="s">
        <v>337</v>
      </c>
      <c r="H1361" s="93" t="s">
        <v>352</v>
      </c>
      <c r="I1361" s="94">
        <v>0.25</v>
      </c>
      <c r="J1361" s="95">
        <v>8</v>
      </c>
    </row>
    <row r="1362" spans="1:10" x14ac:dyDescent="0.25">
      <c r="A1362" s="92">
        <v>45845</v>
      </c>
      <c r="B1362" s="93" t="s">
        <v>327</v>
      </c>
      <c r="C1362" s="89" t="s">
        <v>40</v>
      </c>
      <c r="D1362" s="93" t="s">
        <v>320</v>
      </c>
      <c r="E1362" s="93" t="s">
        <v>35</v>
      </c>
      <c r="F1362" s="93" t="s">
        <v>322</v>
      </c>
      <c r="G1362" s="93" t="s">
        <v>319</v>
      </c>
      <c r="H1362" s="93" t="s">
        <v>352</v>
      </c>
      <c r="I1362" s="94">
        <v>7.5</v>
      </c>
      <c r="J1362" s="95">
        <v>240</v>
      </c>
    </row>
    <row r="1363" spans="1:10" x14ac:dyDescent="0.25">
      <c r="A1363" s="92">
        <v>45845</v>
      </c>
      <c r="B1363" s="93" t="s">
        <v>333</v>
      </c>
      <c r="C1363" s="89" t="s">
        <v>40</v>
      </c>
      <c r="D1363" s="93" t="s">
        <v>320</v>
      </c>
      <c r="E1363" s="93" t="s">
        <v>35</v>
      </c>
      <c r="F1363" s="93" t="s">
        <v>322</v>
      </c>
      <c r="G1363" s="93" t="s">
        <v>319</v>
      </c>
      <c r="H1363" s="93" t="s">
        <v>352</v>
      </c>
      <c r="I1363" s="94">
        <v>7.38</v>
      </c>
      <c r="J1363" s="95">
        <v>236.16</v>
      </c>
    </row>
    <row r="1364" spans="1:10" x14ac:dyDescent="0.25">
      <c r="A1364" s="92">
        <v>45845</v>
      </c>
      <c r="B1364" s="93" t="s">
        <v>323</v>
      </c>
      <c r="C1364" s="89" t="s">
        <v>40</v>
      </c>
      <c r="D1364" s="93" t="s">
        <v>202</v>
      </c>
      <c r="E1364" s="93" t="s">
        <v>341</v>
      </c>
      <c r="F1364" s="93" t="s">
        <v>431</v>
      </c>
      <c r="G1364" s="93" t="s">
        <v>346</v>
      </c>
      <c r="H1364" s="93" t="s">
        <v>344</v>
      </c>
      <c r="I1364" s="94">
        <v>0.33</v>
      </c>
      <c r="J1364" s="95">
        <v>19.8</v>
      </c>
    </row>
    <row r="1365" spans="1:10" x14ac:dyDescent="0.25">
      <c r="A1365" s="92">
        <v>45845</v>
      </c>
      <c r="B1365" s="93" t="s">
        <v>325</v>
      </c>
      <c r="C1365" s="89" t="s">
        <v>40</v>
      </c>
      <c r="D1365" s="93" t="s">
        <v>198</v>
      </c>
      <c r="E1365" s="93" t="s">
        <v>36</v>
      </c>
      <c r="F1365" s="93" t="s">
        <v>413</v>
      </c>
      <c r="G1365" s="93" t="s">
        <v>347</v>
      </c>
      <c r="H1365" s="93" t="s">
        <v>342</v>
      </c>
      <c r="I1365" s="94">
        <v>0.57999999999999996</v>
      </c>
      <c r="J1365" s="95">
        <v>43.5</v>
      </c>
    </row>
    <row r="1366" spans="1:10" x14ac:dyDescent="0.25">
      <c r="A1366" s="92">
        <v>45845</v>
      </c>
      <c r="B1366" s="93" t="s">
        <v>330</v>
      </c>
      <c r="C1366" s="89" t="s">
        <v>40</v>
      </c>
      <c r="D1366" s="93" t="s">
        <v>195</v>
      </c>
      <c r="E1366" s="93" t="s">
        <v>34</v>
      </c>
      <c r="F1366" s="93" t="s">
        <v>449</v>
      </c>
      <c r="G1366" s="93" t="s">
        <v>347</v>
      </c>
      <c r="H1366" s="93" t="s">
        <v>343</v>
      </c>
      <c r="I1366" s="94">
        <v>0.33</v>
      </c>
      <c r="J1366" s="95">
        <v>19.8</v>
      </c>
    </row>
    <row r="1367" spans="1:10" x14ac:dyDescent="0.25">
      <c r="A1367" s="92">
        <v>45845</v>
      </c>
      <c r="B1367" s="93" t="s">
        <v>330</v>
      </c>
      <c r="C1367" s="89" t="s">
        <v>40</v>
      </c>
      <c r="D1367" s="93" t="s">
        <v>199</v>
      </c>
      <c r="E1367" s="93" t="s">
        <v>34</v>
      </c>
      <c r="F1367" s="93" t="s">
        <v>414</v>
      </c>
      <c r="G1367" s="93" t="s">
        <v>347</v>
      </c>
      <c r="H1367" s="93" t="s">
        <v>343</v>
      </c>
      <c r="I1367" s="94">
        <v>0.33</v>
      </c>
      <c r="J1367" s="95">
        <v>19.8</v>
      </c>
    </row>
    <row r="1368" spans="1:10" x14ac:dyDescent="0.25">
      <c r="A1368" s="92">
        <v>45845</v>
      </c>
      <c r="B1368" s="93" t="s">
        <v>330</v>
      </c>
      <c r="C1368" s="89" t="s">
        <v>40</v>
      </c>
      <c r="D1368" s="93" t="s">
        <v>215</v>
      </c>
      <c r="E1368" s="93" t="s">
        <v>34</v>
      </c>
      <c r="F1368" s="93" t="s">
        <v>450</v>
      </c>
      <c r="G1368" s="93" t="s">
        <v>347</v>
      </c>
      <c r="H1368" s="93" t="s">
        <v>343</v>
      </c>
      <c r="I1368" s="94">
        <v>0.33</v>
      </c>
      <c r="J1368" s="95">
        <v>19.8</v>
      </c>
    </row>
    <row r="1369" spans="1:10" x14ac:dyDescent="0.25">
      <c r="A1369" s="92">
        <v>45845</v>
      </c>
      <c r="B1369" s="93" t="s">
        <v>330</v>
      </c>
      <c r="C1369" s="89" t="s">
        <v>40</v>
      </c>
      <c r="D1369" s="93" t="s">
        <v>225</v>
      </c>
      <c r="E1369" s="93" t="s">
        <v>34</v>
      </c>
      <c r="F1369" s="93" t="s">
        <v>365</v>
      </c>
      <c r="G1369" s="93" t="s">
        <v>347</v>
      </c>
      <c r="H1369" s="93" t="s">
        <v>343</v>
      </c>
      <c r="I1369" s="94">
        <v>0.33</v>
      </c>
      <c r="J1369" s="95">
        <v>19.8</v>
      </c>
    </row>
    <row r="1370" spans="1:10" x14ac:dyDescent="0.25">
      <c r="A1370" s="92">
        <v>45845</v>
      </c>
      <c r="B1370" s="93" t="s">
        <v>330</v>
      </c>
      <c r="C1370" s="89" t="s">
        <v>40</v>
      </c>
      <c r="D1370" s="93" t="s">
        <v>275</v>
      </c>
      <c r="E1370" s="93" t="s">
        <v>34</v>
      </c>
      <c r="F1370" s="93" t="s">
        <v>443</v>
      </c>
      <c r="G1370" s="93" t="s">
        <v>347</v>
      </c>
      <c r="H1370" s="93" t="s">
        <v>343</v>
      </c>
      <c r="I1370" s="94">
        <v>0.5</v>
      </c>
      <c r="J1370" s="95">
        <v>30</v>
      </c>
    </row>
    <row r="1371" spans="1:10" x14ac:dyDescent="0.25">
      <c r="A1371" s="92">
        <v>45845</v>
      </c>
      <c r="B1371" s="93" t="s">
        <v>325</v>
      </c>
      <c r="C1371" s="89" t="s">
        <v>40</v>
      </c>
      <c r="D1371" s="93" t="s">
        <v>278</v>
      </c>
      <c r="E1371" s="93" t="s">
        <v>34</v>
      </c>
      <c r="F1371" s="93" t="s">
        <v>452</v>
      </c>
      <c r="G1371" s="93" t="s">
        <v>347</v>
      </c>
      <c r="H1371" s="93" t="s">
        <v>343</v>
      </c>
      <c r="I1371" s="94">
        <v>0.25</v>
      </c>
      <c r="J1371" s="95">
        <v>18.75</v>
      </c>
    </row>
    <row r="1372" spans="1:10" x14ac:dyDescent="0.25">
      <c r="A1372" s="92">
        <v>45845</v>
      </c>
      <c r="B1372" s="93" t="s">
        <v>326</v>
      </c>
      <c r="C1372" s="89" t="s">
        <v>40</v>
      </c>
      <c r="D1372" s="93" t="s">
        <v>237</v>
      </c>
      <c r="E1372" s="93" t="s">
        <v>34</v>
      </c>
      <c r="F1372" s="93" t="s">
        <v>427</v>
      </c>
      <c r="G1372" s="93" t="s">
        <v>348</v>
      </c>
      <c r="H1372" s="93" t="s">
        <v>343</v>
      </c>
      <c r="I1372" s="94">
        <v>0.83</v>
      </c>
      <c r="J1372" s="95">
        <v>49.8</v>
      </c>
    </row>
    <row r="1373" spans="1:10" x14ac:dyDescent="0.25">
      <c r="A1373" s="92">
        <v>45845</v>
      </c>
      <c r="B1373" s="93" t="s">
        <v>326</v>
      </c>
      <c r="C1373" s="89" t="s">
        <v>40</v>
      </c>
      <c r="D1373" s="93" t="s">
        <v>227</v>
      </c>
      <c r="E1373" s="93" t="s">
        <v>34</v>
      </c>
      <c r="F1373" s="93" t="s">
        <v>453</v>
      </c>
      <c r="G1373" s="93" t="s">
        <v>348</v>
      </c>
      <c r="H1373" s="93" t="s">
        <v>343</v>
      </c>
      <c r="I1373" s="94">
        <v>0.83</v>
      </c>
      <c r="J1373" s="95">
        <v>49.8</v>
      </c>
    </row>
    <row r="1374" spans="1:10" x14ac:dyDescent="0.25">
      <c r="A1374" s="92">
        <v>45845</v>
      </c>
      <c r="B1374" s="93" t="s">
        <v>326</v>
      </c>
      <c r="C1374" s="89" t="s">
        <v>40</v>
      </c>
      <c r="D1374" s="93" t="s">
        <v>233</v>
      </c>
      <c r="E1374" s="93" t="s">
        <v>34</v>
      </c>
      <c r="F1374" s="93" t="s">
        <v>387</v>
      </c>
      <c r="G1374" s="93" t="s">
        <v>348</v>
      </c>
      <c r="H1374" s="93" t="s">
        <v>343</v>
      </c>
      <c r="I1374" s="94">
        <v>0.83</v>
      </c>
      <c r="J1374" s="95">
        <v>49.8</v>
      </c>
    </row>
    <row r="1375" spans="1:10" x14ac:dyDescent="0.25">
      <c r="A1375" s="92">
        <v>45845</v>
      </c>
      <c r="B1375" s="93" t="s">
        <v>326</v>
      </c>
      <c r="C1375" s="89" t="s">
        <v>40</v>
      </c>
      <c r="D1375" s="93" t="s">
        <v>309</v>
      </c>
      <c r="E1375" s="93" t="s">
        <v>34</v>
      </c>
      <c r="F1375" s="93" t="s">
        <v>454</v>
      </c>
      <c r="G1375" s="93" t="s">
        <v>348</v>
      </c>
      <c r="H1375" s="93" t="s">
        <v>343</v>
      </c>
      <c r="I1375" s="94">
        <v>1.33</v>
      </c>
      <c r="J1375" s="95">
        <v>79.800000000000011</v>
      </c>
    </row>
    <row r="1376" spans="1:10" x14ac:dyDescent="0.25">
      <c r="A1376" s="92">
        <v>45845</v>
      </c>
      <c r="B1376" s="93" t="s">
        <v>332</v>
      </c>
      <c r="C1376" s="89" t="s">
        <v>40</v>
      </c>
      <c r="D1376" s="93" t="s">
        <v>314</v>
      </c>
      <c r="E1376" s="93" t="s">
        <v>35</v>
      </c>
      <c r="F1376" s="93" t="s">
        <v>359</v>
      </c>
      <c r="G1376" s="93" t="s">
        <v>339</v>
      </c>
      <c r="H1376" s="93" t="s">
        <v>352</v>
      </c>
      <c r="I1376" s="94">
        <v>9.33</v>
      </c>
      <c r="J1376" s="95">
        <v>373.2</v>
      </c>
    </row>
    <row r="1377" spans="1:10" x14ac:dyDescent="0.25">
      <c r="A1377" s="92">
        <v>45845</v>
      </c>
      <c r="B1377" s="93" t="s">
        <v>324</v>
      </c>
      <c r="C1377" s="89" t="s">
        <v>40</v>
      </c>
      <c r="D1377" s="93" t="s">
        <v>314</v>
      </c>
      <c r="E1377" s="93" t="s">
        <v>35</v>
      </c>
      <c r="F1377" s="93" t="s">
        <v>359</v>
      </c>
      <c r="G1377" s="93" t="s">
        <v>339</v>
      </c>
      <c r="H1377" s="93" t="s">
        <v>352</v>
      </c>
      <c r="I1377" s="94">
        <v>4</v>
      </c>
      <c r="J1377" s="95">
        <v>300</v>
      </c>
    </row>
    <row r="1378" spans="1:10" x14ac:dyDescent="0.25">
      <c r="A1378" s="92">
        <v>45846</v>
      </c>
      <c r="B1378" s="93" t="s">
        <v>331</v>
      </c>
      <c r="C1378" s="89" t="s">
        <v>40</v>
      </c>
      <c r="D1378" s="93" t="s">
        <v>316</v>
      </c>
      <c r="E1378" s="93" t="s">
        <v>35</v>
      </c>
      <c r="F1378" s="93" t="s">
        <v>338</v>
      </c>
      <c r="G1378" s="93" t="s">
        <v>337</v>
      </c>
      <c r="H1378" s="93" t="s">
        <v>352</v>
      </c>
      <c r="I1378" s="94">
        <v>4</v>
      </c>
      <c r="J1378" s="95">
        <v>128</v>
      </c>
    </row>
    <row r="1379" spans="1:10" x14ac:dyDescent="0.25">
      <c r="A1379" s="92">
        <v>45846</v>
      </c>
      <c r="B1379" s="93" t="s">
        <v>329</v>
      </c>
      <c r="C1379" s="89" t="s">
        <v>40</v>
      </c>
      <c r="D1379" s="93" t="s">
        <v>316</v>
      </c>
      <c r="E1379" s="93" t="s">
        <v>35</v>
      </c>
      <c r="F1379" s="93" t="s">
        <v>338</v>
      </c>
      <c r="G1379" s="93" t="s">
        <v>337</v>
      </c>
      <c r="H1379" s="93" t="s">
        <v>352</v>
      </c>
      <c r="I1379" s="94">
        <v>3.58</v>
      </c>
      <c r="J1379" s="95">
        <v>268.5</v>
      </c>
    </row>
    <row r="1380" spans="1:10" x14ac:dyDescent="0.25">
      <c r="A1380" s="92">
        <v>45846</v>
      </c>
      <c r="B1380" s="93" t="s">
        <v>327</v>
      </c>
      <c r="C1380" s="89" t="s">
        <v>40</v>
      </c>
      <c r="D1380" s="93" t="s">
        <v>320</v>
      </c>
      <c r="E1380" s="93" t="s">
        <v>35</v>
      </c>
      <c r="F1380" s="93" t="s">
        <v>322</v>
      </c>
      <c r="G1380" s="93" t="s">
        <v>319</v>
      </c>
      <c r="H1380" s="93" t="s">
        <v>352</v>
      </c>
      <c r="I1380" s="94">
        <v>7.42</v>
      </c>
      <c r="J1380" s="95">
        <v>237.44</v>
      </c>
    </row>
    <row r="1381" spans="1:10" x14ac:dyDescent="0.25">
      <c r="A1381" s="92">
        <v>45846</v>
      </c>
      <c r="B1381" s="93" t="s">
        <v>333</v>
      </c>
      <c r="C1381" s="89" t="s">
        <v>40</v>
      </c>
      <c r="D1381" s="93" t="s">
        <v>320</v>
      </c>
      <c r="E1381" s="93" t="s">
        <v>35</v>
      </c>
      <c r="F1381" s="93" t="s">
        <v>322</v>
      </c>
      <c r="G1381" s="93" t="s">
        <v>319</v>
      </c>
      <c r="H1381" s="93" t="s">
        <v>352</v>
      </c>
      <c r="I1381" s="94">
        <v>7.33</v>
      </c>
      <c r="J1381" s="95">
        <v>234.56</v>
      </c>
    </row>
    <row r="1382" spans="1:10" x14ac:dyDescent="0.25">
      <c r="A1382" s="92">
        <v>45846</v>
      </c>
      <c r="B1382" s="93" t="s">
        <v>323</v>
      </c>
      <c r="C1382" s="89" t="s">
        <v>40</v>
      </c>
      <c r="D1382" s="93" t="s">
        <v>232</v>
      </c>
      <c r="E1382" s="93" t="s">
        <v>36</v>
      </c>
      <c r="F1382" s="93" t="s">
        <v>393</v>
      </c>
      <c r="G1382" s="93" t="s">
        <v>346</v>
      </c>
      <c r="H1382" s="93" t="s">
        <v>342</v>
      </c>
      <c r="I1382" s="94">
        <v>0.5</v>
      </c>
      <c r="J1382" s="95">
        <v>30</v>
      </c>
    </row>
    <row r="1383" spans="1:10" x14ac:dyDescent="0.25">
      <c r="A1383" s="92">
        <v>45846</v>
      </c>
      <c r="B1383" s="93" t="s">
        <v>323</v>
      </c>
      <c r="C1383" s="89" t="s">
        <v>40</v>
      </c>
      <c r="D1383" s="93" t="s">
        <v>283</v>
      </c>
      <c r="E1383" s="93" t="s">
        <v>36</v>
      </c>
      <c r="F1383" s="93" t="s">
        <v>429</v>
      </c>
      <c r="G1383" s="93" t="s">
        <v>346</v>
      </c>
      <c r="H1383" s="93" t="s">
        <v>342</v>
      </c>
      <c r="I1383" s="94">
        <v>0.25</v>
      </c>
      <c r="J1383" s="95">
        <v>15</v>
      </c>
    </row>
    <row r="1384" spans="1:10" x14ac:dyDescent="0.25">
      <c r="A1384" s="92">
        <v>45846</v>
      </c>
      <c r="B1384" s="93" t="s">
        <v>323</v>
      </c>
      <c r="C1384" s="89" t="s">
        <v>40</v>
      </c>
      <c r="D1384" s="93" t="s">
        <v>266</v>
      </c>
      <c r="E1384" s="93" t="s">
        <v>36</v>
      </c>
      <c r="F1384" s="93" t="s">
        <v>394</v>
      </c>
      <c r="G1384" s="93" t="s">
        <v>346</v>
      </c>
      <c r="H1384" s="93" t="s">
        <v>342</v>
      </c>
      <c r="I1384" s="94">
        <v>0.5</v>
      </c>
      <c r="J1384" s="95">
        <v>30</v>
      </c>
    </row>
    <row r="1385" spans="1:10" x14ac:dyDescent="0.25">
      <c r="A1385" s="92">
        <v>45846</v>
      </c>
      <c r="B1385" s="93" t="s">
        <v>323</v>
      </c>
      <c r="C1385" s="89" t="s">
        <v>40</v>
      </c>
      <c r="D1385" s="93" t="s">
        <v>280</v>
      </c>
      <c r="E1385" s="93" t="s">
        <v>36</v>
      </c>
      <c r="F1385" s="93" t="s">
        <v>445</v>
      </c>
      <c r="G1385" s="93" t="s">
        <v>346</v>
      </c>
      <c r="H1385" s="93" t="s">
        <v>342</v>
      </c>
      <c r="I1385" s="94">
        <v>0.5</v>
      </c>
      <c r="J1385" s="95">
        <v>30</v>
      </c>
    </row>
    <row r="1386" spans="1:10" x14ac:dyDescent="0.25">
      <c r="A1386" s="92">
        <v>45846</v>
      </c>
      <c r="B1386" s="93" t="s">
        <v>323</v>
      </c>
      <c r="C1386" s="89" t="s">
        <v>40</v>
      </c>
      <c r="D1386" s="93" t="s">
        <v>281</v>
      </c>
      <c r="E1386" s="93" t="s">
        <v>36</v>
      </c>
      <c r="F1386" s="93" t="s">
        <v>430</v>
      </c>
      <c r="G1386" s="93" t="s">
        <v>346</v>
      </c>
      <c r="H1386" s="93" t="s">
        <v>342</v>
      </c>
      <c r="I1386" s="94">
        <v>0.5</v>
      </c>
      <c r="J1386" s="95">
        <v>30</v>
      </c>
    </row>
    <row r="1387" spans="1:10" x14ac:dyDescent="0.25">
      <c r="A1387" s="92">
        <v>45846</v>
      </c>
      <c r="B1387" s="93" t="s">
        <v>323</v>
      </c>
      <c r="C1387" s="89" t="s">
        <v>40</v>
      </c>
      <c r="D1387" s="93" t="s">
        <v>282</v>
      </c>
      <c r="E1387" s="93" t="s">
        <v>36</v>
      </c>
      <c r="F1387" s="93" t="s">
        <v>451</v>
      </c>
      <c r="G1387" s="93" t="s">
        <v>346</v>
      </c>
      <c r="H1387" s="93" t="s">
        <v>342</v>
      </c>
      <c r="I1387" s="94">
        <v>0.5</v>
      </c>
      <c r="J1387" s="95">
        <v>30</v>
      </c>
    </row>
    <row r="1388" spans="1:10" x14ac:dyDescent="0.25">
      <c r="A1388" s="92">
        <v>45846</v>
      </c>
      <c r="B1388" s="93" t="s">
        <v>323</v>
      </c>
      <c r="C1388" s="89" t="s">
        <v>40</v>
      </c>
      <c r="D1388" s="93" t="s">
        <v>283</v>
      </c>
      <c r="E1388" s="93" t="s">
        <v>341</v>
      </c>
      <c r="F1388" s="93" t="s">
        <v>429</v>
      </c>
      <c r="G1388" s="93" t="s">
        <v>346</v>
      </c>
      <c r="H1388" s="93" t="s">
        <v>344</v>
      </c>
      <c r="I1388" s="94">
        <v>1</v>
      </c>
      <c r="J1388" s="95">
        <v>60</v>
      </c>
    </row>
    <row r="1389" spans="1:10" x14ac:dyDescent="0.25">
      <c r="A1389" s="92">
        <v>45846</v>
      </c>
      <c r="B1389" s="93" t="s">
        <v>329</v>
      </c>
      <c r="C1389" s="89" t="s">
        <v>40</v>
      </c>
      <c r="D1389" s="93" t="s">
        <v>197</v>
      </c>
      <c r="E1389" s="93" t="s">
        <v>34</v>
      </c>
      <c r="F1389" s="93" t="s">
        <v>366</v>
      </c>
      <c r="G1389" s="93" t="s">
        <v>347</v>
      </c>
      <c r="H1389" s="93" t="s">
        <v>343</v>
      </c>
      <c r="I1389" s="94">
        <v>0.17</v>
      </c>
      <c r="J1389" s="95">
        <v>12.750000000000002</v>
      </c>
    </row>
    <row r="1390" spans="1:10" x14ac:dyDescent="0.25">
      <c r="A1390" s="92">
        <v>45846</v>
      </c>
      <c r="B1390" s="93" t="s">
        <v>329</v>
      </c>
      <c r="C1390" s="89" t="s">
        <v>40</v>
      </c>
      <c r="D1390" s="93" t="s">
        <v>206</v>
      </c>
      <c r="E1390" s="93" t="s">
        <v>34</v>
      </c>
      <c r="F1390" s="93" t="s">
        <v>367</v>
      </c>
      <c r="G1390" s="93" t="s">
        <v>347</v>
      </c>
      <c r="H1390" s="93" t="s">
        <v>343</v>
      </c>
      <c r="I1390" s="94">
        <v>0.08</v>
      </c>
      <c r="J1390" s="95">
        <v>6</v>
      </c>
    </row>
    <row r="1391" spans="1:10" x14ac:dyDescent="0.25">
      <c r="A1391" s="92">
        <v>45846</v>
      </c>
      <c r="B1391" s="93" t="s">
        <v>329</v>
      </c>
      <c r="C1391" s="89" t="s">
        <v>40</v>
      </c>
      <c r="D1391" s="93" t="s">
        <v>221</v>
      </c>
      <c r="E1391" s="93" t="s">
        <v>34</v>
      </c>
      <c r="F1391" s="93" t="s">
        <v>369</v>
      </c>
      <c r="G1391" s="93" t="s">
        <v>347</v>
      </c>
      <c r="H1391" s="93" t="s">
        <v>343</v>
      </c>
      <c r="I1391" s="94">
        <v>0.17</v>
      </c>
      <c r="J1391" s="95">
        <v>12.750000000000002</v>
      </c>
    </row>
    <row r="1392" spans="1:10" x14ac:dyDescent="0.25">
      <c r="A1392" s="92">
        <v>45846</v>
      </c>
      <c r="B1392" s="93" t="s">
        <v>325</v>
      </c>
      <c r="C1392" s="89" t="s">
        <v>40</v>
      </c>
      <c r="D1392" s="93" t="s">
        <v>290</v>
      </c>
      <c r="E1392" s="93" t="s">
        <v>34</v>
      </c>
      <c r="F1392" s="93" t="s">
        <v>428</v>
      </c>
      <c r="G1392" s="93" t="s">
        <v>347</v>
      </c>
      <c r="H1392" s="93" t="s">
        <v>343</v>
      </c>
      <c r="I1392" s="94">
        <v>0.25</v>
      </c>
      <c r="J1392" s="95">
        <v>18.75</v>
      </c>
    </row>
    <row r="1393" spans="1:10" x14ac:dyDescent="0.25">
      <c r="A1393" s="92">
        <v>45846</v>
      </c>
      <c r="B1393" s="93" t="s">
        <v>329</v>
      </c>
      <c r="C1393" s="89" t="s">
        <v>40</v>
      </c>
      <c r="D1393" s="93" t="s">
        <v>288</v>
      </c>
      <c r="E1393" s="93" t="s">
        <v>34</v>
      </c>
      <c r="F1393" s="93" t="s">
        <v>405</v>
      </c>
      <c r="G1393" s="93" t="s">
        <v>347</v>
      </c>
      <c r="H1393" s="93" t="s">
        <v>343</v>
      </c>
      <c r="I1393" s="94">
        <v>0.08</v>
      </c>
      <c r="J1393" s="95">
        <v>6</v>
      </c>
    </row>
    <row r="1394" spans="1:10" x14ac:dyDescent="0.25">
      <c r="A1394" s="92">
        <v>45846</v>
      </c>
      <c r="B1394" s="93" t="s">
        <v>329</v>
      </c>
      <c r="C1394" s="89" t="s">
        <v>40</v>
      </c>
      <c r="D1394" s="93" t="s">
        <v>293</v>
      </c>
      <c r="E1394" s="93" t="s">
        <v>34</v>
      </c>
      <c r="F1394" s="93" t="s">
        <v>376</v>
      </c>
      <c r="G1394" s="93" t="s">
        <v>347</v>
      </c>
      <c r="H1394" s="93" t="s">
        <v>343</v>
      </c>
      <c r="I1394" s="94">
        <v>0.17</v>
      </c>
      <c r="J1394" s="95">
        <v>12.750000000000002</v>
      </c>
    </row>
    <row r="1395" spans="1:10" x14ac:dyDescent="0.25">
      <c r="A1395" s="92">
        <v>45846</v>
      </c>
      <c r="B1395" s="93" t="s">
        <v>329</v>
      </c>
      <c r="C1395" s="89" t="s">
        <v>40</v>
      </c>
      <c r="D1395" s="93" t="s">
        <v>296</v>
      </c>
      <c r="E1395" s="93" t="s">
        <v>34</v>
      </c>
      <c r="F1395" s="93" t="s">
        <v>411</v>
      </c>
      <c r="G1395" s="93" t="s">
        <v>347</v>
      </c>
      <c r="H1395" s="93" t="s">
        <v>343</v>
      </c>
      <c r="I1395" s="94">
        <v>0.17</v>
      </c>
      <c r="J1395" s="95">
        <v>12.750000000000002</v>
      </c>
    </row>
    <row r="1396" spans="1:10" x14ac:dyDescent="0.25">
      <c r="A1396" s="92">
        <v>45846</v>
      </c>
      <c r="B1396" s="93" t="s">
        <v>325</v>
      </c>
      <c r="C1396" s="89" t="s">
        <v>40</v>
      </c>
      <c r="D1396" s="93" t="s">
        <v>264</v>
      </c>
      <c r="E1396" s="93" t="s">
        <v>34</v>
      </c>
      <c r="F1396" s="93" t="s">
        <v>384</v>
      </c>
      <c r="G1396" s="93" t="s">
        <v>347</v>
      </c>
      <c r="H1396" s="93" t="s">
        <v>343</v>
      </c>
      <c r="I1396" s="94">
        <v>0.17</v>
      </c>
      <c r="J1396" s="95">
        <v>12.750000000000002</v>
      </c>
    </row>
    <row r="1397" spans="1:10" x14ac:dyDescent="0.25">
      <c r="A1397" s="92">
        <v>45846</v>
      </c>
      <c r="B1397" s="93" t="s">
        <v>329</v>
      </c>
      <c r="C1397" s="89" t="s">
        <v>40</v>
      </c>
      <c r="D1397" s="93" t="s">
        <v>247</v>
      </c>
      <c r="E1397" s="93" t="s">
        <v>34</v>
      </c>
      <c r="F1397" s="93" t="s">
        <v>375</v>
      </c>
      <c r="G1397" s="93" t="s">
        <v>347</v>
      </c>
      <c r="H1397" s="93" t="s">
        <v>343</v>
      </c>
      <c r="I1397" s="94">
        <v>0.17</v>
      </c>
      <c r="J1397" s="95">
        <v>12.750000000000002</v>
      </c>
    </row>
    <row r="1398" spans="1:10" x14ac:dyDescent="0.25">
      <c r="A1398" s="92">
        <v>45846</v>
      </c>
      <c r="B1398" s="93" t="s">
        <v>325</v>
      </c>
      <c r="C1398" s="89" t="s">
        <v>40</v>
      </c>
      <c r="D1398" s="93" t="s">
        <v>278</v>
      </c>
      <c r="E1398" s="93" t="s">
        <v>34</v>
      </c>
      <c r="F1398" s="93" t="s">
        <v>452</v>
      </c>
      <c r="G1398" s="93" t="s">
        <v>347</v>
      </c>
      <c r="H1398" s="93" t="s">
        <v>343</v>
      </c>
      <c r="I1398" s="94">
        <v>0.17</v>
      </c>
      <c r="J1398" s="95">
        <v>12.750000000000002</v>
      </c>
    </row>
    <row r="1399" spans="1:10" x14ac:dyDescent="0.25">
      <c r="A1399" s="92">
        <v>45846</v>
      </c>
      <c r="B1399" s="93" t="s">
        <v>329</v>
      </c>
      <c r="C1399" s="89" t="s">
        <v>40</v>
      </c>
      <c r="D1399" s="93" t="s">
        <v>295</v>
      </c>
      <c r="E1399" s="93" t="s">
        <v>341</v>
      </c>
      <c r="F1399" s="93" t="s">
        <v>379</v>
      </c>
      <c r="G1399" s="93" t="s">
        <v>347</v>
      </c>
      <c r="H1399" s="93" t="s">
        <v>344</v>
      </c>
      <c r="I1399" s="94">
        <v>2.58</v>
      </c>
      <c r="J1399" s="95">
        <v>193.5</v>
      </c>
    </row>
    <row r="1400" spans="1:10" x14ac:dyDescent="0.25">
      <c r="A1400" s="92">
        <v>45846</v>
      </c>
      <c r="B1400" s="93" t="s">
        <v>326</v>
      </c>
      <c r="C1400" s="89" t="s">
        <v>40</v>
      </c>
      <c r="D1400" s="93" t="s">
        <v>207</v>
      </c>
      <c r="E1400" s="93" t="s">
        <v>36</v>
      </c>
      <c r="F1400" s="93" t="s">
        <v>417</v>
      </c>
      <c r="G1400" s="93" t="s">
        <v>348</v>
      </c>
      <c r="H1400" s="93" t="s">
        <v>342</v>
      </c>
      <c r="I1400" s="94">
        <v>0.92</v>
      </c>
      <c r="J1400" s="95">
        <v>55.2</v>
      </c>
    </row>
    <row r="1401" spans="1:10" x14ac:dyDescent="0.25">
      <c r="A1401" s="92">
        <v>45846</v>
      </c>
      <c r="B1401" s="93" t="s">
        <v>332</v>
      </c>
      <c r="C1401" s="89" t="s">
        <v>40</v>
      </c>
      <c r="D1401" s="93" t="s">
        <v>314</v>
      </c>
      <c r="E1401" s="93" t="s">
        <v>35</v>
      </c>
      <c r="F1401" s="93" t="s">
        <v>359</v>
      </c>
      <c r="G1401" s="93" t="s">
        <v>339</v>
      </c>
      <c r="H1401" s="93" t="s">
        <v>352</v>
      </c>
      <c r="I1401" s="94">
        <v>8.67</v>
      </c>
      <c r="J1401" s="95">
        <v>346.8</v>
      </c>
    </row>
    <row r="1402" spans="1:10" x14ac:dyDescent="0.25">
      <c r="A1402" s="92">
        <v>45846</v>
      </c>
      <c r="B1402" s="93" t="s">
        <v>324</v>
      </c>
      <c r="C1402" s="89" t="s">
        <v>40</v>
      </c>
      <c r="D1402" s="93" t="s">
        <v>314</v>
      </c>
      <c r="E1402" s="93" t="s">
        <v>35</v>
      </c>
      <c r="F1402" s="93" t="s">
        <v>359</v>
      </c>
      <c r="G1402" s="93" t="s">
        <v>339</v>
      </c>
      <c r="H1402" s="93" t="s">
        <v>352</v>
      </c>
      <c r="I1402" s="94">
        <v>5.5</v>
      </c>
      <c r="J1402" s="95">
        <v>412.5</v>
      </c>
    </row>
    <row r="1403" spans="1:10" x14ac:dyDescent="0.25">
      <c r="A1403" s="92">
        <v>45847</v>
      </c>
      <c r="B1403" s="93" t="s">
        <v>329</v>
      </c>
      <c r="C1403" s="89" t="s">
        <v>40</v>
      </c>
      <c r="D1403" s="93" t="s">
        <v>270</v>
      </c>
      <c r="E1403" s="93" t="s">
        <v>34</v>
      </c>
      <c r="F1403" s="93" t="s">
        <v>360</v>
      </c>
      <c r="G1403" s="93" t="s">
        <v>347</v>
      </c>
      <c r="H1403" s="93" t="s">
        <v>343</v>
      </c>
      <c r="I1403" s="94">
        <v>0.08</v>
      </c>
      <c r="J1403" s="95">
        <v>6</v>
      </c>
    </row>
    <row r="1404" spans="1:10" x14ac:dyDescent="0.25">
      <c r="A1404" s="92">
        <v>45847</v>
      </c>
      <c r="B1404" s="93" t="s">
        <v>331</v>
      </c>
      <c r="C1404" s="89" t="s">
        <v>40</v>
      </c>
      <c r="D1404" s="93" t="s">
        <v>316</v>
      </c>
      <c r="E1404" s="93" t="s">
        <v>35</v>
      </c>
      <c r="F1404" s="93" t="s">
        <v>338</v>
      </c>
      <c r="G1404" s="93" t="s">
        <v>337</v>
      </c>
      <c r="H1404" s="93" t="s">
        <v>352</v>
      </c>
      <c r="I1404" s="94">
        <v>3</v>
      </c>
      <c r="J1404" s="95">
        <v>96</v>
      </c>
    </row>
    <row r="1405" spans="1:10" x14ac:dyDescent="0.25">
      <c r="A1405" s="92">
        <v>45847</v>
      </c>
      <c r="B1405" s="93" t="s">
        <v>329</v>
      </c>
      <c r="C1405" s="89" t="s">
        <v>40</v>
      </c>
      <c r="D1405" s="93" t="s">
        <v>316</v>
      </c>
      <c r="E1405" s="93" t="s">
        <v>35</v>
      </c>
      <c r="F1405" s="93" t="s">
        <v>338</v>
      </c>
      <c r="G1405" s="93" t="s">
        <v>337</v>
      </c>
      <c r="H1405" s="93" t="s">
        <v>352</v>
      </c>
      <c r="I1405" s="94">
        <v>1</v>
      </c>
      <c r="J1405" s="95">
        <v>75</v>
      </c>
    </row>
    <row r="1406" spans="1:10" x14ac:dyDescent="0.25">
      <c r="A1406" s="92">
        <v>45847</v>
      </c>
      <c r="B1406" s="93" t="s">
        <v>327</v>
      </c>
      <c r="C1406" s="89" t="s">
        <v>40</v>
      </c>
      <c r="D1406" s="93" t="s">
        <v>320</v>
      </c>
      <c r="E1406" s="93" t="s">
        <v>35</v>
      </c>
      <c r="F1406" s="93" t="s">
        <v>322</v>
      </c>
      <c r="G1406" s="93" t="s">
        <v>319</v>
      </c>
      <c r="H1406" s="93" t="s">
        <v>352</v>
      </c>
      <c r="I1406" s="94">
        <v>7.25</v>
      </c>
      <c r="J1406" s="95">
        <v>232</v>
      </c>
    </row>
    <row r="1407" spans="1:10" x14ac:dyDescent="0.25">
      <c r="A1407" s="92">
        <v>45847</v>
      </c>
      <c r="B1407" s="93" t="s">
        <v>333</v>
      </c>
      <c r="C1407" s="89" t="s">
        <v>40</v>
      </c>
      <c r="D1407" s="93" t="s">
        <v>320</v>
      </c>
      <c r="E1407" s="93" t="s">
        <v>35</v>
      </c>
      <c r="F1407" s="93" t="s">
        <v>322</v>
      </c>
      <c r="G1407" s="93" t="s">
        <v>319</v>
      </c>
      <c r="H1407" s="93" t="s">
        <v>352</v>
      </c>
      <c r="I1407" s="94">
        <v>7.43</v>
      </c>
      <c r="J1407" s="95">
        <v>237.76</v>
      </c>
    </row>
    <row r="1408" spans="1:10" x14ac:dyDescent="0.25">
      <c r="A1408" s="92">
        <v>45847</v>
      </c>
      <c r="B1408" s="93" t="s">
        <v>325</v>
      </c>
      <c r="C1408" s="89" t="s">
        <v>40</v>
      </c>
      <c r="D1408" s="93" t="s">
        <v>198</v>
      </c>
      <c r="E1408" s="93" t="s">
        <v>36</v>
      </c>
      <c r="F1408" s="93" t="s">
        <v>413</v>
      </c>
      <c r="G1408" s="93" t="s">
        <v>347</v>
      </c>
      <c r="H1408" s="93" t="s">
        <v>342</v>
      </c>
      <c r="I1408" s="94">
        <v>0.25</v>
      </c>
      <c r="J1408" s="95">
        <v>18.75</v>
      </c>
    </row>
    <row r="1409" spans="1:10" x14ac:dyDescent="0.25">
      <c r="A1409" s="92">
        <v>45847</v>
      </c>
      <c r="B1409" s="93" t="s">
        <v>329</v>
      </c>
      <c r="C1409" s="89" t="s">
        <v>40</v>
      </c>
      <c r="D1409" s="93" t="s">
        <v>301</v>
      </c>
      <c r="E1409" s="93" t="s">
        <v>34</v>
      </c>
      <c r="F1409" s="93" t="s">
        <v>371</v>
      </c>
      <c r="G1409" s="93" t="s">
        <v>347</v>
      </c>
      <c r="H1409" s="93" t="s">
        <v>343</v>
      </c>
      <c r="I1409" s="94">
        <v>0.17</v>
      </c>
      <c r="J1409" s="95">
        <v>12.750000000000002</v>
      </c>
    </row>
    <row r="1410" spans="1:10" x14ac:dyDescent="0.25">
      <c r="A1410" s="92">
        <v>45847</v>
      </c>
      <c r="B1410" s="93" t="s">
        <v>329</v>
      </c>
      <c r="C1410" s="89" t="s">
        <v>40</v>
      </c>
      <c r="D1410" s="93" t="s">
        <v>238</v>
      </c>
      <c r="E1410" s="93" t="s">
        <v>34</v>
      </c>
      <c r="F1410" s="93" t="s">
        <v>374</v>
      </c>
      <c r="G1410" s="93" t="s">
        <v>347</v>
      </c>
      <c r="H1410" s="93" t="s">
        <v>343</v>
      </c>
      <c r="I1410" s="94">
        <v>0.17</v>
      </c>
      <c r="J1410" s="95">
        <v>12.750000000000002</v>
      </c>
    </row>
    <row r="1411" spans="1:10" x14ac:dyDescent="0.25">
      <c r="A1411" s="92">
        <v>45847</v>
      </c>
      <c r="B1411" s="93" t="s">
        <v>325</v>
      </c>
      <c r="C1411" s="89" t="s">
        <v>40</v>
      </c>
      <c r="D1411" s="93" t="s">
        <v>271</v>
      </c>
      <c r="E1411" s="93" t="s">
        <v>34</v>
      </c>
      <c r="F1411" s="93" t="s">
        <v>363</v>
      </c>
      <c r="G1411" s="93" t="s">
        <v>347</v>
      </c>
      <c r="H1411" s="93" t="s">
        <v>343</v>
      </c>
      <c r="I1411" s="94">
        <v>0.33</v>
      </c>
      <c r="J1411" s="95">
        <v>24.75</v>
      </c>
    </row>
    <row r="1412" spans="1:10" x14ac:dyDescent="0.25">
      <c r="A1412" s="92">
        <v>45847</v>
      </c>
      <c r="B1412" s="93" t="s">
        <v>325</v>
      </c>
      <c r="C1412" s="89" t="s">
        <v>40</v>
      </c>
      <c r="D1412" s="93" t="s">
        <v>290</v>
      </c>
      <c r="E1412" s="93" t="s">
        <v>34</v>
      </c>
      <c r="F1412" s="93" t="s">
        <v>428</v>
      </c>
      <c r="G1412" s="93" t="s">
        <v>347</v>
      </c>
      <c r="H1412" s="93" t="s">
        <v>343</v>
      </c>
      <c r="I1412" s="94">
        <v>0.17</v>
      </c>
      <c r="J1412" s="95">
        <v>12.750000000000002</v>
      </c>
    </row>
    <row r="1413" spans="1:10" x14ac:dyDescent="0.25">
      <c r="A1413" s="92">
        <v>45847</v>
      </c>
      <c r="B1413" s="93" t="s">
        <v>325</v>
      </c>
      <c r="C1413" s="89" t="s">
        <v>40</v>
      </c>
      <c r="D1413" s="93" t="s">
        <v>287</v>
      </c>
      <c r="E1413" s="93" t="s">
        <v>34</v>
      </c>
      <c r="F1413" s="93" t="s">
        <v>378</v>
      </c>
      <c r="G1413" s="93" t="s">
        <v>347</v>
      </c>
      <c r="H1413" s="93" t="s">
        <v>343</v>
      </c>
      <c r="I1413" s="94">
        <v>0.25</v>
      </c>
      <c r="J1413" s="95">
        <v>18.75</v>
      </c>
    </row>
    <row r="1414" spans="1:10" x14ac:dyDescent="0.25">
      <c r="A1414" s="92">
        <v>45847</v>
      </c>
      <c r="B1414" s="93" t="s">
        <v>329</v>
      </c>
      <c r="C1414" s="89" t="s">
        <v>40</v>
      </c>
      <c r="D1414" s="93" t="s">
        <v>295</v>
      </c>
      <c r="E1414" s="93" t="s">
        <v>34</v>
      </c>
      <c r="F1414" s="93" t="s">
        <v>379</v>
      </c>
      <c r="G1414" s="93" t="s">
        <v>347</v>
      </c>
      <c r="H1414" s="93" t="s">
        <v>343</v>
      </c>
      <c r="I1414" s="94">
        <v>0.17</v>
      </c>
      <c r="J1414" s="95">
        <v>12.750000000000002</v>
      </c>
    </row>
    <row r="1415" spans="1:10" x14ac:dyDescent="0.25">
      <c r="A1415" s="92">
        <v>45847</v>
      </c>
      <c r="B1415" s="93" t="s">
        <v>325</v>
      </c>
      <c r="C1415" s="89" t="s">
        <v>40</v>
      </c>
      <c r="D1415" s="93" t="s">
        <v>305</v>
      </c>
      <c r="E1415" s="93" t="s">
        <v>34</v>
      </c>
      <c r="F1415" s="93" t="s">
        <v>382</v>
      </c>
      <c r="G1415" s="93" t="s">
        <v>347</v>
      </c>
      <c r="H1415" s="93" t="s">
        <v>343</v>
      </c>
      <c r="I1415" s="94">
        <v>0.33</v>
      </c>
      <c r="J1415" s="95">
        <v>24.75</v>
      </c>
    </row>
    <row r="1416" spans="1:10" x14ac:dyDescent="0.25">
      <c r="A1416" s="92">
        <v>45847</v>
      </c>
      <c r="B1416" s="93" t="s">
        <v>329</v>
      </c>
      <c r="C1416" s="89" t="s">
        <v>40</v>
      </c>
      <c r="D1416" s="93" t="s">
        <v>299</v>
      </c>
      <c r="E1416" s="93" t="s">
        <v>312</v>
      </c>
      <c r="F1416" s="93" t="s">
        <v>455</v>
      </c>
      <c r="G1416" s="93" t="s">
        <v>347</v>
      </c>
      <c r="H1416" s="93" t="s">
        <v>350</v>
      </c>
      <c r="I1416" s="94">
        <v>2.33</v>
      </c>
      <c r="J1416" s="95">
        <v>174.75</v>
      </c>
    </row>
    <row r="1417" spans="1:10" x14ac:dyDescent="0.25">
      <c r="A1417" s="92">
        <v>45847</v>
      </c>
      <c r="B1417" s="93" t="s">
        <v>326</v>
      </c>
      <c r="C1417" s="89" t="s">
        <v>40</v>
      </c>
      <c r="D1417" s="93" t="s">
        <v>188</v>
      </c>
      <c r="E1417" s="93" t="s">
        <v>36</v>
      </c>
      <c r="F1417" s="93" t="s">
        <v>356</v>
      </c>
      <c r="G1417" s="93" t="s">
        <v>348</v>
      </c>
      <c r="H1417" s="93" t="s">
        <v>342</v>
      </c>
      <c r="I1417" s="94">
        <v>1</v>
      </c>
      <c r="J1417" s="95">
        <v>60</v>
      </c>
    </row>
    <row r="1418" spans="1:10" x14ac:dyDescent="0.25">
      <c r="A1418" s="92">
        <v>45847</v>
      </c>
      <c r="B1418" s="93" t="s">
        <v>326</v>
      </c>
      <c r="C1418" s="89" t="s">
        <v>40</v>
      </c>
      <c r="D1418" s="93" t="s">
        <v>227</v>
      </c>
      <c r="E1418" s="93" t="s">
        <v>36</v>
      </c>
      <c r="F1418" s="93" t="s">
        <v>453</v>
      </c>
      <c r="G1418" s="93" t="s">
        <v>348</v>
      </c>
      <c r="H1418" s="93" t="s">
        <v>342</v>
      </c>
      <c r="I1418" s="94">
        <v>1</v>
      </c>
      <c r="J1418" s="95">
        <v>60</v>
      </c>
    </row>
    <row r="1419" spans="1:10" x14ac:dyDescent="0.25">
      <c r="A1419" s="92">
        <v>45847</v>
      </c>
      <c r="B1419" s="93" t="s">
        <v>326</v>
      </c>
      <c r="C1419" s="89" t="s">
        <v>40</v>
      </c>
      <c r="D1419" s="93" t="s">
        <v>236</v>
      </c>
      <c r="E1419" s="93" t="s">
        <v>36</v>
      </c>
      <c r="F1419" s="93" t="s">
        <v>357</v>
      </c>
      <c r="G1419" s="93" t="s">
        <v>348</v>
      </c>
      <c r="H1419" s="93" t="s">
        <v>342</v>
      </c>
      <c r="I1419" s="94">
        <v>1</v>
      </c>
      <c r="J1419" s="95">
        <v>60</v>
      </c>
    </row>
    <row r="1420" spans="1:10" x14ac:dyDescent="0.25">
      <c r="A1420" s="92">
        <v>45847</v>
      </c>
      <c r="B1420" s="93" t="s">
        <v>332</v>
      </c>
      <c r="C1420" s="89" t="s">
        <v>40</v>
      </c>
      <c r="D1420" s="93" t="s">
        <v>314</v>
      </c>
      <c r="E1420" s="93" t="s">
        <v>35</v>
      </c>
      <c r="F1420" s="93" t="s">
        <v>359</v>
      </c>
      <c r="G1420" s="93" t="s">
        <v>339</v>
      </c>
      <c r="H1420" s="93" t="s">
        <v>352</v>
      </c>
      <c r="I1420" s="94">
        <v>8.17</v>
      </c>
      <c r="J1420" s="95">
        <v>326.8</v>
      </c>
    </row>
    <row r="1421" spans="1:10" x14ac:dyDescent="0.25">
      <c r="A1421" s="92">
        <v>45847</v>
      </c>
      <c r="B1421" s="93" t="s">
        <v>324</v>
      </c>
      <c r="C1421" s="89" t="s">
        <v>40</v>
      </c>
      <c r="D1421" s="93" t="s">
        <v>314</v>
      </c>
      <c r="E1421" s="93" t="s">
        <v>35</v>
      </c>
      <c r="F1421" s="93" t="s">
        <v>359</v>
      </c>
      <c r="G1421" s="93" t="s">
        <v>339</v>
      </c>
      <c r="H1421" s="93" t="s">
        <v>352</v>
      </c>
      <c r="I1421" s="94">
        <v>5.75</v>
      </c>
      <c r="J1421" s="95">
        <v>431.25</v>
      </c>
    </row>
    <row r="1422" spans="1:10" x14ac:dyDescent="0.25">
      <c r="A1422" s="92">
        <v>45848</v>
      </c>
      <c r="B1422" s="93" t="s">
        <v>325</v>
      </c>
      <c r="C1422" s="89" t="s">
        <v>40</v>
      </c>
      <c r="D1422" s="93" t="s">
        <v>271</v>
      </c>
      <c r="E1422" s="93" t="s">
        <v>341</v>
      </c>
      <c r="F1422" s="93" t="s">
        <v>363</v>
      </c>
      <c r="G1422" s="93" t="s">
        <v>347</v>
      </c>
      <c r="H1422" s="93" t="s">
        <v>344</v>
      </c>
      <c r="I1422" s="94">
        <v>0.92</v>
      </c>
      <c r="J1422" s="95">
        <v>69</v>
      </c>
    </row>
    <row r="1423" spans="1:10" x14ac:dyDescent="0.25">
      <c r="A1423" s="92">
        <v>45848</v>
      </c>
      <c r="B1423" s="93" t="s">
        <v>329</v>
      </c>
      <c r="C1423" s="89" t="s">
        <v>40</v>
      </c>
      <c r="D1423" s="93" t="s">
        <v>229</v>
      </c>
      <c r="E1423" s="93" t="s">
        <v>341</v>
      </c>
      <c r="F1423" s="93" t="s">
        <v>373</v>
      </c>
      <c r="G1423" s="93" t="s">
        <v>347</v>
      </c>
      <c r="H1423" s="93" t="s">
        <v>344</v>
      </c>
      <c r="I1423" s="94">
        <v>2</v>
      </c>
      <c r="J1423" s="95">
        <v>150</v>
      </c>
    </row>
    <row r="1424" spans="1:10" x14ac:dyDescent="0.25">
      <c r="A1424" s="92">
        <v>45848</v>
      </c>
      <c r="B1424" s="93" t="s">
        <v>329</v>
      </c>
      <c r="C1424" s="89" t="s">
        <v>40</v>
      </c>
      <c r="D1424" s="93" t="s">
        <v>303</v>
      </c>
      <c r="E1424" s="93" t="s">
        <v>341</v>
      </c>
      <c r="F1424" s="93" t="s">
        <v>400</v>
      </c>
      <c r="G1424" s="93" t="s">
        <v>347</v>
      </c>
      <c r="H1424" s="93" t="s">
        <v>344</v>
      </c>
      <c r="I1424" s="94">
        <v>2</v>
      </c>
      <c r="J1424" s="95">
        <v>150</v>
      </c>
    </row>
    <row r="1425" spans="1:10" x14ac:dyDescent="0.25">
      <c r="A1425" s="92">
        <v>45848</v>
      </c>
      <c r="B1425" s="93" t="s">
        <v>329</v>
      </c>
      <c r="C1425" s="89" t="s">
        <v>40</v>
      </c>
      <c r="D1425" s="93" t="s">
        <v>272</v>
      </c>
      <c r="E1425" s="93" t="s">
        <v>341</v>
      </c>
      <c r="F1425" s="93" t="s">
        <v>362</v>
      </c>
      <c r="G1425" s="93" t="s">
        <v>347</v>
      </c>
      <c r="H1425" s="93" t="s">
        <v>344</v>
      </c>
      <c r="I1425" s="94">
        <v>2</v>
      </c>
      <c r="J1425" s="95">
        <v>150</v>
      </c>
    </row>
    <row r="1426" spans="1:10" x14ac:dyDescent="0.25">
      <c r="A1426" s="92">
        <v>45848</v>
      </c>
      <c r="B1426" s="93" t="s">
        <v>323</v>
      </c>
      <c r="C1426" s="89" t="s">
        <v>40</v>
      </c>
      <c r="D1426" s="93" t="s">
        <v>200</v>
      </c>
      <c r="E1426" s="93" t="s">
        <v>36</v>
      </c>
      <c r="F1426" s="93" t="s">
        <v>391</v>
      </c>
      <c r="G1426" s="93" t="s">
        <v>346</v>
      </c>
      <c r="H1426" s="93" t="s">
        <v>342</v>
      </c>
      <c r="I1426" s="94">
        <v>0.33</v>
      </c>
      <c r="J1426" s="95">
        <v>19.8</v>
      </c>
    </row>
    <row r="1427" spans="1:10" x14ac:dyDescent="0.25">
      <c r="A1427" s="92">
        <v>45848</v>
      </c>
      <c r="B1427" s="93" t="s">
        <v>323</v>
      </c>
      <c r="C1427" s="89" t="s">
        <v>40</v>
      </c>
      <c r="D1427" s="93" t="s">
        <v>208</v>
      </c>
      <c r="E1427" s="93" t="s">
        <v>36</v>
      </c>
      <c r="F1427" s="93" t="s">
        <v>456</v>
      </c>
      <c r="G1427" s="93" t="s">
        <v>346</v>
      </c>
      <c r="H1427" s="93" t="s">
        <v>342</v>
      </c>
      <c r="I1427" s="94">
        <v>0.33</v>
      </c>
      <c r="J1427" s="95">
        <v>19.8</v>
      </c>
    </row>
    <row r="1428" spans="1:10" x14ac:dyDescent="0.25">
      <c r="A1428" s="92">
        <v>45848</v>
      </c>
      <c r="B1428" s="93" t="s">
        <v>329</v>
      </c>
      <c r="C1428" s="89" t="s">
        <v>40</v>
      </c>
      <c r="D1428" s="93" t="s">
        <v>316</v>
      </c>
      <c r="E1428" s="93" t="s">
        <v>35</v>
      </c>
      <c r="F1428" s="93" t="s">
        <v>338</v>
      </c>
      <c r="G1428" s="93" t="s">
        <v>337</v>
      </c>
      <c r="H1428" s="93" t="s">
        <v>352</v>
      </c>
      <c r="I1428" s="94">
        <v>1.33</v>
      </c>
      <c r="J1428" s="95">
        <v>99.75</v>
      </c>
    </row>
    <row r="1429" spans="1:10" x14ac:dyDescent="0.25">
      <c r="A1429" s="92">
        <v>45848</v>
      </c>
      <c r="B1429" s="93" t="s">
        <v>327</v>
      </c>
      <c r="C1429" s="89" t="s">
        <v>40</v>
      </c>
      <c r="D1429" s="93" t="s">
        <v>320</v>
      </c>
      <c r="E1429" s="93" t="s">
        <v>35</v>
      </c>
      <c r="F1429" s="93" t="s">
        <v>322</v>
      </c>
      <c r="G1429" s="93" t="s">
        <v>319</v>
      </c>
      <c r="H1429" s="93" t="s">
        <v>352</v>
      </c>
      <c r="I1429" s="94">
        <v>7.25</v>
      </c>
      <c r="J1429" s="95">
        <v>232</v>
      </c>
    </row>
    <row r="1430" spans="1:10" x14ac:dyDescent="0.25">
      <c r="A1430" s="92">
        <v>45848</v>
      </c>
      <c r="B1430" s="93" t="s">
        <v>333</v>
      </c>
      <c r="C1430" s="89" t="s">
        <v>40</v>
      </c>
      <c r="D1430" s="93" t="s">
        <v>320</v>
      </c>
      <c r="E1430" s="93" t="s">
        <v>35</v>
      </c>
      <c r="F1430" s="93" t="s">
        <v>322</v>
      </c>
      <c r="G1430" s="93" t="s">
        <v>319</v>
      </c>
      <c r="H1430" s="93" t="s">
        <v>352</v>
      </c>
      <c r="I1430" s="94">
        <v>7.77</v>
      </c>
      <c r="J1430" s="95">
        <v>248.64</v>
      </c>
    </row>
    <row r="1431" spans="1:10" x14ac:dyDescent="0.25">
      <c r="A1431" s="92">
        <v>45848</v>
      </c>
      <c r="B1431" s="93" t="s">
        <v>330</v>
      </c>
      <c r="C1431" s="89" t="s">
        <v>40</v>
      </c>
      <c r="D1431" s="93" t="s">
        <v>195</v>
      </c>
      <c r="E1431" s="93" t="s">
        <v>34</v>
      </c>
      <c r="F1431" s="93" t="s">
        <v>449</v>
      </c>
      <c r="G1431" s="93" t="s">
        <v>347</v>
      </c>
      <c r="H1431" s="93" t="s">
        <v>343</v>
      </c>
      <c r="I1431" s="94">
        <v>0.33</v>
      </c>
      <c r="J1431" s="95">
        <v>19.8</v>
      </c>
    </row>
    <row r="1432" spans="1:10" x14ac:dyDescent="0.25">
      <c r="A1432" s="92">
        <v>45848</v>
      </c>
      <c r="B1432" s="93" t="s">
        <v>330</v>
      </c>
      <c r="C1432" s="89" t="s">
        <v>40</v>
      </c>
      <c r="D1432" s="93" t="s">
        <v>199</v>
      </c>
      <c r="E1432" s="93" t="s">
        <v>34</v>
      </c>
      <c r="F1432" s="93" t="s">
        <v>414</v>
      </c>
      <c r="G1432" s="93" t="s">
        <v>347</v>
      </c>
      <c r="H1432" s="93" t="s">
        <v>343</v>
      </c>
      <c r="I1432" s="94">
        <v>0.5</v>
      </c>
      <c r="J1432" s="95">
        <v>30</v>
      </c>
    </row>
    <row r="1433" spans="1:10" x14ac:dyDescent="0.25">
      <c r="A1433" s="92">
        <v>45848</v>
      </c>
      <c r="B1433" s="93" t="s">
        <v>329</v>
      </c>
      <c r="C1433" s="89" t="s">
        <v>40</v>
      </c>
      <c r="D1433" s="93" t="s">
        <v>229</v>
      </c>
      <c r="E1433" s="93" t="s">
        <v>34</v>
      </c>
      <c r="F1433" s="93" t="s">
        <v>373</v>
      </c>
      <c r="G1433" s="93" t="s">
        <v>347</v>
      </c>
      <c r="H1433" s="93" t="s">
        <v>343</v>
      </c>
      <c r="I1433" s="94">
        <v>0.17</v>
      </c>
      <c r="J1433" s="95">
        <v>12.750000000000002</v>
      </c>
    </row>
    <row r="1434" spans="1:10" x14ac:dyDescent="0.25">
      <c r="A1434" s="92">
        <v>45848</v>
      </c>
      <c r="B1434" s="93" t="s">
        <v>330</v>
      </c>
      <c r="C1434" s="89" t="s">
        <v>40</v>
      </c>
      <c r="D1434" s="93" t="s">
        <v>225</v>
      </c>
      <c r="E1434" s="93" t="s">
        <v>34</v>
      </c>
      <c r="F1434" s="93" t="s">
        <v>365</v>
      </c>
      <c r="G1434" s="93" t="s">
        <v>347</v>
      </c>
      <c r="H1434" s="93" t="s">
        <v>343</v>
      </c>
      <c r="I1434" s="94">
        <v>0.33</v>
      </c>
      <c r="J1434" s="95">
        <v>19.8</v>
      </c>
    </row>
    <row r="1435" spans="1:10" x14ac:dyDescent="0.25">
      <c r="A1435" s="92">
        <v>45848</v>
      </c>
      <c r="B1435" s="93" t="s">
        <v>325</v>
      </c>
      <c r="C1435" s="89" t="s">
        <v>40</v>
      </c>
      <c r="D1435" s="93" t="s">
        <v>224</v>
      </c>
      <c r="E1435" s="93" t="s">
        <v>34</v>
      </c>
      <c r="F1435" s="93" t="s">
        <v>423</v>
      </c>
      <c r="G1435" s="93" t="s">
        <v>347</v>
      </c>
      <c r="H1435" s="93" t="s">
        <v>343</v>
      </c>
      <c r="I1435" s="94">
        <v>0.17</v>
      </c>
      <c r="J1435" s="95">
        <v>12.750000000000002</v>
      </c>
    </row>
    <row r="1436" spans="1:10" x14ac:dyDescent="0.25">
      <c r="A1436" s="92">
        <v>45848</v>
      </c>
      <c r="B1436" s="93" t="s">
        <v>325</v>
      </c>
      <c r="C1436" s="89" t="s">
        <v>40</v>
      </c>
      <c r="D1436" s="93" t="s">
        <v>271</v>
      </c>
      <c r="E1436" s="93" t="s">
        <v>34</v>
      </c>
      <c r="F1436" s="93" t="s">
        <v>363</v>
      </c>
      <c r="G1436" s="93" t="s">
        <v>347</v>
      </c>
      <c r="H1436" s="93" t="s">
        <v>343</v>
      </c>
      <c r="I1436" s="94">
        <v>0.33</v>
      </c>
      <c r="J1436" s="95">
        <v>24.75</v>
      </c>
    </row>
    <row r="1437" spans="1:10" x14ac:dyDescent="0.25">
      <c r="A1437" s="92">
        <v>45848</v>
      </c>
      <c r="B1437" s="93" t="s">
        <v>325</v>
      </c>
      <c r="C1437" s="89" t="s">
        <v>40</v>
      </c>
      <c r="D1437" s="93" t="s">
        <v>254</v>
      </c>
      <c r="E1437" s="93" t="s">
        <v>34</v>
      </c>
      <c r="F1437" s="93" t="s">
        <v>441</v>
      </c>
      <c r="G1437" s="93" t="s">
        <v>347</v>
      </c>
      <c r="H1437" s="93" t="s">
        <v>343</v>
      </c>
      <c r="I1437" s="94">
        <v>0.17</v>
      </c>
      <c r="J1437" s="95">
        <v>12.750000000000002</v>
      </c>
    </row>
    <row r="1438" spans="1:10" x14ac:dyDescent="0.25">
      <c r="A1438" s="92">
        <v>45848</v>
      </c>
      <c r="B1438" s="93" t="s">
        <v>325</v>
      </c>
      <c r="C1438" s="89" t="s">
        <v>40</v>
      </c>
      <c r="D1438" s="93" t="s">
        <v>264</v>
      </c>
      <c r="E1438" s="93" t="s">
        <v>34</v>
      </c>
      <c r="F1438" s="93" t="s">
        <v>384</v>
      </c>
      <c r="G1438" s="93" t="s">
        <v>347</v>
      </c>
      <c r="H1438" s="93" t="s">
        <v>343</v>
      </c>
      <c r="I1438" s="94">
        <v>0.25</v>
      </c>
      <c r="J1438" s="95">
        <v>18.75</v>
      </c>
    </row>
    <row r="1439" spans="1:10" x14ac:dyDescent="0.25">
      <c r="A1439" s="92">
        <v>45848</v>
      </c>
      <c r="B1439" s="93" t="s">
        <v>325</v>
      </c>
      <c r="C1439" s="89" t="s">
        <v>40</v>
      </c>
      <c r="D1439" s="93" t="s">
        <v>249</v>
      </c>
      <c r="E1439" s="93" t="s">
        <v>34</v>
      </c>
      <c r="F1439" s="93" t="s">
        <v>409</v>
      </c>
      <c r="G1439" s="93" t="s">
        <v>347</v>
      </c>
      <c r="H1439" s="93" t="s">
        <v>343</v>
      </c>
      <c r="I1439" s="94">
        <v>0.17</v>
      </c>
      <c r="J1439" s="95">
        <v>12.750000000000002</v>
      </c>
    </row>
    <row r="1440" spans="1:10" x14ac:dyDescent="0.25">
      <c r="A1440" s="92">
        <v>45848</v>
      </c>
      <c r="B1440" s="93" t="s">
        <v>329</v>
      </c>
      <c r="C1440" s="89" t="s">
        <v>40</v>
      </c>
      <c r="D1440" s="93" t="s">
        <v>230</v>
      </c>
      <c r="E1440" s="93" t="s">
        <v>34</v>
      </c>
      <c r="F1440" s="93" t="s">
        <v>410</v>
      </c>
      <c r="G1440" s="93" t="s">
        <v>347</v>
      </c>
      <c r="H1440" s="93" t="s">
        <v>343</v>
      </c>
      <c r="I1440" s="94">
        <v>0.33</v>
      </c>
      <c r="J1440" s="95">
        <v>24.75</v>
      </c>
    </row>
    <row r="1441" spans="1:10" x14ac:dyDescent="0.25">
      <c r="A1441" s="92">
        <v>45848</v>
      </c>
      <c r="B1441" s="93" t="s">
        <v>329</v>
      </c>
      <c r="C1441" s="89" t="s">
        <v>40</v>
      </c>
      <c r="D1441" s="93" t="s">
        <v>268</v>
      </c>
      <c r="E1441" s="93" t="s">
        <v>34</v>
      </c>
      <c r="F1441" s="93" t="s">
        <v>386</v>
      </c>
      <c r="G1441" s="93" t="s">
        <v>347</v>
      </c>
      <c r="H1441" s="93" t="s">
        <v>343</v>
      </c>
      <c r="I1441" s="94">
        <v>0.17</v>
      </c>
      <c r="J1441" s="95">
        <v>12.750000000000002</v>
      </c>
    </row>
    <row r="1442" spans="1:10" x14ac:dyDescent="0.25">
      <c r="A1442" s="92">
        <v>45848</v>
      </c>
      <c r="B1442" s="93" t="s">
        <v>325</v>
      </c>
      <c r="C1442" s="89" t="s">
        <v>40</v>
      </c>
      <c r="D1442" s="93" t="s">
        <v>291</v>
      </c>
      <c r="E1442" s="93" t="s">
        <v>341</v>
      </c>
      <c r="F1442" s="93" t="s">
        <v>412</v>
      </c>
      <c r="G1442" s="93" t="s">
        <v>347</v>
      </c>
      <c r="H1442" s="93" t="s">
        <v>344</v>
      </c>
      <c r="I1442" s="94">
        <v>1.17</v>
      </c>
      <c r="J1442" s="95">
        <v>87.75</v>
      </c>
    </row>
    <row r="1443" spans="1:10" x14ac:dyDescent="0.25">
      <c r="A1443" s="92">
        <v>45848</v>
      </c>
      <c r="B1443" s="93" t="s">
        <v>326</v>
      </c>
      <c r="C1443" s="89" t="s">
        <v>40</v>
      </c>
      <c r="D1443" s="93" t="s">
        <v>227</v>
      </c>
      <c r="E1443" s="93" t="s">
        <v>36</v>
      </c>
      <c r="F1443" s="93" t="s">
        <v>453</v>
      </c>
      <c r="G1443" s="93" t="s">
        <v>348</v>
      </c>
      <c r="H1443" s="93" t="s">
        <v>342</v>
      </c>
      <c r="I1443" s="94">
        <v>0.57999999999999996</v>
      </c>
      <c r="J1443" s="95">
        <v>34.799999999999997</v>
      </c>
    </row>
    <row r="1444" spans="1:10" x14ac:dyDescent="0.25">
      <c r="A1444" s="92">
        <v>45848</v>
      </c>
      <c r="B1444" s="93" t="s">
        <v>326</v>
      </c>
      <c r="C1444" s="89" t="s">
        <v>40</v>
      </c>
      <c r="D1444" s="93" t="s">
        <v>207</v>
      </c>
      <c r="E1444" s="93" t="s">
        <v>34</v>
      </c>
      <c r="F1444" s="93" t="s">
        <v>417</v>
      </c>
      <c r="G1444" s="93" t="s">
        <v>348</v>
      </c>
      <c r="H1444" s="93" t="s">
        <v>343</v>
      </c>
      <c r="I1444" s="94">
        <v>1</v>
      </c>
      <c r="J1444" s="95">
        <v>60</v>
      </c>
    </row>
    <row r="1445" spans="1:10" x14ac:dyDescent="0.25">
      <c r="A1445" s="92">
        <v>45848</v>
      </c>
      <c r="B1445" s="93" t="s">
        <v>326</v>
      </c>
      <c r="C1445" s="89" t="s">
        <v>40</v>
      </c>
      <c r="D1445" s="93" t="s">
        <v>265</v>
      </c>
      <c r="E1445" s="93" t="s">
        <v>34</v>
      </c>
      <c r="F1445" s="93" t="s">
        <v>358</v>
      </c>
      <c r="G1445" s="93" t="s">
        <v>348</v>
      </c>
      <c r="H1445" s="93" t="s">
        <v>343</v>
      </c>
      <c r="I1445" s="94">
        <v>1</v>
      </c>
      <c r="J1445" s="95">
        <v>60</v>
      </c>
    </row>
    <row r="1446" spans="1:10" x14ac:dyDescent="0.25">
      <c r="A1446" s="92">
        <v>45848</v>
      </c>
      <c r="B1446" s="93" t="s">
        <v>332</v>
      </c>
      <c r="C1446" s="89" t="s">
        <v>40</v>
      </c>
      <c r="D1446" s="93" t="s">
        <v>314</v>
      </c>
      <c r="E1446" s="93" t="s">
        <v>35</v>
      </c>
      <c r="F1446" s="93" t="s">
        <v>359</v>
      </c>
      <c r="G1446" s="93" t="s">
        <v>339</v>
      </c>
      <c r="H1446" s="93" t="s">
        <v>352</v>
      </c>
      <c r="I1446" s="94">
        <v>7.67</v>
      </c>
      <c r="J1446" s="95">
        <v>306.8</v>
      </c>
    </row>
    <row r="1447" spans="1:10" x14ac:dyDescent="0.25">
      <c r="A1447" s="92">
        <v>45848</v>
      </c>
      <c r="B1447" s="93" t="s">
        <v>324</v>
      </c>
      <c r="C1447" s="89" t="s">
        <v>40</v>
      </c>
      <c r="D1447" s="93" t="s">
        <v>314</v>
      </c>
      <c r="E1447" s="93" t="s">
        <v>35</v>
      </c>
      <c r="F1447" s="93" t="s">
        <v>359</v>
      </c>
      <c r="G1447" s="93" t="s">
        <v>339</v>
      </c>
      <c r="H1447" s="93" t="s">
        <v>352</v>
      </c>
      <c r="I1447" s="94">
        <v>6</v>
      </c>
      <c r="J1447" s="95">
        <v>450</v>
      </c>
    </row>
    <row r="1448" spans="1:10" x14ac:dyDescent="0.25">
      <c r="A1448" s="92">
        <v>45849</v>
      </c>
      <c r="B1448" s="93" t="s">
        <v>325</v>
      </c>
      <c r="C1448" s="89" t="s">
        <v>40</v>
      </c>
      <c r="D1448" s="93" t="s">
        <v>304</v>
      </c>
      <c r="E1448" s="93" t="s">
        <v>341</v>
      </c>
      <c r="F1448" s="93" t="s">
        <v>372</v>
      </c>
      <c r="G1448" s="93" t="s">
        <v>347</v>
      </c>
      <c r="H1448" s="93" t="s">
        <v>344</v>
      </c>
      <c r="I1448" s="94">
        <v>0.92</v>
      </c>
      <c r="J1448" s="95">
        <v>69</v>
      </c>
    </row>
    <row r="1449" spans="1:10" x14ac:dyDescent="0.25">
      <c r="A1449" s="92">
        <v>45849</v>
      </c>
      <c r="B1449" s="93" t="s">
        <v>329</v>
      </c>
      <c r="C1449" s="89" t="s">
        <v>40</v>
      </c>
      <c r="D1449" s="93" t="s">
        <v>272</v>
      </c>
      <c r="E1449" s="93" t="s">
        <v>341</v>
      </c>
      <c r="F1449" s="93" t="s">
        <v>362</v>
      </c>
      <c r="G1449" s="93" t="s">
        <v>347</v>
      </c>
      <c r="H1449" s="93" t="s">
        <v>344</v>
      </c>
      <c r="I1449" s="94">
        <v>0.17</v>
      </c>
      <c r="J1449" s="95">
        <v>12.750000000000002</v>
      </c>
    </row>
    <row r="1450" spans="1:10" x14ac:dyDescent="0.25">
      <c r="A1450" s="92">
        <v>45849</v>
      </c>
      <c r="B1450" s="93" t="s">
        <v>323</v>
      </c>
      <c r="C1450" s="89" t="s">
        <v>40</v>
      </c>
      <c r="D1450" s="93" t="s">
        <v>200</v>
      </c>
      <c r="E1450" s="93" t="s">
        <v>36</v>
      </c>
      <c r="F1450" s="93" t="s">
        <v>391</v>
      </c>
      <c r="G1450" s="93" t="s">
        <v>346</v>
      </c>
      <c r="H1450" s="93" t="s">
        <v>342</v>
      </c>
      <c r="I1450" s="94">
        <v>0.17</v>
      </c>
      <c r="J1450" s="95">
        <v>10.200000000000001</v>
      </c>
    </row>
    <row r="1451" spans="1:10" x14ac:dyDescent="0.25">
      <c r="A1451" s="92">
        <v>45849</v>
      </c>
      <c r="B1451" s="93" t="s">
        <v>323</v>
      </c>
      <c r="C1451" s="89" t="s">
        <v>40</v>
      </c>
      <c r="D1451" s="93" t="s">
        <v>208</v>
      </c>
      <c r="E1451" s="93" t="s">
        <v>36</v>
      </c>
      <c r="F1451" s="93" t="s">
        <v>456</v>
      </c>
      <c r="G1451" s="93" t="s">
        <v>346</v>
      </c>
      <c r="H1451" s="93" t="s">
        <v>342</v>
      </c>
      <c r="I1451" s="94">
        <v>0.33</v>
      </c>
      <c r="J1451" s="95">
        <v>19.8</v>
      </c>
    </row>
    <row r="1452" spans="1:10" x14ac:dyDescent="0.25">
      <c r="A1452" s="92">
        <v>45849</v>
      </c>
      <c r="B1452" s="93" t="s">
        <v>329</v>
      </c>
      <c r="C1452" s="89" t="s">
        <v>40</v>
      </c>
      <c r="D1452" s="93" t="s">
        <v>316</v>
      </c>
      <c r="E1452" s="93" t="s">
        <v>35</v>
      </c>
      <c r="F1452" s="93" t="s">
        <v>338</v>
      </c>
      <c r="G1452" s="93" t="s">
        <v>337</v>
      </c>
      <c r="H1452" s="93" t="s">
        <v>352</v>
      </c>
      <c r="I1452" s="94">
        <v>0.75</v>
      </c>
      <c r="J1452" s="95">
        <v>56.25</v>
      </c>
    </row>
    <row r="1453" spans="1:10" x14ac:dyDescent="0.25">
      <c r="A1453" s="92">
        <v>45849</v>
      </c>
      <c r="B1453" s="93" t="s">
        <v>327</v>
      </c>
      <c r="C1453" s="89" t="s">
        <v>40</v>
      </c>
      <c r="D1453" s="93" t="s">
        <v>320</v>
      </c>
      <c r="E1453" s="93" t="s">
        <v>35</v>
      </c>
      <c r="F1453" s="93" t="s">
        <v>322</v>
      </c>
      <c r="G1453" s="93" t="s">
        <v>319</v>
      </c>
      <c r="H1453" s="93" t="s">
        <v>352</v>
      </c>
      <c r="I1453" s="94">
        <v>4</v>
      </c>
      <c r="J1453" s="95">
        <v>128</v>
      </c>
    </row>
    <row r="1454" spans="1:10" x14ac:dyDescent="0.25">
      <c r="A1454" s="92">
        <v>45849</v>
      </c>
      <c r="B1454" s="93" t="s">
        <v>333</v>
      </c>
      <c r="C1454" s="89" t="s">
        <v>40</v>
      </c>
      <c r="D1454" s="93" t="s">
        <v>320</v>
      </c>
      <c r="E1454" s="93" t="s">
        <v>35</v>
      </c>
      <c r="F1454" s="93" t="s">
        <v>322</v>
      </c>
      <c r="G1454" s="93" t="s">
        <v>319</v>
      </c>
      <c r="H1454" s="93" t="s">
        <v>352</v>
      </c>
      <c r="I1454" s="94">
        <v>7.12</v>
      </c>
      <c r="J1454" s="95">
        <v>227.84</v>
      </c>
    </row>
    <row r="1455" spans="1:10" x14ac:dyDescent="0.25">
      <c r="A1455" s="92">
        <v>45849</v>
      </c>
      <c r="B1455" s="93" t="s">
        <v>323</v>
      </c>
      <c r="C1455" s="89" t="s">
        <v>40</v>
      </c>
      <c r="D1455" s="93" t="s">
        <v>285</v>
      </c>
      <c r="E1455" s="93" t="s">
        <v>36</v>
      </c>
      <c r="F1455" s="93" t="s">
        <v>448</v>
      </c>
      <c r="G1455" s="93" t="s">
        <v>346</v>
      </c>
      <c r="H1455" s="93" t="s">
        <v>342</v>
      </c>
      <c r="I1455" s="94">
        <v>0.25</v>
      </c>
      <c r="J1455" s="95">
        <v>15</v>
      </c>
    </row>
    <row r="1456" spans="1:10" x14ac:dyDescent="0.25">
      <c r="A1456" s="92">
        <v>45849</v>
      </c>
      <c r="B1456" s="93" t="s">
        <v>323</v>
      </c>
      <c r="C1456" s="89" t="s">
        <v>40</v>
      </c>
      <c r="D1456" s="93" t="s">
        <v>281</v>
      </c>
      <c r="E1456" s="93" t="s">
        <v>36</v>
      </c>
      <c r="F1456" s="93" t="s">
        <v>430</v>
      </c>
      <c r="G1456" s="93" t="s">
        <v>346</v>
      </c>
      <c r="H1456" s="93" t="s">
        <v>342</v>
      </c>
      <c r="I1456" s="94">
        <v>0.25</v>
      </c>
      <c r="J1456" s="95">
        <v>15</v>
      </c>
    </row>
    <row r="1457" spans="1:10" x14ac:dyDescent="0.25">
      <c r="A1457" s="92">
        <v>45849</v>
      </c>
      <c r="B1457" s="93" t="s">
        <v>329</v>
      </c>
      <c r="C1457" s="89" t="s">
        <v>40</v>
      </c>
      <c r="D1457" s="93" t="s">
        <v>186</v>
      </c>
      <c r="E1457" s="93" t="s">
        <v>34</v>
      </c>
      <c r="F1457" s="93" t="s">
        <v>397</v>
      </c>
      <c r="G1457" s="93" t="s">
        <v>347</v>
      </c>
      <c r="H1457" s="93" t="s">
        <v>343</v>
      </c>
      <c r="I1457" s="94">
        <v>0.33</v>
      </c>
      <c r="J1457" s="95">
        <v>24.75</v>
      </c>
    </row>
    <row r="1458" spans="1:10" x14ac:dyDescent="0.25">
      <c r="A1458" s="92">
        <v>45849</v>
      </c>
      <c r="B1458" s="93" t="s">
        <v>330</v>
      </c>
      <c r="C1458" s="89" t="s">
        <v>40</v>
      </c>
      <c r="D1458" s="93" t="s">
        <v>195</v>
      </c>
      <c r="E1458" s="93" t="s">
        <v>34</v>
      </c>
      <c r="F1458" s="93" t="s">
        <v>449</v>
      </c>
      <c r="G1458" s="93" t="s">
        <v>347</v>
      </c>
      <c r="H1458" s="93" t="s">
        <v>343</v>
      </c>
      <c r="I1458" s="94">
        <v>0.33</v>
      </c>
      <c r="J1458" s="95">
        <v>19.8</v>
      </c>
    </row>
    <row r="1459" spans="1:10" x14ac:dyDescent="0.25">
      <c r="A1459" s="92">
        <v>45849</v>
      </c>
      <c r="B1459" s="93" t="s">
        <v>329</v>
      </c>
      <c r="C1459" s="89" t="s">
        <v>40</v>
      </c>
      <c r="D1459" s="93" t="s">
        <v>197</v>
      </c>
      <c r="E1459" s="93" t="s">
        <v>34</v>
      </c>
      <c r="F1459" s="93" t="s">
        <v>366</v>
      </c>
      <c r="G1459" s="93" t="s">
        <v>347</v>
      </c>
      <c r="H1459" s="93" t="s">
        <v>343</v>
      </c>
      <c r="I1459" s="94">
        <v>0.25</v>
      </c>
      <c r="J1459" s="95">
        <v>18.75</v>
      </c>
    </row>
    <row r="1460" spans="1:10" x14ac:dyDescent="0.25">
      <c r="A1460" s="92">
        <v>45849</v>
      </c>
      <c r="B1460" s="93" t="s">
        <v>330</v>
      </c>
      <c r="C1460" s="89" t="s">
        <v>40</v>
      </c>
      <c r="D1460" s="93" t="s">
        <v>199</v>
      </c>
      <c r="E1460" s="93" t="s">
        <v>34</v>
      </c>
      <c r="F1460" s="93" t="s">
        <v>414</v>
      </c>
      <c r="G1460" s="93" t="s">
        <v>347</v>
      </c>
      <c r="H1460" s="93" t="s">
        <v>343</v>
      </c>
      <c r="I1460" s="94">
        <v>0.33</v>
      </c>
      <c r="J1460" s="95">
        <v>19.8</v>
      </c>
    </row>
    <row r="1461" spans="1:10" x14ac:dyDescent="0.25">
      <c r="A1461" s="92">
        <v>45849</v>
      </c>
      <c r="B1461" s="93" t="s">
        <v>329</v>
      </c>
      <c r="C1461" s="89" t="s">
        <v>40</v>
      </c>
      <c r="D1461" s="93" t="s">
        <v>181</v>
      </c>
      <c r="E1461" s="93" t="s">
        <v>34</v>
      </c>
      <c r="F1461" s="93" t="s">
        <v>396</v>
      </c>
      <c r="G1461" s="93" t="s">
        <v>347</v>
      </c>
      <c r="H1461" s="93" t="s">
        <v>343</v>
      </c>
      <c r="I1461" s="94">
        <v>0.17</v>
      </c>
      <c r="J1461" s="95">
        <v>12.750000000000002</v>
      </c>
    </row>
    <row r="1462" spans="1:10" x14ac:dyDescent="0.25">
      <c r="A1462" s="92">
        <v>45849</v>
      </c>
      <c r="B1462" s="93" t="s">
        <v>330</v>
      </c>
      <c r="C1462" s="89" t="s">
        <v>40</v>
      </c>
      <c r="D1462" s="93" t="s">
        <v>215</v>
      </c>
      <c r="E1462" s="93" t="s">
        <v>34</v>
      </c>
      <c r="F1462" s="93" t="s">
        <v>450</v>
      </c>
      <c r="G1462" s="93" t="s">
        <v>347</v>
      </c>
      <c r="H1462" s="93" t="s">
        <v>343</v>
      </c>
      <c r="I1462" s="94">
        <v>0.33</v>
      </c>
      <c r="J1462" s="95">
        <v>19.8</v>
      </c>
    </row>
    <row r="1463" spans="1:10" x14ac:dyDescent="0.25">
      <c r="A1463" s="92">
        <v>45849</v>
      </c>
      <c r="B1463" s="93" t="s">
        <v>329</v>
      </c>
      <c r="C1463" s="89" t="s">
        <v>40</v>
      </c>
      <c r="D1463" s="93" t="s">
        <v>302</v>
      </c>
      <c r="E1463" s="93" t="s">
        <v>34</v>
      </c>
      <c r="F1463" s="93" t="s">
        <v>398</v>
      </c>
      <c r="G1463" s="93" t="s">
        <v>347</v>
      </c>
      <c r="H1463" s="93" t="s">
        <v>343</v>
      </c>
      <c r="I1463" s="94">
        <v>0.17</v>
      </c>
      <c r="J1463" s="95">
        <v>12.750000000000002</v>
      </c>
    </row>
    <row r="1464" spans="1:10" x14ac:dyDescent="0.25">
      <c r="A1464" s="92">
        <v>45849</v>
      </c>
      <c r="B1464" s="93" t="s">
        <v>329</v>
      </c>
      <c r="C1464" s="89" t="s">
        <v>40</v>
      </c>
      <c r="D1464" s="93" t="s">
        <v>301</v>
      </c>
      <c r="E1464" s="93" t="s">
        <v>34</v>
      </c>
      <c r="F1464" s="93" t="s">
        <v>371</v>
      </c>
      <c r="G1464" s="93" t="s">
        <v>347</v>
      </c>
      <c r="H1464" s="93" t="s">
        <v>343</v>
      </c>
      <c r="I1464" s="94">
        <v>0.42</v>
      </c>
      <c r="J1464" s="95">
        <v>31.5</v>
      </c>
    </row>
    <row r="1465" spans="1:10" x14ac:dyDescent="0.25">
      <c r="A1465" s="92">
        <v>45849</v>
      </c>
      <c r="B1465" s="93" t="s">
        <v>325</v>
      </c>
      <c r="C1465" s="89" t="s">
        <v>40</v>
      </c>
      <c r="D1465" s="93" t="s">
        <v>304</v>
      </c>
      <c r="E1465" s="93" t="s">
        <v>34</v>
      </c>
      <c r="F1465" s="93" t="s">
        <v>372</v>
      </c>
      <c r="G1465" s="93" t="s">
        <v>347</v>
      </c>
      <c r="H1465" s="93" t="s">
        <v>343</v>
      </c>
      <c r="I1465" s="94">
        <v>0.17</v>
      </c>
      <c r="J1465" s="95">
        <v>12.750000000000002</v>
      </c>
    </row>
    <row r="1466" spans="1:10" x14ac:dyDescent="0.25">
      <c r="A1466" s="92">
        <v>45849</v>
      </c>
      <c r="B1466" s="93" t="s">
        <v>329</v>
      </c>
      <c r="C1466" s="89" t="s">
        <v>40</v>
      </c>
      <c r="D1466" s="93" t="s">
        <v>229</v>
      </c>
      <c r="E1466" s="93" t="s">
        <v>34</v>
      </c>
      <c r="F1466" s="93" t="s">
        <v>373</v>
      </c>
      <c r="G1466" s="93" t="s">
        <v>347</v>
      </c>
      <c r="H1466" s="93" t="s">
        <v>343</v>
      </c>
      <c r="I1466" s="94">
        <v>2</v>
      </c>
      <c r="J1466" s="95">
        <v>150</v>
      </c>
    </row>
    <row r="1467" spans="1:10" x14ac:dyDescent="0.25">
      <c r="A1467" s="92">
        <v>45849</v>
      </c>
      <c r="B1467" s="93" t="s">
        <v>330</v>
      </c>
      <c r="C1467" s="89" t="s">
        <v>40</v>
      </c>
      <c r="D1467" s="93" t="s">
        <v>225</v>
      </c>
      <c r="E1467" s="93" t="s">
        <v>34</v>
      </c>
      <c r="F1467" s="93" t="s">
        <v>365</v>
      </c>
      <c r="G1467" s="93" t="s">
        <v>347</v>
      </c>
      <c r="H1467" s="93" t="s">
        <v>343</v>
      </c>
      <c r="I1467" s="94">
        <v>0.33</v>
      </c>
      <c r="J1467" s="95">
        <v>19.8</v>
      </c>
    </row>
    <row r="1468" spans="1:10" x14ac:dyDescent="0.25">
      <c r="A1468" s="92">
        <v>45849</v>
      </c>
      <c r="B1468" s="93" t="s">
        <v>329</v>
      </c>
      <c r="C1468" s="89" t="s">
        <v>40</v>
      </c>
      <c r="D1468" s="93" t="s">
        <v>303</v>
      </c>
      <c r="E1468" s="93" t="s">
        <v>34</v>
      </c>
      <c r="F1468" s="93" t="s">
        <v>400</v>
      </c>
      <c r="G1468" s="93" t="s">
        <v>347</v>
      </c>
      <c r="H1468" s="93" t="s">
        <v>343</v>
      </c>
      <c r="I1468" s="94">
        <v>0.17</v>
      </c>
      <c r="J1468" s="95">
        <v>12.750000000000002</v>
      </c>
    </row>
    <row r="1469" spans="1:10" x14ac:dyDescent="0.25">
      <c r="A1469" s="92">
        <v>45849</v>
      </c>
      <c r="B1469" s="93" t="s">
        <v>325</v>
      </c>
      <c r="C1469" s="89" t="s">
        <v>40</v>
      </c>
      <c r="D1469" s="93" t="s">
        <v>249</v>
      </c>
      <c r="E1469" s="93" t="s">
        <v>34</v>
      </c>
      <c r="F1469" s="93" t="s">
        <v>409</v>
      </c>
      <c r="G1469" s="93" t="s">
        <v>347</v>
      </c>
      <c r="H1469" s="93" t="s">
        <v>343</v>
      </c>
      <c r="I1469" s="94">
        <v>0.17</v>
      </c>
      <c r="J1469" s="95">
        <v>12.750000000000002</v>
      </c>
    </row>
    <row r="1470" spans="1:10" x14ac:dyDescent="0.25">
      <c r="A1470" s="92">
        <v>45849</v>
      </c>
      <c r="B1470" s="93" t="s">
        <v>329</v>
      </c>
      <c r="C1470" s="89" t="s">
        <v>40</v>
      </c>
      <c r="D1470" s="93" t="s">
        <v>247</v>
      </c>
      <c r="E1470" s="93" t="s">
        <v>34</v>
      </c>
      <c r="F1470" s="93" t="s">
        <v>375</v>
      </c>
      <c r="G1470" s="93" t="s">
        <v>347</v>
      </c>
      <c r="H1470" s="93" t="s">
        <v>343</v>
      </c>
      <c r="I1470" s="94">
        <v>0.17</v>
      </c>
      <c r="J1470" s="95">
        <v>12.750000000000002</v>
      </c>
    </row>
    <row r="1471" spans="1:10" x14ac:dyDescent="0.25">
      <c r="A1471" s="92">
        <v>45849</v>
      </c>
      <c r="B1471" s="93" t="s">
        <v>325</v>
      </c>
      <c r="C1471" s="89" t="s">
        <v>40</v>
      </c>
      <c r="D1471" s="93" t="s">
        <v>278</v>
      </c>
      <c r="E1471" s="93" t="s">
        <v>341</v>
      </c>
      <c r="F1471" s="93" t="s">
        <v>452</v>
      </c>
      <c r="G1471" s="93" t="s">
        <v>347</v>
      </c>
      <c r="H1471" s="93" t="s">
        <v>344</v>
      </c>
      <c r="I1471" s="94">
        <v>1.33</v>
      </c>
      <c r="J1471" s="95">
        <v>99.75</v>
      </c>
    </row>
    <row r="1472" spans="1:10" x14ac:dyDescent="0.25">
      <c r="A1472" s="92">
        <v>45849</v>
      </c>
      <c r="B1472" s="93" t="s">
        <v>325</v>
      </c>
      <c r="C1472" s="89" t="s">
        <v>40</v>
      </c>
      <c r="D1472" s="93" t="s">
        <v>277</v>
      </c>
      <c r="E1472" s="93" t="s">
        <v>341</v>
      </c>
      <c r="F1472" s="93" t="s">
        <v>353</v>
      </c>
      <c r="G1472" s="93" t="s">
        <v>347</v>
      </c>
      <c r="H1472" s="93" t="s">
        <v>344</v>
      </c>
      <c r="I1472" s="94">
        <v>0.83</v>
      </c>
      <c r="J1472" s="95">
        <v>62.25</v>
      </c>
    </row>
    <row r="1473" spans="1:10" x14ac:dyDescent="0.25">
      <c r="A1473" s="92">
        <v>45849</v>
      </c>
      <c r="B1473" s="93" t="s">
        <v>330</v>
      </c>
      <c r="C1473" s="89" t="s">
        <v>40</v>
      </c>
      <c r="D1473" s="93" t="s">
        <v>252</v>
      </c>
      <c r="E1473" s="93" t="s">
        <v>341</v>
      </c>
      <c r="F1473" s="93" t="s">
        <v>416</v>
      </c>
      <c r="G1473" s="93" t="s">
        <v>347</v>
      </c>
      <c r="H1473" s="93" t="s">
        <v>344</v>
      </c>
      <c r="I1473" s="94">
        <v>1</v>
      </c>
      <c r="J1473" s="95">
        <v>60</v>
      </c>
    </row>
    <row r="1474" spans="1:10" x14ac:dyDescent="0.25">
      <c r="A1474" s="92">
        <v>45849</v>
      </c>
      <c r="B1474" s="93" t="s">
        <v>325</v>
      </c>
      <c r="C1474" s="89" t="s">
        <v>40</v>
      </c>
      <c r="D1474" s="93" t="s">
        <v>305</v>
      </c>
      <c r="E1474" s="93" t="s">
        <v>341</v>
      </c>
      <c r="F1474" s="93" t="s">
        <v>382</v>
      </c>
      <c r="G1474" s="93" t="s">
        <v>347</v>
      </c>
      <c r="H1474" s="93" t="s">
        <v>344</v>
      </c>
      <c r="I1474" s="94">
        <v>1.42</v>
      </c>
      <c r="J1474" s="95">
        <v>106.5</v>
      </c>
    </row>
    <row r="1475" spans="1:10" x14ac:dyDescent="0.25">
      <c r="A1475" s="92">
        <v>45849</v>
      </c>
      <c r="B1475" s="93" t="s">
        <v>325</v>
      </c>
      <c r="C1475" s="89" t="s">
        <v>40</v>
      </c>
      <c r="D1475" s="93" t="s">
        <v>290</v>
      </c>
      <c r="E1475" s="93" t="s">
        <v>341</v>
      </c>
      <c r="F1475" s="93" t="s">
        <v>428</v>
      </c>
      <c r="G1475" s="93" t="s">
        <v>347</v>
      </c>
      <c r="H1475" s="93" t="s">
        <v>344</v>
      </c>
      <c r="I1475" s="94">
        <v>1.17</v>
      </c>
      <c r="J1475" s="95">
        <v>87.75</v>
      </c>
    </row>
    <row r="1476" spans="1:10" x14ac:dyDescent="0.25">
      <c r="A1476" s="92">
        <v>45849</v>
      </c>
      <c r="B1476" s="93" t="s">
        <v>329</v>
      </c>
      <c r="C1476" s="89" t="s">
        <v>40</v>
      </c>
      <c r="D1476" s="93" t="s">
        <v>299</v>
      </c>
      <c r="E1476" s="93" t="s">
        <v>312</v>
      </c>
      <c r="F1476" s="93" t="s">
        <v>455</v>
      </c>
      <c r="G1476" s="93" t="s">
        <v>347</v>
      </c>
      <c r="H1476" s="93" t="s">
        <v>350</v>
      </c>
      <c r="I1476" s="94">
        <v>1.25</v>
      </c>
      <c r="J1476" s="95">
        <v>93.75</v>
      </c>
    </row>
    <row r="1477" spans="1:10" x14ac:dyDescent="0.25">
      <c r="A1477" s="92">
        <v>45849</v>
      </c>
      <c r="B1477" s="93" t="s">
        <v>326</v>
      </c>
      <c r="C1477" s="89" t="s">
        <v>40</v>
      </c>
      <c r="D1477" s="93" t="s">
        <v>188</v>
      </c>
      <c r="E1477" s="93" t="s">
        <v>36</v>
      </c>
      <c r="F1477" s="93" t="s">
        <v>356</v>
      </c>
      <c r="G1477" s="93" t="s">
        <v>348</v>
      </c>
      <c r="H1477" s="93" t="s">
        <v>342</v>
      </c>
      <c r="I1477" s="94">
        <v>0.5</v>
      </c>
      <c r="J1477" s="95">
        <v>30</v>
      </c>
    </row>
    <row r="1478" spans="1:10" x14ac:dyDescent="0.25">
      <c r="A1478" s="92">
        <v>45849</v>
      </c>
      <c r="B1478" s="93" t="s">
        <v>326</v>
      </c>
      <c r="C1478" s="89" t="s">
        <v>40</v>
      </c>
      <c r="D1478" s="93" t="s">
        <v>227</v>
      </c>
      <c r="E1478" s="93" t="s">
        <v>36</v>
      </c>
      <c r="F1478" s="93" t="s">
        <v>453</v>
      </c>
      <c r="G1478" s="93" t="s">
        <v>348</v>
      </c>
      <c r="H1478" s="93" t="s">
        <v>342</v>
      </c>
      <c r="I1478" s="94">
        <v>1</v>
      </c>
      <c r="J1478" s="95">
        <v>60</v>
      </c>
    </row>
    <row r="1479" spans="1:10" x14ac:dyDescent="0.25">
      <c r="A1479" s="92">
        <v>45849</v>
      </c>
      <c r="B1479" s="93" t="s">
        <v>326</v>
      </c>
      <c r="C1479" s="89" t="s">
        <v>40</v>
      </c>
      <c r="D1479" s="93" t="s">
        <v>207</v>
      </c>
      <c r="E1479" s="93" t="s">
        <v>36</v>
      </c>
      <c r="F1479" s="93" t="s">
        <v>417</v>
      </c>
      <c r="G1479" s="93" t="s">
        <v>348</v>
      </c>
      <c r="H1479" s="93" t="s">
        <v>342</v>
      </c>
      <c r="I1479" s="94">
        <v>1</v>
      </c>
      <c r="J1479" s="95">
        <v>60</v>
      </c>
    </row>
    <row r="1480" spans="1:10" x14ac:dyDescent="0.25">
      <c r="A1480" s="92">
        <v>45849</v>
      </c>
      <c r="B1480" s="93" t="s">
        <v>326</v>
      </c>
      <c r="C1480" s="89" t="s">
        <v>40</v>
      </c>
      <c r="D1480" s="93" t="s">
        <v>309</v>
      </c>
      <c r="E1480" s="93" t="s">
        <v>36</v>
      </c>
      <c r="F1480" s="93" t="s">
        <v>454</v>
      </c>
      <c r="G1480" s="93" t="s">
        <v>348</v>
      </c>
      <c r="H1480" s="93" t="s">
        <v>342</v>
      </c>
      <c r="I1480" s="94">
        <v>1</v>
      </c>
      <c r="J1480" s="95">
        <v>60</v>
      </c>
    </row>
    <row r="1481" spans="1:10" x14ac:dyDescent="0.25">
      <c r="A1481" s="92">
        <v>45849</v>
      </c>
      <c r="B1481" s="93" t="s">
        <v>326</v>
      </c>
      <c r="C1481" s="89" t="s">
        <v>40</v>
      </c>
      <c r="D1481" s="93" t="s">
        <v>265</v>
      </c>
      <c r="E1481" s="93" t="s">
        <v>34</v>
      </c>
      <c r="F1481" s="93" t="s">
        <v>358</v>
      </c>
      <c r="G1481" s="93" t="s">
        <v>348</v>
      </c>
      <c r="H1481" s="93" t="s">
        <v>343</v>
      </c>
      <c r="I1481" s="94">
        <v>1</v>
      </c>
      <c r="J1481" s="95">
        <v>60</v>
      </c>
    </row>
    <row r="1482" spans="1:10" x14ac:dyDescent="0.25">
      <c r="A1482" s="92">
        <v>45849</v>
      </c>
      <c r="B1482" s="93" t="s">
        <v>332</v>
      </c>
      <c r="C1482" s="89" t="s">
        <v>40</v>
      </c>
      <c r="D1482" s="93" t="s">
        <v>314</v>
      </c>
      <c r="E1482" s="93" t="s">
        <v>35</v>
      </c>
      <c r="F1482" s="93" t="s">
        <v>359</v>
      </c>
      <c r="G1482" s="93" t="s">
        <v>339</v>
      </c>
      <c r="H1482" s="93" t="s">
        <v>352</v>
      </c>
      <c r="I1482" s="94">
        <v>7</v>
      </c>
      <c r="J1482" s="95">
        <v>280</v>
      </c>
    </row>
    <row r="1483" spans="1:10" x14ac:dyDescent="0.25">
      <c r="A1483" s="92">
        <v>45849</v>
      </c>
      <c r="B1483" s="93" t="s">
        <v>324</v>
      </c>
      <c r="C1483" s="89" t="s">
        <v>40</v>
      </c>
      <c r="D1483" s="93" t="s">
        <v>314</v>
      </c>
      <c r="E1483" s="93" t="s">
        <v>35</v>
      </c>
      <c r="F1483" s="93" t="s">
        <v>359</v>
      </c>
      <c r="G1483" s="93" t="s">
        <v>339</v>
      </c>
      <c r="H1483" s="93" t="s">
        <v>352</v>
      </c>
      <c r="I1483" s="94">
        <v>4.75</v>
      </c>
      <c r="J1483" s="95">
        <v>356.25</v>
      </c>
    </row>
    <row r="1484" spans="1:10" x14ac:dyDescent="0.25">
      <c r="A1484" s="92">
        <v>45850</v>
      </c>
      <c r="B1484" s="93" t="s">
        <v>332</v>
      </c>
      <c r="C1484" s="89" t="s">
        <v>40</v>
      </c>
      <c r="D1484" s="93" t="s">
        <v>314</v>
      </c>
      <c r="E1484" s="93" t="s">
        <v>35</v>
      </c>
      <c r="F1484" s="93" t="s">
        <v>359</v>
      </c>
      <c r="G1484" s="93" t="s">
        <v>339</v>
      </c>
      <c r="H1484" s="93" t="s">
        <v>352</v>
      </c>
      <c r="I1484" s="94">
        <v>3</v>
      </c>
      <c r="J1484" s="95">
        <v>120</v>
      </c>
    </row>
    <row r="1485" spans="1:10" x14ac:dyDescent="0.25">
      <c r="A1485" s="92">
        <v>45852</v>
      </c>
      <c r="B1485" s="93" t="s">
        <v>325</v>
      </c>
      <c r="C1485" s="89" t="s">
        <v>40</v>
      </c>
      <c r="D1485" s="93" t="s">
        <v>224</v>
      </c>
      <c r="E1485" s="93" t="s">
        <v>341</v>
      </c>
      <c r="F1485" s="93" t="s">
        <v>423</v>
      </c>
      <c r="G1485" s="93" t="s">
        <v>347</v>
      </c>
      <c r="H1485" s="93" t="s">
        <v>344</v>
      </c>
      <c r="I1485" s="94">
        <v>1.58</v>
      </c>
      <c r="J1485" s="95">
        <v>118.5</v>
      </c>
    </row>
    <row r="1486" spans="1:10" x14ac:dyDescent="0.25">
      <c r="A1486" s="92">
        <v>45852</v>
      </c>
      <c r="B1486" s="93" t="s">
        <v>330</v>
      </c>
      <c r="C1486" s="89" t="s">
        <v>40</v>
      </c>
      <c r="D1486" s="93" t="s">
        <v>225</v>
      </c>
      <c r="E1486" s="93" t="s">
        <v>341</v>
      </c>
      <c r="F1486" s="93" t="s">
        <v>365</v>
      </c>
      <c r="G1486" s="93" t="s">
        <v>347</v>
      </c>
      <c r="H1486" s="93" t="s">
        <v>344</v>
      </c>
      <c r="I1486" s="94">
        <v>2</v>
      </c>
      <c r="J1486" s="95">
        <v>120</v>
      </c>
    </row>
    <row r="1487" spans="1:10" x14ac:dyDescent="0.25">
      <c r="A1487" s="92">
        <v>45852</v>
      </c>
      <c r="B1487" s="93" t="s">
        <v>330</v>
      </c>
      <c r="C1487" s="89" t="s">
        <v>40</v>
      </c>
      <c r="D1487" s="93" t="s">
        <v>195</v>
      </c>
      <c r="E1487" s="93" t="s">
        <v>341</v>
      </c>
      <c r="F1487" s="93" t="s">
        <v>449</v>
      </c>
      <c r="G1487" s="93" t="s">
        <v>347</v>
      </c>
      <c r="H1487" s="93" t="s">
        <v>344</v>
      </c>
      <c r="I1487" s="94">
        <v>1.5</v>
      </c>
      <c r="J1487" s="95">
        <v>90</v>
      </c>
    </row>
    <row r="1488" spans="1:10" x14ac:dyDescent="0.25">
      <c r="A1488" s="92">
        <v>45852</v>
      </c>
      <c r="B1488" s="93" t="s">
        <v>333</v>
      </c>
      <c r="C1488" s="89" t="s">
        <v>40</v>
      </c>
      <c r="D1488" s="93" t="s">
        <v>320</v>
      </c>
      <c r="E1488" s="93" t="s">
        <v>35</v>
      </c>
      <c r="F1488" s="93" t="s">
        <v>322</v>
      </c>
      <c r="G1488" s="93" t="s">
        <v>319</v>
      </c>
      <c r="H1488" s="93" t="s">
        <v>352</v>
      </c>
      <c r="I1488" s="94">
        <v>7.58</v>
      </c>
      <c r="J1488" s="95">
        <v>242.56</v>
      </c>
    </row>
    <row r="1489" spans="1:10" x14ac:dyDescent="0.25">
      <c r="A1489" s="92">
        <v>45852</v>
      </c>
      <c r="B1489" s="93" t="s">
        <v>327</v>
      </c>
      <c r="C1489" s="89" t="s">
        <v>40</v>
      </c>
      <c r="D1489" s="93" t="s">
        <v>320</v>
      </c>
      <c r="E1489" s="93" t="s">
        <v>35</v>
      </c>
      <c r="F1489" s="93" t="s">
        <v>322</v>
      </c>
      <c r="G1489" s="93" t="s">
        <v>319</v>
      </c>
      <c r="H1489" s="93" t="s">
        <v>352</v>
      </c>
      <c r="I1489" s="94">
        <v>7.42</v>
      </c>
      <c r="J1489" s="95">
        <v>237.44</v>
      </c>
    </row>
    <row r="1490" spans="1:10" x14ac:dyDescent="0.25">
      <c r="A1490" s="92">
        <v>45852</v>
      </c>
      <c r="B1490" s="93" t="s">
        <v>330</v>
      </c>
      <c r="C1490" s="89" t="s">
        <v>40</v>
      </c>
      <c r="D1490" s="93" t="s">
        <v>225</v>
      </c>
      <c r="E1490" s="93" t="s">
        <v>36</v>
      </c>
      <c r="F1490" s="93" t="s">
        <v>365</v>
      </c>
      <c r="G1490" s="93" t="s">
        <v>347</v>
      </c>
      <c r="H1490" s="93" t="s">
        <v>342</v>
      </c>
      <c r="I1490" s="94">
        <v>0.25</v>
      </c>
      <c r="J1490" s="95">
        <v>15</v>
      </c>
    </row>
    <row r="1491" spans="1:10" x14ac:dyDescent="0.25">
      <c r="A1491" s="92">
        <v>45852</v>
      </c>
      <c r="B1491" s="93" t="s">
        <v>330</v>
      </c>
      <c r="C1491" s="89" t="s">
        <v>40</v>
      </c>
      <c r="D1491" s="93" t="s">
        <v>195</v>
      </c>
      <c r="E1491" s="93" t="s">
        <v>34</v>
      </c>
      <c r="F1491" s="93" t="s">
        <v>449</v>
      </c>
      <c r="G1491" s="93" t="s">
        <v>347</v>
      </c>
      <c r="H1491" s="93" t="s">
        <v>343</v>
      </c>
      <c r="I1491" s="94">
        <v>0.25</v>
      </c>
      <c r="J1491" s="95">
        <v>15</v>
      </c>
    </row>
    <row r="1492" spans="1:10" x14ac:dyDescent="0.25">
      <c r="A1492" s="92">
        <v>45852</v>
      </c>
      <c r="B1492" s="93" t="s">
        <v>325</v>
      </c>
      <c r="C1492" s="89" t="s">
        <v>40</v>
      </c>
      <c r="D1492" s="93" t="s">
        <v>304</v>
      </c>
      <c r="E1492" s="93" t="s">
        <v>34</v>
      </c>
      <c r="F1492" s="93" t="s">
        <v>372</v>
      </c>
      <c r="G1492" s="93" t="s">
        <v>347</v>
      </c>
      <c r="H1492" s="93" t="s">
        <v>343</v>
      </c>
      <c r="I1492" s="94">
        <v>0.17</v>
      </c>
      <c r="J1492" s="95">
        <v>12.750000000000002</v>
      </c>
    </row>
    <row r="1493" spans="1:10" x14ac:dyDescent="0.25">
      <c r="A1493" s="92">
        <v>45852</v>
      </c>
      <c r="B1493" s="93" t="s">
        <v>325</v>
      </c>
      <c r="C1493" s="89" t="s">
        <v>40</v>
      </c>
      <c r="D1493" s="93" t="s">
        <v>304</v>
      </c>
      <c r="E1493" s="93" t="s">
        <v>34</v>
      </c>
      <c r="F1493" s="93" t="s">
        <v>372</v>
      </c>
      <c r="G1493" s="93" t="s">
        <v>347</v>
      </c>
      <c r="H1493" s="93" t="s">
        <v>343</v>
      </c>
      <c r="I1493" s="94">
        <v>0.17</v>
      </c>
      <c r="J1493" s="95">
        <v>12.750000000000002</v>
      </c>
    </row>
    <row r="1494" spans="1:10" x14ac:dyDescent="0.25">
      <c r="A1494" s="92">
        <v>45852</v>
      </c>
      <c r="B1494" s="93" t="s">
        <v>325</v>
      </c>
      <c r="C1494" s="89" t="s">
        <v>40</v>
      </c>
      <c r="D1494" s="93" t="s">
        <v>224</v>
      </c>
      <c r="E1494" s="93" t="s">
        <v>34</v>
      </c>
      <c r="F1494" s="93" t="s">
        <v>423</v>
      </c>
      <c r="G1494" s="93" t="s">
        <v>347</v>
      </c>
      <c r="H1494" s="93" t="s">
        <v>343</v>
      </c>
      <c r="I1494" s="94">
        <v>0.17</v>
      </c>
      <c r="J1494" s="95">
        <v>12.750000000000002</v>
      </c>
    </row>
    <row r="1495" spans="1:10" x14ac:dyDescent="0.25">
      <c r="A1495" s="92">
        <v>45852</v>
      </c>
      <c r="B1495" s="93" t="s">
        <v>325</v>
      </c>
      <c r="C1495" s="89" t="s">
        <v>40</v>
      </c>
      <c r="D1495" s="93" t="s">
        <v>290</v>
      </c>
      <c r="E1495" s="93" t="s">
        <v>34</v>
      </c>
      <c r="F1495" s="93" t="s">
        <v>428</v>
      </c>
      <c r="G1495" s="93" t="s">
        <v>347</v>
      </c>
      <c r="H1495" s="93" t="s">
        <v>343</v>
      </c>
      <c r="I1495" s="94">
        <v>0.17</v>
      </c>
      <c r="J1495" s="95">
        <v>12.750000000000002</v>
      </c>
    </row>
    <row r="1496" spans="1:10" x14ac:dyDescent="0.25">
      <c r="A1496" s="92">
        <v>45852</v>
      </c>
      <c r="B1496" s="93" t="s">
        <v>325</v>
      </c>
      <c r="C1496" s="89" t="s">
        <v>40</v>
      </c>
      <c r="D1496" s="93" t="s">
        <v>254</v>
      </c>
      <c r="E1496" s="93" t="s">
        <v>34</v>
      </c>
      <c r="F1496" s="93" t="s">
        <v>441</v>
      </c>
      <c r="G1496" s="93" t="s">
        <v>347</v>
      </c>
      <c r="H1496" s="93" t="s">
        <v>343</v>
      </c>
      <c r="I1496" s="94">
        <v>0.17</v>
      </c>
      <c r="J1496" s="95">
        <v>12.750000000000002</v>
      </c>
    </row>
    <row r="1497" spans="1:10" x14ac:dyDescent="0.25">
      <c r="A1497" s="92">
        <v>45852</v>
      </c>
      <c r="B1497" s="93" t="s">
        <v>325</v>
      </c>
      <c r="C1497" s="89" t="s">
        <v>40</v>
      </c>
      <c r="D1497" s="93" t="s">
        <v>249</v>
      </c>
      <c r="E1497" s="93" t="s">
        <v>34</v>
      </c>
      <c r="F1497" s="93" t="s">
        <v>409</v>
      </c>
      <c r="G1497" s="93" t="s">
        <v>347</v>
      </c>
      <c r="H1497" s="93" t="s">
        <v>343</v>
      </c>
      <c r="I1497" s="94">
        <v>0.25</v>
      </c>
      <c r="J1497" s="95">
        <v>18.75</v>
      </c>
    </row>
    <row r="1498" spans="1:10" x14ac:dyDescent="0.25">
      <c r="A1498" s="92">
        <v>45852</v>
      </c>
      <c r="B1498" s="93" t="s">
        <v>325</v>
      </c>
      <c r="C1498" s="89" t="s">
        <v>40</v>
      </c>
      <c r="D1498" s="93" t="s">
        <v>278</v>
      </c>
      <c r="E1498" s="93" t="s">
        <v>34</v>
      </c>
      <c r="F1498" s="93" t="s">
        <v>452</v>
      </c>
      <c r="G1498" s="93" t="s">
        <v>347</v>
      </c>
      <c r="H1498" s="93" t="s">
        <v>343</v>
      </c>
      <c r="I1498" s="94">
        <v>0.17</v>
      </c>
      <c r="J1498" s="95">
        <v>12.750000000000002</v>
      </c>
    </row>
    <row r="1499" spans="1:10" x14ac:dyDescent="0.25">
      <c r="A1499" s="92">
        <v>45852</v>
      </c>
      <c r="B1499" s="93" t="s">
        <v>325</v>
      </c>
      <c r="C1499" s="89" t="s">
        <v>40</v>
      </c>
      <c r="D1499" s="93" t="s">
        <v>277</v>
      </c>
      <c r="E1499" s="93" t="s">
        <v>34</v>
      </c>
      <c r="F1499" s="93" t="s">
        <v>353</v>
      </c>
      <c r="G1499" s="93" t="s">
        <v>347</v>
      </c>
      <c r="H1499" s="93" t="s">
        <v>343</v>
      </c>
      <c r="I1499" s="94">
        <v>0.17</v>
      </c>
      <c r="J1499" s="95">
        <v>12.750000000000002</v>
      </c>
    </row>
    <row r="1500" spans="1:10" x14ac:dyDescent="0.25">
      <c r="A1500" s="92">
        <v>45852</v>
      </c>
      <c r="B1500" s="93" t="s">
        <v>325</v>
      </c>
      <c r="C1500" s="89" t="s">
        <v>40</v>
      </c>
      <c r="D1500" s="93" t="s">
        <v>254</v>
      </c>
      <c r="E1500" s="93" t="s">
        <v>341</v>
      </c>
      <c r="F1500" s="93" t="s">
        <v>441</v>
      </c>
      <c r="G1500" s="93" t="s">
        <v>347</v>
      </c>
      <c r="H1500" s="93" t="s">
        <v>344</v>
      </c>
      <c r="I1500" s="94">
        <v>1.58</v>
      </c>
      <c r="J1500" s="95">
        <v>118.5</v>
      </c>
    </row>
    <row r="1501" spans="1:10" x14ac:dyDescent="0.25">
      <c r="A1501" s="92">
        <v>45852</v>
      </c>
      <c r="B1501" s="93" t="s">
        <v>332</v>
      </c>
      <c r="C1501" s="89" t="s">
        <v>40</v>
      </c>
      <c r="D1501" s="93" t="s">
        <v>314</v>
      </c>
      <c r="E1501" s="93" t="s">
        <v>35</v>
      </c>
      <c r="F1501" s="93" t="s">
        <v>359</v>
      </c>
      <c r="G1501" s="93" t="s">
        <v>339</v>
      </c>
      <c r="H1501" s="93" t="s">
        <v>352</v>
      </c>
      <c r="I1501" s="94">
        <v>8.17</v>
      </c>
      <c r="J1501" s="95">
        <v>326.8</v>
      </c>
    </row>
    <row r="1502" spans="1:10" x14ac:dyDescent="0.25">
      <c r="A1502" s="92">
        <v>45852</v>
      </c>
      <c r="B1502" s="93" t="s">
        <v>324</v>
      </c>
      <c r="C1502" s="89" t="s">
        <v>40</v>
      </c>
      <c r="D1502" s="93" t="s">
        <v>314</v>
      </c>
      <c r="E1502" s="93" t="s">
        <v>35</v>
      </c>
      <c r="F1502" s="93" t="s">
        <v>359</v>
      </c>
      <c r="G1502" s="93" t="s">
        <v>339</v>
      </c>
      <c r="H1502" s="93" t="s">
        <v>352</v>
      </c>
      <c r="I1502" s="94">
        <v>6.25</v>
      </c>
      <c r="J1502" s="95">
        <v>468.75</v>
      </c>
    </row>
    <row r="1503" spans="1:10" x14ac:dyDescent="0.25">
      <c r="A1503" s="92">
        <v>45853</v>
      </c>
      <c r="B1503" s="93" t="s">
        <v>329</v>
      </c>
      <c r="C1503" s="89" t="s">
        <v>40</v>
      </c>
      <c r="D1503" s="93" t="s">
        <v>206</v>
      </c>
      <c r="E1503" s="93" t="s">
        <v>341</v>
      </c>
      <c r="F1503" s="93" t="s">
        <v>367</v>
      </c>
      <c r="G1503" s="93" t="s">
        <v>347</v>
      </c>
      <c r="H1503" s="93" t="s">
        <v>344</v>
      </c>
      <c r="I1503" s="94">
        <v>1.5</v>
      </c>
      <c r="J1503" s="95">
        <v>112.5</v>
      </c>
    </row>
    <row r="1504" spans="1:10" x14ac:dyDescent="0.25">
      <c r="A1504" s="92">
        <v>45853</v>
      </c>
      <c r="B1504" s="93" t="s">
        <v>329</v>
      </c>
      <c r="C1504" s="89" t="s">
        <v>40</v>
      </c>
      <c r="D1504" s="93" t="s">
        <v>186</v>
      </c>
      <c r="E1504" s="93" t="s">
        <v>341</v>
      </c>
      <c r="F1504" s="93" t="s">
        <v>397</v>
      </c>
      <c r="G1504" s="93" t="s">
        <v>347</v>
      </c>
      <c r="H1504" s="93" t="s">
        <v>344</v>
      </c>
      <c r="I1504" s="94">
        <v>1.5</v>
      </c>
      <c r="J1504" s="95">
        <v>112.5</v>
      </c>
    </row>
    <row r="1505" spans="1:10" x14ac:dyDescent="0.25">
      <c r="A1505" s="92">
        <v>45853</v>
      </c>
      <c r="B1505" s="93" t="s">
        <v>329</v>
      </c>
      <c r="C1505" s="89" t="s">
        <v>40</v>
      </c>
      <c r="D1505" s="93" t="s">
        <v>316</v>
      </c>
      <c r="E1505" s="93" t="s">
        <v>35</v>
      </c>
      <c r="F1505" s="93" t="s">
        <v>338</v>
      </c>
      <c r="G1505" s="93" t="s">
        <v>337</v>
      </c>
      <c r="H1505" s="93" t="s">
        <v>352</v>
      </c>
      <c r="I1505" s="94">
        <v>1</v>
      </c>
      <c r="J1505" s="95">
        <v>75</v>
      </c>
    </row>
    <row r="1506" spans="1:10" x14ac:dyDescent="0.25">
      <c r="A1506" s="92">
        <v>45853</v>
      </c>
      <c r="B1506" s="93" t="s">
        <v>327</v>
      </c>
      <c r="C1506" s="89" t="s">
        <v>40</v>
      </c>
      <c r="D1506" s="93" t="s">
        <v>320</v>
      </c>
      <c r="E1506" s="93" t="s">
        <v>35</v>
      </c>
      <c r="F1506" s="93" t="s">
        <v>322</v>
      </c>
      <c r="G1506" s="93" t="s">
        <v>319</v>
      </c>
      <c r="H1506" s="93" t="s">
        <v>352</v>
      </c>
      <c r="I1506" s="94">
        <v>8.58</v>
      </c>
      <c r="J1506" s="95">
        <v>274.56</v>
      </c>
    </row>
    <row r="1507" spans="1:10" x14ac:dyDescent="0.25">
      <c r="A1507" s="92">
        <v>45853</v>
      </c>
      <c r="B1507" s="93" t="s">
        <v>323</v>
      </c>
      <c r="C1507" s="89" t="s">
        <v>40</v>
      </c>
      <c r="D1507" s="93" t="s">
        <v>267</v>
      </c>
      <c r="E1507" s="93" t="s">
        <v>36</v>
      </c>
      <c r="F1507" s="93" t="s">
        <v>436</v>
      </c>
      <c r="G1507" s="93" t="s">
        <v>346</v>
      </c>
      <c r="H1507" s="93" t="s">
        <v>342</v>
      </c>
      <c r="I1507" s="94">
        <v>0.25</v>
      </c>
      <c r="J1507" s="95">
        <v>15</v>
      </c>
    </row>
    <row r="1508" spans="1:10" x14ac:dyDescent="0.25">
      <c r="A1508" s="92">
        <v>45853</v>
      </c>
      <c r="B1508" s="93" t="s">
        <v>329</v>
      </c>
      <c r="C1508" s="89" t="s">
        <v>40</v>
      </c>
      <c r="D1508" s="93" t="s">
        <v>197</v>
      </c>
      <c r="E1508" s="93" t="s">
        <v>34</v>
      </c>
      <c r="F1508" s="93" t="s">
        <v>366</v>
      </c>
      <c r="G1508" s="93" t="s">
        <v>347</v>
      </c>
      <c r="H1508" s="93" t="s">
        <v>343</v>
      </c>
      <c r="I1508" s="94">
        <v>0.08</v>
      </c>
      <c r="J1508" s="95">
        <v>6</v>
      </c>
    </row>
    <row r="1509" spans="1:10" x14ac:dyDescent="0.25">
      <c r="A1509" s="92">
        <v>45853</v>
      </c>
      <c r="B1509" s="93" t="s">
        <v>325</v>
      </c>
      <c r="C1509" s="89" t="s">
        <v>40</v>
      </c>
      <c r="D1509" s="93" t="s">
        <v>249</v>
      </c>
      <c r="E1509" s="93" t="s">
        <v>34</v>
      </c>
      <c r="F1509" s="93" t="s">
        <v>409</v>
      </c>
      <c r="G1509" s="93" t="s">
        <v>347</v>
      </c>
      <c r="H1509" s="93" t="s">
        <v>343</v>
      </c>
      <c r="I1509" s="94">
        <v>0.33</v>
      </c>
      <c r="J1509" s="95">
        <v>24.75</v>
      </c>
    </row>
    <row r="1510" spans="1:10" x14ac:dyDescent="0.25">
      <c r="A1510" s="92">
        <v>45853</v>
      </c>
      <c r="B1510" s="93" t="s">
        <v>329</v>
      </c>
      <c r="C1510" s="89" t="s">
        <v>40</v>
      </c>
      <c r="D1510" s="93" t="s">
        <v>247</v>
      </c>
      <c r="E1510" s="93" t="s">
        <v>34</v>
      </c>
      <c r="F1510" s="93" t="s">
        <v>375</v>
      </c>
      <c r="G1510" s="93" t="s">
        <v>347</v>
      </c>
      <c r="H1510" s="93" t="s">
        <v>343</v>
      </c>
      <c r="I1510" s="94">
        <v>0.25</v>
      </c>
      <c r="J1510" s="95">
        <v>18.75</v>
      </c>
    </row>
    <row r="1511" spans="1:10" x14ac:dyDescent="0.25">
      <c r="A1511" s="92">
        <v>45853</v>
      </c>
      <c r="B1511" s="93" t="s">
        <v>329</v>
      </c>
      <c r="C1511" s="89" t="s">
        <v>40</v>
      </c>
      <c r="D1511" s="93" t="s">
        <v>230</v>
      </c>
      <c r="E1511" s="93" t="s">
        <v>34</v>
      </c>
      <c r="F1511" s="93" t="s">
        <v>410</v>
      </c>
      <c r="G1511" s="93" t="s">
        <v>347</v>
      </c>
      <c r="H1511" s="93" t="s">
        <v>343</v>
      </c>
      <c r="I1511" s="94">
        <v>0.25</v>
      </c>
      <c r="J1511" s="95">
        <v>18.75</v>
      </c>
    </row>
    <row r="1512" spans="1:10" x14ac:dyDescent="0.25">
      <c r="A1512" s="92">
        <v>45853</v>
      </c>
      <c r="B1512" s="93" t="s">
        <v>326</v>
      </c>
      <c r="C1512" s="89" t="s">
        <v>40</v>
      </c>
      <c r="D1512" s="93" t="s">
        <v>234</v>
      </c>
      <c r="E1512" s="93" t="s">
        <v>34</v>
      </c>
      <c r="F1512" s="93" t="s">
        <v>389</v>
      </c>
      <c r="G1512" s="93" t="s">
        <v>348</v>
      </c>
      <c r="H1512" s="93" t="s">
        <v>343</v>
      </c>
      <c r="I1512" s="94">
        <v>0.75</v>
      </c>
      <c r="J1512" s="95">
        <v>45</v>
      </c>
    </row>
    <row r="1513" spans="1:10" x14ac:dyDescent="0.25">
      <c r="A1513" s="92">
        <v>45853</v>
      </c>
      <c r="B1513" s="93" t="s">
        <v>326</v>
      </c>
      <c r="C1513" s="89" t="s">
        <v>40</v>
      </c>
      <c r="D1513" s="93" t="s">
        <v>309</v>
      </c>
      <c r="E1513" s="93" t="s">
        <v>34</v>
      </c>
      <c r="F1513" s="93" t="s">
        <v>454</v>
      </c>
      <c r="G1513" s="93" t="s">
        <v>348</v>
      </c>
      <c r="H1513" s="93" t="s">
        <v>343</v>
      </c>
      <c r="I1513" s="94">
        <v>0.83</v>
      </c>
      <c r="J1513" s="95">
        <v>49.8</v>
      </c>
    </row>
    <row r="1514" spans="1:10" x14ac:dyDescent="0.25">
      <c r="A1514" s="92">
        <v>45853</v>
      </c>
      <c r="B1514" s="93" t="s">
        <v>332</v>
      </c>
      <c r="C1514" s="89" t="s">
        <v>40</v>
      </c>
      <c r="D1514" s="93" t="s">
        <v>314</v>
      </c>
      <c r="E1514" s="93" t="s">
        <v>35</v>
      </c>
      <c r="F1514" s="93" t="s">
        <v>359</v>
      </c>
      <c r="G1514" s="93" t="s">
        <v>339</v>
      </c>
      <c r="H1514" s="93" t="s">
        <v>352</v>
      </c>
      <c r="I1514" s="94">
        <v>7.83</v>
      </c>
      <c r="J1514" s="95">
        <v>313.2</v>
      </c>
    </row>
    <row r="1515" spans="1:10" x14ac:dyDescent="0.25">
      <c r="A1515" s="92">
        <v>45853</v>
      </c>
      <c r="B1515" s="93" t="s">
        <v>324</v>
      </c>
      <c r="C1515" s="89" t="s">
        <v>40</v>
      </c>
      <c r="D1515" s="93" t="s">
        <v>314</v>
      </c>
      <c r="E1515" s="93" t="s">
        <v>35</v>
      </c>
      <c r="F1515" s="93" t="s">
        <v>359</v>
      </c>
      <c r="G1515" s="93" t="s">
        <v>339</v>
      </c>
      <c r="H1515" s="93" t="s">
        <v>352</v>
      </c>
      <c r="I1515" s="94">
        <v>5.5</v>
      </c>
      <c r="J1515" s="95">
        <v>412.5</v>
      </c>
    </row>
    <row r="1516" spans="1:10" x14ac:dyDescent="0.25">
      <c r="A1516" s="92">
        <v>45854</v>
      </c>
      <c r="B1516" s="93" t="s">
        <v>329</v>
      </c>
      <c r="C1516" s="89" t="s">
        <v>40</v>
      </c>
      <c r="D1516" s="93" t="s">
        <v>270</v>
      </c>
      <c r="E1516" s="93" t="s">
        <v>34</v>
      </c>
      <c r="F1516" s="93" t="s">
        <v>360</v>
      </c>
      <c r="G1516" s="93" t="s">
        <v>347</v>
      </c>
      <c r="H1516" s="93" t="s">
        <v>343</v>
      </c>
      <c r="I1516" s="94">
        <v>0.08</v>
      </c>
      <c r="J1516" s="95">
        <v>6</v>
      </c>
    </row>
    <row r="1517" spans="1:10" x14ac:dyDescent="0.25">
      <c r="A1517" s="92">
        <v>45854</v>
      </c>
      <c r="B1517" s="93" t="s">
        <v>330</v>
      </c>
      <c r="C1517" s="89" t="s">
        <v>40</v>
      </c>
      <c r="D1517" s="93" t="s">
        <v>199</v>
      </c>
      <c r="E1517" s="93" t="s">
        <v>341</v>
      </c>
      <c r="F1517" s="93" t="s">
        <v>414</v>
      </c>
      <c r="G1517" s="93" t="s">
        <v>347</v>
      </c>
      <c r="H1517" s="93" t="s">
        <v>344</v>
      </c>
      <c r="I1517" s="94">
        <v>0.5</v>
      </c>
      <c r="J1517" s="95">
        <v>30</v>
      </c>
    </row>
    <row r="1518" spans="1:10" x14ac:dyDescent="0.25">
      <c r="A1518" s="92">
        <v>45854</v>
      </c>
      <c r="B1518" s="93" t="s">
        <v>325</v>
      </c>
      <c r="C1518" s="89" t="s">
        <v>40</v>
      </c>
      <c r="D1518" s="93" t="s">
        <v>198</v>
      </c>
      <c r="E1518" s="93" t="s">
        <v>341</v>
      </c>
      <c r="F1518" s="93" t="s">
        <v>413</v>
      </c>
      <c r="G1518" s="93" t="s">
        <v>347</v>
      </c>
      <c r="H1518" s="93" t="s">
        <v>344</v>
      </c>
      <c r="I1518" s="94">
        <v>1.08</v>
      </c>
      <c r="J1518" s="95">
        <v>81</v>
      </c>
    </row>
    <row r="1519" spans="1:10" x14ac:dyDescent="0.25">
      <c r="A1519" s="92">
        <v>45854</v>
      </c>
      <c r="B1519" s="93" t="s">
        <v>329</v>
      </c>
      <c r="C1519" s="89" t="s">
        <v>40</v>
      </c>
      <c r="D1519" s="93" t="s">
        <v>316</v>
      </c>
      <c r="E1519" s="93" t="s">
        <v>35</v>
      </c>
      <c r="F1519" s="93" t="s">
        <v>338</v>
      </c>
      <c r="G1519" s="93" t="s">
        <v>337</v>
      </c>
      <c r="H1519" s="93" t="s">
        <v>352</v>
      </c>
      <c r="I1519" s="94">
        <v>1.5</v>
      </c>
      <c r="J1519" s="95">
        <v>112.5</v>
      </c>
    </row>
    <row r="1520" spans="1:10" x14ac:dyDescent="0.25">
      <c r="A1520" s="92">
        <v>45854</v>
      </c>
      <c r="B1520" s="93" t="s">
        <v>333</v>
      </c>
      <c r="C1520" s="89" t="s">
        <v>40</v>
      </c>
      <c r="D1520" s="93" t="s">
        <v>320</v>
      </c>
      <c r="E1520" s="93" t="s">
        <v>35</v>
      </c>
      <c r="F1520" s="93" t="s">
        <v>322</v>
      </c>
      <c r="G1520" s="93" t="s">
        <v>319</v>
      </c>
      <c r="H1520" s="93" t="s">
        <v>352</v>
      </c>
      <c r="I1520" s="94">
        <v>7.77</v>
      </c>
      <c r="J1520" s="95">
        <v>248.64</v>
      </c>
    </row>
    <row r="1521" spans="1:10" x14ac:dyDescent="0.25">
      <c r="A1521" s="92">
        <v>45854</v>
      </c>
      <c r="B1521" s="93" t="s">
        <v>327</v>
      </c>
      <c r="C1521" s="89" t="s">
        <v>40</v>
      </c>
      <c r="D1521" s="93" t="s">
        <v>320</v>
      </c>
      <c r="E1521" s="93" t="s">
        <v>35</v>
      </c>
      <c r="F1521" s="93" t="s">
        <v>322</v>
      </c>
      <c r="G1521" s="93" t="s">
        <v>319</v>
      </c>
      <c r="H1521" s="93" t="s">
        <v>352</v>
      </c>
      <c r="I1521" s="94">
        <v>7.42</v>
      </c>
      <c r="J1521" s="95">
        <v>237.44</v>
      </c>
    </row>
    <row r="1522" spans="1:10" x14ac:dyDescent="0.25">
      <c r="A1522" s="92">
        <v>45854</v>
      </c>
      <c r="B1522" s="93" t="s">
        <v>323</v>
      </c>
      <c r="C1522" s="89" t="s">
        <v>40</v>
      </c>
      <c r="D1522" s="93" t="s">
        <v>267</v>
      </c>
      <c r="E1522" s="93" t="s">
        <v>36</v>
      </c>
      <c r="F1522" s="93" t="s">
        <v>436</v>
      </c>
      <c r="G1522" s="93" t="s">
        <v>346</v>
      </c>
      <c r="H1522" s="93" t="s">
        <v>342</v>
      </c>
      <c r="I1522" s="94">
        <v>0.25</v>
      </c>
      <c r="J1522" s="95">
        <v>15</v>
      </c>
    </row>
    <row r="1523" spans="1:10" x14ac:dyDescent="0.25">
      <c r="A1523" s="92">
        <v>45854</v>
      </c>
      <c r="B1523" s="93" t="s">
        <v>325</v>
      </c>
      <c r="C1523" s="89" t="s">
        <v>40</v>
      </c>
      <c r="D1523" s="93" t="s">
        <v>198</v>
      </c>
      <c r="E1523" s="93" t="s">
        <v>36</v>
      </c>
      <c r="F1523" s="93" t="s">
        <v>413</v>
      </c>
      <c r="G1523" s="93" t="s">
        <v>347</v>
      </c>
      <c r="H1523" s="93" t="s">
        <v>342</v>
      </c>
      <c r="I1523" s="94">
        <v>0.42</v>
      </c>
      <c r="J1523" s="95">
        <v>31.5</v>
      </c>
    </row>
    <row r="1524" spans="1:10" x14ac:dyDescent="0.25">
      <c r="A1524" s="92">
        <v>45854</v>
      </c>
      <c r="B1524" s="93" t="s">
        <v>329</v>
      </c>
      <c r="C1524" s="89" t="s">
        <v>40</v>
      </c>
      <c r="D1524" s="93" t="s">
        <v>197</v>
      </c>
      <c r="E1524" s="93" t="s">
        <v>34</v>
      </c>
      <c r="F1524" s="93" t="s">
        <v>366</v>
      </c>
      <c r="G1524" s="93" t="s">
        <v>347</v>
      </c>
      <c r="H1524" s="93" t="s">
        <v>343</v>
      </c>
      <c r="I1524" s="94">
        <v>2</v>
      </c>
      <c r="J1524" s="95">
        <v>150</v>
      </c>
    </row>
    <row r="1525" spans="1:10" x14ac:dyDescent="0.25">
      <c r="A1525" s="92">
        <v>45854</v>
      </c>
      <c r="B1525" s="93" t="s">
        <v>329</v>
      </c>
      <c r="C1525" s="89" t="s">
        <v>40</v>
      </c>
      <c r="D1525" s="93" t="s">
        <v>206</v>
      </c>
      <c r="E1525" s="93" t="s">
        <v>34</v>
      </c>
      <c r="F1525" s="93" t="s">
        <v>367</v>
      </c>
      <c r="G1525" s="93" t="s">
        <v>347</v>
      </c>
      <c r="H1525" s="93" t="s">
        <v>343</v>
      </c>
      <c r="I1525" s="94">
        <v>0.57999999999999996</v>
      </c>
      <c r="J1525" s="95">
        <v>43.5</v>
      </c>
    </row>
    <row r="1526" spans="1:10" x14ac:dyDescent="0.25">
      <c r="A1526" s="92">
        <v>45854</v>
      </c>
      <c r="B1526" s="93" t="s">
        <v>329</v>
      </c>
      <c r="C1526" s="89" t="s">
        <v>40</v>
      </c>
      <c r="D1526" s="93" t="s">
        <v>302</v>
      </c>
      <c r="E1526" s="93" t="s">
        <v>34</v>
      </c>
      <c r="F1526" s="93" t="s">
        <v>398</v>
      </c>
      <c r="G1526" s="93" t="s">
        <v>347</v>
      </c>
      <c r="H1526" s="93" t="s">
        <v>343</v>
      </c>
      <c r="I1526" s="94">
        <v>0.5</v>
      </c>
      <c r="J1526" s="95">
        <v>37.5</v>
      </c>
    </row>
    <row r="1527" spans="1:10" x14ac:dyDescent="0.25">
      <c r="A1527" s="92">
        <v>45854</v>
      </c>
      <c r="B1527" s="93" t="s">
        <v>329</v>
      </c>
      <c r="C1527" s="89" t="s">
        <v>40</v>
      </c>
      <c r="D1527" s="93" t="s">
        <v>229</v>
      </c>
      <c r="E1527" s="93" t="s">
        <v>34</v>
      </c>
      <c r="F1527" s="93" t="s">
        <v>373</v>
      </c>
      <c r="G1527" s="93" t="s">
        <v>347</v>
      </c>
      <c r="H1527" s="93" t="s">
        <v>343</v>
      </c>
      <c r="I1527" s="94">
        <v>0.5</v>
      </c>
      <c r="J1527" s="95">
        <v>37.5</v>
      </c>
    </row>
    <row r="1528" spans="1:10" x14ac:dyDescent="0.25">
      <c r="A1528" s="92">
        <v>45854</v>
      </c>
      <c r="B1528" s="93" t="s">
        <v>329</v>
      </c>
      <c r="C1528" s="89" t="s">
        <v>40</v>
      </c>
      <c r="D1528" s="93" t="s">
        <v>303</v>
      </c>
      <c r="E1528" s="93" t="s">
        <v>34</v>
      </c>
      <c r="F1528" s="93" t="s">
        <v>400</v>
      </c>
      <c r="G1528" s="93" t="s">
        <v>347</v>
      </c>
      <c r="H1528" s="93" t="s">
        <v>343</v>
      </c>
      <c r="I1528" s="94">
        <v>0.5</v>
      </c>
      <c r="J1528" s="95">
        <v>37.5</v>
      </c>
    </row>
    <row r="1529" spans="1:10" x14ac:dyDescent="0.25">
      <c r="A1529" s="92">
        <v>45854</v>
      </c>
      <c r="B1529" s="93" t="s">
        <v>329</v>
      </c>
      <c r="C1529" s="89" t="s">
        <v>40</v>
      </c>
      <c r="D1529" s="93" t="s">
        <v>238</v>
      </c>
      <c r="E1529" s="93" t="s">
        <v>34</v>
      </c>
      <c r="F1529" s="93" t="s">
        <v>374</v>
      </c>
      <c r="G1529" s="93" t="s">
        <v>347</v>
      </c>
      <c r="H1529" s="93" t="s">
        <v>343</v>
      </c>
      <c r="I1529" s="94">
        <v>0.17</v>
      </c>
      <c r="J1529" s="95">
        <v>12.750000000000002</v>
      </c>
    </row>
    <row r="1530" spans="1:10" x14ac:dyDescent="0.25">
      <c r="A1530" s="92">
        <v>45854</v>
      </c>
      <c r="B1530" s="93" t="s">
        <v>329</v>
      </c>
      <c r="C1530" s="89" t="s">
        <v>40</v>
      </c>
      <c r="D1530" s="93" t="s">
        <v>242</v>
      </c>
      <c r="E1530" s="93" t="s">
        <v>34</v>
      </c>
      <c r="F1530" s="93" t="s">
        <v>404</v>
      </c>
      <c r="G1530" s="93" t="s">
        <v>347</v>
      </c>
      <c r="H1530" s="93" t="s">
        <v>343</v>
      </c>
      <c r="I1530" s="94">
        <v>0.17</v>
      </c>
      <c r="J1530" s="95">
        <v>12.750000000000002</v>
      </c>
    </row>
    <row r="1531" spans="1:10" x14ac:dyDescent="0.25">
      <c r="A1531" s="92">
        <v>45854</v>
      </c>
      <c r="B1531" s="93" t="s">
        <v>329</v>
      </c>
      <c r="C1531" s="89" t="s">
        <v>40</v>
      </c>
      <c r="D1531" s="93" t="s">
        <v>259</v>
      </c>
      <c r="E1531" s="93" t="s">
        <v>34</v>
      </c>
      <c r="F1531" s="93" t="s">
        <v>407</v>
      </c>
      <c r="G1531" s="93" t="s">
        <v>347</v>
      </c>
      <c r="H1531" s="93" t="s">
        <v>343</v>
      </c>
      <c r="I1531" s="94">
        <v>0.08</v>
      </c>
      <c r="J1531" s="95">
        <v>6</v>
      </c>
    </row>
    <row r="1532" spans="1:10" x14ac:dyDescent="0.25">
      <c r="A1532" s="92">
        <v>45854</v>
      </c>
      <c r="B1532" s="93" t="s">
        <v>329</v>
      </c>
      <c r="C1532" s="89" t="s">
        <v>40</v>
      </c>
      <c r="D1532" s="93" t="s">
        <v>247</v>
      </c>
      <c r="E1532" s="93" t="s">
        <v>34</v>
      </c>
      <c r="F1532" s="93" t="s">
        <v>375</v>
      </c>
      <c r="G1532" s="93" t="s">
        <v>347</v>
      </c>
      <c r="H1532" s="93" t="s">
        <v>343</v>
      </c>
      <c r="I1532" s="94">
        <v>1</v>
      </c>
      <c r="J1532" s="95">
        <v>75</v>
      </c>
    </row>
    <row r="1533" spans="1:10" x14ac:dyDescent="0.25">
      <c r="A1533" s="92">
        <v>45854</v>
      </c>
      <c r="B1533" s="93" t="s">
        <v>329</v>
      </c>
      <c r="C1533" s="89" t="s">
        <v>40</v>
      </c>
      <c r="D1533" s="93" t="s">
        <v>299</v>
      </c>
      <c r="E1533" s="93" t="s">
        <v>312</v>
      </c>
      <c r="F1533" s="93" t="s">
        <v>455</v>
      </c>
      <c r="G1533" s="93" t="s">
        <v>347</v>
      </c>
      <c r="H1533" s="93" t="s">
        <v>350</v>
      </c>
      <c r="I1533" s="94">
        <v>1</v>
      </c>
      <c r="J1533" s="95">
        <v>75</v>
      </c>
    </row>
    <row r="1534" spans="1:10" x14ac:dyDescent="0.25">
      <c r="A1534" s="92">
        <v>45854</v>
      </c>
      <c r="B1534" s="93" t="s">
        <v>326</v>
      </c>
      <c r="C1534" s="89" t="s">
        <v>40</v>
      </c>
      <c r="D1534" s="93" t="s">
        <v>175</v>
      </c>
      <c r="E1534" s="93" t="s">
        <v>36</v>
      </c>
      <c r="F1534" s="93" t="s">
        <v>388</v>
      </c>
      <c r="G1534" s="93" t="s">
        <v>348</v>
      </c>
      <c r="H1534" s="93" t="s">
        <v>342</v>
      </c>
      <c r="I1534" s="94">
        <v>0.33</v>
      </c>
      <c r="J1534" s="95">
        <v>19.8</v>
      </c>
    </row>
    <row r="1535" spans="1:10" x14ac:dyDescent="0.25">
      <c r="A1535" s="92">
        <v>45854</v>
      </c>
      <c r="B1535" s="93" t="s">
        <v>326</v>
      </c>
      <c r="C1535" s="89" t="s">
        <v>40</v>
      </c>
      <c r="D1535" s="93" t="s">
        <v>227</v>
      </c>
      <c r="E1535" s="93" t="s">
        <v>36</v>
      </c>
      <c r="F1535" s="93" t="s">
        <v>453</v>
      </c>
      <c r="G1535" s="93" t="s">
        <v>348</v>
      </c>
      <c r="H1535" s="93" t="s">
        <v>342</v>
      </c>
      <c r="I1535" s="94">
        <v>0.33</v>
      </c>
      <c r="J1535" s="95">
        <v>19.8</v>
      </c>
    </row>
    <row r="1536" spans="1:10" x14ac:dyDescent="0.25">
      <c r="A1536" s="92">
        <v>45854</v>
      </c>
      <c r="B1536" s="93" t="s">
        <v>326</v>
      </c>
      <c r="C1536" s="89" t="s">
        <v>40</v>
      </c>
      <c r="D1536" s="93" t="s">
        <v>309</v>
      </c>
      <c r="E1536" s="93" t="s">
        <v>36</v>
      </c>
      <c r="F1536" s="93" t="s">
        <v>454</v>
      </c>
      <c r="G1536" s="93" t="s">
        <v>348</v>
      </c>
      <c r="H1536" s="93" t="s">
        <v>342</v>
      </c>
      <c r="I1536" s="94">
        <v>0.42</v>
      </c>
      <c r="J1536" s="95">
        <v>25.2</v>
      </c>
    </row>
    <row r="1537" spans="1:10" x14ac:dyDescent="0.25">
      <c r="A1537" s="92">
        <v>45854</v>
      </c>
      <c r="B1537" s="93" t="s">
        <v>332</v>
      </c>
      <c r="C1537" s="89" t="s">
        <v>40</v>
      </c>
      <c r="D1537" s="93" t="s">
        <v>314</v>
      </c>
      <c r="E1537" s="93" t="s">
        <v>35</v>
      </c>
      <c r="F1537" s="93" t="s">
        <v>359</v>
      </c>
      <c r="G1537" s="93" t="s">
        <v>339</v>
      </c>
      <c r="H1537" s="93" t="s">
        <v>352</v>
      </c>
      <c r="I1537" s="94">
        <v>7.33</v>
      </c>
      <c r="J1537" s="95">
        <v>293.2</v>
      </c>
    </row>
    <row r="1538" spans="1:10" x14ac:dyDescent="0.25">
      <c r="A1538" s="92">
        <v>45854</v>
      </c>
      <c r="B1538" s="93" t="s">
        <v>324</v>
      </c>
      <c r="C1538" s="89" t="s">
        <v>40</v>
      </c>
      <c r="D1538" s="93" t="s">
        <v>314</v>
      </c>
      <c r="E1538" s="93" t="s">
        <v>35</v>
      </c>
      <c r="F1538" s="93" t="s">
        <v>359</v>
      </c>
      <c r="G1538" s="93" t="s">
        <v>339</v>
      </c>
      <c r="H1538" s="93" t="s">
        <v>352</v>
      </c>
      <c r="I1538" s="94">
        <v>6</v>
      </c>
      <c r="J1538" s="95">
        <v>450</v>
      </c>
    </row>
    <row r="1539" spans="1:10" x14ac:dyDescent="0.25">
      <c r="A1539" s="92">
        <v>45855</v>
      </c>
      <c r="B1539" s="93" t="s">
        <v>323</v>
      </c>
      <c r="C1539" s="89" t="s">
        <v>40</v>
      </c>
      <c r="D1539" s="93" t="s">
        <v>202</v>
      </c>
      <c r="E1539" s="93" t="s">
        <v>36</v>
      </c>
      <c r="F1539" s="93" t="s">
        <v>431</v>
      </c>
      <c r="G1539" s="93" t="s">
        <v>346</v>
      </c>
      <c r="H1539" s="93" t="s">
        <v>342</v>
      </c>
      <c r="I1539" s="94">
        <v>0.25</v>
      </c>
      <c r="J1539" s="95">
        <v>15</v>
      </c>
    </row>
    <row r="1540" spans="1:10" x14ac:dyDescent="0.25">
      <c r="A1540" s="92">
        <v>45855</v>
      </c>
      <c r="B1540" s="93" t="s">
        <v>329</v>
      </c>
      <c r="C1540" s="89" t="s">
        <v>40</v>
      </c>
      <c r="D1540" s="93" t="s">
        <v>316</v>
      </c>
      <c r="E1540" s="93" t="s">
        <v>35</v>
      </c>
      <c r="F1540" s="93" t="s">
        <v>338</v>
      </c>
      <c r="G1540" s="93" t="s">
        <v>337</v>
      </c>
      <c r="H1540" s="93" t="s">
        <v>352</v>
      </c>
      <c r="I1540" s="94">
        <v>0.75</v>
      </c>
      <c r="J1540" s="95">
        <v>56.25</v>
      </c>
    </row>
    <row r="1541" spans="1:10" x14ac:dyDescent="0.25">
      <c r="A1541" s="92">
        <v>45855</v>
      </c>
      <c r="B1541" s="93" t="s">
        <v>333</v>
      </c>
      <c r="C1541" s="89" t="s">
        <v>40</v>
      </c>
      <c r="D1541" s="93" t="s">
        <v>320</v>
      </c>
      <c r="E1541" s="93" t="s">
        <v>35</v>
      </c>
      <c r="F1541" s="93" t="s">
        <v>322</v>
      </c>
      <c r="G1541" s="93" t="s">
        <v>319</v>
      </c>
      <c r="H1541" s="93" t="s">
        <v>352</v>
      </c>
      <c r="I1541" s="94">
        <v>7.28</v>
      </c>
      <c r="J1541" s="95">
        <v>232.96</v>
      </c>
    </row>
    <row r="1542" spans="1:10" x14ac:dyDescent="0.25">
      <c r="A1542" s="92">
        <v>45855</v>
      </c>
      <c r="B1542" s="93" t="s">
        <v>327</v>
      </c>
      <c r="C1542" s="89" t="s">
        <v>40</v>
      </c>
      <c r="D1542" s="93" t="s">
        <v>320</v>
      </c>
      <c r="E1542" s="93" t="s">
        <v>35</v>
      </c>
      <c r="F1542" s="93" t="s">
        <v>322</v>
      </c>
      <c r="G1542" s="93" t="s">
        <v>319</v>
      </c>
      <c r="H1542" s="93" t="s">
        <v>352</v>
      </c>
      <c r="I1542" s="94">
        <v>7</v>
      </c>
      <c r="J1542" s="95">
        <v>224</v>
      </c>
    </row>
    <row r="1543" spans="1:10" x14ac:dyDescent="0.25">
      <c r="A1543" s="92">
        <v>45855</v>
      </c>
      <c r="B1543" s="93" t="s">
        <v>323</v>
      </c>
      <c r="C1543" s="89" t="s">
        <v>40</v>
      </c>
      <c r="D1543" s="93" t="s">
        <v>283</v>
      </c>
      <c r="E1543" s="93" t="s">
        <v>36</v>
      </c>
      <c r="F1543" s="93" t="s">
        <v>429</v>
      </c>
      <c r="G1543" s="93" t="s">
        <v>346</v>
      </c>
      <c r="H1543" s="93" t="s">
        <v>342</v>
      </c>
      <c r="I1543" s="94">
        <v>0.5</v>
      </c>
      <c r="J1543" s="95">
        <v>30</v>
      </c>
    </row>
    <row r="1544" spans="1:10" x14ac:dyDescent="0.25">
      <c r="A1544" s="92">
        <v>45855</v>
      </c>
      <c r="B1544" s="93" t="s">
        <v>323</v>
      </c>
      <c r="C1544" s="89" t="s">
        <v>40</v>
      </c>
      <c r="D1544" s="93" t="s">
        <v>266</v>
      </c>
      <c r="E1544" s="93" t="s">
        <v>36</v>
      </c>
      <c r="F1544" s="93" t="s">
        <v>394</v>
      </c>
      <c r="G1544" s="93" t="s">
        <v>346</v>
      </c>
      <c r="H1544" s="93" t="s">
        <v>342</v>
      </c>
      <c r="I1544" s="94">
        <v>0.25</v>
      </c>
      <c r="J1544" s="95">
        <v>15</v>
      </c>
    </row>
    <row r="1545" spans="1:10" x14ac:dyDescent="0.25">
      <c r="A1545" s="92">
        <v>45855</v>
      </c>
      <c r="B1545" s="93" t="s">
        <v>323</v>
      </c>
      <c r="C1545" s="89" t="s">
        <v>40</v>
      </c>
      <c r="D1545" s="93" t="s">
        <v>281</v>
      </c>
      <c r="E1545" s="93" t="s">
        <v>36</v>
      </c>
      <c r="F1545" s="93" t="s">
        <v>430</v>
      </c>
      <c r="G1545" s="93" t="s">
        <v>346</v>
      </c>
      <c r="H1545" s="93" t="s">
        <v>342</v>
      </c>
      <c r="I1545" s="94">
        <v>0.5</v>
      </c>
      <c r="J1545" s="95">
        <v>30</v>
      </c>
    </row>
    <row r="1546" spans="1:10" x14ac:dyDescent="0.25">
      <c r="A1546" s="92">
        <v>45855</v>
      </c>
      <c r="B1546" s="93" t="s">
        <v>329</v>
      </c>
      <c r="C1546" s="89" t="s">
        <v>40</v>
      </c>
      <c r="D1546" s="93" t="s">
        <v>186</v>
      </c>
      <c r="E1546" s="93" t="s">
        <v>34</v>
      </c>
      <c r="F1546" s="93" t="s">
        <v>397</v>
      </c>
      <c r="G1546" s="93" t="s">
        <v>347</v>
      </c>
      <c r="H1546" s="93" t="s">
        <v>343</v>
      </c>
      <c r="I1546" s="94">
        <v>0.5</v>
      </c>
      <c r="J1546" s="95">
        <v>37.5</v>
      </c>
    </row>
    <row r="1547" spans="1:10" x14ac:dyDescent="0.25">
      <c r="A1547" s="92">
        <v>45855</v>
      </c>
      <c r="B1547" s="93" t="s">
        <v>329</v>
      </c>
      <c r="C1547" s="89" t="s">
        <v>40</v>
      </c>
      <c r="D1547" s="93" t="s">
        <v>197</v>
      </c>
      <c r="E1547" s="93" t="s">
        <v>34</v>
      </c>
      <c r="F1547" s="93" t="s">
        <v>366</v>
      </c>
      <c r="G1547" s="93" t="s">
        <v>347</v>
      </c>
      <c r="H1547" s="93" t="s">
        <v>343</v>
      </c>
      <c r="I1547" s="94">
        <v>0.33</v>
      </c>
      <c r="J1547" s="95">
        <v>24.75</v>
      </c>
    </row>
    <row r="1548" spans="1:10" x14ac:dyDescent="0.25">
      <c r="A1548" s="92">
        <v>45855</v>
      </c>
      <c r="B1548" s="93" t="s">
        <v>325</v>
      </c>
      <c r="C1548" s="89" t="s">
        <v>40</v>
      </c>
      <c r="D1548" s="93" t="s">
        <v>198</v>
      </c>
      <c r="E1548" s="93" t="s">
        <v>36</v>
      </c>
      <c r="F1548" s="93" t="s">
        <v>413</v>
      </c>
      <c r="G1548" s="93" t="s">
        <v>347</v>
      </c>
      <c r="H1548" s="93" t="s">
        <v>342</v>
      </c>
      <c r="I1548" s="94">
        <v>0.17</v>
      </c>
      <c r="J1548" s="95">
        <v>12.750000000000002</v>
      </c>
    </row>
    <row r="1549" spans="1:10" x14ac:dyDescent="0.25">
      <c r="A1549" s="92">
        <v>45855</v>
      </c>
      <c r="B1549" s="93" t="s">
        <v>325</v>
      </c>
      <c r="C1549" s="89" t="s">
        <v>40</v>
      </c>
      <c r="D1549" s="93" t="s">
        <v>304</v>
      </c>
      <c r="E1549" s="93" t="s">
        <v>34</v>
      </c>
      <c r="F1549" s="93" t="s">
        <v>372</v>
      </c>
      <c r="G1549" s="93" t="s">
        <v>347</v>
      </c>
      <c r="H1549" s="93" t="s">
        <v>343</v>
      </c>
      <c r="I1549" s="94">
        <v>0.17</v>
      </c>
      <c r="J1549" s="95">
        <v>12.750000000000002</v>
      </c>
    </row>
    <row r="1550" spans="1:10" x14ac:dyDescent="0.25">
      <c r="A1550" s="92">
        <v>45855</v>
      </c>
      <c r="B1550" s="93" t="s">
        <v>329</v>
      </c>
      <c r="C1550" s="89" t="s">
        <v>40</v>
      </c>
      <c r="D1550" s="93" t="s">
        <v>229</v>
      </c>
      <c r="E1550" s="93" t="s">
        <v>34</v>
      </c>
      <c r="F1550" s="93" t="s">
        <v>373</v>
      </c>
      <c r="G1550" s="93" t="s">
        <v>347</v>
      </c>
      <c r="H1550" s="93" t="s">
        <v>343</v>
      </c>
      <c r="I1550" s="94">
        <v>0.33</v>
      </c>
      <c r="J1550" s="95">
        <v>24.75</v>
      </c>
    </row>
    <row r="1551" spans="1:10" x14ac:dyDescent="0.25">
      <c r="A1551" s="92">
        <v>45855</v>
      </c>
      <c r="B1551" s="93" t="s">
        <v>325</v>
      </c>
      <c r="C1551" s="89" t="s">
        <v>40</v>
      </c>
      <c r="D1551" s="93" t="s">
        <v>287</v>
      </c>
      <c r="E1551" s="93" t="s">
        <v>34</v>
      </c>
      <c r="F1551" s="93" t="s">
        <v>378</v>
      </c>
      <c r="G1551" s="93" t="s">
        <v>347</v>
      </c>
      <c r="H1551" s="93" t="s">
        <v>343</v>
      </c>
      <c r="I1551" s="94">
        <v>0.17</v>
      </c>
      <c r="J1551" s="95">
        <v>12.750000000000002</v>
      </c>
    </row>
    <row r="1552" spans="1:10" x14ac:dyDescent="0.25">
      <c r="A1552" s="92">
        <v>45855</v>
      </c>
      <c r="B1552" s="93" t="s">
        <v>325</v>
      </c>
      <c r="C1552" s="89" t="s">
        <v>40</v>
      </c>
      <c r="D1552" s="93" t="s">
        <v>277</v>
      </c>
      <c r="E1552" s="93" t="s">
        <v>34</v>
      </c>
      <c r="F1552" s="93" t="s">
        <v>353</v>
      </c>
      <c r="G1552" s="93" t="s">
        <v>347</v>
      </c>
      <c r="H1552" s="93" t="s">
        <v>343</v>
      </c>
      <c r="I1552" s="94">
        <v>0.17</v>
      </c>
      <c r="J1552" s="95">
        <v>12.750000000000002</v>
      </c>
    </row>
    <row r="1553" spans="1:10" x14ac:dyDescent="0.25">
      <c r="A1553" s="92">
        <v>45855</v>
      </c>
      <c r="B1553" s="93" t="s">
        <v>329</v>
      </c>
      <c r="C1553" s="89" t="s">
        <v>40</v>
      </c>
      <c r="D1553" s="93" t="s">
        <v>230</v>
      </c>
      <c r="E1553" s="93" t="s">
        <v>34</v>
      </c>
      <c r="F1553" s="93" t="s">
        <v>410</v>
      </c>
      <c r="G1553" s="93" t="s">
        <v>347</v>
      </c>
      <c r="H1553" s="93" t="s">
        <v>343</v>
      </c>
      <c r="I1553" s="94">
        <v>0.5</v>
      </c>
      <c r="J1553" s="95">
        <v>37.5</v>
      </c>
    </row>
    <row r="1554" spans="1:10" x14ac:dyDescent="0.25">
      <c r="A1554" s="92">
        <v>45855</v>
      </c>
      <c r="B1554" s="93" t="s">
        <v>329</v>
      </c>
      <c r="C1554" s="89" t="s">
        <v>40</v>
      </c>
      <c r="D1554" s="93" t="s">
        <v>272</v>
      </c>
      <c r="E1554" s="93" t="s">
        <v>34</v>
      </c>
      <c r="F1554" s="93" t="s">
        <v>362</v>
      </c>
      <c r="G1554" s="93" t="s">
        <v>347</v>
      </c>
      <c r="H1554" s="93" t="s">
        <v>343</v>
      </c>
      <c r="I1554" s="94">
        <v>0.25</v>
      </c>
      <c r="J1554" s="95">
        <v>18.75</v>
      </c>
    </row>
    <row r="1555" spans="1:10" x14ac:dyDescent="0.25">
      <c r="A1555" s="92">
        <v>45855</v>
      </c>
      <c r="B1555" s="93" t="s">
        <v>329</v>
      </c>
      <c r="C1555" s="89" t="s">
        <v>40</v>
      </c>
      <c r="D1555" s="93" t="s">
        <v>230</v>
      </c>
      <c r="E1555" s="93" t="s">
        <v>341</v>
      </c>
      <c r="F1555" s="93" t="s">
        <v>410</v>
      </c>
      <c r="G1555" s="93" t="s">
        <v>347</v>
      </c>
      <c r="H1555" s="93" t="s">
        <v>344</v>
      </c>
      <c r="I1555" s="94">
        <v>2</v>
      </c>
      <c r="J1555" s="95">
        <v>150</v>
      </c>
    </row>
    <row r="1556" spans="1:10" x14ac:dyDescent="0.25">
      <c r="A1556" s="92">
        <v>45855</v>
      </c>
      <c r="B1556" s="93" t="s">
        <v>329</v>
      </c>
      <c r="C1556" s="89" t="s">
        <v>40</v>
      </c>
      <c r="D1556" s="93" t="s">
        <v>299</v>
      </c>
      <c r="E1556" s="93" t="s">
        <v>312</v>
      </c>
      <c r="F1556" s="93" t="s">
        <v>455</v>
      </c>
      <c r="G1556" s="93" t="s">
        <v>347</v>
      </c>
      <c r="H1556" s="93" t="s">
        <v>350</v>
      </c>
      <c r="I1556" s="94">
        <v>2</v>
      </c>
      <c r="J1556" s="95">
        <v>150</v>
      </c>
    </row>
    <row r="1557" spans="1:10" x14ac:dyDescent="0.25">
      <c r="A1557" s="92">
        <v>45855</v>
      </c>
      <c r="B1557" s="93" t="s">
        <v>326</v>
      </c>
      <c r="C1557" s="89" t="s">
        <v>40</v>
      </c>
      <c r="D1557" s="93" t="s">
        <v>300</v>
      </c>
      <c r="E1557" s="93" t="s">
        <v>36</v>
      </c>
      <c r="F1557" s="93" t="s">
        <v>464</v>
      </c>
      <c r="G1557" s="93" t="s">
        <v>348</v>
      </c>
      <c r="H1557" s="93" t="s">
        <v>342</v>
      </c>
      <c r="I1557" s="94">
        <v>0.5</v>
      </c>
      <c r="J1557" s="95">
        <v>30</v>
      </c>
    </row>
    <row r="1558" spans="1:10" x14ac:dyDescent="0.25">
      <c r="A1558" s="92">
        <v>45855</v>
      </c>
      <c r="B1558" s="93" t="s">
        <v>326</v>
      </c>
      <c r="C1558" s="89" t="s">
        <v>40</v>
      </c>
      <c r="D1558" s="93" t="s">
        <v>300</v>
      </c>
      <c r="E1558" s="93" t="s">
        <v>341</v>
      </c>
      <c r="F1558" s="93" t="s">
        <v>464</v>
      </c>
      <c r="G1558" s="93" t="s">
        <v>348</v>
      </c>
      <c r="H1558" s="93" t="s">
        <v>344</v>
      </c>
      <c r="I1558" s="94">
        <v>2.5</v>
      </c>
      <c r="J1558" s="95">
        <v>150</v>
      </c>
    </row>
    <row r="1559" spans="1:10" x14ac:dyDescent="0.25">
      <c r="A1559" s="92">
        <v>45855</v>
      </c>
      <c r="B1559" s="93" t="s">
        <v>332</v>
      </c>
      <c r="C1559" s="89" t="s">
        <v>40</v>
      </c>
      <c r="D1559" s="93" t="s">
        <v>314</v>
      </c>
      <c r="E1559" s="93" t="s">
        <v>35</v>
      </c>
      <c r="F1559" s="93" t="s">
        <v>359</v>
      </c>
      <c r="G1559" s="93" t="s">
        <v>339</v>
      </c>
      <c r="H1559" s="93" t="s">
        <v>352</v>
      </c>
      <c r="I1559" s="94">
        <v>8.83</v>
      </c>
      <c r="J1559" s="95">
        <v>353.2</v>
      </c>
    </row>
    <row r="1560" spans="1:10" x14ac:dyDescent="0.25">
      <c r="A1560" s="92">
        <v>45855</v>
      </c>
      <c r="B1560" s="93" t="s">
        <v>324</v>
      </c>
      <c r="C1560" s="89" t="s">
        <v>40</v>
      </c>
      <c r="D1560" s="93" t="s">
        <v>314</v>
      </c>
      <c r="E1560" s="93" t="s">
        <v>35</v>
      </c>
      <c r="F1560" s="93" t="s">
        <v>359</v>
      </c>
      <c r="G1560" s="93" t="s">
        <v>339</v>
      </c>
      <c r="H1560" s="93" t="s">
        <v>352</v>
      </c>
      <c r="I1560" s="94">
        <v>4</v>
      </c>
      <c r="J1560" s="95">
        <v>300</v>
      </c>
    </row>
    <row r="1561" spans="1:10" x14ac:dyDescent="0.25">
      <c r="A1561" s="92">
        <v>45856</v>
      </c>
      <c r="B1561" s="93" t="s">
        <v>323</v>
      </c>
      <c r="C1561" s="89" t="s">
        <v>40</v>
      </c>
      <c r="D1561" s="93" t="s">
        <v>202</v>
      </c>
      <c r="E1561" s="93" t="s">
        <v>36</v>
      </c>
      <c r="F1561" s="93" t="s">
        <v>431</v>
      </c>
      <c r="G1561" s="93" t="s">
        <v>346</v>
      </c>
      <c r="H1561" s="93" t="s">
        <v>342</v>
      </c>
      <c r="I1561" s="94">
        <v>0.5</v>
      </c>
      <c r="J1561" s="95">
        <v>30</v>
      </c>
    </row>
    <row r="1562" spans="1:10" x14ac:dyDescent="0.25">
      <c r="A1562" s="92">
        <v>45856</v>
      </c>
      <c r="B1562" s="93" t="s">
        <v>329</v>
      </c>
      <c r="C1562" s="89" t="s">
        <v>40</v>
      </c>
      <c r="D1562" s="93" t="s">
        <v>316</v>
      </c>
      <c r="E1562" s="93" t="s">
        <v>35</v>
      </c>
      <c r="F1562" s="93" t="s">
        <v>338</v>
      </c>
      <c r="G1562" s="93" t="s">
        <v>337</v>
      </c>
      <c r="H1562" s="93" t="s">
        <v>352</v>
      </c>
      <c r="I1562" s="94">
        <v>0.33</v>
      </c>
      <c r="J1562" s="95">
        <v>24.75</v>
      </c>
    </row>
    <row r="1563" spans="1:10" x14ac:dyDescent="0.25">
      <c r="A1563" s="92">
        <v>45856</v>
      </c>
      <c r="B1563" s="93" t="s">
        <v>333</v>
      </c>
      <c r="C1563" s="89" t="s">
        <v>40</v>
      </c>
      <c r="D1563" s="93" t="s">
        <v>320</v>
      </c>
      <c r="E1563" s="93" t="s">
        <v>35</v>
      </c>
      <c r="F1563" s="93" t="s">
        <v>322</v>
      </c>
      <c r="G1563" s="93" t="s">
        <v>319</v>
      </c>
      <c r="H1563" s="93" t="s">
        <v>352</v>
      </c>
      <c r="I1563" s="94">
        <v>7.57</v>
      </c>
      <c r="J1563" s="95">
        <v>242.24</v>
      </c>
    </row>
    <row r="1564" spans="1:10" x14ac:dyDescent="0.25">
      <c r="A1564" s="92">
        <v>45856</v>
      </c>
      <c r="B1564" s="93" t="s">
        <v>327</v>
      </c>
      <c r="C1564" s="89" t="s">
        <v>40</v>
      </c>
      <c r="D1564" s="93" t="s">
        <v>320</v>
      </c>
      <c r="E1564" s="93" t="s">
        <v>35</v>
      </c>
      <c r="F1564" s="93" t="s">
        <v>322</v>
      </c>
      <c r="G1564" s="93" t="s">
        <v>319</v>
      </c>
      <c r="H1564" s="93" t="s">
        <v>352</v>
      </c>
      <c r="I1564" s="94">
        <v>7.42</v>
      </c>
      <c r="J1564" s="95">
        <v>237.44</v>
      </c>
    </row>
    <row r="1565" spans="1:10" x14ac:dyDescent="0.25">
      <c r="A1565" s="92">
        <v>45856</v>
      </c>
      <c r="B1565" s="93" t="s">
        <v>323</v>
      </c>
      <c r="C1565" s="89" t="s">
        <v>40</v>
      </c>
      <c r="D1565" s="93" t="s">
        <v>285</v>
      </c>
      <c r="E1565" s="93" t="s">
        <v>34</v>
      </c>
      <c r="F1565" s="93" t="s">
        <v>448</v>
      </c>
      <c r="G1565" s="93" t="s">
        <v>346</v>
      </c>
      <c r="H1565" s="93" t="s">
        <v>343</v>
      </c>
      <c r="I1565" s="94">
        <v>0.5</v>
      </c>
      <c r="J1565" s="95">
        <v>30</v>
      </c>
    </row>
    <row r="1566" spans="1:10" x14ac:dyDescent="0.25">
      <c r="A1566" s="92">
        <v>45856</v>
      </c>
      <c r="B1566" s="93" t="s">
        <v>330</v>
      </c>
      <c r="C1566" s="89" t="s">
        <v>40</v>
      </c>
      <c r="D1566" s="93" t="s">
        <v>176</v>
      </c>
      <c r="E1566" s="93" t="s">
        <v>34</v>
      </c>
      <c r="F1566" s="93" t="s">
        <v>458</v>
      </c>
      <c r="G1566" s="93" t="s">
        <v>347</v>
      </c>
      <c r="H1566" s="93" t="s">
        <v>343</v>
      </c>
      <c r="I1566" s="94">
        <v>0.5</v>
      </c>
      <c r="J1566" s="95">
        <v>30</v>
      </c>
    </row>
    <row r="1567" spans="1:10" x14ac:dyDescent="0.25">
      <c r="A1567" s="92">
        <v>45856</v>
      </c>
      <c r="B1567" s="93" t="s">
        <v>325</v>
      </c>
      <c r="C1567" s="89" t="s">
        <v>40</v>
      </c>
      <c r="D1567" s="93" t="s">
        <v>290</v>
      </c>
      <c r="E1567" s="93" t="s">
        <v>34</v>
      </c>
      <c r="F1567" s="93" t="s">
        <v>428</v>
      </c>
      <c r="G1567" s="93" t="s">
        <v>347</v>
      </c>
      <c r="H1567" s="93" t="s">
        <v>343</v>
      </c>
      <c r="I1567" s="94">
        <v>0.17</v>
      </c>
      <c r="J1567" s="95">
        <v>12.750000000000002</v>
      </c>
    </row>
    <row r="1568" spans="1:10" x14ac:dyDescent="0.25">
      <c r="A1568" s="92">
        <v>45856</v>
      </c>
      <c r="B1568" s="93" t="s">
        <v>332</v>
      </c>
      <c r="C1568" s="89" t="s">
        <v>40</v>
      </c>
      <c r="D1568" s="93" t="s">
        <v>314</v>
      </c>
      <c r="E1568" s="93" t="s">
        <v>35</v>
      </c>
      <c r="F1568" s="93" t="s">
        <v>359</v>
      </c>
      <c r="G1568" s="93" t="s">
        <v>339</v>
      </c>
      <c r="H1568" s="93" t="s">
        <v>352</v>
      </c>
      <c r="I1568" s="94">
        <v>7.5</v>
      </c>
      <c r="J1568" s="95">
        <v>300</v>
      </c>
    </row>
    <row r="1569" spans="1:10" x14ac:dyDescent="0.25">
      <c r="A1569" s="92">
        <v>45856</v>
      </c>
      <c r="B1569" s="93" t="s">
        <v>324</v>
      </c>
      <c r="C1569" s="89" t="s">
        <v>40</v>
      </c>
      <c r="D1569" s="93" t="s">
        <v>314</v>
      </c>
      <c r="E1569" s="93" t="s">
        <v>35</v>
      </c>
      <c r="F1569" s="93" t="s">
        <v>359</v>
      </c>
      <c r="G1569" s="93" t="s">
        <v>339</v>
      </c>
      <c r="H1569" s="93" t="s">
        <v>352</v>
      </c>
      <c r="I1569" s="94">
        <v>6.58</v>
      </c>
      <c r="J1569" s="95">
        <v>493.5</v>
      </c>
    </row>
    <row r="1570" spans="1:10" x14ac:dyDescent="0.25">
      <c r="A1570" s="92">
        <v>45857</v>
      </c>
      <c r="B1570" s="93" t="s">
        <v>332</v>
      </c>
      <c r="C1570" s="89" t="s">
        <v>40</v>
      </c>
      <c r="D1570" s="93" t="s">
        <v>314</v>
      </c>
      <c r="E1570" s="93" t="s">
        <v>35</v>
      </c>
      <c r="F1570" s="93" t="s">
        <v>359</v>
      </c>
      <c r="G1570" s="93" t="s">
        <v>339</v>
      </c>
      <c r="H1570" s="93" t="s">
        <v>352</v>
      </c>
      <c r="I1570" s="94">
        <v>4</v>
      </c>
      <c r="J1570" s="95">
        <v>160</v>
      </c>
    </row>
    <row r="1571" spans="1:10" x14ac:dyDescent="0.25">
      <c r="A1571" s="92">
        <v>45859</v>
      </c>
      <c r="B1571" s="93" t="s">
        <v>323</v>
      </c>
      <c r="C1571" s="89" t="s">
        <v>40</v>
      </c>
      <c r="D1571" s="93" t="s">
        <v>202</v>
      </c>
      <c r="E1571" s="93" t="s">
        <v>36</v>
      </c>
      <c r="F1571" s="93" t="s">
        <v>431</v>
      </c>
      <c r="G1571" s="93" t="s">
        <v>346</v>
      </c>
      <c r="H1571" s="93" t="s">
        <v>342</v>
      </c>
      <c r="I1571" s="94">
        <v>0.5</v>
      </c>
      <c r="J1571" s="95">
        <v>30</v>
      </c>
    </row>
    <row r="1572" spans="1:10" x14ac:dyDescent="0.25">
      <c r="A1572" s="92">
        <v>45859</v>
      </c>
      <c r="B1572" s="93" t="s">
        <v>329</v>
      </c>
      <c r="C1572" s="89" t="s">
        <v>40</v>
      </c>
      <c r="D1572" s="93" t="s">
        <v>316</v>
      </c>
      <c r="E1572" s="93" t="s">
        <v>35</v>
      </c>
      <c r="F1572" s="93" t="s">
        <v>338</v>
      </c>
      <c r="G1572" s="93" t="s">
        <v>337</v>
      </c>
      <c r="H1572" s="93" t="s">
        <v>352</v>
      </c>
      <c r="I1572" s="94">
        <v>0.42</v>
      </c>
      <c r="J1572" s="95">
        <v>31.5</v>
      </c>
    </row>
    <row r="1573" spans="1:10" x14ac:dyDescent="0.25">
      <c r="A1573" s="92">
        <v>45859</v>
      </c>
      <c r="B1573" s="93" t="s">
        <v>333</v>
      </c>
      <c r="C1573" s="89" t="s">
        <v>40</v>
      </c>
      <c r="D1573" s="93" t="s">
        <v>320</v>
      </c>
      <c r="E1573" s="93" t="s">
        <v>35</v>
      </c>
      <c r="F1573" s="93" t="s">
        <v>322</v>
      </c>
      <c r="G1573" s="93" t="s">
        <v>319</v>
      </c>
      <c r="H1573" s="93" t="s">
        <v>352</v>
      </c>
      <c r="I1573" s="94">
        <v>7.87</v>
      </c>
      <c r="J1573" s="95">
        <v>251.84</v>
      </c>
    </row>
    <row r="1574" spans="1:10" x14ac:dyDescent="0.25">
      <c r="A1574" s="92">
        <v>45859</v>
      </c>
      <c r="B1574" s="93" t="s">
        <v>327</v>
      </c>
      <c r="C1574" s="89" t="s">
        <v>40</v>
      </c>
      <c r="D1574" s="93" t="s">
        <v>320</v>
      </c>
      <c r="E1574" s="93" t="s">
        <v>35</v>
      </c>
      <c r="F1574" s="93" t="s">
        <v>322</v>
      </c>
      <c r="G1574" s="93" t="s">
        <v>319</v>
      </c>
      <c r="H1574" s="93" t="s">
        <v>352</v>
      </c>
      <c r="I1574" s="94">
        <v>7.5</v>
      </c>
      <c r="J1574" s="95">
        <v>240</v>
      </c>
    </row>
    <row r="1575" spans="1:10" x14ac:dyDescent="0.25">
      <c r="A1575" s="92">
        <v>45859</v>
      </c>
      <c r="B1575" s="93" t="s">
        <v>329</v>
      </c>
      <c r="C1575" s="89" t="s">
        <v>40</v>
      </c>
      <c r="D1575" s="93" t="s">
        <v>186</v>
      </c>
      <c r="E1575" s="93" t="s">
        <v>34</v>
      </c>
      <c r="F1575" s="93" t="s">
        <v>397</v>
      </c>
      <c r="G1575" s="93" t="s">
        <v>347</v>
      </c>
      <c r="H1575" s="93" t="s">
        <v>343</v>
      </c>
      <c r="I1575" s="94">
        <v>0.33</v>
      </c>
      <c r="J1575" s="95">
        <v>24.75</v>
      </c>
    </row>
    <row r="1576" spans="1:10" x14ac:dyDescent="0.25">
      <c r="A1576" s="92">
        <v>45859</v>
      </c>
      <c r="B1576" s="93" t="s">
        <v>329</v>
      </c>
      <c r="C1576" s="89" t="s">
        <v>40</v>
      </c>
      <c r="D1576" s="93" t="s">
        <v>197</v>
      </c>
      <c r="E1576" s="93" t="s">
        <v>34</v>
      </c>
      <c r="F1576" s="93" t="s">
        <v>366</v>
      </c>
      <c r="G1576" s="93" t="s">
        <v>347</v>
      </c>
      <c r="H1576" s="93" t="s">
        <v>343</v>
      </c>
      <c r="I1576" s="94">
        <v>0.33</v>
      </c>
      <c r="J1576" s="95">
        <v>24.75</v>
      </c>
    </row>
    <row r="1577" spans="1:10" x14ac:dyDescent="0.25">
      <c r="A1577" s="92">
        <v>45859</v>
      </c>
      <c r="B1577" s="93" t="s">
        <v>325</v>
      </c>
      <c r="C1577" s="89" t="s">
        <v>40</v>
      </c>
      <c r="D1577" s="93" t="s">
        <v>198</v>
      </c>
      <c r="E1577" s="93" t="s">
        <v>34</v>
      </c>
      <c r="F1577" s="93" t="s">
        <v>413</v>
      </c>
      <c r="G1577" s="93" t="s">
        <v>347</v>
      </c>
      <c r="H1577" s="93" t="s">
        <v>343</v>
      </c>
      <c r="I1577" s="94">
        <v>0.17</v>
      </c>
      <c r="J1577" s="95">
        <v>12.750000000000002</v>
      </c>
    </row>
    <row r="1578" spans="1:10" x14ac:dyDescent="0.25">
      <c r="A1578" s="92">
        <v>45859</v>
      </c>
      <c r="B1578" s="93" t="s">
        <v>329</v>
      </c>
      <c r="C1578" s="89" t="s">
        <v>40</v>
      </c>
      <c r="D1578" s="93" t="s">
        <v>301</v>
      </c>
      <c r="E1578" s="93" t="s">
        <v>34</v>
      </c>
      <c r="F1578" s="93" t="s">
        <v>371</v>
      </c>
      <c r="G1578" s="93" t="s">
        <v>347</v>
      </c>
      <c r="H1578" s="93" t="s">
        <v>343</v>
      </c>
      <c r="I1578" s="94">
        <v>0.33</v>
      </c>
      <c r="J1578" s="95">
        <v>24.75</v>
      </c>
    </row>
    <row r="1579" spans="1:10" x14ac:dyDescent="0.25">
      <c r="A1579" s="92">
        <v>45859</v>
      </c>
      <c r="B1579" s="93" t="s">
        <v>329</v>
      </c>
      <c r="C1579" s="89" t="s">
        <v>40</v>
      </c>
      <c r="D1579" s="93" t="s">
        <v>229</v>
      </c>
      <c r="E1579" s="93" t="s">
        <v>34</v>
      </c>
      <c r="F1579" s="93" t="s">
        <v>373</v>
      </c>
      <c r="G1579" s="93" t="s">
        <v>347</v>
      </c>
      <c r="H1579" s="93" t="s">
        <v>343</v>
      </c>
      <c r="I1579" s="94">
        <v>0.33</v>
      </c>
      <c r="J1579" s="95">
        <v>24.75</v>
      </c>
    </row>
    <row r="1580" spans="1:10" x14ac:dyDescent="0.25">
      <c r="A1580" s="92">
        <v>45859</v>
      </c>
      <c r="B1580" s="93" t="s">
        <v>329</v>
      </c>
      <c r="C1580" s="89" t="s">
        <v>40</v>
      </c>
      <c r="D1580" s="93" t="s">
        <v>221</v>
      </c>
      <c r="E1580" s="93" t="s">
        <v>34</v>
      </c>
      <c r="F1580" s="93" t="s">
        <v>369</v>
      </c>
      <c r="G1580" s="93" t="s">
        <v>347</v>
      </c>
      <c r="H1580" s="93" t="s">
        <v>343</v>
      </c>
      <c r="I1580" s="94">
        <v>0.33</v>
      </c>
      <c r="J1580" s="95">
        <v>24.75</v>
      </c>
    </row>
    <row r="1581" spans="1:10" x14ac:dyDescent="0.25">
      <c r="A1581" s="92">
        <v>45859</v>
      </c>
      <c r="B1581" s="93" t="s">
        <v>329</v>
      </c>
      <c r="C1581" s="89" t="s">
        <v>40</v>
      </c>
      <c r="D1581" s="93" t="s">
        <v>242</v>
      </c>
      <c r="E1581" s="93" t="s">
        <v>34</v>
      </c>
      <c r="F1581" s="93" t="s">
        <v>404</v>
      </c>
      <c r="G1581" s="93" t="s">
        <v>347</v>
      </c>
      <c r="H1581" s="93" t="s">
        <v>343</v>
      </c>
      <c r="I1581" s="94">
        <v>0.33</v>
      </c>
      <c r="J1581" s="95">
        <v>24.75</v>
      </c>
    </row>
    <row r="1582" spans="1:10" x14ac:dyDescent="0.25">
      <c r="A1582" s="92">
        <v>45859</v>
      </c>
      <c r="B1582" s="93" t="s">
        <v>325</v>
      </c>
      <c r="C1582" s="89" t="s">
        <v>40</v>
      </c>
      <c r="D1582" s="93" t="s">
        <v>290</v>
      </c>
      <c r="E1582" s="93" t="s">
        <v>34</v>
      </c>
      <c r="F1582" s="93" t="s">
        <v>428</v>
      </c>
      <c r="G1582" s="93" t="s">
        <v>347</v>
      </c>
      <c r="H1582" s="93" t="s">
        <v>343</v>
      </c>
      <c r="I1582" s="94">
        <v>0.17</v>
      </c>
      <c r="J1582" s="95">
        <v>12.750000000000002</v>
      </c>
    </row>
    <row r="1583" spans="1:10" x14ac:dyDescent="0.25">
      <c r="A1583" s="92">
        <v>45859</v>
      </c>
      <c r="B1583" s="93" t="s">
        <v>329</v>
      </c>
      <c r="C1583" s="89" t="s">
        <v>40</v>
      </c>
      <c r="D1583" s="93" t="s">
        <v>288</v>
      </c>
      <c r="E1583" s="93" t="s">
        <v>34</v>
      </c>
      <c r="F1583" s="93" t="s">
        <v>405</v>
      </c>
      <c r="G1583" s="93" t="s">
        <v>347</v>
      </c>
      <c r="H1583" s="93" t="s">
        <v>343</v>
      </c>
      <c r="I1583" s="94">
        <v>0.17</v>
      </c>
      <c r="J1583" s="95">
        <v>12.750000000000002</v>
      </c>
    </row>
    <row r="1584" spans="1:10" x14ac:dyDescent="0.25">
      <c r="A1584" s="92">
        <v>45859</v>
      </c>
      <c r="B1584" s="93" t="s">
        <v>329</v>
      </c>
      <c r="C1584" s="89" t="s">
        <v>40</v>
      </c>
      <c r="D1584" s="93" t="s">
        <v>293</v>
      </c>
      <c r="E1584" s="93" t="s">
        <v>34</v>
      </c>
      <c r="F1584" s="93" t="s">
        <v>376</v>
      </c>
      <c r="G1584" s="93" t="s">
        <v>347</v>
      </c>
      <c r="H1584" s="93" t="s">
        <v>343</v>
      </c>
      <c r="I1584" s="94">
        <v>0.17</v>
      </c>
      <c r="J1584" s="95">
        <v>12.750000000000002</v>
      </c>
    </row>
    <row r="1585" spans="1:10" x14ac:dyDescent="0.25">
      <c r="A1585" s="92">
        <v>45859</v>
      </c>
      <c r="B1585" s="93" t="s">
        <v>329</v>
      </c>
      <c r="C1585" s="89" t="s">
        <v>40</v>
      </c>
      <c r="D1585" s="93" t="s">
        <v>296</v>
      </c>
      <c r="E1585" s="93" t="s">
        <v>34</v>
      </c>
      <c r="F1585" s="93" t="s">
        <v>411</v>
      </c>
      <c r="G1585" s="93" t="s">
        <v>347</v>
      </c>
      <c r="H1585" s="93" t="s">
        <v>343</v>
      </c>
      <c r="I1585" s="94">
        <v>0.08</v>
      </c>
      <c r="J1585" s="95">
        <v>6</v>
      </c>
    </row>
    <row r="1586" spans="1:10" x14ac:dyDescent="0.25">
      <c r="A1586" s="92">
        <v>45859</v>
      </c>
      <c r="B1586" s="93" t="s">
        <v>329</v>
      </c>
      <c r="C1586" s="89" t="s">
        <v>40</v>
      </c>
      <c r="D1586" s="93" t="s">
        <v>248</v>
      </c>
      <c r="E1586" s="93" t="s">
        <v>34</v>
      </c>
      <c r="F1586" s="93" t="s">
        <v>385</v>
      </c>
      <c r="G1586" s="93" t="s">
        <v>347</v>
      </c>
      <c r="H1586" s="93" t="s">
        <v>343</v>
      </c>
      <c r="I1586" s="94">
        <v>0.25</v>
      </c>
      <c r="J1586" s="95">
        <v>18.75</v>
      </c>
    </row>
    <row r="1587" spans="1:10" x14ac:dyDescent="0.25">
      <c r="A1587" s="92">
        <v>45859</v>
      </c>
      <c r="B1587" s="93" t="s">
        <v>329</v>
      </c>
      <c r="C1587" s="89" t="s">
        <v>40</v>
      </c>
      <c r="D1587" s="93" t="s">
        <v>247</v>
      </c>
      <c r="E1587" s="93" t="s">
        <v>34</v>
      </c>
      <c r="F1587" s="93" t="s">
        <v>375</v>
      </c>
      <c r="G1587" s="93" t="s">
        <v>347</v>
      </c>
      <c r="H1587" s="93" t="s">
        <v>343</v>
      </c>
      <c r="I1587" s="94">
        <v>0.5</v>
      </c>
      <c r="J1587" s="95">
        <v>37.5</v>
      </c>
    </row>
    <row r="1588" spans="1:10" x14ac:dyDescent="0.25">
      <c r="A1588" s="92">
        <v>45859</v>
      </c>
      <c r="B1588" s="93" t="s">
        <v>329</v>
      </c>
      <c r="C1588" s="89" t="s">
        <v>40</v>
      </c>
      <c r="D1588" s="93" t="s">
        <v>230</v>
      </c>
      <c r="E1588" s="93" t="s">
        <v>34</v>
      </c>
      <c r="F1588" s="93" t="s">
        <v>410</v>
      </c>
      <c r="G1588" s="93" t="s">
        <v>347</v>
      </c>
      <c r="H1588" s="93" t="s">
        <v>343</v>
      </c>
      <c r="I1588" s="94">
        <v>0.33</v>
      </c>
      <c r="J1588" s="95">
        <v>24.75</v>
      </c>
    </row>
    <row r="1589" spans="1:10" x14ac:dyDescent="0.25">
      <c r="A1589" s="92">
        <v>45859</v>
      </c>
      <c r="B1589" s="93" t="s">
        <v>329</v>
      </c>
      <c r="C1589" s="89" t="s">
        <v>40</v>
      </c>
      <c r="D1589" s="93" t="s">
        <v>299</v>
      </c>
      <c r="E1589" s="93" t="s">
        <v>312</v>
      </c>
      <c r="F1589" s="93" t="s">
        <v>455</v>
      </c>
      <c r="G1589" s="93" t="s">
        <v>347</v>
      </c>
      <c r="H1589" s="93" t="s">
        <v>350</v>
      </c>
      <c r="I1589" s="94">
        <v>0.33</v>
      </c>
      <c r="J1589" s="95">
        <v>24.75</v>
      </c>
    </row>
    <row r="1590" spans="1:10" x14ac:dyDescent="0.25">
      <c r="A1590" s="92">
        <v>45859</v>
      </c>
      <c r="B1590" s="93" t="s">
        <v>326</v>
      </c>
      <c r="C1590" s="89" t="s">
        <v>40</v>
      </c>
      <c r="D1590" s="93" t="s">
        <v>207</v>
      </c>
      <c r="E1590" s="93" t="s">
        <v>36</v>
      </c>
      <c r="F1590" s="93" t="s">
        <v>417</v>
      </c>
      <c r="G1590" s="93" t="s">
        <v>348</v>
      </c>
      <c r="H1590" s="93" t="s">
        <v>342</v>
      </c>
      <c r="I1590" s="94">
        <v>0.42</v>
      </c>
      <c r="J1590" s="95">
        <v>25.2</v>
      </c>
    </row>
    <row r="1591" spans="1:10" x14ac:dyDescent="0.25">
      <c r="A1591" s="92">
        <v>45859</v>
      </c>
      <c r="B1591" s="93" t="s">
        <v>326</v>
      </c>
      <c r="C1591" s="89" t="s">
        <v>40</v>
      </c>
      <c r="D1591" s="93" t="s">
        <v>265</v>
      </c>
      <c r="E1591" s="93" t="s">
        <v>34</v>
      </c>
      <c r="F1591" s="93" t="s">
        <v>358</v>
      </c>
      <c r="G1591" s="93" t="s">
        <v>348</v>
      </c>
      <c r="H1591" s="93" t="s">
        <v>343</v>
      </c>
      <c r="I1591" s="94">
        <v>1.17</v>
      </c>
      <c r="J1591" s="95">
        <v>70.199999999999989</v>
      </c>
    </row>
    <row r="1592" spans="1:10" x14ac:dyDescent="0.25">
      <c r="A1592" s="92">
        <v>45859</v>
      </c>
      <c r="B1592" s="93" t="s">
        <v>324</v>
      </c>
      <c r="C1592" s="89" t="s">
        <v>40</v>
      </c>
      <c r="D1592" s="93" t="s">
        <v>314</v>
      </c>
      <c r="E1592" s="93" t="s">
        <v>35</v>
      </c>
      <c r="F1592" s="93" t="s">
        <v>359</v>
      </c>
      <c r="G1592" s="93" t="s">
        <v>339</v>
      </c>
      <c r="H1592" s="93" t="s">
        <v>352</v>
      </c>
      <c r="I1592" s="94">
        <v>3</v>
      </c>
      <c r="J1592" s="95">
        <v>225</v>
      </c>
    </row>
    <row r="1593" spans="1:10" x14ac:dyDescent="0.25">
      <c r="A1593" s="92">
        <v>45860</v>
      </c>
      <c r="B1593" s="93" t="s">
        <v>323</v>
      </c>
      <c r="C1593" s="89" t="s">
        <v>40</v>
      </c>
      <c r="D1593" s="93" t="s">
        <v>202</v>
      </c>
      <c r="E1593" s="93" t="s">
        <v>36</v>
      </c>
      <c r="F1593" s="93" t="s">
        <v>431</v>
      </c>
      <c r="G1593" s="93" t="s">
        <v>346</v>
      </c>
      <c r="H1593" s="93" t="s">
        <v>342</v>
      </c>
      <c r="I1593" s="94">
        <v>0.67</v>
      </c>
      <c r="J1593" s="95">
        <v>40.200000000000003</v>
      </c>
    </row>
    <row r="1594" spans="1:10" x14ac:dyDescent="0.25">
      <c r="A1594" s="92">
        <v>45860</v>
      </c>
      <c r="B1594" s="93" t="s">
        <v>329</v>
      </c>
      <c r="C1594" s="89" t="s">
        <v>40</v>
      </c>
      <c r="D1594" s="93" t="s">
        <v>316</v>
      </c>
      <c r="E1594" s="93" t="s">
        <v>35</v>
      </c>
      <c r="F1594" s="93" t="s">
        <v>338</v>
      </c>
      <c r="G1594" s="93" t="s">
        <v>337</v>
      </c>
      <c r="H1594" s="93" t="s">
        <v>352</v>
      </c>
      <c r="I1594" s="94">
        <v>1</v>
      </c>
      <c r="J1594" s="95">
        <v>75</v>
      </c>
    </row>
    <row r="1595" spans="1:10" x14ac:dyDescent="0.25">
      <c r="A1595" s="92">
        <v>45860</v>
      </c>
      <c r="B1595" s="93" t="s">
        <v>333</v>
      </c>
      <c r="C1595" s="89" t="s">
        <v>40</v>
      </c>
      <c r="D1595" s="93" t="s">
        <v>320</v>
      </c>
      <c r="E1595" s="93" t="s">
        <v>35</v>
      </c>
      <c r="F1595" s="93" t="s">
        <v>322</v>
      </c>
      <c r="G1595" s="93" t="s">
        <v>319</v>
      </c>
      <c r="H1595" s="93" t="s">
        <v>352</v>
      </c>
      <c r="I1595" s="94">
        <v>7.23</v>
      </c>
      <c r="J1595" s="95">
        <v>231.36</v>
      </c>
    </row>
    <row r="1596" spans="1:10" x14ac:dyDescent="0.25">
      <c r="A1596" s="92">
        <v>45860</v>
      </c>
      <c r="B1596" s="93" t="s">
        <v>327</v>
      </c>
      <c r="C1596" s="89" t="s">
        <v>40</v>
      </c>
      <c r="D1596" s="93" t="s">
        <v>320</v>
      </c>
      <c r="E1596" s="93" t="s">
        <v>35</v>
      </c>
      <c r="F1596" s="93" t="s">
        <v>322</v>
      </c>
      <c r="G1596" s="93" t="s">
        <v>319</v>
      </c>
      <c r="H1596" s="93" t="s">
        <v>352</v>
      </c>
      <c r="I1596" s="94">
        <v>7.33</v>
      </c>
      <c r="J1596" s="95">
        <v>234.56</v>
      </c>
    </row>
    <row r="1597" spans="1:10" x14ac:dyDescent="0.25">
      <c r="A1597" s="92">
        <v>45860</v>
      </c>
      <c r="B1597" s="93" t="s">
        <v>329</v>
      </c>
      <c r="C1597" s="89" t="s">
        <v>40</v>
      </c>
      <c r="D1597" s="93" t="s">
        <v>186</v>
      </c>
      <c r="E1597" s="93" t="s">
        <v>34</v>
      </c>
      <c r="F1597" s="93" t="s">
        <v>397</v>
      </c>
      <c r="G1597" s="93" t="s">
        <v>347</v>
      </c>
      <c r="H1597" s="93" t="s">
        <v>343</v>
      </c>
      <c r="I1597" s="94">
        <v>0.17</v>
      </c>
      <c r="J1597" s="95">
        <v>12.750000000000002</v>
      </c>
    </row>
    <row r="1598" spans="1:10" x14ac:dyDescent="0.25">
      <c r="A1598" s="92">
        <v>45860</v>
      </c>
      <c r="B1598" s="93" t="s">
        <v>329</v>
      </c>
      <c r="C1598" s="89" t="s">
        <v>40</v>
      </c>
      <c r="D1598" s="93" t="s">
        <v>183</v>
      </c>
      <c r="E1598" s="93" t="s">
        <v>34</v>
      </c>
      <c r="F1598" s="93" t="s">
        <v>368</v>
      </c>
      <c r="G1598" s="93" t="s">
        <v>347</v>
      </c>
      <c r="H1598" s="93" t="s">
        <v>343</v>
      </c>
      <c r="I1598" s="94">
        <v>0.17</v>
      </c>
      <c r="J1598" s="95">
        <v>12.750000000000002</v>
      </c>
    </row>
    <row r="1599" spans="1:10" x14ac:dyDescent="0.25">
      <c r="A1599" s="92">
        <v>45860</v>
      </c>
      <c r="B1599" s="93" t="s">
        <v>329</v>
      </c>
      <c r="C1599" s="89" t="s">
        <v>40</v>
      </c>
      <c r="D1599" s="93" t="s">
        <v>206</v>
      </c>
      <c r="E1599" s="93" t="s">
        <v>34</v>
      </c>
      <c r="F1599" s="93" t="s">
        <v>367</v>
      </c>
      <c r="G1599" s="93" t="s">
        <v>347</v>
      </c>
      <c r="H1599" s="93" t="s">
        <v>343</v>
      </c>
      <c r="I1599" s="94">
        <v>0.17</v>
      </c>
      <c r="J1599" s="95">
        <v>12.750000000000002</v>
      </c>
    </row>
    <row r="1600" spans="1:10" x14ac:dyDescent="0.25">
      <c r="A1600" s="92">
        <v>45860</v>
      </c>
      <c r="B1600" s="93" t="s">
        <v>325</v>
      </c>
      <c r="C1600" s="89" t="s">
        <v>40</v>
      </c>
      <c r="D1600" s="93" t="s">
        <v>304</v>
      </c>
      <c r="E1600" s="93" t="s">
        <v>34</v>
      </c>
      <c r="F1600" s="93" t="s">
        <v>372</v>
      </c>
      <c r="G1600" s="93" t="s">
        <v>347</v>
      </c>
      <c r="H1600" s="93" t="s">
        <v>343</v>
      </c>
      <c r="I1600" s="94">
        <v>0.17</v>
      </c>
      <c r="J1600" s="95">
        <v>12.750000000000002</v>
      </c>
    </row>
    <row r="1601" spans="1:10" x14ac:dyDescent="0.25">
      <c r="A1601" s="92">
        <v>45860</v>
      </c>
      <c r="B1601" s="93" t="s">
        <v>329</v>
      </c>
      <c r="C1601" s="89" t="s">
        <v>40</v>
      </c>
      <c r="D1601" s="93" t="s">
        <v>302</v>
      </c>
      <c r="E1601" s="93" t="s">
        <v>34</v>
      </c>
      <c r="F1601" s="93" t="s">
        <v>398</v>
      </c>
      <c r="G1601" s="93" t="s">
        <v>347</v>
      </c>
      <c r="H1601" s="93" t="s">
        <v>343</v>
      </c>
      <c r="I1601" s="94">
        <v>0.33</v>
      </c>
      <c r="J1601" s="95">
        <v>24.75</v>
      </c>
    </row>
    <row r="1602" spans="1:10" x14ac:dyDescent="0.25">
      <c r="A1602" s="92">
        <v>45860</v>
      </c>
      <c r="B1602" s="93" t="s">
        <v>330</v>
      </c>
      <c r="C1602" s="89" t="s">
        <v>40</v>
      </c>
      <c r="D1602" s="93" t="s">
        <v>225</v>
      </c>
      <c r="E1602" s="93" t="s">
        <v>34</v>
      </c>
      <c r="F1602" s="93" t="s">
        <v>365</v>
      </c>
      <c r="G1602" s="93" t="s">
        <v>347</v>
      </c>
      <c r="H1602" s="93" t="s">
        <v>343</v>
      </c>
      <c r="I1602" s="94">
        <v>0.5</v>
      </c>
      <c r="J1602" s="95">
        <v>30</v>
      </c>
    </row>
    <row r="1603" spans="1:10" x14ac:dyDescent="0.25">
      <c r="A1603" s="92">
        <v>45860</v>
      </c>
      <c r="B1603" s="93" t="s">
        <v>329</v>
      </c>
      <c r="C1603" s="89" t="s">
        <v>40</v>
      </c>
      <c r="D1603" s="93" t="s">
        <v>221</v>
      </c>
      <c r="E1603" s="93" t="s">
        <v>34</v>
      </c>
      <c r="F1603" s="93" t="s">
        <v>369</v>
      </c>
      <c r="G1603" s="93" t="s">
        <v>347</v>
      </c>
      <c r="H1603" s="93" t="s">
        <v>343</v>
      </c>
      <c r="I1603" s="94">
        <v>0.17</v>
      </c>
      <c r="J1603" s="95">
        <v>12.750000000000002</v>
      </c>
    </row>
    <row r="1604" spans="1:10" x14ac:dyDescent="0.25">
      <c r="A1604" s="92">
        <v>45860</v>
      </c>
      <c r="B1604" s="93" t="s">
        <v>329</v>
      </c>
      <c r="C1604" s="89" t="s">
        <v>40</v>
      </c>
      <c r="D1604" s="93" t="s">
        <v>242</v>
      </c>
      <c r="E1604" s="93" t="s">
        <v>34</v>
      </c>
      <c r="F1604" s="93" t="s">
        <v>404</v>
      </c>
      <c r="G1604" s="93" t="s">
        <v>347</v>
      </c>
      <c r="H1604" s="93" t="s">
        <v>343</v>
      </c>
      <c r="I1604" s="94">
        <v>0.33</v>
      </c>
      <c r="J1604" s="95">
        <v>24.75</v>
      </c>
    </row>
    <row r="1605" spans="1:10" x14ac:dyDescent="0.25">
      <c r="A1605" s="92">
        <v>45860</v>
      </c>
      <c r="B1605" s="93" t="s">
        <v>329</v>
      </c>
      <c r="C1605" s="89" t="s">
        <v>40</v>
      </c>
      <c r="D1605" s="93" t="s">
        <v>288</v>
      </c>
      <c r="E1605" s="93" t="s">
        <v>34</v>
      </c>
      <c r="F1605" s="93" t="s">
        <v>405</v>
      </c>
      <c r="G1605" s="93" t="s">
        <v>347</v>
      </c>
      <c r="H1605" s="93" t="s">
        <v>343</v>
      </c>
      <c r="I1605" s="94">
        <v>0.33</v>
      </c>
      <c r="J1605" s="95">
        <v>24.75</v>
      </c>
    </row>
    <row r="1606" spans="1:10" x14ac:dyDescent="0.25">
      <c r="A1606" s="92">
        <v>45860</v>
      </c>
      <c r="B1606" s="93" t="s">
        <v>329</v>
      </c>
      <c r="C1606" s="89" t="s">
        <v>40</v>
      </c>
      <c r="D1606" s="93" t="s">
        <v>295</v>
      </c>
      <c r="E1606" s="93" t="s">
        <v>34</v>
      </c>
      <c r="F1606" s="93" t="s">
        <v>379</v>
      </c>
      <c r="G1606" s="93" t="s">
        <v>347</v>
      </c>
      <c r="H1606" s="93" t="s">
        <v>343</v>
      </c>
      <c r="I1606" s="94">
        <v>0.5</v>
      </c>
      <c r="J1606" s="95">
        <v>37.5</v>
      </c>
    </row>
    <row r="1607" spans="1:10" x14ac:dyDescent="0.25">
      <c r="A1607" s="92">
        <v>45860</v>
      </c>
      <c r="B1607" s="93" t="s">
        <v>330</v>
      </c>
      <c r="C1607" s="89" t="s">
        <v>40</v>
      </c>
      <c r="D1607" s="93" t="s">
        <v>297</v>
      </c>
      <c r="E1607" s="93" t="s">
        <v>34</v>
      </c>
      <c r="F1607" s="93" t="s">
        <v>380</v>
      </c>
      <c r="G1607" s="93" t="s">
        <v>347</v>
      </c>
      <c r="H1607" s="93" t="s">
        <v>343</v>
      </c>
      <c r="I1607" s="94">
        <v>0.5</v>
      </c>
      <c r="J1607" s="95">
        <v>30</v>
      </c>
    </row>
    <row r="1608" spans="1:10" x14ac:dyDescent="0.25">
      <c r="A1608" s="92">
        <v>45860</v>
      </c>
      <c r="B1608" s="93" t="s">
        <v>329</v>
      </c>
      <c r="C1608" s="89" t="s">
        <v>40</v>
      </c>
      <c r="D1608" s="93" t="s">
        <v>259</v>
      </c>
      <c r="E1608" s="93" t="s">
        <v>34</v>
      </c>
      <c r="F1608" s="93" t="s">
        <v>407</v>
      </c>
      <c r="G1608" s="93" t="s">
        <v>347</v>
      </c>
      <c r="H1608" s="93" t="s">
        <v>343</v>
      </c>
      <c r="I1608" s="94">
        <v>0.08</v>
      </c>
      <c r="J1608" s="95">
        <v>6</v>
      </c>
    </row>
    <row r="1609" spans="1:10" x14ac:dyDescent="0.25">
      <c r="A1609" s="92">
        <v>45860</v>
      </c>
      <c r="B1609" s="93" t="s">
        <v>329</v>
      </c>
      <c r="C1609" s="89" t="s">
        <v>40</v>
      </c>
      <c r="D1609" s="93" t="s">
        <v>247</v>
      </c>
      <c r="E1609" s="93" t="s">
        <v>34</v>
      </c>
      <c r="F1609" s="93" t="s">
        <v>375</v>
      </c>
      <c r="G1609" s="93" t="s">
        <v>347</v>
      </c>
      <c r="H1609" s="93" t="s">
        <v>343</v>
      </c>
      <c r="I1609" s="94">
        <v>0.33</v>
      </c>
      <c r="J1609" s="95">
        <v>24.75</v>
      </c>
    </row>
    <row r="1610" spans="1:10" x14ac:dyDescent="0.25">
      <c r="A1610" s="92">
        <v>45860</v>
      </c>
      <c r="B1610" s="93" t="s">
        <v>325</v>
      </c>
      <c r="C1610" s="89" t="s">
        <v>40</v>
      </c>
      <c r="D1610" s="93" t="s">
        <v>277</v>
      </c>
      <c r="E1610" s="93" t="s">
        <v>34</v>
      </c>
      <c r="F1610" s="93" t="s">
        <v>353</v>
      </c>
      <c r="G1610" s="93" t="s">
        <v>347</v>
      </c>
      <c r="H1610" s="93" t="s">
        <v>343</v>
      </c>
      <c r="I1610" s="94">
        <v>0.33</v>
      </c>
      <c r="J1610" s="95">
        <v>24.75</v>
      </c>
    </row>
    <row r="1611" spans="1:10" x14ac:dyDescent="0.25">
      <c r="A1611" s="92">
        <v>45860</v>
      </c>
      <c r="B1611" s="93" t="s">
        <v>329</v>
      </c>
      <c r="C1611" s="89" t="s">
        <v>40</v>
      </c>
      <c r="D1611" s="93" t="s">
        <v>230</v>
      </c>
      <c r="E1611" s="93" t="s">
        <v>34</v>
      </c>
      <c r="F1611" s="93" t="s">
        <v>410</v>
      </c>
      <c r="G1611" s="93" t="s">
        <v>347</v>
      </c>
      <c r="H1611" s="93" t="s">
        <v>343</v>
      </c>
      <c r="I1611" s="94">
        <v>0.17</v>
      </c>
      <c r="J1611" s="95">
        <v>12.750000000000002</v>
      </c>
    </row>
    <row r="1612" spans="1:10" x14ac:dyDescent="0.25">
      <c r="A1612" s="92">
        <v>45860</v>
      </c>
      <c r="B1612" s="93" t="s">
        <v>325</v>
      </c>
      <c r="C1612" s="89" t="s">
        <v>40</v>
      </c>
      <c r="D1612" s="93" t="s">
        <v>291</v>
      </c>
      <c r="E1612" s="93" t="s">
        <v>341</v>
      </c>
      <c r="F1612" s="93" t="s">
        <v>412</v>
      </c>
      <c r="G1612" s="93" t="s">
        <v>347</v>
      </c>
      <c r="H1612" s="93" t="s">
        <v>344</v>
      </c>
      <c r="I1612" s="94">
        <v>0.25</v>
      </c>
      <c r="J1612" s="95">
        <v>18.75</v>
      </c>
    </row>
    <row r="1613" spans="1:10" x14ac:dyDescent="0.25">
      <c r="A1613" s="92">
        <v>45860</v>
      </c>
      <c r="B1613" s="93" t="s">
        <v>329</v>
      </c>
      <c r="C1613" s="89" t="s">
        <v>40</v>
      </c>
      <c r="D1613" s="93" t="s">
        <v>299</v>
      </c>
      <c r="E1613" s="93" t="s">
        <v>312</v>
      </c>
      <c r="F1613" s="93" t="s">
        <v>455</v>
      </c>
      <c r="G1613" s="93" t="s">
        <v>347</v>
      </c>
      <c r="H1613" s="93" t="s">
        <v>350</v>
      </c>
      <c r="I1613" s="94">
        <v>0.42</v>
      </c>
      <c r="J1613" s="95">
        <v>31.5</v>
      </c>
    </row>
    <row r="1614" spans="1:10" x14ac:dyDescent="0.25">
      <c r="A1614" s="92">
        <v>45860</v>
      </c>
      <c r="B1614" s="93" t="s">
        <v>326</v>
      </c>
      <c r="C1614" s="89" t="s">
        <v>40</v>
      </c>
      <c r="D1614" s="93" t="s">
        <v>234</v>
      </c>
      <c r="E1614" s="93" t="s">
        <v>36</v>
      </c>
      <c r="F1614" s="93" t="s">
        <v>389</v>
      </c>
      <c r="G1614" s="93" t="s">
        <v>348</v>
      </c>
      <c r="H1614" s="93" t="s">
        <v>342</v>
      </c>
      <c r="I1614" s="94">
        <v>0.33</v>
      </c>
      <c r="J1614" s="95">
        <v>19.8</v>
      </c>
    </row>
    <row r="1615" spans="1:10" x14ac:dyDescent="0.25">
      <c r="A1615" s="92">
        <v>45860</v>
      </c>
      <c r="B1615" s="93" t="s">
        <v>326</v>
      </c>
      <c r="C1615" s="89" t="s">
        <v>40</v>
      </c>
      <c r="D1615" s="93" t="s">
        <v>309</v>
      </c>
      <c r="E1615" s="93" t="s">
        <v>36</v>
      </c>
      <c r="F1615" s="93" t="s">
        <v>454</v>
      </c>
      <c r="G1615" s="93" t="s">
        <v>348</v>
      </c>
      <c r="H1615" s="93" t="s">
        <v>342</v>
      </c>
      <c r="I1615" s="94">
        <v>1</v>
      </c>
      <c r="J1615" s="95">
        <v>60</v>
      </c>
    </row>
    <row r="1616" spans="1:10" x14ac:dyDescent="0.25">
      <c r="A1616" s="92">
        <v>45860</v>
      </c>
      <c r="B1616" s="93" t="s">
        <v>326</v>
      </c>
      <c r="C1616" s="89" t="s">
        <v>40</v>
      </c>
      <c r="D1616" s="93" t="s">
        <v>265</v>
      </c>
      <c r="E1616" s="93" t="s">
        <v>34</v>
      </c>
      <c r="F1616" s="93" t="s">
        <v>358</v>
      </c>
      <c r="G1616" s="93" t="s">
        <v>348</v>
      </c>
      <c r="H1616" s="93" t="s">
        <v>343</v>
      </c>
      <c r="I1616" s="94">
        <v>1</v>
      </c>
      <c r="J1616" s="95">
        <v>60</v>
      </c>
    </row>
    <row r="1617" spans="1:10" x14ac:dyDescent="0.25">
      <c r="A1617" s="92">
        <v>45860</v>
      </c>
      <c r="B1617" s="93" t="s">
        <v>324</v>
      </c>
      <c r="C1617" s="89" t="s">
        <v>40</v>
      </c>
      <c r="D1617" s="93" t="s">
        <v>314</v>
      </c>
      <c r="E1617" s="93" t="s">
        <v>35</v>
      </c>
      <c r="F1617" s="93" t="s">
        <v>359</v>
      </c>
      <c r="G1617" s="93" t="s">
        <v>339</v>
      </c>
      <c r="H1617" s="93" t="s">
        <v>352</v>
      </c>
      <c r="I1617" s="94">
        <v>2.5</v>
      </c>
      <c r="J1617" s="95">
        <v>187.5</v>
      </c>
    </row>
    <row r="1618" spans="1:10" x14ac:dyDescent="0.25">
      <c r="A1618" s="92">
        <v>45861</v>
      </c>
      <c r="B1618" s="93" t="s">
        <v>323</v>
      </c>
      <c r="C1618" s="89" t="s">
        <v>40</v>
      </c>
      <c r="D1618" s="93" t="s">
        <v>168</v>
      </c>
      <c r="E1618" s="93" t="s">
        <v>36</v>
      </c>
      <c r="F1618" s="93" t="s">
        <v>419</v>
      </c>
      <c r="G1618" s="93" t="s">
        <v>346</v>
      </c>
      <c r="H1618" s="93" t="s">
        <v>342</v>
      </c>
      <c r="I1618" s="94">
        <v>0.25</v>
      </c>
      <c r="J1618" s="95">
        <v>15</v>
      </c>
    </row>
    <row r="1619" spans="1:10" x14ac:dyDescent="0.25">
      <c r="A1619" s="92">
        <v>45861</v>
      </c>
      <c r="B1619" s="93" t="s">
        <v>323</v>
      </c>
      <c r="C1619" s="89" t="s">
        <v>40</v>
      </c>
      <c r="D1619" s="93" t="s">
        <v>172</v>
      </c>
      <c r="E1619" s="93" t="s">
        <v>36</v>
      </c>
      <c r="F1619" s="93" t="s">
        <v>426</v>
      </c>
      <c r="G1619" s="93" t="s">
        <v>346</v>
      </c>
      <c r="H1619" s="93" t="s">
        <v>342</v>
      </c>
      <c r="I1619" s="94">
        <v>0.75</v>
      </c>
      <c r="J1619" s="95">
        <v>45</v>
      </c>
    </row>
    <row r="1620" spans="1:10" x14ac:dyDescent="0.25">
      <c r="A1620" s="92">
        <v>45861</v>
      </c>
      <c r="B1620" s="93" t="s">
        <v>329</v>
      </c>
      <c r="C1620" s="89" t="s">
        <v>40</v>
      </c>
      <c r="D1620" s="93" t="s">
        <v>316</v>
      </c>
      <c r="E1620" s="93" t="s">
        <v>35</v>
      </c>
      <c r="F1620" s="93" t="s">
        <v>338</v>
      </c>
      <c r="G1620" s="93" t="s">
        <v>337</v>
      </c>
      <c r="H1620" s="93" t="s">
        <v>352</v>
      </c>
      <c r="I1620" s="94">
        <v>0.75</v>
      </c>
      <c r="J1620" s="95">
        <v>56.25</v>
      </c>
    </row>
    <row r="1621" spans="1:10" x14ac:dyDescent="0.25">
      <c r="A1621" s="92">
        <v>45861</v>
      </c>
      <c r="B1621" s="93" t="s">
        <v>333</v>
      </c>
      <c r="C1621" s="89" t="s">
        <v>40</v>
      </c>
      <c r="D1621" s="93" t="s">
        <v>320</v>
      </c>
      <c r="E1621" s="93" t="s">
        <v>35</v>
      </c>
      <c r="F1621" s="93" t="s">
        <v>322</v>
      </c>
      <c r="G1621" s="93" t="s">
        <v>319</v>
      </c>
      <c r="H1621" s="93" t="s">
        <v>352</v>
      </c>
      <c r="I1621" s="94">
        <v>7.57</v>
      </c>
      <c r="J1621" s="95">
        <v>242.24</v>
      </c>
    </row>
    <row r="1622" spans="1:10" x14ac:dyDescent="0.25">
      <c r="A1622" s="92">
        <v>45861</v>
      </c>
      <c r="B1622" s="93" t="s">
        <v>327</v>
      </c>
      <c r="C1622" s="89" t="s">
        <v>40</v>
      </c>
      <c r="D1622" s="93" t="s">
        <v>320</v>
      </c>
      <c r="E1622" s="93" t="s">
        <v>35</v>
      </c>
      <c r="F1622" s="93" t="s">
        <v>322</v>
      </c>
      <c r="G1622" s="93" t="s">
        <v>319</v>
      </c>
      <c r="H1622" s="93" t="s">
        <v>352</v>
      </c>
      <c r="I1622" s="94">
        <v>7.58</v>
      </c>
      <c r="J1622" s="95">
        <v>242.56</v>
      </c>
    </row>
    <row r="1623" spans="1:10" x14ac:dyDescent="0.25">
      <c r="A1623" s="92">
        <v>45861</v>
      </c>
      <c r="B1623" s="93" t="s">
        <v>323</v>
      </c>
      <c r="C1623" s="89" t="s">
        <v>40</v>
      </c>
      <c r="D1623" s="93" t="s">
        <v>245</v>
      </c>
      <c r="E1623" s="93" t="s">
        <v>36</v>
      </c>
      <c r="F1623" s="93" t="s">
        <v>435</v>
      </c>
      <c r="G1623" s="93" t="s">
        <v>346</v>
      </c>
      <c r="H1623" s="93" t="s">
        <v>342</v>
      </c>
      <c r="I1623" s="94">
        <v>1</v>
      </c>
      <c r="J1623" s="95">
        <v>60</v>
      </c>
    </row>
    <row r="1624" spans="1:10" x14ac:dyDescent="0.25">
      <c r="A1624" s="92">
        <v>45861</v>
      </c>
      <c r="B1624" s="93" t="s">
        <v>323</v>
      </c>
      <c r="C1624" s="89" t="s">
        <v>40</v>
      </c>
      <c r="D1624" s="93" t="s">
        <v>286</v>
      </c>
      <c r="E1624" s="93" t="s">
        <v>36</v>
      </c>
      <c r="F1624" s="93" t="s">
        <v>434</v>
      </c>
      <c r="G1624" s="93" t="s">
        <v>346</v>
      </c>
      <c r="H1624" s="93" t="s">
        <v>342</v>
      </c>
      <c r="I1624" s="94">
        <v>0.42</v>
      </c>
      <c r="J1624" s="95">
        <v>25.2</v>
      </c>
    </row>
    <row r="1625" spans="1:10" x14ac:dyDescent="0.25">
      <c r="A1625" s="92">
        <v>45861</v>
      </c>
      <c r="B1625" s="93" t="s">
        <v>323</v>
      </c>
      <c r="C1625" s="89" t="s">
        <v>40</v>
      </c>
      <c r="D1625" s="93" t="s">
        <v>266</v>
      </c>
      <c r="E1625" s="93" t="s">
        <v>36</v>
      </c>
      <c r="F1625" s="93" t="s">
        <v>394</v>
      </c>
      <c r="G1625" s="93" t="s">
        <v>346</v>
      </c>
      <c r="H1625" s="93" t="s">
        <v>342</v>
      </c>
      <c r="I1625" s="94">
        <v>1</v>
      </c>
      <c r="J1625" s="95">
        <v>60</v>
      </c>
    </row>
    <row r="1626" spans="1:10" x14ac:dyDescent="0.25">
      <c r="A1626" s="92">
        <v>45861</v>
      </c>
      <c r="B1626" s="93" t="s">
        <v>329</v>
      </c>
      <c r="C1626" s="89" t="s">
        <v>40</v>
      </c>
      <c r="D1626" s="93" t="s">
        <v>197</v>
      </c>
      <c r="E1626" s="93" t="s">
        <v>34</v>
      </c>
      <c r="F1626" s="93" t="s">
        <v>366</v>
      </c>
      <c r="G1626" s="93" t="s">
        <v>347</v>
      </c>
      <c r="H1626" s="93" t="s">
        <v>343</v>
      </c>
      <c r="I1626" s="94">
        <v>0.17</v>
      </c>
      <c r="J1626" s="95">
        <v>12.750000000000002</v>
      </c>
    </row>
    <row r="1627" spans="1:10" x14ac:dyDescent="0.25">
      <c r="A1627" s="92">
        <v>45861</v>
      </c>
      <c r="B1627" s="93" t="s">
        <v>325</v>
      </c>
      <c r="C1627" s="89" t="s">
        <v>40</v>
      </c>
      <c r="D1627" s="93" t="s">
        <v>304</v>
      </c>
      <c r="E1627" s="93" t="s">
        <v>34</v>
      </c>
      <c r="F1627" s="93" t="s">
        <v>372</v>
      </c>
      <c r="G1627" s="93" t="s">
        <v>347</v>
      </c>
      <c r="H1627" s="93" t="s">
        <v>343</v>
      </c>
      <c r="I1627" s="94">
        <v>0.17</v>
      </c>
      <c r="J1627" s="95">
        <v>12.750000000000002</v>
      </c>
    </row>
    <row r="1628" spans="1:10" x14ac:dyDescent="0.25">
      <c r="A1628" s="92">
        <v>45861</v>
      </c>
      <c r="B1628" s="93" t="s">
        <v>329</v>
      </c>
      <c r="C1628" s="89" t="s">
        <v>40</v>
      </c>
      <c r="D1628" s="93" t="s">
        <v>240</v>
      </c>
      <c r="E1628" s="93" t="s">
        <v>34</v>
      </c>
      <c r="F1628" s="93" t="s">
        <v>402</v>
      </c>
      <c r="G1628" s="93" t="s">
        <v>347</v>
      </c>
      <c r="H1628" s="93" t="s">
        <v>343</v>
      </c>
      <c r="I1628" s="94">
        <v>0.08</v>
      </c>
      <c r="J1628" s="95">
        <v>6</v>
      </c>
    </row>
    <row r="1629" spans="1:10" x14ac:dyDescent="0.25">
      <c r="A1629" s="92">
        <v>45861</v>
      </c>
      <c r="B1629" s="93" t="s">
        <v>329</v>
      </c>
      <c r="C1629" s="89" t="s">
        <v>40</v>
      </c>
      <c r="D1629" s="93" t="s">
        <v>241</v>
      </c>
      <c r="E1629" s="93" t="s">
        <v>34</v>
      </c>
      <c r="F1629" s="93" t="s">
        <v>403</v>
      </c>
      <c r="G1629" s="93" t="s">
        <v>347</v>
      </c>
      <c r="H1629" s="93" t="s">
        <v>343</v>
      </c>
      <c r="I1629" s="94">
        <v>0.08</v>
      </c>
      <c r="J1629" s="95">
        <v>6</v>
      </c>
    </row>
    <row r="1630" spans="1:10" x14ac:dyDescent="0.25">
      <c r="A1630" s="92">
        <v>45861</v>
      </c>
      <c r="B1630" s="93" t="s">
        <v>325</v>
      </c>
      <c r="C1630" s="89" t="s">
        <v>40</v>
      </c>
      <c r="D1630" s="93" t="s">
        <v>290</v>
      </c>
      <c r="E1630" s="93" t="s">
        <v>34</v>
      </c>
      <c r="F1630" s="93" t="s">
        <v>428</v>
      </c>
      <c r="G1630" s="93" t="s">
        <v>347</v>
      </c>
      <c r="H1630" s="93" t="s">
        <v>343</v>
      </c>
      <c r="I1630" s="94">
        <v>0.17</v>
      </c>
      <c r="J1630" s="95">
        <v>12.750000000000002</v>
      </c>
    </row>
    <row r="1631" spans="1:10" x14ac:dyDescent="0.25">
      <c r="A1631" s="92">
        <v>45861</v>
      </c>
      <c r="B1631" s="93" t="s">
        <v>329</v>
      </c>
      <c r="C1631" s="89" t="s">
        <v>40</v>
      </c>
      <c r="D1631" s="93" t="s">
        <v>294</v>
      </c>
      <c r="E1631" s="93" t="s">
        <v>34</v>
      </c>
      <c r="F1631" s="93" t="s">
        <v>377</v>
      </c>
      <c r="G1631" s="93" t="s">
        <v>347</v>
      </c>
      <c r="H1631" s="93" t="s">
        <v>343</v>
      </c>
      <c r="I1631" s="94">
        <v>0.08</v>
      </c>
      <c r="J1631" s="95">
        <v>6</v>
      </c>
    </row>
    <row r="1632" spans="1:10" x14ac:dyDescent="0.25">
      <c r="A1632" s="92">
        <v>45861</v>
      </c>
      <c r="B1632" s="93" t="s">
        <v>329</v>
      </c>
      <c r="C1632" s="89" t="s">
        <v>40</v>
      </c>
      <c r="D1632" s="93" t="s">
        <v>248</v>
      </c>
      <c r="E1632" s="93" t="s">
        <v>34</v>
      </c>
      <c r="F1632" s="93" t="s">
        <v>385</v>
      </c>
      <c r="G1632" s="93" t="s">
        <v>347</v>
      </c>
      <c r="H1632" s="93" t="s">
        <v>343</v>
      </c>
      <c r="I1632" s="94">
        <v>0.08</v>
      </c>
      <c r="J1632" s="95">
        <v>6</v>
      </c>
    </row>
    <row r="1633" spans="1:10" x14ac:dyDescent="0.25">
      <c r="A1633" s="92">
        <v>45861</v>
      </c>
      <c r="B1633" s="93" t="s">
        <v>329</v>
      </c>
      <c r="C1633" s="89" t="s">
        <v>40</v>
      </c>
      <c r="D1633" s="93" t="s">
        <v>247</v>
      </c>
      <c r="E1633" s="93" t="s">
        <v>34</v>
      </c>
      <c r="F1633" s="93" t="s">
        <v>375</v>
      </c>
      <c r="G1633" s="93" t="s">
        <v>347</v>
      </c>
      <c r="H1633" s="93" t="s">
        <v>343</v>
      </c>
      <c r="I1633" s="94">
        <v>0.33</v>
      </c>
      <c r="J1633" s="95">
        <v>24.75</v>
      </c>
    </row>
    <row r="1634" spans="1:10" x14ac:dyDescent="0.25">
      <c r="A1634" s="92">
        <v>45861</v>
      </c>
      <c r="B1634" s="93" t="s">
        <v>326</v>
      </c>
      <c r="C1634" s="89" t="s">
        <v>40</v>
      </c>
      <c r="D1634" s="93" t="s">
        <v>227</v>
      </c>
      <c r="E1634" s="93" t="s">
        <v>36</v>
      </c>
      <c r="F1634" s="93" t="s">
        <v>453</v>
      </c>
      <c r="G1634" s="93" t="s">
        <v>348</v>
      </c>
      <c r="H1634" s="93" t="s">
        <v>342</v>
      </c>
      <c r="I1634" s="94">
        <v>0.5</v>
      </c>
      <c r="J1634" s="95">
        <v>30</v>
      </c>
    </row>
    <row r="1635" spans="1:10" x14ac:dyDescent="0.25">
      <c r="A1635" s="92">
        <v>45861</v>
      </c>
      <c r="B1635" s="93" t="s">
        <v>326</v>
      </c>
      <c r="C1635" s="89" t="s">
        <v>40</v>
      </c>
      <c r="D1635" s="93" t="s">
        <v>175</v>
      </c>
      <c r="E1635" s="93" t="s">
        <v>34</v>
      </c>
      <c r="F1635" s="93" t="s">
        <v>388</v>
      </c>
      <c r="G1635" s="93" t="s">
        <v>348</v>
      </c>
      <c r="H1635" s="93" t="s">
        <v>343</v>
      </c>
      <c r="I1635" s="94">
        <v>0.5</v>
      </c>
      <c r="J1635" s="95">
        <v>30</v>
      </c>
    </row>
    <row r="1636" spans="1:10" x14ac:dyDescent="0.25">
      <c r="A1636" s="92">
        <v>45861</v>
      </c>
      <c r="B1636" s="93" t="s">
        <v>324</v>
      </c>
      <c r="C1636" s="89" t="s">
        <v>40</v>
      </c>
      <c r="D1636" s="93" t="s">
        <v>314</v>
      </c>
      <c r="E1636" s="93" t="s">
        <v>35</v>
      </c>
      <c r="F1636" s="93" t="s">
        <v>359</v>
      </c>
      <c r="G1636" s="93" t="s">
        <v>339</v>
      </c>
      <c r="H1636" s="93" t="s">
        <v>352</v>
      </c>
      <c r="I1636" s="94">
        <v>3.67</v>
      </c>
      <c r="J1636" s="95">
        <v>275.25</v>
      </c>
    </row>
    <row r="1637" spans="1:10" x14ac:dyDescent="0.25">
      <c r="A1637" s="92">
        <v>45862</v>
      </c>
      <c r="B1637" s="93" t="s">
        <v>333</v>
      </c>
      <c r="C1637" s="89" t="s">
        <v>40</v>
      </c>
      <c r="D1637" s="93" t="s">
        <v>320</v>
      </c>
      <c r="E1637" s="93" t="s">
        <v>35</v>
      </c>
      <c r="F1637" s="93" t="s">
        <v>322</v>
      </c>
      <c r="G1637" s="93" t="s">
        <v>319</v>
      </c>
      <c r="H1637" s="93" t="s">
        <v>352</v>
      </c>
      <c r="I1637" s="94">
        <v>7.28</v>
      </c>
      <c r="J1637" s="95">
        <v>232.96</v>
      </c>
    </row>
    <row r="1638" spans="1:10" x14ac:dyDescent="0.25">
      <c r="A1638" s="92">
        <v>45862</v>
      </c>
      <c r="B1638" s="93" t="s">
        <v>327</v>
      </c>
      <c r="C1638" s="89" t="s">
        <v>40</v>
      </c>
      <c r="D1638" s="93" t="s">
        <v>320</v>
      </c>
      <c r="E1638" s="93" t="s">
        <v>35</v>
      </c>
      <c r="F1638" s="93" t="s">
        <v>322</v>
      </c>
      <c r="G1638" s="93" t="s">
        <v>319</v>
      </c>
      <c r="H1638" s="93" t="s">
        <v>352</v>
      </c>
      <c r="I1638" s="94">
        <v>7.42</v>
      </c>
      <c r="J1638" s="95">
        <v>237.44</v>
      </c>
    </row>
    <row r="1639" spans="1:10" x14ac:dyDescent="0.25">
      <c r="A1639" s="92">
        <v>45862</v>
      </c>
      <c r="B1639" s="93" t="s">
        <v>325</v>
      </c>
      <c r="C1639" s="89" t="s">
        <v>40</v>
      </c>
      <c r="D1639" s="93" t="s">
        <v>291</v>
      </c>
      <c r="E1639" s="93" t="s">
        <v>34</v>
      </c>
      <c r="F1639" s="93" t="s">
        <v>412</v>
      </c>
      <c r="G1639" s="93" t="s">
        <v>347</v>
      </c>
      <c r="H1639" s="93" t="s">
        <v>343</v>
      </c>
      <c r="I1639" s="94">
        <v>0.25</v>
      </c>
      <c r="J1639" s="95">
        <v>18.75</v>
      </c>
    </row>
    <row r="1640" spans="1:10" x14ac:dyDescent="0.25">
      <c r="A1640" s="92">
        <v>45862</v>
      </c>
      <c r="B1640" s="93" t="s">
        <v>325</v>
      </c>
      <c r="C1640" s="89" t="s">
        <v>40</v>
      </c>
      <c r="D1640" s="93" t="s">
        <v>262</v>
      </c>
      <c r="E1640" s="93" t="s">
        <v>34</v>
      </c>
      <c r="F1640" s="93" t="s">
        <v>442</v>
      </c>
      <c r="G1640" s="93" t="s">
        <v>347</v>
      </c>
      <c r="H1640" s="93" t="s">
        <v>343</v>
      </c>
      <c r="I1640" s="94">
        <v>0.17</v>
      </c>
      <c r="J1640" s="95">
        <v>12.750000000000002</v>
      </c>
    </row>
    <row r="1641" spans="1:10" x14ac:dyDescent="0.25">
      <c r="A1641" s="92">
        <v>45862</v>
      </c>
      <c r="B1641" s="93" t="s">
        <v>326</v>
      </c>
      <c r="C1641" s="89" t="s">
        <v>40</v>
      </c>
      <c r="D1641" s="93" t="s">
        <v>300</v>
      </c>
      <c r="E1641" s="93" t="s">
        <v>34</v>
      </c>
      <c r="F1641" s="93" t="s">
        <v>464</v>
      </c>
      <c r="G1641" s="93" t="s">
        <v>348</v>
      </c>
      <c r="H1641" s="93" t="s">
        <v>343</v>
      </c>
      <c r="I1641" s="94">
        <v>0.25</v>
      </c>
      <c r="J1641" s="95">
        <v>15</v>
      </c>
    </row>
    <row r="1642" spans="1:10" x14ac:dyDescent="0.25">
      <c r="A1642" s="92">
        <v>45862</v>
      </c>
      <c r="B1642" s="93" t="s">
        <v>324</v>
      </c>
      <c r="C1642" s="89" t="s">
        <v>40</v>
      </c>
      <c r="D1642" s="93" t="s">
        <v>314</v>
      </c>
      <c r="E1642" s="93" t="s">
        <v>35</v>
      </c>
      <c r="F1642" s="93" t="s">
        <v>359</v>
      </c>
      <c r="G1642" s="93" t="s">
        <v>339</v>
      </c>
      <c r="H1642" s="93" t="s">
        <v>352</v>
      </c>
      <c r="I1642" s="94">
        <v>4</v>
      </c>
      <c r="J1642" s="95">
        <v>300</v>
      </c>
    </row>
    <row r="1643" spans="1:10" x14ac:dyDescent="0.25">
      <c r="A1643" s="92">
        <v>45863</v>
      </c>
      <c r="B1643" s="93" t="s">
        <v>329</v>
      </c>
      <c r="C1643" s="89" t="s">
        <v>40</v>
      </c>
      <c r="D1643" s="93" t="s">
        <v>269</v>
      </c>
      <c r="E1643" s="93" t="s">
        <v>34</v>
      </c>
      <c r="F1643" s="93" t="s">
        <v>361</v>
      </c>
      <c r="G1643" s="93" t="s">
        <v>347</v>
      </c>
      <c r="H1643" s="93" t="s">
        <v>343</v>
      </c>
      <c r="I1643" s="94">
        <v>0.17</v>
      </c>
      <c r="J1643" s="95">
        <v>12.750000000000002</v>
      </c>
    </row>
    <row r="1644" spans="1:10" x14ac:dyDescent="0.25">
      <c r="A1644" s="92">
        <v>45863</v>
      </c>
      <c r="B1644" s="93" t="s">
        <v>323</v>
      </c>
      <c r="C1644" s="89" t="s">
        <v>40</v>
      </c>
      <c r="D1644" s="93" t="s">
        <v>172</v>
      </c>
      <c r="E1644" s="93" t="s">
        <v>36</v>
      </c>
      <c r="F1644" s="93" t="s">
        <v>426</v>
      </c>
      <c r="G1644" s="93" t="s">
        <v>346</v>
      </c>
      <c r="H1644" s="93" t="s">
        <v>342</v>
      </c>
      <c r="I1644" s="94">
        <v>0.25</v>
      </c>
      <c r="J1644" s="95">
        <v>15</v>
      </c>
    </row>
    <row r="1645" spans="1:10" x14ac:dyDescent="0.25">
      <c r="A1645" s="92">
        <v>45863</v>
      </c>
      <c r="B1645" s="93" t="s">
        <v>323</v>
      </c>
      <c r="C1645" s="89" t="s">
        <v>40</v>
      </c>
      <c r="D1645" s="93" t="s">
        <v>200</v>
      </c>
      <c r="E1645" s="93" t="s">
        <v>36</v>
      </c>
      <c r="F1645" s="93" t="s">
        <v>391</v>
      </c>
      <c r="G1645" s="93" t="s">
        <v>346</v>
      </c>
      <c r="H1645" s="93" t="s">
        <v>342</v>
      </c>
      <c r="I1645" s="94">
        <v>0.25</v>
      </c>
      <c r="J1645" s="95">
        <v>15</v>
      </c>
    </row>
    <row r="1646" spans="1:10" x14ac:dyDescent="0.25">
      <c r="A1646" s="92">
        <v>45863</v>
      </c>
      <c r="B1646" s="93" t="s">
        <v>323</v>
      </c>
      <c r="C1646" s="89" t="s">
        <v>40</v>
      </c>
      <c r="D1646" s="93" t="s">
        <v>212</v>
      </c>
      <c r="E1646" s="93" t="s">
        <v>36</v>
      </c>
      <c r="F1646" s="93" t="s">
        <v>392</v>
      </c>
      <c r="G1646" s="93" t="s">
        <v>346</v>
      </c>
      <c r="H1646" s="93" t="s">
        <v>342</v>
      </c>
      <c r="I1646" s="94">
        <v>0.25</v>
      </c>
      <c r="J1646" s="95">
        <v>15</v>
      </c>
    </row>
    <row r="1647" spans="1:10" x14ac:dyDescent="0.25">
      <c r="A1647" s="92">
        <v>45863</v>
      </c>
      <c r="B1647" s="93" t="s">
        <v>329</v>
      </c>
      <c r="C1647" s="89" t="s">
        <v>40</v>
      </c>
      <c r="D1647" s="93" t="s">
        <v>316</v>
      </c>
      <c r="E1647" s="93" t="s">
        <v>35</v>
      </c>
      <c r="F1647" s="93" t="s">
        <v>338</v>
      </c>
      <c r="G1647" s="93" t="s">
        <v>337</v>
      </c>
      <c r="H1647" s="93" t="s">
        <v>352</v>
      </c>
      <c r="I1647" s="94">
        <v>0.5</v>
      </c>
      <c r="J1647" s="95">
        <v>37.5</v>
      </c>
    </row>
    <row r="1648" spans="1:10" x14ac:dyDescent="0.25">
      <c r="A1648" s="92">
        <v>45863</v>
      </c>
      <c r="B1648" s="93" t="s">
        <v>333</v>
      </c>
      <c r="C1648" s="89" t="s">
        <v>40</v>
      </c>
      <c r="D1648" s="93" t="s">
        <v>320</v>
      </c>
      <c r="E1648" s="93" t="s">
        <v>35</v>
      </c>
      <c r="F1648" s="93" t="s">
        <v>322</v>
      </c>
      <c r="G1648" s="93" t="s">
        <v>319</v>
      </c>
      <c r="H1648" s="93" t="s">
        <v>352</v>
      </c>
      <c r="I1648" s="94">
        <v>7.13</v>
      </c>
      <c r="J1648" s="95">
        <v>228.16</v>
      </c>
    </row>
    <row r="1649" spans="1:10" x14ac:dyDescent="0.25">
      <c r="A1649" s="92">
        <v>45863</v>
      </c>
      <c r="B1649" s="93" t="s">
        <v>327</v>
      </c>
      <c r="C1649" s="89" t="s">
        <v>40</v>
      </c>
      <c r="D1649" s="93" t="s">
        <v>320</v>
      </c>
      <c r="E1649" s="93" t="s">
        <v>35</v>
      </c>
      <c r="F1649" s="93" t="s">
        <v>322</v>
      </c>
      <c r="G1649" s="93" t="s">
        <v>319</v>
      </c>
      <c r="H1649" s="93" t="s">
        <v>352</v>
      </c>
      <c r="I1649" s="94">
        <v>7.25</v>
      </c>
      <c r="J1649" s="95">
        <v>232</v>
      </c>
    </row>
    <row r="1650" spans="1:10" x14ac:dyDescent="0.25">
      <c r="A1650" s="92">
        <v>45863</v>
      </c>
      <c r="B1650" s="93" t="s">
        <v>323</v>
      </c>
      <c r="C1650" s="89" t="s">
        <v>40</v>
      </c>
      <c r="D1650" s="93" t="s">
        <v>266</v>
      </c>
      <c r="E1650" s="93" t="s">
        <v>36</v>
      </c>
      <c r="F1650" s="93" t="s">
        <v>394</v>
      </c>
      <c r="G1650" s="93" t="s">
        <v>346</v>
      </c>
      <c r="H1650" s="93" t="s">
        <v>342</v>
      </c>
      <c r="I1650" s="94">
        <v>0.25</v>
      </c>
      <c r="J1650" s="95">
        <v>15</v>
      </c>
    </row>
    <row r="1651" spans="1:10" x14ac:dyDescent="0.25">
      <c r="A1651" s="92">
        <v>45863</v>
      </c>
      <c r="B1651" s="93" t="s">
        <v>323</v>
      </c>
      <c r="C1651" s="89" t="s">
        <v>40</v>
      </c>
      <c r="D1651" s="93" t="s">
        <v>286</v>
      </c>
      <c r="E1651" s="93" t="s">
        <v>341</v>
      </c>
      <c r="F1651" s="93" t="s">
        <v>434</v>
      </c>
      <c r="G1651" s="93" t="s">
        <v>346</v>
      </c>
      <c r="H1651" s="93" t="s">
        <v>344</v>
      </c>
      <c r="I1651" s="94">
        <v>1</v>
      </c>
      <c r="J1651" s="95">
        <v>60</v>
      </c>
    </row>
    <row r="1652" spans="1:10" x14ac:dyDescent="0.25">
      <c r="A1652" s="92">
        <v>45863</v>
      </c>
      <c r="B1652" s="93" t="s">
        <v>325</v>
      </c>
      <c r="C1652" s="89" t="s">
        <v>40</v>
      </c>
      <c r="D1652" s="93" t="s">
        <v>224</v>
      </c>
      <c r="E1652" s="93" t="s">
        <v>36</v>
      </c>
      <c r="F1652" s="93" t="s">
        <v>423</v>
      </c>
      <c r="G1652" s="93" t="s">
        <v>347</v>
      </c>
      <c r="H1652" s="93" t="s">
        <v>342</v>
      </c>
      <c r="I1652" s="94">
        <v>0.17</v>
      </c>
      <c r="J1652" s="95">
        <v>12.750000000000002</v>
      </c>
    </row>
    <row r="1653" spans="1:10" x14ac:dyDescent="0.25">
      <c r="A1653" s="92">
        <v>45863</v>
      </c>
      <c r="B1653" s="93" t="s">
        <v>329</v>
      </c>
      <c r="C1653" s="89" t="s">
        <v>40</v>
      </c>
      <c r="D1653" s="93" t="s">
        <v>206</v>
      </c>
      <c r="E1653" s="93" t="s">
        <v>34</v>
      </c>
      <c r="F1653" s="93" t="s">
        <v>367</v>
      </c>
      <c r="G1653" s="93" t="s">
        <v>347</v>
      </c>
      <c r="H1653" s="93" t="s">
        <v>343</v>
      </c>
      <c r="I1653" s="94">
        <v>0.17</v>
      </c>
      <c r="J1653" s="95">
        <v>12.750000000000002</v>
      </c>
    </row>
    <row r="1654" spans="1:10" x14ac:dyDescent="0.25">
      <c r="A1654" s="92">
        <v>45863</v>
      </c>
      <c r="B1654" s="93" t="s">
        <v>329</v>
      </c>
      <c r="C1654" s="89" t="s">
        <v>40</v>
      </c>
      <c r="D1654" s="93" t="s">
        <v>301</v>
      </c>
      <c r="E1654" s="93" t="s">
        <v>34</v>
      </c>
      <c r="F1654" s="93" t="s">
        <v>371</v>
      </c>
      <c r="G1654" s="93" t="s">
        <v>347</v>
      </c>
      <c r="H1654" s="93" t="s">
        <v>343</v>
      </c>
      <c r="I1654" s="94">
        <v>0.08</v>
      </c>
      <c r="J1654" s="95">
        <v>6</v>
      </c>
    </row>
    <row r="1655" spans="1:10" x14ac:dyDescent="0.25">
      <c r="A1655" s="92">
        <v>45863</v>
      </c>
      <c r="B1655" s="93" t="s">
        <v>329</v>
      </c>
      <c r="C1655" s="89" t="s">
        <v>40</v>
      </c>
      <c r="D1655" s="93" t="s">
        <v>242</v>
      </c>
      <c r="E1655" s="93" t="s">
        <v>34</v>
      </c>
      <c r="F1655" s="93" t="s">
        <v>404</v>
      </c>
      <c r="G1655" s="93" t="s">
        <v>347</v>
      </c>
      <c r="H1655" s="93" t="s">
        <v>343</v>
      </c>
      <c r="I1655" s="94">
        <v>0.08</v>
      </c>
      <c r="J1655" s="95">
        <v>6</v>
      </c>
    </row>
    <row r="1656" spans="1:10" x14ac:dyDescent="0.25">
      <c r="A1656" s="92">
        <v>45863</v>
      </c>
      <c r="B1656" s="93" t="s">
        <v>329</v>
      </c>
      <c r="C1656" s="89" t="s">
        <v>40</v>
      </c>
      <c r="D1656" s="93" t="s">
        <v>247</v>
      </c>
      <c r="E1656" s="93" t="s">
        <v>34</v>
      </c>
      <c r="F1656" s="93" t="s">
        <v>375</v>
      </c>
      <c r="G1656" s="93" t="s">
        <v>347</v>
      </c>
      <c r="H1656" s="93" t="s">
        <v>343</v>
      </c>
      <c r="I1656" s="94">
        <v>0.25</v>
      </c>
      <c r="J1656" s="95">
        <v>18.75</v>
      </c>
    </row>
    <row r="1657" spans="1:10" x14ac:dyDescent="0.25">
      <c r="A1657" s="92">
        <v>45863</v>
      </c>
      <c r="B1657" s="93" t="s">
        <v>329</v>
      </c>
      <c r="C1657" s="89" t="s">
        <v>40</v>
      </c>
      <c r="D1657" s="93" t="s">
        <v>272</v>
      </c>
      <c r="E1657" s="93" t="s">
        <v>34</v>
      </c>
      <c r="F1657" s="93" t="s">
        <v>362</v>
      </c>
      <c r="G1657" s="93" t="s">
        <v>347</v>
      </c>
      <c r="H1657" s="93" t="s">
        <v>343</v>
      </c>
      <c r="I1657" s="94">
        <v>0.25</v>
      </c>
      <c r="J1657" s="95">
        <v>18.75</v>
      </c>
    </row>
    <row r="1658" spans="1:10" x14ac:dyDescent="0.25">
      <c r="A1658" s="92">
        <v>45863</v>
      </c>
      <c r="B1658" s="93" t="s">
        <v>324</v>
      </c>
      <c r="C1658" s="89" t="s">
        <v>40</v>
      </c>
      <c r="D1658" s="93" t="s">
        <v>314</v>
      </c>
      <c r="E1658" s="93" t="s">
        <v>35</v>
      </c>
      <c r="F1658" s="93" t="s">
        <v>359</v>
      </c>
      <c r="G1658" s="93" t="s">
        <v>339</v>
      </c>
      <c r="H1658" s="93" t="s">
        <v>352</v>
      </c>
      <c r="I1658" s="94">
        <v>3.75</v>
      </c>
      <c r="J1658" s="95">
        <v>281.25</v>
      </c>
    </row>
    <row r="1659" spans="1:10" x14ac:dyDescent="0.25">
      <c r="A1659" s="92">
        <v>45864</v>
      </c>
      <c r="B1659" s="93" t="s">
        <v>332</v>
      </c>
      <c r="C1659" s="89" t="s">
        <v>40</v>
      </c>
      <c r="D1659" s="93" t="s">
        <v>314</v>
      </c>
      <c r="E1659" s="93" t="s">
        <v>35</v>
      </c>
      <c r="F1659" s="93" t="s">
        <v>359</v>
      </c>
      <c r="G1659" s="93" t="s">
        <v>339</v>
      </c>
      <c r="H1659" s="93" t="s">
        <v>352</v>
      </c>
      <c r="I1659" s="94">
        <v>4</v>
      </c>
      <c r="J1659" s="95">
        <v>160</v>
      </c>
    </row>
    <row r="1660" spans="1:10" x14ac:dyDescent="0.25">
      <c r="A1660" s="92">
        <v>45866</v>
      </c>
      <c r="B1660" s="93" t="s">
        <v>333</v>
      </c>
      <c r="C1660" s="89" t="s">
        <v>40</v>
      </c>
      <c r="D1660" s="93" t="s">
        <v>320</v>
      </c>
      <c r="E1660" s="93" t="s">
        <v>35</v>
      </c>
      <c r="F1660" s="93" t="s">
        <v>322</v>
      </c>
      <c r="G1660" s="93" t="s">
        <v>319</v>
      </c>
      <c r="H1660" s="93" t="s">
        <v>352</v>
      </c>
      <c r="I1660" s="94">
        <v>7.57</v>
      </c>
      <c r="J1660" s="95">
        <v>242.24</v>
      </c>
    </row>
    <row r="1661" spans="1:10" x14ac:dyDescent="0.25">
      <c r="A1661" s="92">
        <v>45866</v>
      </c>
      <c r="B1661" s="93" t="s">
        <v>327</v>
      </c>
      <c r="C1661" s="89" t="s">
        <v>40</v>
      </c>
      <c r="D1661" s="93" t="s">
        <v>320</v>
      </c>
      <c r="E1661" s="93" t="s">
        <v>35</v>
      </c>
      <c r="F1661" s="93" t="s">
        <v>322</v>
      </c>
      <c r="G1661" s="93" t="s">
        <v>319</v>
      </c>
      <c r="H1661" s="93" t="s">
        <v>352</v>
      </c>
      <c r="I1661" s="94">
        <v>7.42</v>
      </c>
      <c r="J1661" s="95">
        <v>237.44</v>
      </c>
    </row>
    <row r="1662" spans="1:10" x14ac:dyDescent="0.25">
      <c r="A1662" s="92">
        <v>45866</v>
      </c>
      <c r="B1662" s="93" t="s">
        <v>323</v>
      </c>
      <c r="C1662" s="89" t="s">
        <v>40</v>
      </c>
      <c r="D1662" s="93" t="s">
        <v>283</v>
      </c>
      <c r="E1662" s="93" t="s">
        <v>36</v>
      </c>
      <c r="F1662" s="93" t="s">
        <v>429</v>
      </c>
      <c r="G1662" s="93" t="s">
        <v>346</v>
      </c>
      <c r="H1662" s="93" t="s">
        <v>342</v>
      </c>
      <c r="I1662" s="94">
        <v>0.25</v>
      </c>
      <c r="J1662" s="95">
        <v>15</v>
      </c>
    </row>
    <row r="1663" spans="1:10" x14ac:dyDescent="0.25">
      <c r="A1663" s="92">
        <v>45866</v>
      </c>
      <c r="B1663" s="93" t="s">
        <v>323</v>
      </c>
      <c r="C1663" s="89" t="s">
        <v>40</v>
      </c>
      <c r="D1663" s="93" t="s">
        <v>266</v>
      </c>
      <c r="E1663" s="93" t="s">
        <v>341</v>
      </c>
      <c r="F1663" s="93" t="s">
        <v>394</v>
      </c>
      <c r="G1663" s="93" t="s">
        <v>346</v>
      </c>
      <c r="H1663" s="93" t="s">
        <v>344</v>
      </c>
      <c r="I1663" s="94">
        <v>1</v>
      </c>
      <c r="J1663" s="95">
        <v>60</v>
      </c>
    </row>
    <row r="1664" spans="1:10" x14ac:dyDescent="0.25">
      <c r="A1664" s="92">
        <v>45866</v>
      </c>
      <c r="B1664" s="93" t="s">
        <v>329</v>
      </c>
      <c r="C1664" s="89" t="s">
        <v>40</v>
      </c>
      <c r="D1664" s="93" t="s">
        <v>186</v>
      </c>
      <c r="E1664" s="93" t="s">
        <v>34</v>
      </c>
      <c r="F1664" s="93" t="s">
        <v>397</v>
      </c>
      <c r="G1664" s="93" t="s">
        <v>347</v>
      </c>
      <c r="H1664" s="93" t="s">
        <v>343</v>
      </c>
      <c r="I1664" s="94">
        <v>0.08</v>
      </c>
      <c r="J1664" s="95">
        <v>6</v>
      </c>
    </row>
    <row r="1665" spans="1:10" x14ac:dyDescent="0.25">
      <c r="A1665" s="92">
        <v>45866</v>
      </c>
      <c r="B1665" s="93" t="s">
        <v>325</v>
      </c>
      <c r="C1665" s="89" t="s">
        <v>40</v>
      </c>
      <c r="D1665" s="93" t="s">
        <v>182</v>
      </c>
      <c r="E1665" s="93" t="s">
        <v>34</v>
      </c>
      <c r="F1665" s="93" t="s">
        <v>467</v>
      </c>
      <c r="G1665" s="93" t="s">
        <v>347</v>
      </c>
      <c r="H1665" s="93" t="s">
        <v>343</v>
      </c>
      <c r="I1665" s="94">
        <v>0.17</v>
      </c>
      <c r="J1665" s="95">
        <v>12.750000000000002</v>
      </c>
    </row>
    <row r="1666" spans="1:10" x14ac:dyDescent="0.25">
      <c r="A1666" s="92">
        <v>45866</v>
      </c>
      <c r="B1666" s="93" t="s">
        <v>325</v>
      </c>
      <c r="C1666" s="89" t="s">
        <v>40</v>
      </c>
      <c r="D1666" s="93" t="s">
        <v>291</v>
      </c>
      <c r="E1666" s="93" t="s">
        <v>34</v>
      </c>
      <c r="F1666" s="93" t="s">
        <v>412</v>
      </c>
      <c r="G1666" s="93" t="s">
        <v>347</v>
      </c>
      <c r="H1666" s="93" t="s">
        <v>343</v>
      </c>
      <c r="I1666" s="94">
        <v>0.17</v>
      </c>
      <c r="J1666" s="95">
        <v>12.750000000000002</v>
      </c>
    </row>
    <row r="1667" spans="1:10" x14ac:dyDescent="0.25">
      <c r="A1667" s="92">
        <v>45866</v>
      </c>
      <c r="B1667" s="93" t="s">
        <v>325</v>
      </c>
      <c r="C1667" s="89" t="s">
        <v>40</v>
      </c>
      <c r="D1667" s="93" t="s">
        <v>249</v>
      </c>
      <c r="E1667" s="93" t="s">
        <v>34</v>
      </c>
      <c r="F1667" s="93" t="s">
        <v>409</v>
      </c>
      <c r="G1667" s="93" t="s">
        <v>347</v>
      </c>
      <c r="H1667" s="93" t="s">
        <v>343</v>
      </c>
      <c r="I1667" s="94">
        <v>0.17</v>
      </c>
      <c r="J1667" s="95">
        <v>12.750000000000002</v>
      </c>
    </row>
    <row r="1668" spans="1:10" x14ac:dyDescent="0.25">
      <c r="A1668" s="92">
        <v>45866</v>
      </c>
      <c r="B1668" s="93" t="s">
        <v>329</v>
      </c>
      <c r="C1668" s="89" t="s">
        <v>40</v>
      </c>
      <c r="D1668" s="93" t="s">
        <v>247</v>
      </c>
      <c r="E1668" s="93" t="s">
        <v>34</v>
      </c>
      <c r="F1668" s="93" t="s">
        <v>375</v>
      </c>
      <c r="G1668" s="93" t="s">
        <v>347</v>
      </c>
      <c r="H1668" s="93" t="s">
        <v>343</v>
      </c>
      <c r="I1668" s="94">
        <v>0.17</v>
      </c>
      <c r="J1668" s="95">
        <v>12.750000000000002</v>
      </c>
    </row>
    <row r="1669" spans="1:10" x14ac:dyDescent="0.25">
      <c r="A1669" s="92">
        <v>45866</v>
      </c>
      <c r="B1669" s="93" t="s">
        <v>330</v>
      </c>
      <c r="C1669" s="89" t="s">
        <v>40</v>
      </c>
      <c r="D1669" s="93" t="s">
        <v>252</v>
      </c>
      <c r="E1669" s="93" t="s">
        <v>34</v>
      </c>
      <c r="F1669" s="93" t="s">
        <v>416</v>
      </c>
      <c r="G1669" s="93" t="s">
        <v>347</v>
      </c>
      <c r="H1669" s="93" t="s">
        <v>343</v>
      </c>
      <c r="I1669" s="94">
        <v>0.5</v>
      </c>
      <c r="J1669" s="95">
        <v>30</v>
      </c>
    </row>
    <row r="1670" spans="1:10" x14ac:dyDescent="0.25">
      <c r="A1670" s="92">
        <v>45866</v>
      </c>
      <c r="B1670" s="93" t="s">
        <v>326</v>
      </c>
      <c r="C1670" s="89" t="s">
        <v>40</v>
      </c>
      <c r="D1670" s="93" t="s">
        <v>227</v>
      </c>
      <c r="E1670" s="93" t="s">
        <v>34</v>
      </c>
      <c r="F1670" s="93" t="s">
        <v>453</v>
      </c>
      <c r="G1670" s="93" t="s">
        <v>348</v>
      </c>
      <c r="H1670" s="93" t="s">
        <v>343</v>
      </c>
      <c r="I1670" s="94">
        <v>0.33</v>
      </c>
      <c r="J1670" s="95">
        <v>19.8</v>
      </c>
    </row>
    <row r="1671" spans="1:10" x14ac:dyDescent="0.25">
      <c r="A1671" s="92">
        <v>45866</v>
      </c>
      <c r="B1671" s="93" t="s">
        <v>332</v>
      </c>
      <c r="C1671" s="89" t="s">
        <v>40</v>
      </c>
      <c r="D1671" s="93" t="s">
        <v>314</v>
      </c>
      <c r="E1671" s="93" t="s">
        <v>35</v>
      </c>
      <c r="F1671" s="93" t="s">
        <v>359</v>
      </c>
      <c r="G1671" s="93" t="s">
        <v>339</v>
      </c>
      <c r="H1671" s="93" t="s">
        <v>352</v>
      </c>
      <c r="I1671" s="94">
        <v>9.33</v>
      </c>
      <c r="J1671" s="95">
        <v>373.2</v>
      </c>
    </row>
    <row r="1672" spans="1:10" x14ac:dyDescent="0.25">
      <c r="A1672" s="92">
        <v>45866</v>
      </c>
      <c r="B1672" s="93" t="s">
        <v>324</v>
      </c>
      <c r="C1672" s="89" t="s">
        <v>40</v>
      </c>
      <c r="D1672" s="93" t="s">
        <v>314</v>
      </c>
      <c r="E1672" s="93" t="s">
        <v>35</v>
      </c>
      <c r="F1672" s="93" t="s">
        <v>359</v>
      </c>
      <c r="G1672" s="93" t="s">
        <v>339</v>
      </c>
      <c r="H1672" s="93" t="s">
        <v>352</v>
      </c>
      <c r="I1672" s="94">
        <v>6</v>
      </c>
      <c r="J1672" s="95">
        <v>450</v>
      </c>
    </row>
    <row r="1673" spans="1:10" x14ac:dyDescent="0.25">
      <c r="A1673" s="92">
        <v>45867</v>
      </c>
      <c r="B1673" s="93" t="s">
        <v>329</v>
      </c>
      <c r="C1673" s="89" t="s">
        <v>40</v>
      </c>
      <c r="D1673" s="93" t="s">
        <v>316</v>
      </c>
      <c r="E1673" s="93" t="s">
        <v>35</v>
      </c>
      <c r="F1673" s="93" t="s">
        <v>338</v>
      </c>
      <c r="G1673" s="93" t="s">
        <v>337</v>
      </c>
      <c r="H1673" s="93" t="s">
        <v>352</v>
      </c>
      <c r="I1673" s="94">
        <v>0.17</v>
      </c>
      <c r="J1673" s="95">
        <v>12.750000000000002</v>
      </c>
    </row>
    <row r="1674" spans="1:10" x14ac:dyDescent="0.25">
      <c r="A1674" s="92">
        <v>45867</v>
      </c>
      <c r="B1674" s="93" t="s">
        <v>333</v>
      </c>
      <c r="C1674" s="89" t="s">
        <v>40</v>
      </c>
      <c r="D1674" s="93" t="s">
        <v>320</v>
      </c>
      <c r="E1674" s="93" t="s">
        <v>35</v>
      </c>
      <c r="F1674" s="93" t="s">
        <v>322</v>
      </c>
      <c r="G1674" s="93" t="s">
        <v>319</v>
      </c>
      <c r="H1674" s="93" t="s">
        <v>352</v>
      </c>
      <c r="I1674" s="94">
        <v>7.15</v>
      </c>
      <c r="J1674" s="95">
        <v>228.8</v>
      </c>
    </row>
    <row r="1675" spans="1:10" x14ac:dyDescent="0.25">
      <c r="A1675" s="92">
        <v>45867</v>
      </c>
      <c r="B1675" s="93" t="s">
        <v>327</v>
      </c>
      <c r="C1675" s="89" t="s">
        <v>40</v>
      </c>
      <c r="D1675" s="93" t="s">
        <v>320</v>
      </c>
      <c r="E1675" s="93" t="s">
        <v>35</v>
      </c>
      <c r="F1675" s="93" t="s">
        <v>322</v>
      </c>
      <c r="G1675" s="93" t="s">
        <v>319</v>
      </c>
      <c r="H1675" s="93" t="s">
        <v>352</v>
      </c>
      <c r="I1675" s="94">
        <v>7.33</v>
      </c>
      <c r="J1675" s="95">
        <v>234.56</v>
      </c>
    </row>
    <row r="1676" spans="1:10" x14ac:dyDescent="0.25">
      <c r="A1676" s="92">
        <v>45867</v>
      </c>
      <c r="B1676" s="93" t="s">
        <v>325</v>
      </c>
      <c r="C1676" s="89" t="s">
        <v>40</v>
      </c>
      <c r="D1676" s="93" t="s">
        <v>249</v>
      </c>
      <c r="E1676" s="93" t="s">
        <v>34</v>
      </c>
      <c r="F1676" s="93" t="s">
        <v>409</v>
      </c>
      <c r="G1676" s="93" t="s">
        <v>347</v>
      </c>
      <c r="H1676" s="93" t="s">
        <v>343</v>
      </c>
      <c r="I1676" s="94">
        <v>0.17</v>
      </c>
      <c r="J1676" s="95">
        <v>12.750000000000002</v>
      </c>
    </row>
    <row r="1677" spans="1:10" x14ac:dyDescent="0.25">
      <c r="A1677" s="92">
        <v>45867</v>
      </c>
      <c r="B1677" s="93" t="s">
        <v>329</v>
      </c>
      <c r="C1677" s="89" t="s">
        <v>40</v>
      </c>
      <c r="D1677" s="93" t="s">
        <v>247</v>
      </c>
      <c r="E1677" s="93" t="s">
        <v>34</v>
      </c>
      <c r="F1677" s="93" t="s">
        <v>375</v>
      </c>
      <c r="G1677" s="93" t="s">
        <v>347</v>
      </c>
      <c r="H1677" s="93" t="s">
        <v>343</v>
      </c>
      <c r="I1677" s="94">
        <v>0.25</v>
      </c>
      <c r="J1677" s="95">
        <v>18.75</v>
      </c>
    </row>
    <row r="1678" spans="1:10" x14ac:dyDescent="0.25">
      <c r="A1678" s="92">
        <v>45867</v>
      </c>
      <c r="B1678" s="93" t="s">
        <v>325</v>
      </c>
      <c r="C1678" s="89" t="s">
        <v>40</v>
      </c>
      <c r="D1678" s="93" t="s">
        <v>278</v>
      </c>
      <c r="E1678" s="93" t="s">
        <v>341</v>
      </c>
      <c r="F1678" s="93" t="s">
        <v>452</v>
      </c>
      <c r="G1678" s="93" t="s">
        <v>347</v>
      </c>
      <c r="H1678" s="93" t="s">
        <v>344</v>
      </c>
      <c r="I1678" s="94">
        <v>0.17</v>
      </c>
      <c r="J1678" s="95">
        <v>12.750000000000002</v>
      </c>
    </row>
    <row r="1679" spans="1:10" x14ac:dyDescent="0.25">
      <c r="A1679" s="92">
        <v>45867</v>
      </c>
      <c r="B1679" s="93" t="s">
        <v>326</v>
      </c>
      <c r="C1679" s="89" t="s">
        <v>40</v>
      </c>
      <c r="D1679" s="93" t="s">
        <v>265</v>
      </c>
      <c r="E1679" s="93" t="s">
        <v>34</v>
      </c>
      <c r="F1679" s="93" t="s">
        <v>358</v>
      </c>
      <c r="G1679" s="93" t="s">
        <v>348</v>
      </c>
      <c r="H1679" s="93" t="s">
        <v>343</v>
      </c>
      <c r="I1679" s="94">
        <v>0.25</v>
      </c>
      <c r="J1679" s="95">
        <v>15</v>
      </c>
    </row>
    <row r="1680" spans="1:10" x14ac:dyDescent="0.25">
      <c r="A1680" s="92">
        <v>45867</v>
      </c>
      <c r="B1680" s="93" t="s">
        <v>332</v>
      </c>
      <c r="C1680" s="89" t="s">
        <v>40</v>
      </c>
      <c r="D1680" s="93" t="s">
        <v>314</v>
      </c>
      <c r="E1680" s="93" t="s">
        <v>35</v>
      </c>
      <c r="F1680" s="93" t="s">
        <v>359</v>
      </c>
      <c r="G1680" s="93" t="s">
        <v>339</v>
      </c>
      <c r="H1680" s="93" t="s">
        <v>352</v>
      </c>
      <c r="I1680" s="94">
        <v>1.83</v>
      </c>
      <c r="J1680" s="95">
        <v>73.2</v>
      </c>
    </row>
    <row r="1681" spans="1:10" x14ac:dyDescent="0.25">
      <c r="A1681" s="92">
        <v>45868</v>
      </c>
      <c r="B1681" s="93" t="s">
        <v>323</v>
      </c>
      <c r="C1681" s="89" t="s">
        <v>40</v>
      </c>
      <c r="D1681" s="93" t="s">
        <v>202</v>
      </c>
      <c r="E1681" s="93" t="s">
        <v>36</v>
      </c>
      <c r="F1681" s="93" t="s">
        <v>431</v>
      </c>
      <c r="G1681" s="93" t="s">
        <v>346</v>
      </c>
      <c r="H1681" s="93" t="s">
        <v>342</v>
      </c>
      <c r="I1681" s="94">
        <v>0.5</v>
      </c>
      <c r="J1681" s="95">
        <v>30</v>
      </c>
    </row>
    <row r="1682" spans="1:10" x14ac:dyDescent="0.25">
      <c r="A1682" s="92">
        <v>45868</v>
      </c>
      <c r="B1682" s="93" t="s">
        <v>323</v>
      </c>
      <c r="C1682" s="89" t="s">
        <v>40</v>
      </c>
      <c r="D1682" s="93" t="s">
        <v>212</v>
      </c>
      <c r="E1682" s="93" t="s">
        <v>36</v>
      </c>
      <c r="F1682" s="93" t="s">
        <v>392</v>
      </c>
      <c r="G1682" s="93" t="s">
        <v>346</v>
      </c>
      <c r="H1682" s="93" t="s">
        <v>342</v>
      </c>
      <c r="I1682" s="94">
        <v>0.5</v>
      </c>
      <c r="J1682" s="95">
        <v>30</v>
      </c>
    </row>
    <row r="1683" spans="1:10" x14ac:dyDescent="0.25">
      <c r="A1683" s="92">
        <v>45868</v>
      </c>
      <c r="B1683" s="93" t="s">
        <v>333</v>
      </c>
      <c r="C1683" s="89" t="s">
        <v>40</v>
      </c>
      <c r="D1683" s="93" t="s">
        <v>320</v>
      </c>
      <c r="E1683" s="93" t="s">
        <v>35</v>
      </c>
      <c r="F1683" s="93" t="s">
        <v>322</v>
      </c>
      <c r="G1683" s="93" t="s">
        <v>319</v>
      </c>
      <c r="H1683" s="93" t="s">
        <v>352</v>
      </c>
      <c r="I1683" s="94">
        <v>7</v>
      </c>
      <c r="J1683" s="95">
        <v>224</v>
      </c>
    </row>
    <row r="1684" spans="1:10" x14ac:dyDescent="0.25">
      <c r="A1684" s="92">
        <v>45868</v>
      </c>
      <c r="B1684" s="93" t="s">
        <v>327</v>
      </c>
      <c r="C1684" s="89" t="s">
        <v>40</v>
      </c>
      <c r="D1684" s="93" t="s">
        <v>320</v>
      </c>
      <c r="E1684" s="93" t="s">
        <v>35</v>
      </c>
      <c r="F1684" s="93" t="s">
        <v>322</v>
      </c>
      <c r="G1684" s="93" t="s">
        <v>319</v>
      </c>
      <c r="H1684" s="93" t="s">
        <v>352</v>
      </c>
      <c r="I1684" s="94">
        <v>7.5</v>
      </c>
      <c r="J1684" s="95">
        <v>240</v>
      </c>
    </row>
    <row r="1685" spans="1:10" x14ac:dyDescent="0.25">
      <c r="A1685" s="92">
        <v>45868</v>
      </c>
      <c r="B1685" s="93" t="s">
        <v>323</v>
      </c>
      <c r="C1685" s="89" t="s">
        <v>40</v>
      </c>
      <c r="D1685" s="93" t="s">
        <v>283</v>
      </c>
      <c r="E1685" s="93" t="s">
        <v>36</v>
      </c>
      <c r="F1685" s="93" t="s">
        <v>429</v>
      </c>
      <c r="G1685" s="93" t="s">
        <v>346</v>
      </c>
      <c r="H1685" s="93" t="s">
        <v>342</v>
      </c>
      <c r="I1685" s="94">
        <v>0.5</v>
      </c>
      <c r="J1685" s="95">
        <v>30</v>
      </c>
    </row>
    <row r="1686" spans="1:10" x14ac:dyDescent="0.25">
      <c r="A1686" s="92">
        <v>45868</v>
      </c>
      <c r="B1686" s="93" t="s">
        <v>323</v>
      </c>
      <c r="C1686" s="89" t="s">
        <v>40</v>
      </c>
      <c r="D1686" s="93" t="s">
        <v>266</v>
      </c>
      <c r="E1686" s="93" t="s">
        <v>36</v>
      </c>
      <c r="F1686" s="93" t="s">
        <v>394</v>
      </c>
      <c r="G1686" s="93" t="s">
        <v>346</v>
      </c>
      <c r="H1686" s="93" t="s">
        <v>342</v>
      </c>
      <c r="I1686" s="94">
        <v>0.5</v>
      </c>
      <c r="J1686" s="95">
        <v>30</v>
      </c>
    </row>
    <row r="1687" spans="1:10" x14ac:dyDescent="0.25">
      <c r="A1687" s="92">
        <v>45868</v>
      </c>
      <c r="B1687" s="93" t="s">
        <v>330</v>
      </c>
      <c r="C1687" s="89" t="s">
        <v>40</v>
      </c>
      <c r="D1687" s="93" t="s">
        <v>199</v>
      </c>
      <c r="E1687" s="93" t="s">
        <v>34</v>
      </c>
      <c r="F1687" s="93" t="s">
        <v>414</v>
      </c>
      <c r="G1687" s="93" t="s">
        <v>347</v>
      </c>
      <c r="H1687" s="93" t="s">
        <v>343</v>
      </c>
      <c r="I1687" s="94">
        <v>1.17</v>
      </c>
      <c r="J1687" s="95">
        <v>70.199999999999989</v>
      </c>
    </row>
    <row r="1688" spans="1:10" x14ac:dyDescent="0.25">
      <c r="A1688" s="92">
        <v>45868</v>
      </c>
      <c r="B1688" s="93" t="s">
        <v>329</v>
      </c>
      <c r="C1688" s="89" t="s">
        <v>40</v>
      </c>
      <c r="D1688" s="93" t="s">
        <v>221</v>
      </c>
      <c r="E1688" s="93" t="s">
        <v>34</v>
      </c>
      <c r="F1688" s="93" t="s">
        <v>369</v>
      </c>
      <c r="G1688" s="93" t="s">
        <v>347</v>
      </c>
      <c r="H1688" s="93" t="s">
        <v>343</v>
      </c>
      <c r="I1688" s="94">
        <v>0.17</v>
      </c>
      <c r="J1688" s="95">
        <v>12.750000000000002</v>
      </c>
    </row>
    <row r="1689" spans="1:10" x14ac:dyDescent="0.25">
      <c r="A1689" s="92">
        <v>45868</v>
      </c>
      <c r="B1689" s="93" t="s">
        <v>329</v>
      </c>
      <c r="C1689" s="89" t="s">
        <v>40</v>
      </c>
      <c r="D1689" s="93" t="s">
        <v>296</v>
      </c>
      <c r="E1689" s="93" t="s">
        <v>34</v>
      </c>
      <c r="F1689" s="93" t="s">
        <v>411</v>
      </c>
      <c r="G1689" s="93" t="s">
        <v>347</v>
      </c>
      <c r="H1689" s="93" t="s">
        <v>343</v>
      </c>
      <c r="I1689" s="94">
        <v>0.17</v>
      </c>
      <c r="J1689" s="95">
        <v>12.750000000000002</v>
      </c>
    </row>
    <row r="1690" spans="1:10" x14ac:dyDescent="0.25">
      <c r="A1690" s="92">
        <v>45868</v>
      </c>
      <c r="B1690" s="93" t="s">
        <v>329</v>
      </c>
      <c r="C1690" s="89" t="s">
        <v>40</v>
      </c>
      <c r="D1690" s="93" t="s">
        <v>247</v>
      </c>
      <c r="E1690" s="93" t="s">
        <v>34</v>
      </c>
      <c r="F1690" s="93" t="s">
        <v>375</v>
      </c>
      <c r="G1690" s="93" t="s">
        <v>347</v>
      </c>
      <c r="H1690" s="93" t="s">
        <v>343</v>
      </c>
      <c r="I1690" s="94">
        <v>0.08</v>
      </c>
      <c r="J1690" s="95">
        <v>6</v>
      </c>
    </row>
    <row r="1691" spans="1:10" x14ac:dyDescent="0.25">
      <c r="A1691" s="92">
        <v>45868</v>
      </c>
      <c r="B1691" s="93" t="s">
        <v>330</v>
      </c>
      <c r="C1691" s="89" t="s">
        <v>40</v>
      </c>
      <c r="D1691" s="93" t="s">
        <v>284</v>
      </c>
      <c r="E1691" s="93" t="s">
        <v>34</v>
      </c>
      <c r="F1691" s="93" t="s">
        <v>415</v>
      </c>
      <c r="G1691" s="93" t="s">
        <v>347</v>
      </c>
      <c r="H1691" s="93" t="s">
        <v>343</v>
      </c>
      <c r="I1691" s="94">
        <v>0.5</v>
      </c>
      <c r="J1691" s="95">
        <v>30</v>
      </c>
    </row>
    <row r="1692" spans="1:10" x14ac:dyDescent="0.25">
      <c r="A1692" s="92">
        <v>45868</v>
      </c>
      <c r="B1692" s="93" t="s">
        <v>326</v>
      </c>
      <c r="C1692" s="89" t="s">
        <v>40</v>
      </c>
      <c r="D1692" s="93" t="s">
        <v>175</v>
      </c>
      <c r="E1692" s="93" t="s">
        <v>36</v>
      </c>
      <c r="F1692" s="93" t="s">
        <v>388</v>
      </c>
      <c r="G1692" s="93" t="s">
        <v>348</v>
      </c>
      <c r="H1692" s="93" t="s">
        <v>342</v>
      </c>
      <c r="I1692" s="94">
        <v>0.67</v>
      </c>
      <c r="J1692" s="95">
        <v>40.200000000000003</v>
      </c>
    </row>
    <row r="1693" spans="1:10" x14ac:dyDescent="0.25">
      <c r="A1693" s="92">
        <v>45868</v>
      </c>
      <c r="B1693" s="93" t="s">
        <v>326</v>
      </c>
      <c r="C1693" s="89" t="s">
        <v>40</v>
      </c>
      <c r="D1693" s="93" t="s">
        <v>227</v>
      </c>
      <c r="E1693" s="93" t="s">
        <v>34</v>
      </c>
      <c r="F1693" s="93" t="s">
        <v>453</v>
      </c>
      <c r="G1693" s="93" t="s">
        <v>348</v>
      </c>
      <c r="H1693" s="93" t="s">
        <v>343</v>
      </c>
      <c r="I1693" s="94">
        <v>0.5</v>
      </c>
      <c r="J1693" s="95">
        <v>30</v>
      </c>
    </row>
    <row r="1694" spans="1:10" x14ac:dyDescent="0.25">
      <c r="A1694" s="92">
        <v>45869</v>
      </c>
      <c r="B1694" s="93" t="s">
        <v>333</v>
      </c>
      <c r="C1694" s="89" t="s">
        <v>40</v>
      </c>
      <c r="D1694" s="93" t="s">
        <v>320</v>
      </c>
      <c r="E1694" s="93" t="s">
        <v>35</v>
      </c>
      <c r="F1694" s="93" t="s">
        <v>322</v>
      </c>
      <c r="G1694" s="93" t="s">
        <v>319</v>
      </c>
      <c r="H1694" s="93" t="s">
        <v>352</v>
      </c>
      <c r="I1694" s="94">
        <v>6.5</v>
      </c>
      <c r="J1694" s="95">
        <v>208</v>
      </c>
    </row>
    <row r="1695" spans="1:10" x14ac:dyDescent="0.25">
      <c r="A1695" s="92">
        <v>45869</v>
      </c>
      <c r="B1695" s="93" t="s">
        <v>327</v>
      </c>
      <c r="C1695" s="89" t="s">
        <v>40</v>
      </c>
      <c r="D1695" s="93" t="s">
        <v>320</v>
      </c>
      <c r="E1695" s="93" t="s">
        <v>35</v>
      </c>
      <c r="F1695" s="93" t="s">
        <v>322</v>
      </c>
      <c r="G1695" s="93" t="s">
        <v>319</v>
      </c>
      <c r="H1695" s="93" t="s">
        <v>352</v>
      </c>
      <c r="I1695" s="94">
        <v>6.25</v>
      </c>
      <c r="J1695" s="95">
        <v>200</v>
      </c>
    </row>
    <row r="1696" spans="1:10" x14ac:dyDescent="0.25">
      <c r="A1696" s="92">
        <v>45869</v>
      </c>
      <c r="B1696" s="93" t="s">
        <v>323</v>
      </c>
      <c r="C1696" s="89" t="s">
        <v>40</v>
      </c>
      <c r="D1696" s="93" t="s">
        <v>283</v>
      </c>
      <c r="E1696" s="93" t="s">
        <v>34</v>
      </c>
      <c r="F1696" s="93" t="s">
        <v>429</v>
      </c>
      <c r="G1696" s="93" t="s">
        <v>346</v>
      </c>
      <c r="H1696" s="93" t="s">
        <v>343</v>
      </c>
      <c r="I1696" s="94">
        <v>1</v>
      </c>
      <c r="J1696" s="95">
        <v>60</v>
      </c>
    </row>
    <row r="1697" spans="1:10" x14ac:dyDescent="0.25">
      <c r="A1697" s="92">
        <v>45869</v>
      </c>
      <c r="B1697" s="93" t="s">
        <v>330</v>
      </c>
      <c r="C1697" s="89" t="s">
        <v>40</v>
      </c>
      <c r="D1697" s="93" t="s">
        <v>199</v>
      </c>
      <c r="E1697" s="93" t="s">
        <v>34</v>
      </c>
      <c r="F1697" s="93" t="s">
        <v>414</v>
      </c>
      <c r="G1697" s="93" t="s">
        <v>347</v>
      </c>
      <c r="H1697" s="93" t="s">
        <v>343</v>
      </c>
      <c r="I1697" s="94">
        <v>0.5</v>
      </c>
      <c r="J1697" s="95">
        <v>30</v>
      </c>
    </row>
    <row r="1698" spans="1:10" x14ac:dyDescent="0.25">
      <c r="A1698" s="92">
        <v>45869</v>
      </c>
      <c r="B1698" s="93" t="s">
        <v>330</v>
      </c>
      <c r="C1698" s="89" t="s">
        <v>40</v>
      </c>
      <c r="D1698" s="93" t="s">
        <v>252</v>
      </c>
      <c r="E1698" s="93" t="s">
        <v>36</v>
      </c>
      <c r="F1698" s="93" t="s">
        <v>416</v>
      </c>
      <c r="G1698" s="93" t="s">
        <v>347</v>
      </c>
      <c r="H1698" s="93" t="s">
        <v>342</v>
      </c>
      <c r="I1698" s="94">
        <v>0.5</v>
      </c>
      <c r="J1698" s="95">
        <v>30</v>
      </c>
    </row>
    <row r="1699" spans="1:10" x14ac:dyDescent="0.25">
      <c r="A1699" s="92">
        <v>45869</v>
      </c>
      <c r="B1699" s="93" t="s">
        <v>329</v>
      </c>
      <c r="C1699" s="89" t="s">
        <v>40</v>
      </c>
      <c r="D1699" s="93" t="s">
        <v>176</v>
      </c>
      <c r="E1699" s="93" t="s">
        <v>34</v>
      </c>
      <c r="F1699" s="93" t="s">
        <v>458</v>
      </c>
      <c r="G1699" s="93" t="s">
        <v>347</v>
      </c>
      <c r="H1699" s="93" t="s">
        <v>343</v>
      </c>
      <c r="I1699" s="94">
        <v>0.33</v>
      </c>
      <c r="J1699" s="95">
        <v>24.75</v>
      </c>
    </row>
    <row r="1700" spans="1:10" x14ac:dyDescent="0.25">
      <c r="A1700" s="92">
        <v>45869</v>
      </c>
      <c r="B1700" s="93" t="s">
        <v>325</v>
      </c>
      <c r="C1700" s="89" t="s">
        <v>40</v>
      </c>
      <c r="D1700" s="93" t="s">
        <v>210</v>
      </c>
      <c r="E1700" s="93" t="s">
        <v>34</v>
      </c>
      <c r="F1700" s="93" t="s">
        <v>399</v>
      </c>
      <c r="G1700" s="93" t="s">
        <v>347</v>
      </c>
      <c r="H1700" s="93" t="s">
        <v>343</v>
      </c>
      <c r="I1700" s="94">
        <v>0.17</v>
      </c>
      <c r="J1700" s="95">
        <v>12.750000000000002</v>
      </c>
    </row>
    <row r="1701" spans="1:10" x14ac:dyDescent="0.25">
      <c r="A1701" s="92">
        <v>45869</v>
      </c>
      <c r="B1701" s="93" t="s">
        <v>325</v>
      </c>
      <c r="C1701" s="89" t="s">
        <v>40</v>
      </c>
      <c r="D1701" s="93" t="s">
        <v>224</v>
      </c>
      <c r="E1701" s="93" t="s">
        <v>34</v>
      </c>
      <c r="F1701" s="93" t="s">
        <v>423</v>
      </c>
      <c r="G1701" s="93" t="s">
        <v>347</v>
      </c>
      <c r="H1701" s="93" t="s">
        <v>343</v>
      </c>
      <c r="I1701" s="94">
        <v>0.17</v>
      </c>
      <c r="J1701" s="95">
        <v>12.750000000000002</v>
      </c>
    </row>
    <row r="1702" spans="1:10" x14ac:dyDescent="0.25">
      <c r="A1702" s="92">
        <v>45869</v>
      </c>
      <c r="B1702" s="93" t="s">
        <v>325</v>
      </c>
      <c r="C1702" s="89" t="s">
        <v>40</v>
      </c>
      <c r="D1702" s="93" t="s">
        <v>291</v>
      </c>
      <c r="E1702" s="93" t="s">
        <v>34</v>
      </c>
      <c r="F1702" s="93" t="s">
        <v>412</v>
      </c>
      <c r="G1702" s="93" t="s">
        <v>347</v>
      </c>
      <c r="H1702" s="93" t="s">
        <v>343</v>
      </c>
      <c r="I1702" s="94">
        <v>0.17</v>
      </c>
      <c r="J1702" s="95">
        <v>12.750000000000002</v>
      </c>
    </row>
    <row r="1703" spans="1:10" x14ac:dyDescent="0.25">
      <c r="A1703" s="92">
        <v>45869</v>
      </c>
      <c r="B1703" s="93" t="s">
        <v>330</v>
      </c>
      <c r="C1703" s="89" t="s">
        <v>40</v>
      </c>
      <c r="D1703" s="93" t="s">
        <v>263</v>
      </c>
      <c r="E1703" s="93" t="s">
        <v>34</v>
      </c>
      <c r="F1703" s="93" t="s">
        <v>383</v>
      </c>
      <c r="G1703" s="93" t="s">
        <v>347</v>
      </c>
      <c r="H1703" s="93" t="s">
        <v>343</v>
      </c>
      <c r="I1703" s="94">
        <v>0.57999999999999996</v>
      </c>
      <c r="J1703" s="95">
        <v>34.799999999999997</v>
      </c>
    </row>
    <row r="1704" spans="1:10" x14ac:dyDescent="0.25">
      <c r="A1704" s="92">
        <v>45869</v>
      </c>
      <c r="B1704" s="93" t="s">
        <v>326</v>
      </c>
      <c r="C1704" s="89" t="s">
        <v>40</v>
      </c>
      <c r="D1704" s="93" t="s">
        <v>236</v>
      </c>
      <c r="E1704" s="93" t="s">
        <v>36</v>
      </c>
      <c r="F1704" s="93" t="s">
        <v>357</v>
      </c>
      <c r="G1704" s="93" t="s">
        <v>348</v>
      </c>
      <c r="H1704" s="93" t="s">
        <v>342</v>
      </c>
      <c r="I1704" s="94">
        <v>0.5</v>
      </c>
      <c r="J1704" s="95">
        <v>30</v>
      </c>
    </row>
    <row r="1705" spans="1:10" x14ac:dyDescent="0.25">
      <c r="A1705" s="92">
        <v>45869</v>
      </c>
      <c r="B1705" s="93" t="s">
        <v>326</v>
      </c>
      <c r="C1705" s="89" t="s">
        <v>40</v>
      </c>
      <c r="D1705" s="93" t="s">
        <v>300</v>
      </c>
      <c r="E1705" s="93" t="s">
        <v>34</v>
      </c>
      <c r="F1705" s="93" t="s">
        <v>464</v>
      </c>
      <c r="G1705" s="93" t="s">
        <v>348</v>
      </c>
      <c r="H1705" s="93" t="s">
        <v>343</v>
      </c>
      <c r="I1705" s="94">
        <v>0.67</v>
      </c>
      <c r="J1705" s="95">
        <v>40.200000000000003</v>
      </c>
    </row>
    <row r="1706" spans="1:10" x14ac:dyDescent="0.25">
      <c r="A1706" s="92">
        <v>45869</v>
      </c>
      <c r="B1706" s="93" t="s">
        <v>332</v>
      </c>
      <c r="C1706" s="89" t="s">
        <v>40</v>
      </c>
      <c r="D1706" s="93" t="s">
        <v>314</v>
      </c>
      <c r="E1706" s="93" t="s">
        <v>35</v>
      </c>
      <c r="F1706" s="93" t="s">
        <v>359</v>
      </c>
      <c r="G1706" s="93" t="s">
        <v>339</v>
      </c>
      <c r="H1706" s="93" t="s">
        <v>352</v>
      </c>
      <c r="I1706" s="94">
        <v>8.83</v>
      </c>
      <c r="J1706" s="95">
        <v>353.2</v>
      </c>
    </row>
    <row r="1707" spans="1:10" x14ac:dyDescent="0.25">
      <c r="A1707" s="92">
        <v>45869</v>
      </c>
      <c r="B1707" s="93" t="s">
        <v>324</v>
      </c>
      <c r="C1707" s="89" t="s">
        <v>40</v>
      </c>
      <c r="D1707" s="93" t="s">
        <v>314</v>
      </c>
      <c r="E1707" s="93" t="s">
        <v>35</v>
      </c>
      <c r="F1707" s="93" t="s">
        <v>359</v>
      </c>
      <c r="G1707" s="93" t="s">
        <v>339</v>
      </c>
      <c r="H1707" s="93" t="s">
        <v>352</v>
      </c>
      <c r="I1707" s="94">
        <v>5.5</v>
      </c>
      <c r="J1707" s="95">
        <v>412.5</v>
      </c>
    </row>
    <row r="1708" spans="1:10" x14ac:dyDescent="0.25">
      <c r="A1708" s="92">
        <v>45870</v>
      </c>
      <c r="B1708" s="93" t="s">
        <v>329</v>
      </c>
      <c r="C1708" s="89" t="s">
        <v>40</v>
      </c>
      <c r="D1708" s="93" t="s">
        <v>221</v>
      </c>
      <c r="E1708" s="93" t="s">
        <v>341</v>
      </c>
      <c r="F1708" s="93" t="s">
        <v>369</v>
      </c>
      <c r="G1708" s="93" t="s">
        <v>347</v>
      </c>
      <c r="H1708" s="93" t="s">
        <v>344</v>
      </c>
      <c r="I1708" s="94">
        <v>1.5</v>
      </c>
      <c r="J1708" s="95">
        <v>112.5</v>
      </c>
    </row>
    <row r="1709" spans="1:10" x14ac:dyDescent="0.25">
      <c r="A1709" s="92">
        <v>45870</v>
      </c>
      <c r="B1709" s="93" t="s">
        <v>329</v>
      </c>
      <c r="C1709" s="89" t="s">
        <v>40</v>
      </c>
      <c r="D1709" s="93" t="s">
        <v>316</v>
      </c>
      <c r="E1709" s="93" t="s">
        <v>35</v>
      </c>
      <c r="F1709" s="93" t="s">
        <v>338</v>
      </c>
      <c r="G1709" s="93" t="s">
        <v>337</v>
      </c>
      <c r="H1709" s="93" t="s">
        <v>352</v>
      </c>
      <c r="I1709" s="94">
        <v>1.33</v>
      </c>
      <c r="J1709" s="95">
        <v>99.75</v>
      </c>
    </row>
    <row r="1710" spans="1:10" x14ac:dyDescent="0.25">
      <c r="A1710" s="92">
        <v>45870</v>
      </c>
      <c r="B1710" s="93" t="s">
        <v>333</v>
      </c>
      <c r="C1710" s="89" t="s">
        <v>40</v>
      </c>
      <c r="D1710" s="93" t="s">
        <v>320</v>
      </c>
      <c r="E1710" s="93" t="s">
        <v>35</v>
      </c>
      <c r="F1710" s="93" t="s">
        <v>322</v>
      </c>
      <c r="G1710" s="93" t="s">
        <v>319</v>
      </c>
      <c r="H1710" s="93" t="s">
        <v>352</v>
      </c>
      <c r="I1710" s="94">
        <v>7.33</v>
      </c>
      <c r="J1710" s="95">
        <v>234.56</v>
      </c>
    </row>
    <row r="1711" spans="1:10" x14ac:dyDescent="0.25">
      <c r="A1711" s="92">
        <v>45870</v>
      </c>
      <c r="B1711" s="93" t="s">
        <v>327</v>
      </c>
      <c r="C1711" s="89" t="s">
        <v>40</v>
      </c>
      <c r="D1711" s="93" t="s">
        <v>320</v>
      </c>
      <c r="E1711" s="93" t="s">
        <v>35</v>
      </c>
      <c r="F1711" s="93" t="s">
        <v>322</v>
      </c>
      <c r="G1711" s="93" t="s">
        <v>319</v>
      </c>
      <c r="H1711" s="93" t="s">
        <v>352</v>
      </c>
      <c r="I1711" s="94">
        <v>7.25</v>
      </c>
      <c r="J1711" s="95">
        <v>232</v>
      </c>
    </row>
    <row r="1712" spans="1:10" x14ac:dyDescent="0.25">
      <c r="A1712" s="92">
        <v>45870</v>
      </c>
      <c r="B1712" s="93" t="s">
        <v>323</v>
      </c>
      <c r="C1712" s="89" t="s">
        <v>40</v>
      </c>
      <c r="D1712" s="93" t="s">
        <v>286</v>
      </c>
      <c r="E1712" s="93" t="s">
        <v>36</v>
      </c>
      <c r="F1712" s="93" t="s">
        <v>434</v>
      </c>
      <c r="G1712" s="93" t="s">
        <v>346</v>
      </c>
      <c r="H1712" s="93" t="s">
        <v>342</v>
      </c>
      <c r="I1712" s="94">
        <v>0.33</v>
      </c>
      <c r="J1712" s="95">
        <v>19.8</v>
      </c>
    </row>
    <row r="1713" spans="1:10" x14ac:dyDescent="0.25">
      <c r="A1713" s="92">
        <v>45870</v>
      </c>
      <c r="B1713" s="93" t="s">
        <v>323</v>
      </c>
      <c r="C1713" s="89" t="s">
        <v>40</v>
      </c>
      <c r="D1713" s="93" t="s">
        <v>283</v>
      </c>
      <c r="E1713" s="93" t="s">
        <v>34</v>
      </c>
      <c r="F1713" s="93" t="s">
        <v>429</v>
      </c>
      <c r="G1713" s="93" t="s">
        <v>346</v>
      </c>
      <c r="H1713" s="93" t="s">
        <v>343</v>
      </c>
      <c r="I1713" s="94">
        <v>0.5</v>
      </c>
      <c r="J1713" s="95">
        <v>30</v>
      </c>
    </row>
    <row r="1714" spans="1:10" x14ac:dyDescent="0.25">
      <c r="A1714" s="92">
        <v>45870</v>
      </c>
      <c r="B1714" s="93" t="s">
        <v>330</v>
      </c>
      <c r="C1714" s="89" t="s">
        <v>40</v>
      </c>
      <c r="D1714" s="93" t="s">
        <v>252</v>
      </c>
      <c r="E1714" s="93" t="s">
        <v>36</v>
      </c>
      <c r="F1714" s="93" t="s">
        <v>416</v>
      </c>
      <c r="G1714" s="93" t="s">
        <v>347</v>
      </c>
      <c r="H1714" s="93" t="s">
        <v>342</v>
      </c>
      <c r="I1714" s="94">
        <v>0.5</v>
      </c>
      <c r="J1714" s="95">
        <v>30</v>
      </c>
    </row>
    <row r="1715" spans="1:10" x14ac:dyDescent="0.25">
      <c r="A1715" s="92">
        <v>45870</v>
      </c>
      <c r="B1715" s="93" t="s">
        <v>329</v>
      </c>
      <c r="C1715" s="89" t="s">
        <v>40</v>
      </c>
      <c r="D1715" s="93" t="s">
        <v>176</v>
      </c>
      <c r="E1715" s="93" t="s">
        <v>34</v>
      </c>
      <c r="F1715" s="93" t="s">
        <v>458</v>
      </c>
      <c r="G1715" s="93" t="s">
        <v>347</v>
      </c>
      <c r="H1715" s="93" t="s">
        <v>343</v>
      </c>
      <c r="I1715" s="94">
        <v>0.67</v>
      </c>
      <c r="J1715" s="95">
        <v>50.25</v>
      </c>
    </row>
    <row r="1716" spans="1:10" x14ac:dyDescent="0.25">
      <c r="A1716" s="92">
        <v>45870</v>
      </c>
      <c r="B1716" s="93" t="s">
        <v>329</v>
      </c>
      <c r="C1716" s="89" t="s">
        <v>40</v>
      </c>
      <c r="D1716" s="93" t="s">
        <v>303</v>
      </c>
      <c r="E1716" s="93" t="s">
        <v>34</v>
      </c>
      <c r="F1716" s="93" t="s">
        <v>400</v>
      </c>
      <c r="G1716" s="93" t="s">
        <v>347</v>
      </c>
      <c r="H1716" s="93" t="s">
        <v>343</v>
      </c>
      <c r="I1716" s="94">
        <v>0.33</v>
      </c>
      <c r="J1716" s="95">
        <v>24.75</v>
      </c>
    </row>
    <row r="1717" spans="1:10" x14ac:dyDescent="0.25">
      <c r="A1717" s="92">
        <v>45870</v>
      </c>
      <c r="B1717" s="93" t="s">
        <v>329</v>
      </c>
      <c r="C1717" s="89" t="s">
        <v>40</v>
      </c>
      <c r="D1717" s="93" t="s">
        <v>248</v>
      </c>
      <c r="E1717" s="93" t="s">
        <v>34</v>
      </c>
      <c r="F1717" s="93" t="s">
        <v>385</v>
      </c>
      <c r="G1717" s="93" t="s">
        <v>347</v>
      </c>
      <c r="H1717" s="93" t="s">
        <v>343</v>
      </c>
      <c r="I1717" s="94">
        <v>0.25</v>
      </c>
      <c r="J1717" s="95">
        <v>18.75</v>
      </c>
    </row>
    <row r="1718" spans="1:10" x14ac:dyDescent="0.25">
      <c r="A1718" s="92">
        <v>45870</v>
      </c>
      <c r="B1718" s="93" t="s">
        <v>329</v>
      </c>
      <c r="C1718" s="89" t="s">
        <v>40</v>
      </c>
      <c r="D1718" s="93" t="s">
        <v>247</v>
      </c>
      <c r="E1718" s="93" t="s">
        <v>34</v>
      </c>
      <c r="F1718" s="93" t="s">
        <v>375</v>
      </c>
      <c r="G1718" s="93" t="s">
        <v>347</v>
      </c>
      <c r="H1718" s="93" t="s">
        <v>343</v>
      </c>
      <c r="I1718" s="94">
        <v>0.75</v>
      </c>
      <c r="J1718" s="95">
        <v>56.25</v>
      </c>
    </row>
    <row r="1719" spans="1:10" x14ac:dyDescent="0.25">
      <c r="A1719" s="92">
        <v>45870</v>
      </c>
      <c r="B1719" s="93" t="s">
        <v>329</v>
      </c>
      <c r="C1719" s="89" t="s">
        <v>40</v>
      </c>
      <c r="D1719" s="93" t="s">
        <v>299</v>
      </c>
      <c r="E1719" s="93" t="s">
        <v>312</v>
      </c>
      <c r="F1719" s="93" t="s">
        <v>455</v>
      </c>
      <c r="G1719" s="93" t="s">
        <v>347</v>
      </c>
      <c r="H1719" s="93" t="s">
        <v>350</v>
      </c>
      <c r="I1719" s="94">
        <v>0.67</v>
      </c>
      <c r="J1719" s="95">
        <v>50.25</v>
      </c>
    </row>
    <row r="1720" spans="1:10" x14ac:dyDescent="0.25">
      <c r="A1720" s="92">
        <v>45870</v>
      </c>
      <c r="B1720" s="93" t="s">
        <v>332</v>
      </c>
      <c r="C1720" s="89" t="s">
        <v>40</v>
      </c>
      <c r="D1720" s="93" t="s">
        <v>314</v>
      </c>
      <c r="E1720" s="93" t="s">
        <v>35</v>
      </c>
      <c r="F1720" s="93" t="s">
        <v>359</v>
      </c>
      <c r="G1720" s="93" t="s">
        <v>339</v>
      </c>
      <c r="H1720" s="93" t="s">
        <v>352</v>
      </c>
      <c r="I1720" s="94">
        <v>8.67</v>
      </c>
      <c r="J1720" s="95">
        <v>346.8</v>
      </c>
    </row>
    <row r="1721" spans="1:10" x14ac:dyDescent="0.25">
      <c r="A1721" s="92">
        <v>45870</v>
      </c>
      <c r="B1721" s="93" t="s">
        <v>324</v>
      </c>
      <c r="C1721" s="89" t="s">
        <v>40</v>
      </c>
      <c r="D1721" s="93" t="s">
        <v>314</v>
      </c>
      <c r="E1721" s="93" t="s">
        <v>35</v>
      </c>
      <c r="F1721" s="93" t="s">
        <v>359</v>
      </c>
      <c r="G1721" s="93" t="s">
        <v>339</v>
      </c>
      <c r="H1721" s="93" t="s">
        <v>352</v>
      </c>
      <c r="I1721" s="94">
        <v>5</v>
      </c>
      <c r="J1721" s="95">
        <v>375</v>
      </c>
    </row>
    <row r="1722" spans="1:10" x14ac:dyDescent="0.25">
      <c r="A1722" s="92">
        <v>45871</v>
      </c>
      <c r="B1722" s="93" t="s">
        <v>332</v>
      </c>
      <c r="C1722" s="89" t="s">
        <v>40</v>
      </c>
      <c r="D1722" s="93" t="s">
        <v>314</v>
      </c>
      <c r="E1722" s="93" t="s">
        <v>35</v>
      </c>
      <c r="F1722" s="93" t="s">
        <v>359</v>
      </c>
      <c r="G1722" s="93" t="s">
        <v>339</v>
      </c>
      <c r="H1722" s="93" t="s">
        <v>352</v>
      </c>
      <c r="I1722" s="94">
        <v>4</v>
      </c>
      <c r="J1722" s="95">
        <v>160</v>
      </c>
    </row>
    <row r="1723" spans="1:10" x14ac:dyDescent="0.25">
      <c r="A1723" s="92">
        <v>45873</v>
      </c>
      <c r="B1723" s="93" t="s">
        <v>329</v>
      </c>
      <c r="C1723" s="89" t="s">
        <v>40</v>
      </c>
      <c r="D1723" s="93" t="s">
        <v>316</v>
      </c>
      <c r="E1723" s="93" t="s">
        <v>35</v>
      </c>
      <c r="F1723" s="93" t="s">
        <v>338</v>
      </c>
      <c r="G1723" s="93" t="s">
        <v>337</v>
      </c>
      <c r="H1723" s="93" t="s">
        <v>352</v>
      </c>
      <c r="I1723" s="94">
        <v>0.5</v>
      </c>
      <c r="J1723" s="95">
        <v>37.5</v>
      </c>
    </row>
    <row r="1724" spans="1:10" x14ac:dyDescent="0.25">
      <c r="A1724" s="92">
        <v>45873</v>
      </c>
      <c r="B1724" s="93" t="s">
        <v>325</v>
      </c>
      <c r="C1724" s="89" t="s">
        <v>40</v>
      </c>
      <c r="D1724" s="93" t="s">
        <v>179</v>
      </c>
      <c r="E1724" s="93" t="s">
        <v>341</v>
      </c>
      <c r="F1724" s="93" t="s">
        <v>422</v>
      </c>
      <c r="G1724" s="93" t="s">
        <v>347</v>
      </c>
      <c r="H1724" s="93" t="s">
        <v>344</v>
      </c>
      <c r="I1724" s="94">
        <v>1.67</v>
      </c>
      <c r="J1724" s="95">
        <v>125.25</v>
      </c>
    </row>
    <row r="1725" spans="1:10" x14ac:dyDescent="0.25">
      <c r="A1725" s="92">
        <v>45873</v>
      </c>
      <c r="B1725" s="93" t="s">
        <v>327</v>
      </c>
      <c r="C1725" s="89" t="s">
        <v>40</v>
      </c>
      <c r="D1725" s="93" t="s">
        <v>320</v>
      </c>
      <c r="E1725" s="93" t="s">
        <v>35</v>
      </c>
      <c r="F1725" s="93" t="s">
        <v>322</v>
      </c>
      <c r="G1725" s="93" t="s">
        <v>319</v>
      </c>
      <c r="H1725" s="93" t="s">
        <v>352</v>
      </c>
      <c r="I1725" s="94">
        <v>8.33</v>
      </c>
      <c r="J1725" s="95">
        <v>266.56</v>
      </c>
    </row>
    <row r="1726" spans="1:10" x14ac:dyDescent="0.25">
      <c r="A1726" s="92">
        <v>45873</v>
      </c>
      <c r="B1726" s="93" t="s">
        <v>323</v>
      </c>
      <c r="C1726" s="89" t="s">
        <v>40</v>
      </c>
      <c r="D1726" s="93" t="s">
        <v>283</v>
      </c>
      <c r="E1726" s="93" t="s">
        <v>36</v>
      </c>
      <c r="F1726" s="93" t="s">
        <v>429</v>
      </c>
      <c r="G1726" s="93" t="s">
        <v>346</v>
      </c>
      <c r="H1726" s="93" t="s">
        <v>342</v>
      </c>
      <c r="I1726" s="94">
        <v>1</v>
      </c>
      <c r="J1726" s="95">
        <v>60</v>
      </c>
    </row>
    <row r="1727" spans="1:10" x14ac:dyDescent="0.25">
      <c r="A1727" s="92">
        <v>45873</v>
      </c>
      <c r="B1727" s="93" t="s">
        <v>329</v>
      </c>
      <c r="C1727" s="89" t="s">
        <v>40</v>
      </c>
      <c r="D1727" s="93" t="s">
        <v>186</v>
      </c>
      <c r="E1727" s="93" t="s">
        <v>34</v>
      </c>
      <c r="F1727" s="93" t="s">
        <v>397</v>
      </c>
      <c r="G1727" s="93" t="s">
        <v>347</v>
      </c>
      <c r="H1727" s="93" t="s">
        <v>343</v>
      </c>
      <c r="I1727" s="94">
        <v>0.17</v>
      </c>
      <c r="J1727" s="95">
        <v>12.750000000000002</v>
      </c>
    </row>
    <row r="1728" spans="1:10" x14ac:dyDescent="0.25">
      <c r="A1728" s="92">
        <v>45873</v>
      </c>
      <c r="B1728" s="93" t="s">
        <v>325</v>
      </c>
      <c r="C1728" s="89" t="s">
        <v>40</v>
      </c>
      <c r="D1728" s="93" t="s">
        <v>179</v>
      </c>
      <c r="E1728" s="93" t="s">
        <v>34</v>
      </c>
      <c r="F1728" s="93" t="s">
        <v>422</v>
      </c>
      <c r="G1728" s="93" t="s">
        <v>347</v>
      </c>
      <c r="H1728" s="93" t="s">
        <v>343</v>
      </c>
      <c r="I1728" s="94">
        <v>0.17</v>
      </c>
      <c r="J1728" s="95">
        <v>12.750000000000002</v>
      </c>
    </row>
    <row r="1729" spans="1:10" x14ac:dyDescent="0.25">
      <c r="A1729" s="92">
        <v>45873</v>
      </c>
      <c r="B1729" s="93" t="s">
        <v>325</v>
      </c>
      <c r="C1729" s="89" t="s">
        <v>40</v>
      </c>
      <c r="D1729" s="93" t="s">
        <v>249</v>
      </c>
      <c r="E1729" s="93" t="s">
        <v>34</v>
      </c>
      <c r="F1729" s="93" t="s">
        <v>409</v>
      </c>
      <c r="G1729" s="93" t="s">
        <v>347</v>
      </c>
      <c r="H1729" s="93" t="s">
        <v>343</v>
      </c>
      <c r="I1729" s="94">
        <v>0.33</v>
      </c>
      <c r="J1729" s="95">
        <v>24.75</v>
      </c>
    </row>
    <row r="1730" spans="1:10" x14ac:dyDescent="0.25">
      <c r="A1730" s="92">
        <v>45873</v>
      </c>
      <c r="B1730" s="93" t="s">
        <v>329</v>
      </c>
      <c r="C1730" s="89" t="s">
        <v>40</v>
      </c>
      <c r="D1730" s="93" t="s">
        <v>299</v>
      </c>
      <c r="E1730" s="93" t="s">
        <v>312</v>
      </c>
      <c r="F1730" s="93" t="s">
        <v>455</v>
      </c>
      <c r="G1730" s="93" t="s">
        <v>347</v>
      </c>
      <c r="H1730" s="93" t="s">
        <v>350</v>
      </c>
      <c r="I1730" s="94">
        <v>1.75</v>
      </c>
      <c r="J1730" s="95">
        <v>131.25</v>
      </c>
    </row>
    <row r="1731" spans="1:10" x14ac:dyDescent="0.25">
      <c r="A1731" s="92">
        <v>45873</v>
      </c>
      <c r="B1731" s="93" t="s">
        <v>326</v>
      </c>
      <c r="C1731" s="89" t="s">
        <v>40</v>
      </c>
      <c r="D1731" s="93" t="s">
        <v>227</v>
      </c>
      <c r="E1731" s="93" t="s">
        <v>36</v>
      </c>
      <c r="F1731" s="93" t="s">
        <v>453</v>
      </c>
      <c r="G1731" s="93" t="s">
        <v>348</v>
      </c>
      <c r="H1731" s="93" t="s">
        <v>342</v>
      </c>
      <c r="I1731" s="94">
        <v>0.5</v>
      </c>
      <c r="J1731" s="95">
        <v>30</v>
      </c>
    </row>
    <row r="1732" spans="1:10" x14ac:dyDescent="0.25">
      <c r="A1732" s="92">
        <v>45873</v>
      </c>
      <c r="B1732" s="93" t="s">
        <v>326</v>
      </c>
      <c r="C1732" s="89" t="s">
        <v>40</v>
      </c>
      <c r="D1732" s="93" t="s">
        <v>265</v>
      </c>
      <c r="E1732" s="93" t="s">
        <v>34</v>
      </c>
      <c r="F1732" s="93" t="s">
        <v>358</v>
      </c>
      <c r="G1732" s="93" t="s">
        <v>348</v>
      </c>
      <c r="H1732" s="93" t="s">
        <v>343</v>
      </c>
      <c r="I1732" s="94">
        <v>0.67</v>
      </c>
      <c r="J1732" s="95">
        <v>40.200000000000003</v>
      </c>
    </row>
    <row r="1733" spans="1:10" x14ac:dyDescent="0.25">
      <c r="A1733" s="92">
        <v>45873</v>
      </c>
      <c r="B1733" s="93" t="s">
        <v>332</v>
      </c>
      <c r="C1733" s="89" t="s">
        <v>40</v>
      </c>
      <c r="D1733" s="93" t="s">
        <v>314</v>
      </c>
      <c r="E1733" s="93" t="s">
        <v>35</v>
      </c>
      <c r="F1733" s="93" t="s">
        <v>359</v>
      </c>
      <c r="G1733" s="93" t="s">
        <v>339</v>
      </c>
      <c r="H1733" s="93" t="s">
        <v>352</v>
      </c>
      <c r="I1733" s="94">
        <v>8.67</v>
      </c>
      <c r="J1733" s="95">
        <v>346.8</v>
      </c>
    </row>
    <row r="1734" spans="1:10" x14ac:dyDescent="0.25">
      <c r="A1734" s="92">
        <v>45873</v>
      </c>
      <c r="B1734" s="93" t="s">
        <v>324</v>
      </c>
      <c r="C1734" s="89" t="s">
        <v>40</v>
      </c>
      <c r="D1734" s="93" t="s">
        <v>314</v>
      </c>
      <c r="E1734" s="93" t="s">
        <v>35</v>
      </c>
      <c r="F1734" s="93" t="s">
        <v>359</v>
      </c>
      <c r="G1734" s="93" t="s">
        <v>339</v>
      </c>
      <c r="H1734" s="93" t="s">
        <v>352</v>
      </c>
      <c r="I1734" s="94">
        <v>4</v>
      </c>
      <c r="J1734" s="95">
        <v>300</v>
      </c>
    </row>
    <row r="1735" spans="1:10" x14ac:dyDescent="0.25">
      <c r="A1735" s="92">
        <v>45874</v>
      </c>
      <c r="B1735" s="93" t="s">
        <v>329</v>
      </c>
      <c r="C1735" s="89" t="s">
        <v>40</v>
      </c>
      <c r="D1735" s="93" t="s">
        <v>316</v>
      </c>
      <c r="E1735" s="93" t="s">
        <v>35</v>
      </c>
      <c r="F1735" s="93" t="s">
        <v>338</v>
      </c>
      <c r="G1735" s="93" t="s">
        <v>337</v>
      </c>
      <c r="H1735" s="93" t="s">
        <v>352</v>
      </c>
      <c r="I1735" s="94">
        <v>0.83</v>
      </c>
      <c r="J1735" s="95">
        <v>62.25</v>
      </c>
    </row>
    <row r="1736" spans="1:10" x14ac:dyDescent="0.25">
      <c r="A1736" s="92">
        <v>45874</v>
      </c>
      <c r="B1736" s="93" t="s">
        <v>329</v>
      </c>
      <c r="C1736" s="89" t="s">
        <v>40</v>
      </c>
      <c r="D1736" s="93" t="s">
        <v>301</v>
      </c>
      <c r="E1736" s="93" t="s">
        <v>341</v>
      </c>
      <c r="F1736" s="93" t="s">
        <v>371</v>
      </c>
      <c r="G1736" s="93" t="s">
        <v>347</v>
      </c>
      <c r="H1736" s="93" t="s">
        <v>344</v>
      </c>
      <c r="I1736" s="94">
        <v>1</v>
      </c>
      <c r="J1736" s="95">
        <v>75</v>
      </c>
    </row>
    <row r="1737" spans="1:10" x14ac:dyDescent="0.25">
      <c r="A1737" s="92">
        <v>45874</v>
      </c>
      <c r="B1737" s="93" t="s">
        <v>327</v>
      </c>
      <c r="C1737" s="89" t="s">
        <v>40</v>
      </c>
      <c r="D1737" s="93" t="s">
        <v>320</v>
      </c>
      <c r="E1737" s="93" t="s">
        <v>35</v>
      </c>
      <c r="F1737" s="93" t="s">
        <v>322</v>
      </c>
      <c r="G1737" s="93" t="s">
        <v>319</v>
      </c>
      <c r="H1737" s="93" t="s">
        <v>352</v>
      </c>
      <c r="I1737" s="94">
        <v>8.5</v>
      </c>
      <c r="J1737" s="95">
        <v>272</v>
      </c>
    </row>
    <row r="1738" spans="1:10" x14ac:dyDescent="0.25">
      <c r="A1738" s="92">
        <v>45874</v>
      </c>
      <c r="B1738" s="93" t="s">
        <v>323</v>
      </c>
      <c r="C1738" s="89" t="s">
        <v>40</v>
      </c>
      <c r="D1738" s="93" t="s">
        <v>266</v>
      </c>
      <c r="E1738" s="93" t="s">
        <v>36</v>
      </c>
      <c r="F1738" s="93" t="s">
        <v>394</v>
      </c>
      <c r="G1738" s="93" t="s">
        <v>346</v>
      </c>
      <c r="H1738" s="93" t="s">
        <v>342</v>
      </c>
      <c r="I1738" s="94">
        <v>0.33</v>
      </c>
      <c r="J1738" s="95">
        <v>19.8</v>
      </c>
    </row>
    <row r="1739" spans="1:10" x14ac:dyDescent="0.25">
      <c r="A1739" s="92">
        <v>45874</v>
      </c>
      <c r="B1739" s="93" t="s">
        <v>329</v>
      </c>
      <c r="C1739" s="89" t="s">
        <v>40</v>
      </c>
      <c r="D1739" s="93" t="s">
        <v>248</v>
      </c>
      <c r="E1739" s="93" t="s">
        <v>34</v>
      </c>
      <c r="F1739" s="93" t="s">
        <v>385</v>
      </c>
      <c r="G1739" s="93" t="s">
        <v>347</v>
      </c>
      <c r="H1739" s="93" t="s">
        <v>343</v>
      </c>
      <c r="I1739" s="94">
        <v>0.17</v>
      </c>
      <c r="J1739" s="95">
        <v>12.750000000000002</v>
      </c>
    </row>
    <row r="1740" spans="1:10" x14ac:dyDescent="0.25">
      <c r="A1740" s="92">
        <v>45874</v>
      </c>
      <c r="B1740" s="93" t="s">
        <v>332</v>
      </c>
      <c r="C1740" s="89" t="s">
        <v>40</v>
      </c>
      <c r="D1740" s="93" t="s">
        <v>314</v>
      </c>
      <c r="E1740" s="93" t="s">
        <v>35</v>
      </c>
      <c r="F1740" s="93" t="s">
        <v>359</v>
      </c>
      <c r="G1740" s="93" t="s">
        <v>339</v>
      </c>
      <c r="H1740" s="93" t="s">
        <v>352</v>
      </c>
      <c r="I1740" s="94">
        <v>8.67</v>
      </c>
      <c r="J1740" s="95">
        <v>346.8</v>
      </c>
    </row>
    <row r="1741" spans="1:10" x14ac:dyDescent="0.25">
      <c r="A1741" s="92">
        <v>45874</v>
      </c>
      <c r="B1741" s="93" t="s">
        <v>324</v>
      </c>
      <c r="C1741" s="89" t="s">
        <v>40</v>
      </c>
      <c r="D1741" s="93" t="s">
        <v>314</v>
      </c>
      <c r="E1741" s="93" t="s">
        <v>35</v>
      </c>
      <c r="F1741" s="93" t="s">
        <v>359</v>
      </c>
      <c r="G1741" s="93" t="s">
        <v>339</v>
      </c>
      <c r="H1741" s="93" t="s">
        <v>352</v>
      </c>
      <c r="I1741" s="94">
        <v>4.75</v>
      </c>
      <c r="J1741" s="95">
        <v>356.25</v>
      </c>
    </row>
    <row r="1742" spans="1:10" x14ac:dyDescent="0.25">
      <c r="A1742" s="92">
        <v>45875</v>
      </c>
      <c r="B1742" s="93" t="s">
        <v>329</v>
      </c>
      <c r="C1742" s="89" t="s">
        <v>40</v>
      </c>
      <c r="D1742" s="93" t="s">
        <v>316</v>
      </c>
      <c r="E1742" s="93" t="s">
        <v>35</v>
      </c>
      <c r="F1742" s="93" t="s">
        <v>338</v>
      </c>
      <c r="G1742" s="93" t="s">
        <v>337</v>
      </c>
      <c r="H1742" s="93" t="s">
        <v>352</v>
      </c>
      <c r="I1742" s="94">
        <v>0.42</v>
      </c>
      <c r="J1742" s="95">
        <v>31.5</v>
      </c>
    </row>
    <row r="1743" spans="1:10" x14ac:dyDescent="0.25">
      <c r="A1743" s="92">
        <v>45875</v>
      </c>
      <c r="B1743" s="93" t="s">
        <v>327</v>
      </c>
      <c r="C1743" s="89" t="s">
        <v>40</v>
      </c>
      <c r="D1743" s="93" t="s">
        <v>320</v>
      </c>
      <c r="E1743" s="93" t="s">
        <v>35</v>
      </c>
      <c r="F1743" s="93" t="s">
        <v>322</v>
      </c>
      <c r="G1743" s="93" t="s">
        <v>319</v>
      </c>
      <c r="H1743" s="93" t="s">
        <v>352</v>
      </c>
      <c r="I1743" s="94">
        <v>8.33</v>
      </c>
      <c r="J1743" s="95">
        <v>266.56</v>
      </c>
    </row>
    <row r="1744" spans="1:10" x14ac:dyDescent="0.25">
      <c r="A1744" s="92">
        <v>45875</v>
      </c>
      <c r="B1744" s="93" t="s">
        <v>323</v>
      </c>
      <c r="C1744" s="89" t="s">
        <v>40</v>
      </c>
      <c r="D1744" s="93" t="s">
        <v>283</v>
      </c>
      <c r="E1744" s="93" t="s">
        <v>341</v>
      </c>
      <c r="F1744" s="93" t="s">
        <v>429</v>
      </c>
      <c r="G1744" s="93" t="s">
        <v>346</v>
      </c>
      <c r="H1744" s="93" t="s">
        <v>344</v>
      </c>
      <c r="I1744" s="94">
        <v>2</v>
      </c>
      <c r="J1744" s="95">
        <v>120</v>
      </c>
    </row>
    <row r="1745" spans="1:10" x14ac:dyDescent="0.25">
      <c r="A1745" s="92">
        <v>45875</v>
      </c>
      <c r="B1745" s="93" t="s">
        <v>329</v>
      </c>
      <c r="C1745" s="89" t="s">
        <v>40</v>
      </c>
      <c r="D1745" s="93" t="s">
        <v>186</v>
      </c>
      <c r="E1745" s="93" t="s">
        <v>34</v>
      </c>
      <c r="F1745" s="93" t="s">
        <v>397</v>
      </c>
      <c r="G1745" s="93" t="s">
        <v>347</v>
      </c>
      <c r="H1745" s="93" t="s">
        <v>343</v>
      </c>
      <c r="I1745" s="94">
        <v>0.17</v>
      </c>
      <c r="J1745" s="95">
        <v>12.750000000000002</v>
      </c>
    </row>
    <row r="1746" spans="1:10" x14ac:dyDescent="0.25">
      <c r="A1746" s="92">
        <v>45875</v>
      </c>
      <c r="B1746" s="93" t="s">
        <v>329</v>
      </c>
      <c r="C1746" s="89" t="s">
        <v>40</v>
      </c>
      <c r="D1746" s="93" t="s">
        <v>206</v>
      </c>
      <c r="E1746" s="93" t="s">
        <v>34</v>
      </c>
      <c r="F1746" s="93" t="s">
        <v>367</v>
      </c>
      <c r="G1746" s="93" t="s">
        <v>347</v>
      </c>
      <c r="H1746" s="93" t="s">
        <v>343</v>
      </c>
      <c r="I1746" s="94">
        <v>0.17</v>
      </c>
      <c r="J1746" s="95">
        <v>12.750000000000002</v>
      </c>
    </row>
    <row r="1747" spans="1:10" x14ac:dyDescent="0.25">
      <c r="A1747" s="92">
        <v>45875</v>
      </c>
      <c r="B1747" s="93" t="s">
        <v>329</v>
      </c>
      <c r="C1747" s="89" t="s">
        <v>40</v>
      </c>
      <c r="D1747" s="93" t="s">
        <v>259</v>
      </c>
      <c r="E1747" s="93" t="s">
        <v>34</v>
      </c>
      <c r="F1747" s="93" t="s">
        <v>407</v>
      </c>
      <c r="G1747" s="93" t="s">
        <v>347</v>
      </c>
      <c r="H1747" s="93" t="s">
        <v>343</v>
      </c>
      <c r="I1747" s="94">
        <v>0.25</v>
      </c>
      <c r="J1747" s="95">
        <v>18.75</v>
      </c>
    </row>
    <row r="1748" spans="1:10" x14ac:dyDescent="0.25">
      <c r="A1748" s="92">
        <v>45875</v>
      </c>
      <c r="B1748" s="93" t="s">
        <v>329</v>
      </c>
      <c r="C1748" s="89" t="s">
        <v>40</v>
      </c>
      <c r="D1748" s="93" t="s">
        <v>248</v>
      </c>
      <c r="E1748" s="93" t="s">
        <v>34</v>
      </c>
      <c r="F1748" s="93" t="s">
        <v>385</v>
      </c>
      <c r="G1748" s="93" t="s">
        <v>347</v>
      </c>
      <c r="H1748" s="93" t="s">
        <v>343</v>
      </c>
      <c r="I1748" s="94">
        <v>0.25</v>
      </c>
      <c r="J1748" s="95">
        <v>18.75</v>
      </c>
    </row>
    <row r="1749" spans="1:10" x14ac:dyDescent="0.25">
      <c r="A1749" s="92">
        <v>45875</v>
      </c>
      <c r="B1749" s="93" t="s">
        <v>329</v>
      </c>
      <c r="C1749" s="89" t="s">
        <v>40</v>
      </c>
      <c r="D1749" s="93" t="s">
        <v>247</v>
      </c>
      <c r="E1749" s="93" t="s">
        <v>34</v>
      </c>
      <c r="F1749" s="93" t="s">
        <v>375</v>
      </c>
      <c r="G1749" s="93" t="s">
        <v>347</v>
      </c>
      <c r="H1749" s="93" t="s">
        <v>343</v>
      </c>
      <c r="I1749" s="94">
        <v>0.25</v>
      </c>
      <c r="J1749" s="95">
        <v>18.75</v>
      </c>
    </row>
    <row r="1750" spans="1:10" x14ac:dyDescent="0.25">
      <c r="A1750" s="92">
        <v>45875</v>
      </c>
      <c r="B1750" s="93" t="s">
        <v>329</v>
      </c>
      <c r="C1750" s="89" t="s">
        <v>40</v>
      </c>
      <c r="D1750" s="93" t="s">
        <v>268</v>
      </c>
      <c r="E1750" s="93" t="s">
        <v>34</v>
      </c>
      <c r="F1750" s="93" t="s">
        <v>386</v>
      </c>
      <c r="G1750" s="93" t="s">
        <v>347</v>
      </c>
      <c r="H1750" s="93" t="s">
        <v>343</v>
      </c>
      <c r="I1750" s="94">
        <v>0.25</v>
      </c>
      <c r="J1750" s="95">
        <v>18.75</v>
      </c>
    </row>
    <row r="1751" spans="1:10" x14ac:dyDescent="0.25">
      <c r="A1751" s="92">
        <v>45875</v>
      </c>
      <c r="B1751" s="93" t="s">
        <v>329</v>
      </c>
      <c r="C1751" s="89" t="s">
        <v>40</v>
      </c>
      <c r="D1751" s="93" t="s">
        <v>299</v>
      </c>
      <c r="E1751" s="93" t="s">
        <v>312</v>
      </c>
      <c r="F1751" s="93" t="s">
        <v>455</v>
      </c>
      <c r="G1751" s="93" t="s">
        <v>347</v>
      </c>
      <c r="H1751" s="93" t="s">
        <v>350</v>
      </c>
      <c r="I1751" s="94">
        <v>0.75</v>
      </c>
      <c r="J1751" s="95">
        <v>56.25</v>
      </c>
    </row>
    <row r="1752" spans="1:10" x14ac:dyDescent="0.25">
      <c r="A1752" s="92">
        <v>45875</v>
      </c>
      <c r="B1752" s="93" t="s">
        <v>332</v>
      </c>
      <c r="C1752" s="89" t="s">
        <v>40</v>
      </c>
      <c r="D1752" s="93" t="s">
        <v>314</v>
      </c>
      <c r="E1752" s="93" t="s">
        <v>35</v>
      </c>
      <c r="F1752" s="93" t="s">
        <v>359</v>
      </c>
      <c r="G1752" s="93" t="s">
        <v>339</v>
      </c>
      <c r="H1752" s="93" t="s">
        <v>352</v>
      </c>
      <c r="I1752" s="94">
        <v>7.5</v>
      </c>
      <c r="J1752" s="95">
        <v>300</v>
      </c>
    </row>
    <row r="1753" spans="1:10" x14ac:dyDescent="0.25">
      <c r="A1753" s="92">
        <v>45875</v>
      </c>
      <c r="B1753" s="93" t="s">
        <v>324</v>
      </c>
      <c r="C1753" s="89" t="s">
        <v>40</v>
      </c>
      <c r="D1753" s="93" t="s">
        <v>314</v>
      </c>
      <c r="E1753" s="93" t="s">
        <v>35</v>
      </c>
      <c r="F1753" s="93" t="s">
        <v>359</v>
      </c>
      <c r="G1753" s="93" t="s">
        <v>339</v>
      </c>
      <c r="H1753" s="93" t="s">
        <v>352</v>
      </c>
      <c r="I1753" s="94">
        <v>6.75</v>
      </c>
      <c r="J1753" s="95">
        <v>506.25</v>
      </c>
    </row>
    <row r="1754" spans="1:10" x14ac:dyDescent="0.25">
      <c r="A1754" s="92">
        <v>45876</v>
      </c>
      <c r="B1754" s="93" t="s">
        <v>327</v>
      </c>
      <c r="C1754" s="89" t="s">
        <v>40</v>
      </c>
      <c r="D1754" s="93" t="s">
        <v>320</v>
      </c>
      <c r="E1754" s="93" t="s">
        <v>35</v>
      </c>
      <c r="F1754" s="93" t="s">
        <v>322</v>
      </c>
      <c r="G1754" s="93" t="s">
        <v>319</v>
      </c>
      <c r="H1754" s="93" t="s">
        <v>352</v>
      </c>
      <c r="I1754" s="94">
        <v>8.67</v>
      </c>
      <c r="J1754" s="95">
        <v>277.44</v>
      </c>
    </row>
    <row r="1755" spans="1:10" x14ac:dyDescent="0.25">
      <c r="A1755" s="92">
        <v>45876</v>
      </c>
      <c r="B1755" s="93" t="s">
        <v>323</v>
      </c>
      <c r="C1755" s="89" t="s">
        <v>40</v>
      </c>
      <c r="D1755" s="93" t="s">
        <v>282</v>
      </c>
      <c r="E1755" s="93" t="s">
        <v>341</v>
      </c>
      <c r="F1755" s="93" t="s">
        <v>451</v>
      </c>
      <c r="G1755" s="93" t="s">
        <v>346</v>
      </c>
      <c r="H1755" s="93" t="s">
        <v>344</v>
      </c>
      <c r="I1755" s="94">
        <v>0.5</v>
      </c>
      <c r="J1755" s="95">
        <v>30</v>
      </c>
    </row>
    <row r="1756" spans="1:10" x14ac:dyDescent="0.25">
      <c r="A1756" s="92">
        <v>45876</v>
      </c>
      <c r="B1756" s="93" t="s">
        <v>329</v>
      </c>
      <c r="C1756" s="89" t="s">
        <v>40</v>
      </c>
      <c r="D1756" s="93" t="s">
        <v>301</v>
      </c>
      <c r="E1756" s="93" t="s">
        <v>34</v>
      </c>
      <c r="F1756" s="93" t="s">
        <v>371</v>
      </c>
      <c r="G1756" s="93" t="s">
        <v>347</v>
      </c>
      <c r="H1756" s="93" t="s">
        <v>343</v>
      </c>
      <c r="I1756" s="94">
        <v>0.17</v>
      </c>
      <c r="J1756" s="95">
        <v>12.750000000000002</v>
      </c>
    </row>
    <row r="1757" spans="1:10" x14ac:dyDescent="0.25">
      <c r="A1757" s="92">
        <v>45876</v>
      </c>
      <c r="B1757" s="93" t="s">
        <v>329</v>
      </c>
      <c r="C1757" s="89" t="s">
        <v>40</v>
      </c>
      <c r="D1757" s="93" t="s">
        <v>293</v>
      </c>
      <c r="E1757" s="93" t="s">
        <v>34</v>
      </c>
      <c r="F1757" s="93" t="s">
        <v>376</v>
      </c>
      <c r="G1757" s="93" t="s">
        <v>347</v>
      </c>
      <c r="H1757" s="93" t="s">
        <v>343</v>
      </c>
      <c r="I1757" s="94">
        <v>0.17</v>
      </c>
      <c r="J1757" s="95">
        <v>12.750000000000002</v>
      </c>
    </row>
    <row r="1758" spans="1:10" x14ac:dyDescent="0.25">
      <c r="A1758" s="92">
        <v>45876</v>
      </c>
      <c r="B1758" s="93" t="s">
        <v>329</v>
      </c>
      <c r="C1758" s="89" t="s">
        <v>40</v>
      </c>
      <c r="D1758" s="93" t="s">
        <v>247</v>
      </c>
      <c r="E1758" s="93" t="s">
        <v>34</v>
      </c>
      <c r="F1758" s="93" t="s">
        <v>375</v>
      </c>
      <c r="G1758" s="93" t="s">
        <v>347</v>
      </c>
      <c r="H1758" s="93" t="s">
        <v>343</v>
      </c>
      <c r="I1758" s="94">
        <v>0.25</v>
      </c>
      <c r="J1758" s="95">
        <v>18.75</v>
      </c>
    </row>
    <row r="1759" spans="1:10" x14ac:dyDescent="0.25">
      <c r="A1759" s="92">
        <v>45876</v>
      </c>
      <c r="B1759" s="93" t="s">
        <v>332</v>
      </c>
      <c r="C1759" s="89" t="s">
        <v>40</v>
      </c>
      <c r="D1759" s="93" t="s">
        <v>314</v>
      </c>
      <c r="E1759" s="93" t="s">
        <v>35</v>
      </c>
      <c r="F1759" s="93" t="s">
        <v>359</v>
      </c>
      <c r="G1759" s="93" t="s">
        <v>339</v>
      </c>
      <c r="H1759" s="93" t="s">
        <v>352</v>
      </c>
      <c r="I1759" s="94">
        <v>8.33</v>
      </c>
      <c r="J1759" s="95">
        <v>333.2</v>
      </c>
    </row>
    <row r="1760" spans="1:10" x14ac:dyDescent="0.25">
      <c r="A1760" s="92">
        <v>45876</v>
      </c>
      <c r="B1760" s="93" t="s">
        <v>324</v>
      </c>
      <c r="C1760" s="89" t="s">
        <v>40</v>
      </c>
      <c r="D1760" s="93" t="s">
        <v>314</v>
      </c>
      <c r="E1760" s="93" t="s">
        <v>35</v>
      </c>
      <c r="F1760" s="93" t="s">
        <v>359</v>
      </c>
      <c r="G1760" s="93" t="s">
        <v>339</v>
      </c>
      <c r="H1760" s="93" t="s">
        <v>352</v>
      </c>
      <c r="I1760" s="94">
        <v>5.5</v>
      </c>
      <c r="J1760" s="95">
        <v>412.5</v>
      </c>
    </row>
    <row r="1761" spans="1:10" x14ac:dyDescent="0.25">
      <c r="A1761" s="92">
        <v>45877</v>
      </c>
      <c r="B1761" s="93" t="s">
        <v>329</v>
      </c>
      <c r="C1761" s="89" t="s">
        <v>40</v>
      </c>
      <c r="D1761" s="93" t="s">
        <v>316</v>
      </c>
      <c r="E1761" s="93" t="s">
        <v>35</v>
      </c>
      <c r="F1761" s="93" t="s">
        <v>338</v>
      </c>
      <c r="G1761" s="93" t="s">
        <v>337</v>
      </c>
      <c r="H1761" s="93" t="s">
        <v>352</v>
      </c>
      <c r="I1761" s="94">
        <v>0.75</v>
      </c>
      <c r="J1761" s="95">
        <v>56.25</v>
      </c>
    </row>
    <row r="1762" spans="1:10" x14ac:dyDescent="0.25">
      <c r="A1762" s="92">
        <v>45877</v>
      </c>
      <c r="B1762" s="93" t="s">
        <v>327</v>
      </c>
      <c r="C1762" s="89" t="s">
        <v>40</v>
      </c>
      <c r="D1762" s="93" t="s">
        <v>320</v>
      </c>
      <c r="E1762" s="93" t="s">
        <v>35</v>
      </c>
      <c r="F1762" s="93" t="s">
        <v>322</v>
      </c>
      <c r="G1762" s="93" t="s">
        <v>319</v>
      </c>
      <c r="H1762" s="93" t="s">
        <v>352</v>
      </c>
      <c r="I1762" s="94">
        <v>8.42</v>
      </c>
      <c r="J1762" s="95">
        <v>269.44</v>
      </c>
    </row>
    <row r="1763" spans="1:10" x14ac:dyDescent="0.25">
      <c r="A1763" s="92">
        <v>45877</v>
      </c>
      <c r="B1763" s="93" t="s">
        <v>329</v>
      </c>
      <c r="C1763" s="89" t="s">
        <v>40</v>
      </c>
      <c r="D1763" s="93" t="s">
        <v>288</v>
      </c>
      <c r="E1763" s="93" t="s">
        <v>341</v>
      </c>
      <c r="F1763" s="93" t="s">
        <v>405</v>
      </c>
      <c r="G1763" s="93" t="s">
        <v>347</v>
      </c>
      <c r="H1763" s="93" t="s">
        <v>344</v>
      </c>
      <c r="I1763" s="94">
        <v>0.75</v>
      </c>
      <c r="J1763" s="95">
        <v>56.25</v>
      </c>
    </row>
    <row r="1764" spans="1:10" x14ac:dyDescent="0.25">
      <c r="A1764" s="92">
        <v>45877</v>
      </c>
      <c r="B1764" s="93" t="s">
        <v>326</v>
      </c>
      <c r="C1764" s="89" t="s">
        <v>40</v>
      </c>
      <c r="D1764" s="93" t="s">
        <v>175</v>
      </c>
      <c r="E1764" s="93" t="s">
        <v>36</v>
      </c>
      <c r="F1764" s="93" t="s">
        <v>388</v>
      </c>
      <c r="G1764" s="93" t="s">
        <v>348</v>
      </c>
      <c r="H1764" s="93" t="s">
        <v>342</v>
      </c>
      <c r="I1764" s="94">
        <v>0.5</v>
      </c>
      <c r="J1764" s="95">
        <v>30</v>
      </c>
    </row>
    <row r="1765" spans="1:10" x14ac:dyDescent="0.25">
      <c r="A1765" s="92">
        <v>45877</v>
      </c>
      <c r="B1765" s="93" t="s">
        <v>326</v>
      </c>
      <c r="C1765" s="89" t="s">
        <v>40</v>
      </c>
      <c r="D1765" s="93" t="s">
        <v>227</v>
      </c>
      <c r="E1765" s="93" t="s">
        <v>36</v>
      </c>
      <c r="F1765" s="93" t="s">
        <v>453</v>
      </c>
      <c r="G1765" s="93" t="s">
        <v>348</v>
      </c>
      <c r="H1765" s="93" t="s">
        <v>342</v>
      </c>
      <c r="I1765" s="94">
        <v>0.25</v>
      </c>
      <c r="J1765" s="95">
        <v>15</v>
      </c>
    </row>
    <row r="1766" spans="1:10" x14ac:dyDescent="0.25">
      <c r="A1766" s="92">
        <v>45877</v>
      </c>
      <c r="B1766" s="93" t="s">
        <v>332</v>
      </c>
      <c r="C1766" s="89" t="s">
        <v>40</v>
      </c>
      <c r="D1766" s="93" t="s">
        <v>314</v>
      </c>
      <c r="E1766" s="93" t="s">
        <v>35</v>
      </c>
      <c r="F1766" s="93" t="s">
        <v>359</v>
      </c>
      <c r="G1766" s="93" t="s">
        <v>339</v>
      </c>
      <c r="H1766" s="93" t="s">
        <v>352</v>
      </c>
      <c r="I1766" s="94">
        <v>5.5</v>
      </c>
      <c r="J1766" s="95">
        <v>220</v>
      </c>
    </row>
    <row r="1767" spans="1:10" x14ac:dyDescent="0.25">
      <c r="A1767" s="92">
        <v>45877</v>
      </c>
      <c r="B1767" s="93" t="s">
        <v>324</v>
      </c>
      <c r="C1767" s="89" t="s">
        <v>40</v>
      </c>
      <c r="D1767" s="93" t="s">
        <v>314</v>
      </c>
      <c r="E1767" s="93" t="s">
        <v>35</v>
      </c>
      <c r="F1767" s="93" t="s">
        <v>359</v>
      </c>
      <c r="G1767" s="93" t="s">
        <v>339</v>
      </c>
      <c r="H1767" s="93" t="s">
        <v>352</v>
      </c>
      <c r="I1767" s="94">
        <v>3.67</v>
      </c>
      <c r="J1767" s="95">
        <v>275.25</v>
      </c>
    </row>
    <row r="1768" spans="1:10" x14ac:dyDescent="0.25">
      <c r="A1768" s="92">
        <v>45878</v>
      </c>
      <c r="B1768" s="93" t="s">
        <v>332</v>
      </c>
      <c r="C1768" s="89" t="s">
        <v>40</v>
      </c>
      <c r="D1768" s="93" t="s">
        <v>314</v>
      </c>
      <c r="E1768" s="93" t="s">
        <v>35</v>
      </c>
      <c r="F1768" s="93" t="s">
        <v>359</v>
      </c>
      <c r="G1768" s="93" t="s">
        <v>339</v>
      </c>
      <c r="H1768" s="93" t="s">
        <v>352</v>
      </c>
      <c r="I1768" s="94">
        <v>3</v>
      </c>
      <c r="J1768" s="95">
        <v>120</v>
      </c>
    </row>
    <row r="1769" spans="1:10" x14ac:dyDescent="0.25">
      <c r="A1769" s="92">
        <v>45880</v>
      </c>
      <c r="B1769" s="93" t="s">
        <v>333</v>
      </c>
      <c r="C1769" s="89" t="s">
        <v>40</v>
      </c>
      <c r="D1769" s="93" t="s">
        <v>320</v>
      </c>
      <c r="E1769" s="93" t="s">
        <v>35</v>
      </c>
      <c r="F1769" s="93" t="s">
        <v>322</v>
      </c>
      <c r="G1769" s="93" t="s">
        <v>319</v>
      </c>
      <c r="H1769" s="93" t="s">
        <v>352</v>
      </c>
      <c r="I1769" s="94">
        <v>6.85</v>
      </c>
      <c r="J1769" s="95">
        <v>219.2</v>
      </c>
    </row>
    <row r="1770" spans="1:10" x14ac:dyDescent="0.25">
      <c r="A1770" s="92">
        <v>45880</v>
      </c>
      <c r="B1770" s="93" t="s">
        <v>327</v>
      </c>
      <c r="C1770" s="89" t="s">
        <v>40</v>
      </c>
      <c r="D1770" s="93" t="s">
        <v>320</v>
      </c>
      <c r="E1770" s="93" t="s">
        <v>35</v>
      </c>
      <c r="F1770" s="93" t="s">
        <v>322</v>
      </c>
      <c r="G1770" s="93" t="s">
        <v>319</v>
      </c>
      <c r="H1770" s="93" t="s">
        <v>352</v>
      </c>
      <c r="I1770" s="94">
        <v>7.42</v>
      </c>
      <c r="J1770" s="95">
        <v>237.44</v>
      </c>
    </row>
    <row r="1771" spans="1:10" x14ac:dyDescent="0.25">
      <c r="A1771" s="92">
        <v>45880</v>
      </c>
      <c r="B1771" s="93" t="s">
        <v>330</v>
      </c>
      <c r="C1771" s="89" t="s">
        <v>40</v>
      </c>
      <c r="D1771" s="93" t="s">
        <v>196</v>
      </c>
      <c r="E1771" s="93" t="s">
        <v>34</v>
      </c>
      <c r="F1771" s="93" t="s">
        <v>446</v>
      </c>
      <c r="G1771" s="93" t="s">
        <v>347</v>
      </c>
      <c r="H1771" s="93" t="s">
        <v>343</v>
      </c>
      <c r="I1771" s="94">
        <v>0.25</v>
      </c>
      <c r="J1771" s="95">
        <v>15</v>
      </c>
    </row>
    <row r="1772" spans="1:10" x14ac:dyDescent="0.25">
      <c r="A1772" s="92">
        <v>45880</v>
      </c>
      <c r="B1772" s="93" t="s">
        <v>330</v>
      </c>
      <c r="C1772" s="89" t="s">
        <v>40</v>
      </c>
      <c r="D1772" s="93" t="s">
        <v>184</v>
      </c>
      <c r="E1772" s="93" t="s">
        <v>34</v>
      </c>
      <c r="F1772" s="93" t="s">
        <v>459</v>
      </c>
      <c r="G1772" s="93" t="s">
        <v>347</v>
      </c>
      <c r="H1772" s="93" t="s">
        <v>343</v>
      </c>
      <c r="I1772" s="94">
        <v>0.25</v>
      </c>
      <c r="J1772" s="95">
        <v>15</v>
      </c>
    </row>
    <row r="1773" spans="1:10" x14ac:dyDescent="0.25">
      <c r="A1773" s="92">
        <v>45880</v>
      </c>
      <c r="B1773" s="93" t="s">
        <v>330</v>
      </c>
      <c r="C1773" s="89" t="s">
        <v>40</v>
      </c>
      <c r="D1773" s="93" t="s">
        <v>215</v>
      </c>
      <c r="E1773" s="93" t="s">
        <v>34</v>
      </c>
      <c r="F1773" s="93" t="s">
        <v>450</v>
      </c>
      <c r="G1773" s="93" t="s">
        <v>347</v>
      </c>
      <c r="H1773" s="93" t="s">
        <v>343</v>
      </c>
      <c r="I1773" s="94">
        <v>0.42</v>
      </c>
      <c r="J1773" s="95">
        <v>25.2</v>
      </c>
    </row>
    <row r="1774" spans="1:10" x14ac:dyDescent="0.25">
      <c r="A1774" s="92">
        <v>45880</v>
      </c>
      <c r="B1774" s="93" t="s">
        <v>330</v>
      </c>
      <c r="C1774" s="89" t="s">
        <v>40</v>
      </c>
      <c r="D1774" s="93" t="s">
        <v>222</v>
      </c>
      <c r="E1774" s="93" t="s">
        <v>34</v>
      </c>
      <c r="F1774" s="93" t="s">
        <v>447</v>
      </c>
      <c r="G1774" s="93" t="s">
        <v>347</v>
      </c>
      <c r="H1774" s="93" t="s">
        <v>343</v>
      </c>
      <c r="I1774" s="94">
        <v>0.5</v>
      </c>
      <c r="J1774" s="95">
        <v>30</v>
      </c>
    </row>
    <row r="1775" spans="1:10" x14ac:dyDescent="0.25">
      <c r="A1775" s="92">
        <v>45880</v>
      </c>
      <c r="B1775" s="93" t="s">
        <v>330</v>
      </c>
      <c r="C1775" s="89" t="s">
        <v>40</v>
      </c>
      <c r="D1775" s="93" t="s">
        <v>261</v>
      </c>
      <c r="E1775" s="93" t="s">
        <v>34</v>
      </c>
      <c r="F1775" s="93" t="s">
        <v>444</v>
      </c>
      <c r="G1775" s="93" t="s">
        <v>347</v>
      </c>
      <c r="H1775" s="93" t="s">
        <v>343</v>
      </c>
      <c r="I1775" s="94">
        <v>0.5</v>
      </c>
      <c r="J1775" s="95">
        <v>30</v>
      </c>
    </row>
    <row r="1776" spans="1:10" x14ac:dyDescent="0.25">
      <c r="A1776" s="92">
        <v>45880</v>
      </c>
      <c r="B1776" s="93" t="s">
        <v>330</v>
      </c>
      <c r="C1776" s="89" t="s">
        <v>40</v>
      </c>
      <c r="D1776" s="93" t="s">
        <v>263</v>
      </c>
      <c r="E1776" s="93" t="s">
        <v>341</v>
      </c>
      <c r="F1776" s="93" t="s">
        <v>383</v>
      </c>
      <c r="G1776" s="93" t="s">
        <v>347</v>
      </c>
      <c r="H1776" s="93" t="s">
        <v>344</v>
      </c>
      <c r="I1776" s="94">
        <v>1.75</v>
      </c>
      <c r="J1776" s="95">
        <v>105</v>
      </c>
    </row>
    <row r="1777" spans="1:10" x14ac:dyDescent="0.25">
      <c r="A1777" s="92">
        <v>45880</v>
      </c>
      <c r="B1777" s="93" t="s">
        <v>332</v>
      </c>
      <c r="C1777" s="89" t="s">
        <v>40</v>
      </c>
      <c r="D1777" s="93" t="s">
        <v>314</v>
      </c>
      <c r="E1777" s="93" t="s">
        <v>35</v>
      </c>
      <c r="F1777" s="93" t="s">
        <v>359</v>
      </c>
      <c r="G1777" s="93" t="s">
        <v>339</v>
      </c>
      <c r="H1777" s="93" t="s">
        <v>352</v>
      </c>
      <c r="I1777" s="94">
        <v>8.17</v>
      </c>
      <c r="J1777" s="95">
        <v>326.8</v>
      </c>
    </row>
    <row r="1778" spans="1:10" x14ac:dyDescent="0.25">
      <c r="A1778" s="92">
        <v>45880</v>
      </c>
      <c r="B1778" s="93" t="s">
        <v>324</v>
      </c>
      <c r="C1778" s="89" t="s">
        <v>40</v>
      </c>
      <c r="D1778" s="93" t="s">
        <v>314</v>
      </c>
      <c r="E1778" s="93" t="s">
        <v>35</v>
      </c>
      <c r="F1778" s="93" t="s">
        <v>359</v>
      </c>
      <c r="G1778" s="93" t="s">
        <v>339</v>
      </c>
      <c r="H1778" s="93" t="s">
        <v>352</v>
      </c>
      <c r="I1778" s="94">
        <v>5.75</v>
      </c>
      <c r="J1778" s="95">
        <v>431.25</v>
      </c>
    </row>
    <row r="1779" spans="1:10" x14ac:dyDescent="0.25">
      <c r="A1779" s="92">
        <v>45881</v>
      </c>
      <c r="B1779" s="93" t="s">
        <v>333</v>
      </c>
      <c r="C1779" s="89" t="s">
        <v>40</v>
      </c>
      <c r="D1779" s="93" t="s">
        <v>320</v>
      </c>
      <c r="E1779" s="93" t="s">
        <v>35</v>
      </c>
      <c r="F1779" s="93" t="s">
        <v>322</v>
      </c>
      <c r="G1779" s="93" t="s">
        <v>319</v>
      </c>
      <c r="H1779" s="93" t="s">
        <v>352</v>
      </c>
      <c r="I1779" s="94">
        <v>7.43</v>
      </c>
      <c r="J1779" s="95">
        <v>237.76</v>
      </c>
    </row>
    <row r="1780" spans="1:10" x14ac:dyDescent="0.25">
      <c r="A1780" s="92">
        <v>45881</v>
      </c>
      <c r="B1780" s="93" t="s">
        <v>327</v>
      </c>
      <c r="C1780" s="89" t="s">
        <v>40</v>
      </c>
      <c r="D1780" s="93" t="s">
        <v>320</v>
      </c>
      <c r="E1780" s="93" t="s">
        <v>35</v>
      </c>
      <c r="F1780" s="93" t="s">
        <v>322</v>
      </c>
      <c r="G1780" s="93" t="s">
        <v>319</v>
      </c>
      <c r="H1780" s="93" t="s">
        <v>352</v>
      </c>
      <c r="I1780" s="94">
        <v>7.42</v>
      </c>
      <c r="J1780" s="95">
        <v>237.44</v>
      </c>
    </row>
    <row r="1781" spans="1:10" x14ac:dyDescent="0.25">
      <c r="A1781" s="92">
        <v>45881</v>
      </c>
      <c r="B1781" s="93" t="s">
        <v>323</v>
      </c>
      <c r="C1781" s="89" t="s">
        <v>40</v>
      </c>
      <c r="D1781" s="93" t="s">
        <v>280</v>
      </c>
      <c r="E1781" s="93" t="s">
        <v>341</v>
      </c>
      <c r="F1781" s="93" t="s">
        <v>445</v>
      </c>
      <c r="G1781" s="93" t="s">
        <v>346</v>
      </c>
      <c r="H1781" s="93" t="s">
        <v>344</v>
      </c>
      <c r="I1781" s="94">
        <v>1.5</v>
      </c>
      <c r="J1781" s="95">
        <v>90</v>
      </c>
    </row>
    <row r="1782" spans="1:10" x14ac:dyDescent="0.25">
      <c r="A1782" s="92">
        <v>45881</v>
      </c>
      <c r="B1782" s="93" t="s">
        <v>323</v>
      </c>
      <c r="C1782" s="89" t="s">
        <v>40</v>
      </c>
      <c r="D1782" s="93" t="s">
        <v>281</v>
      </c>
      <c r="E1782" s="93" t="s">
        <v>341</v>
      </c>
      <c r="F1782" s="93" t="s">
        <v>430</v>
      </c>
      <c r="G1782" s="93" t="s">
        <v>346</v>
      </c>
      <c r="H1782" s="93" t="s">
        <v>344</v>
      </c>
      <c r="I1782" s="94">
        <v>1.5</v>
      </c>
      <c r="J1782" s="95">
        <v>90</v>
      </c>
    </row>
    <row r="1783" spans="1:10" x14ac:dyDescent="0.25">
      <c r="A1783" s="92">
        <v>45881</v>
      </c>
      <c r="B1783" s="93" t="s">
        <v>323</v>
      </c>
      <c r="C1783" s="89" t="s">
        <v>40</v>
      </c>
      <c r="D1783" s="93" t="s">
        <v>282</v>
      </c>
      <c r="E1783" s="93" t="s">
        <v>341</v>
      </c>
      <c r="F1783" s="93" t="s">
        <v>451</v>
      </c>
      <c r="G1783" s="93" t="s">
        <v>346</v>
      </c>
      <c r="H1783" s="93" t="s">
        <v>344</v>
      </c>
      <c r="I1783" s="94">
        <v>1.5</v>
      </c>
      <c r="J1783" s="95">
        <v>90</v>
      </c>
    </row>
    <row r="1784" spans="1:10" x14ac:dyDescent="0.25">
      <c r="A1784" s="92">
        <v>45882</v>
      </c>
      <c r="B1784" s="93" t="s">
        <v>329</v>
      </c>
      <c r="C1784" s="89" t="s">
        <v>40</v>
      </c>
      <c r="D1784" s="93" t="s">
        <v>316</v>
      </c>
      <c r="E1784" s="93" t="s">
        <v>35</v>
      </c>
      <c r="F1784" s="93" t="s">
        <v>338</v>
      </c>
      <c r="G1784" s="93" t="s">
        <v>337</v>
      </c>
      <c r="H1784" s="93" t="s">
        <v>352</v>
      </c>
      <c r="I1784" s="94">
        <v>0.17</v>
      </c>
      <c r="J1784" s="95">
        <v>12.750000000000002</v>
      </c>
    </row>
    <row r="1785" spans="1:10" x14ac:dyDescent="0.25">
      <c r="A1785" s="92">
        <v>45882</v>
      </c>
      <c r="B1785" s="93" t="s">
        <v>333</v>
      </c>
      <c r="C1785" s="89" t="s">
        <v>40</v>
      </c>
      <c r="D1785" s="93" t="s">
        <v>320</v>
      </c>
      <c r="E1785" s="93" t="s">
        <v>35</v>
      </c>
      <c r="F1785" s="93" t="s">
        <v>322</v>
      </c>
      <c r="G1785" s="93" t="s">
        <v>319</v>
      </c>
      <c r="H1785" s="93" t="s">
        <v>352</v>
      </c>
      <c r="I1785" s="94">
        <v>7.48</v>
      </c>
      <c r="J1785" s="95">
        <v>239.36</v>
      </c>
    </row>
    <row r="1786" spans="1:10" x14ac:dyDescent="0.25">
      <c r="A1786" s="92">
        <v>45882</v>
      </c>
      <c r="B1786" s="93" t="s">
        <v>327</v>
      </c>
      <c r="C1786" s="89" t="s">
        <v>40</v>
      </c>
      <c r="D1786" s="93" t="s">
        <v>320</v>
      </c>
      <c r="E1786" s="93" t="s">
        <v>35</v>
      </c>
      <c r="F1786" s="93" t="s">
        <v>322</v>
      </c>
      <c r="G1786" s="93" t="s">
        <v>319</v>
      </c>
      <c r="H1786" s="93" t="s">
        <v>352</v>
      </c>
      <c r="I1786" s="94">
        <v>7.25</v>
      </c>
      <c r="J1786" s="95">
        <v>232</v>
      </c>
    </row>
    <row r="1787" spans="1:10" x14ac:dyDescent="0.25">
      <c r="A1787" s="92">
        <v>45882</v>
      </c>
      <c r="B1787" s="93" t="s">
        <v>330</v>
      </c>
      <c r="C1787" s="89" t="s">
        <v>40</v>
      </c>
      <c r="D1787" s="93" t="s">
        <v>255</v>
      </c>
      <c r="E1787" s="93" t="s">
        <v>34</v>
      </c>
      <c r="F1787" s="93" t="s">
        <v>462</v>
      </c>
      <c r="G1787" s="93" t="s">
        <v>347</v>
      </c>
      <c r="H1787" s="93" t="s">
        <v>343</v>
      </c>
      <c r="I1787" s="94">
        <v>0.5</v>
      </c>
      <c r="J1787" s="95">
        <v>30</v>
      </c>
    </row>
    <row r="1788" spans="1:10" x14ac:dyDescent="0.25">
      <c r="A1788" s="92">
        <v>45882</v>
      </c>
      <c r="B1788" s="93" t="s">
        <v>325</v>
      </c>
      <c r="C1788" s="89" t="s">
        <v>40</v>
      </c>
      <c r="D1788" s="93" t="s">
        <v>249</v>
      </c>
      <c r="E1788" s="93" t="s">
        <v>34</v>
      </c>
      <c r="F1788" s="93" t="s">
        <v>409</v>
      </c>
      <c r="G1788" s="93" t="s">
        <v>347</v>
      </c>
      <c r="H1788" s="93" t="s">
        <v>343</v>
      </c>
      <c r="I1788" s="94">
        <v>0.17</v>
      </c>
      <c r="J1788" s="95">
        <v>12.750000000000002</v>
      </c>
    </row>
    <row r="1789" spans="1:10" x14ac:dyDescent="0.25">
      <c r="A1789" s="92">
        <v>45882</v>
      </c>
      <c r="B1789" s="93" t="s">
        <v>325</v>
      </c>
      <c r="C1789" s="89" t="s">
        <v>40</v>
      </c>
      <c r="D1789" s="93" t="s">
        <v>278</v>
      </c>
      <c r="E1789" s="93" t="s">
        <v>34</v>
      </c>
      <c r="F1789" s="93" t="s">
        <v>452</v>
      </c>
      <c r="G1789" s="93" t="s">
        <v>347</v>
      </c>
      <c r="H1789" s="93" t="s">
        <v>343</v>
      </c>
      <c r="I1789" s="94">
        <v>0.25</v>
      </c>
      <c r="J1789" s="95">
        <v>18.75</v>
      </c>
    </row>
    <row r="1790" spans="1:10" x14ac:dyDescent="0.25">
      <c r="A1790" s="92">
        <v>45882</v>
      </c>
      <c r="B1790" s="93" t="s">
        <v>325</v>
      </c>
      <c r="C1790" s="89" t="s">
        <v>40</v>
      </c>
      <c r="D1790" s="93" t="s">
        <v>277</v>
      </c>
      <c r="E1790" s="93" t="s">
        <v>34</v>
      </c>
      <c r="F1790" s="93" t="s">
        <v>353</v>
      </c>
      <c r="G1790" s="93" t="s">
        <v>347</v>
      </c>
      <c r="H1790" s="93" t="s">
        <v>343</v>
      </c>
      <c r="I1790" s="94">
        <v>0.17</v>
      </c>
      <c r="J1790" s="95">
        <v>12.750000000000002</v>
      </c>
    </row>
    <row r="1791" spans="1:10" x14ac:dyDescent="0.25">
      <c r="A1791" s="92">
        <v>45882</v>
      </c>
      <c r="B1791" s="93" t="s">
        <v>326</v>
      </c>
      <c r="C1791" s="89" t="s">
        <v>40</v>
      </c>
      <c r="D1791" s="93" t="s">
        <v>188</v>
      </c>
      <c r="E1791" s="93" t="s">
        <v>36</v>
      </c>
      <c r="F1791" s="93" t="s">
        <v>356</v>
      </c>
      <c r="G1791" s="93" t="s">
        <v>348</v>
      </c>
      <c r="H1791" s="93" t="s">
        <v>342</v>
      </c>
      <c r="I1791" s="94">
        <v>1.17</v>
      </c>
      <c r="J1791" s="95">
        <v>70.199999999999989</v>
      </c>
    </row>
    <row r="1792" spans="1:10" x14ac:dyDescent="0.25">
      <c r="A1792" s="92">
        <v>45882</v>
      </c>
      <c r="B1792" s="93" t="s">
        <v>326</v>
      </c>
      <c r="C1792" s="89" t="s">
        <v>40</v>
      </c>
      <c r="D1792" s="93" t="s">
        <v>227</v>
      </c>
      <c r="E1792" s="93" t="s">
        <v>34</v>
      </c>
      <c r="F1792" s="93" t="s">
        <v>453</v>
      </c>
      <c r="G1792" s="93" t="s">
        <v>348</v>
      </c>
      <c r="H1792" s="93" t="s">
        <v>343</v>
      </c>
      <c r="I1792" s="94">
        <v>0.75</v>
      </c>
      <c r="J1792" s="95">
        <v>45</v>
      </c>
    </row>
    <row r="1793" spans="1:10" x14ac:dyDescent="0.25">
      <c r="A1793" s="92">
        <v>45882</v>
      </c>
      <c r="B1793" s="93" t="s">
        <v>326</v>
      </c>
      <c r="C1793" s="89" t="s">
        <v>40</v>
      </c>
      <c r="D1793" s="93" t="s">
        <v>265</v>
      </c>
      <c r="E1793" s="93" t="s">
        <v>34</v>
      </c>
      <c r="F1793" s="93" t="s">
        <v>358</v>
      </c>
      <c r="G1793" s="93" t="s">
        <v>348</v>
      </c>
      <c r="H1793" s="93" t="s">
        <v>343</v>
      </c>
      <c r="I1793" s="94">
        <v>0.5</v>
      </c>
      <c r="J1793" s="95">
        <v>30</v>
      </c>
    </row>
    <row r="1794" spans="1:10" x14ac:dyDescent="0.25">
      <c r="A1794" s="92">
        <v>45882</v>
      </c>
      <c r="B1794" s="93" t="s">
        <v>332</v>
      </c>
      <c r="C1794" s="89" t="s">
        <v>40</v>
      </c>
      <c r="D1794" s="93" t="s">
        <v>314</v>
      </c>
      <c r="E1794" s="93" t="s">
        <v>35</v>
      </c>
      <c r="F1794" s="93" t="s">
        <v>359</v>
      </c>
      <c r="G1794" s="93" t="s">
        <v>339</v>
      </c>
      <c r="H1794" s="93" t="s">
        <v>352</v>
      </c>
      <c r="I1794" s="94">
        <v>1.83</v>
      </c>
      <c r="J1794" s="95">
        <v>73.2</v>
      </c>
    </row>
    <row r="1795" spans="1:10" x14ac:dyDescent="0.25">
      <c r="A1795" s="92">
        <v>45883</v>
      </c>
      <c r="B1795" s="93" t="s">
        <v>333</v>
      </c>
      <c r="C1795" s="89" t="s">
        <v>40</v>
      </c>
      <c r="D1795" s="93" t="s">
        <v>320</v>
      </c>
      <c r="E1795" s="93" t="s">
        <v>35</v>
      </c>
      <c r="F1795" s="93" t="s">
        <v>322</v>
      </c>
      <c r="G1795" s="93" t="s">
        <v>319</v>
      </c>
      <c r="H1795" s="93" t="s">
        <v>352</v>
      </c>
      <c r="I1795" s="94">
        <v>7.6</v>
      </c>
      <c r="J1795" s="95">
        <v>243.2</v>
      </c>
    </row>
    <row r="1796" spans="1:10" x14ac:dyDescent="0.25">
      <c r="A1796" s="92">
        <v>45883</v>
      </c>
      <c r="B1796" s="93" t="s">
        <v>327</v>
      </c>
      <c r="C1796" s="89" t="s">
        <v>40</v>
      </c>
      <c r="D1796" s="93" t="s">
        <v>320</v>
      </c>
      <c r="E1796" s="93" t="s">
        <v>35</v>
      </c>
      <c r="F1796" s="93" t="s">
        <v>322</v>
      </c>
      <c r="G1796" s="93" t="s">
        <v>319</v>
      </c>
      <c r="H1796" s="93" t="s">
        <v>352</v>
      </c>
      <c r="I1796" s="94">
        <v>7.5</v>
      </c>
      <c r="J1796" s="95">
        <v>240</v>
      </c>
    </row>
    <row r="1797" spans="1:10" x14ac:dyDescent="0.25">
      <c r="A1797" s="92">
        <v>45883</v>
      </c>
      <c r="B1797" s="93" t="s">
        <v>330</v>
      </c>
      <c r="C1797" s="89" t="s">
        <v>40</v>
      </c>
      <c r="D1797" s="93" t="s">
        <v>255</v>
      </c>
      <c r="E1797" s="93" t="s">
        <v>34</v>
      </c>
      <c r="F1797" s="93" t="s">
        <v>462</v>
      </c>
      <c r="G1797" s="93" t="s">
        <v>347</v>
      </c>
      <c r="H1797" s="93" t="s">
        <v>343</v>
      </c>
      <c r="I1797" s="94">
        <v>0.5</v>
      </c>
      <c r="J1797" s="95">
        <v>30</v>
      </c>
    </row>
    <row r="1798" spans="1:10" x14ac:dyDescent="0.25">
      <c r="A1798" s="92">
        <v>45883</v>
      </c>
      <c r="B1798" s="93" t="s">
        <v>332</v>
      </c>
      <c r="C1798" s="89" t="s">
        <v>40</v>
      </c>
      <c r="D1798" s="93" t="s">
        <v>314</v>
      </c>
      <c r="E1798" s="93" t="s">
        <v>35</v>
      </c>
      <c r="F1798" s="93" t="s">
        <v>359</v>
      </c>
      <c r="G1798" s="93" t="s">
        <v>339</v>
      </c>
      <c r="H1798" s="93" t="s">
        <v>352</v>
      </c>
      <c r="I1798" s="94">
        <v>7.5</v>
      </c>
      <c r="J1798" s="95">
        <v>300</v>
      </c>
    </row>
    <row r="1799" spans="1:10" x14ac:dyDescent="0.25">
      <c r="A1799" s="92">
        <v>45883</v>
      </c>
      <c r="B1799" s="93" t="s">
        <v>324</v>
      </c>
      <c r="C1799" s="89" t="s">
        <v>40</v>
      </c>
      <c r="D1799" s="93" t="s">
        <v>314</v>
      </c>
      <c r="E1799" s="93" t="s">
        <v>35</v>
      </c>
      <c r="F1799" s="93" t="s">
        <v>359</v>
      </c>
      <c r="G1799" s="93" t="s">
        <v>339</v>
      </c>
      <c r="H1799" s="93" t="s">
        <v>352</v>
      </c>
      <c r="I1799" s="94">
        <v>4</v>
      </c>
      <c r="J1799" s="95">
        <v>300</v>
      </c>
    </row>
    <row r="1800" spans="1:10" x14ac:dyDescent="0.25">
      <c r="A1800" s="92">
        <v>45884</v>
      </c>
      <c r="B1800" s="93" t="s">
        <v>333</v>
      </c>
      <c r="C1800" s="89" t="s">
        <v>40</v>
      </c>
      <c r="D1800" s="93" t="s">
        <v>320</v>
      </c>
      <c r="E1800" s="93" t="s">
        <v>35</v>
      </c>
      <c r="F1800" s="93" t="s">
        <v>322</v>
      </c>
      <c r="G1800" s="93" t="s">
        <v>319</v>
      </c>
      <c r="H1800" s="93" t="s">
        <v>352</v>
      </c>
      <c r="I1800" s="94">
        <v>6.78</v>
      </c>
      <c r="J1800" s="95">
        <v>216.96</v>
      </c>
    </row>
    <row r="1801" spans="1:10" x14ac:dyDescent="0.25">
      <c r="A1801" s="92">
        <v>45884</v>
      </c>
      <c r="B1801" s="93" t="s">
        <v>327</v>
      </c>
      <c r="C1801" s="89" t="s">
        <v>40</v>
      </c>
      <c r="D1801" s="93" t="s">
        <v>320</v>
      </c>
      <c r="E1801" s="93" t="s">
        <v>35</v>
      </c>
      <c r="F1801" s="93" t="s">
        <v>322</v>
      </c>
      <c r="G1801" s="93" t="s">
        <v>319</v>
      </c>
      <c r="H1801" s="93" t="s">
        <v>352</v>
      </c>
      <c r="I1801" s="94">
        <v>7.17</v>
      </c>
      <c r="J1801" s="95">
        <v>229.44</v>
      </c>
    </row>
    <row r="1802" spans="1:10" x14ac:dyDescent="0.25">
      <c r="A1802" s="92">
        <v>45884</v>
      </c>
      <c r="B1802" s="93" t="s">
        <v>330</v>
      </c>
      <c r="C1802" s="89" t="s">
        <v>40</v>
      </c>
      <c r="D1802" s="93" t="s">
        <v>273</v>
      </c>
      <c r="E1802" s="93" t="s">
        <v>34</v>
      </c>
      <c r="F1802" s="93" t="s">
        <v>469</v>
      </c>
      <c r="G1802" s="93" t="s">
        <v>347</v>
      </c>
      <c r="H1802" s="93" t="s">
        <v>343</v>
      </c>
      <c r="I1802" s="94">
        <v>2</v>
      </c>
      <c r="J1802" s="95">
        <v>120</v>
      </c>
    </row>
    <row r="1803" spans="1:10" x14ac:dyDescent="0.25">
      <c r="A1803" s="92">
        <v>45884</v>
      </c>
      <c r="B1803" s="93" t="s">
        <v>326</v>
      </c>
      <c r="C1803" s="89" t="s">
        <v>40</v>
      </c>
      <c r="D1803" s="93" t="s">
        <v>227</v>
      </c>
      <c r="E1803" s="93" t="s">
        <v>36</v>
      </c>
      <c r="F1803" s="93" t="s">
        <v>453</v>
      </c>
      <c r="G1803" s="93" t="s">
        <v>348</v>
      </c>
      <c r="H1803" s="93" t="s">
        <v>342</v>
      </c>
      <c r="I1803" s="94">
        <v>1.17</v>
      </c>
      <c r="J1803" s="95">
        <v>70.199999999999989</v>
      </c>
    </row>
    <row r="1804" spans="1:10" x14ac:dyDescent="0.25">
      <c r="A1804" s="92">
        <v>45884</v>
      </c>
      <c r="B1804" s="93" t="s">
        <v>326</v>
      </c>
      <c r="C1804" s="89" t="s">
        <v>40</v>
      </c>
      <c r="D1804" s="93" t="s">
        <v>175</v>
      </c>
      <c r="E1804" s="93" t="s">
        <v>341</v>
      </c>
      <c r="F1804" s="93" t="s">
        <v>388</v>
      </c>
      <c r="G1804" s="93" t="s">
        <v>348</v>
      </c>
      <c r="H1804" s="93" t="s">
        <v>344</v>
      </c>
      <c r="I1804" s="94">
        <v>1</v>
      </c>
      <c r="J1804" s="95">
        <v>60</v>
      </c>
    </row>
    <row r="1805" spans="1:10" x14ac:dyDescent="0.25">
      <c r="A1805" s="92">
        <v>45884</v>
      </c>
      <c r="B1805" s="93" t="s">
        <v>332</v>
      </c>
      <c r="C1805" s="89" t="s">
        <v>40</v>
      </c>
      <c r="D1805" s="93" t="s">
        <v>314</v>
      </c>
      <c r="E1805" s="93" t="s">
        <v>35</v>
      </c>
      <c r="F1805" s="93" t="s">
        <v>359</v>
      </c>
      <c r="G1805" s="93" t="s">
        <v>339</v>
      </c>
      <c r="H1805" s="93" t="s">
        <v>352</v>
      </c>
      <c r="I1805" s="94">
        <v>7.5</v>
      </c>
      <c r="J1805" s="95">
        <v>300</v>
      </c>
    </row>
    <row r="1806" spans="1:10" x14ac:dyDescent="0.25">
      <c r="A1806" s="92">
        <v>45884</v>
      </c>
      <c r="B1806" s="93" t="s">
        <v>324</v>
      </c>
      <c r="C1806" s="89" t="s">
        <v>40</v>
      </c>
      <c r="D1806" s="93" t="s">
        <v>314</v>
      </c>
      <c r="E1806" s="93" t="s">
        <v>35</v>
      </c>
      <c r="F1806" s="93" t="s">
        <v>359</v>
      </c>
      <c r="G1806" s="93" t="s">
        <v>339</v>
      </c>
      <c r="H1806" s="93" t="s">
        <v>352</v>
      </c>
      <c r="I1806" s="94">
        <v>4.67</v>
      </c>
      <c r="J1806" s="95">
        <v>350.25</v>
      </c>
    </row>
    <row r="1807" spans="1:10" x14ac:dyDescent="0.25">
      <c r="A1807" s="92">
        <v>45885</v>
      </c>
      <c r="B1807" s="93" t="s">
        <v>332</v>
      </c>
      <c r="C1807" s="89" t="s">
        <v>40</v>
      </c>
      <c r="D1807" s="93" t="s">
        <v>314</v>
      </c>
      <c r="E1807" s="93" t="s">
        <v>35</v>
      </c>
      <c r="F1807" s="93" t="s">
        <v>359</v>
      </c>
      <c r="G1807" s="93" t="s">
        <v>339</v>
      </c>
      <c r="H1807" s="93" t="s">
        <v>352</v>
      </c>
      <c r="I1807" s="94">
        <v>4</v>
      </c>
      <c r="J1807" s="95">
        <v>160</v>
      </c>
    </row>
    <row r="1808" spans="1:10" x14ac:dyDescent="0.25">
      <c r="A1808" s="92">
        <v>45887</v>
      </c>
      <c r="B1808" s="93" t="s">
        <v>333</v>
      </c>
      <c r="C1808" s="89" t="s">
        <v>40</v>
      </c>
      <c r="D1808" s="93" t="s">
        <v>320</v>
      </c>
      <c r="E1808" s="93" t="s">
        <v>35</v>
      </c>
      <c r="F1808" s="93" t="s">
        <v>322</v>
      </c>
      <c r="G1808" s="93" t="s">
        <v>319</v>
      </c>
      <c r="H1808" s="93" t="s">
        <v>352</v>
      </c>
      <c r="I1808" s="94">
        <v>7.25</v>
      </c>
      <c r="J1808" s="95">
        <v>232</v>
      </c>
    </row>
    <row r="1809" spans="1:10" x14ac:dyDescent="0.25">
      <c r="A1809" s="92">
        <v>45887</v>
      </c>
      <c r="B1809" s="93" t="s">
        <v>327</v>
      </c>
      <c r="C1809" s="89" t="s">
        <v>40</v>
      </c>
      <c r="D1809" s="93" t="s">
        <v>320</v>
      </c>
      <c r="E1809" s="93" t="s">
        <v>35</v>
      </c>
      <c r="F1809" s="93" t="s">
        <v>322</v>
      </c>
      <c r="G1809" s="93" t="s">
        <v>319</v>
      </c>
      <c r="H1809" s="93" t="s">
        <v>352</v>
      </c>
      <c r="I1809" s="94">
        <v>7.5</v>
      </c>
      <c r="J1809" s="95">
        <v>240</v>
      </c>
    </row>
    <row r="1810" spans="1:10" x14ac:dyDescent="0.25">
      <c r="A1810" s="92">
        <v>45887</v>
      </c>
      <c r="B1810" s="93" t="s">
        <v>329</v>
      </c>
      <c r="C1810" s="89" t="s">
        <v>40</v>
      </c>
      <c r="D1810" s="93" t="s">
        <v>242</v>
      </c>
      <c r="E1810" s="93" t="s">
        <v>34</v>
      </c>
      <c r="F1810" s="93" t="s">
        <v>404</v>
      </c>
      <c r="G1810" s="93" t="s">
        <v>347</v>
      </c>
      <c r="H1810" s="93" t="s">
        <v>343</v>
      </c>
      <c r="I1810" s="94">
        <v>0.5</v>
      </c>
      <c r="J1810" s="95">
        <v>37.5</v>
      </c>
    </row>
    <row r="1811" spans="1:10" x14ac:dyDescent="0.25">
      <c r="A1811" s="92">
        <v>45887</v>
      </c>
      <c r="B1811" s="93" t="s">
        <v>329</v>
      </c>
      <c r="C1811" s="89" t="s">
        <v>40</v>
      </c>
      <c r="D1811" s="93" t="s">
        <v>296</v>
      </c>
      <c r="E1811" s="93" t="s">
        <v>34</v>
      </c>
      <c r="F1811" s="93" t="s">
        <v>411</v>
      </c>
      <c r="G1811" s="93" t="s">
        <v>347</v>
      </c>
      <c r="H1811" s="93" t="s">
        <v>343</v>
      </c>
      <c r="I1811" s="94">
        <v>0.08</v>
      </c>
      <c r="J1811" s="95">
        <v>6</v>
      </c>
    </row>
    <row r="1812" spans="1:10" x14ac:dyDescent="0.25">
      <c r="A1812" s="92">
        <v>45887</v>
      </c>
      <c r="B1812" s="93" t="s">
        <v>329</v>
      </c>
      <c r="C1812" s="89" t="s">
        <v>40</v>
      </c>
      <c r="D1812" s="93" t="s">
        <v>259</v>
      </c>
      <c r="E1812" s="93" t="s">
        <v>34</v>
      </c>
      <c r="F1812" s="93" t="s">
        <v>407</v>
      </c>
      <c r="G1812" s="93" t="s">
        <v>347</v>
      </c>
      <c r="H1812" s="93" t="s">
        <v>343</v>
      </c>
      <c r="I1812" s="94">
        <v>0.08</v>
      </c>
      <c r="J1812" s="95">
        <v>6</v>
      </c>
    </row>
    <row r="1813" spans="1:10" x14ac:dyDescent="0.25">
      <c r="A1813" s="92">
        <v>45887</v>
      </c>
      <c r="B1813" s="93" t="s">
        <v>325</v>
      </c>
      <c r="C1813" s="89" t="s">
        <v>40</v>
      </c>
      <c r="D1813" s="93" t="s">
        <v>305</v>
      </c>
      <c r="E1813" s="93" t="s">
        <v>34</v>
      </c>
      <c r="F1813" s="93" t="s">
        <v>382</v>
      </c>
      <c r="G1813" s="93" t="s">
        <v>347</v>
      </c>
      <c r="H1813" s="93" t="s">
        <v>343</v>
      </c>
      <c r="I1813" s="94">
        <v>0.25</v>
      </c>
      <c r="J1813" s="95">
        <v>18.75</v>
      </c>
    </row>
    <row r="1814" spans="1:10" x14ac:dyDescent="0.25">
      <c r="A1814" s="92">
        <v>45887</v>
      </c>
      <c r="B1814" s="93" t="s">
        <v>330</v>
      </c>
      <c r="C1814" s="89" t="s">
        <v>40</v>
      </c>
      <c r="D1814" s="93" t="s">
        <v>255</v>
      </c>
      <c r="E1814" s="93" t="s">
        <v>341</v>
      </c>
      <c r="F1814" s="93" t="s">
        <v>462</v>
      </c>
      <c r="G1814" s="93" t="s">
        <v>347</v>
      </c>
      <c r="H1814" s="93" t="s">
        <v>344</v>
      </c>
      <c r="I1814" s="94">
        <v>0.5</v>
      </c>
      <c r="J1814" s="95">
        <v>30</v>
      </c>
    </row>
    <row r="1815" spans="1:10" x14ac:dyDescent="0.25">
      <c r="A1815" s="92">
        <v>45887</v>
      </c>
      <c r="B1815" s="93" t="s">
        <v>324</v>
      </c>
      <c r="C1815" s="89" t="s">
        <v>40</v>
      </c>
      <c r="D1815" s="93" t="s">
        <v>314</v>
      </c>
      <c r="E1815" s="93" t="s">
        <v>35</v>
      </c>
      <c r="F1815" s="93" t="s">
        <v>359</v>
      </c>
      <c r="G1815" s="93" t="s">
        <v>339</v>
      </c>
      <c r="H1815" s="93" t="s">
        <v>352</v>
      </c>
      <c r="I1815" s="94">
        <v>4</v>
      </c>
      <c r="J1815" s="95">
        <v>300</v>
      </c>
    </row>
    <row r="1816" spans="1:10" x14ac:dyDescent="0.25">
      <c r="A1816" s="92">
        <v>45887</v>
      </c>
      <c r="B1816" s="93" t="s">
        <v>332</v>
      </c>
      <c r="C1816" s="89" t="s">
        <v>40</v>
      </c>
      <c r="D1816" s="93" t="s">
        <v>314</v>
      </c>
      <c r="E1816" s="93" t="s">
        <v>35</v>
      </c>
      <c r="F1816" s="93" t="s">
        <v>359</v>
      </c>
      <c r="G1816" s="93" t="s">
        <v>339</v>
      </c>
      <c r="H1816" s="93" t="s">
        <v>352</v>
      </c>
      <c r="I1816" s="94">
        <v>5.5</v>
      </c>
      <c r="J1816" s="95">
        <v>220</v>
      </c>
    </row>
    <row r="1817" spans="1:10" x14ac:dyDescent="0.25">
      <c r="A1817" s="92">
        <v>45888</v>
      </c>
      <c r="B1817" s="93" t="s">
        <v>329</v>
      </c>
      <c r="C1817" s="89" t="s">
        <v>40</v>
      </c>
      <c r="D1817" s="93" t="s">
        <v>316</v>
      </c>
      <c r="E1817" s="93" t="s">
        <v>35</v>
      </c>
      <c r="F1817" s="93" t="s">
        <v>338</v>
      </c>
      <c r="G1817" s="93" t="s">
        <v>337</v>
      </c>
      <c r="H1817" s="93" t="s">
        <v>352</v>
      </c>
      <c r="I1817" s="94">
        <v>0.42</v>
      </c>
      <c r="J1817" s="95">
        <v>31.5</v>
      </c>
    </row>
    <row r="1818" spans="1:10" x14ac:dyDescent="0.25">
      <c r="A1818" s="92">
        <v>45888</v>
      </c>
      <c r="B1818" s="93" t="s">
        <v>333</v>
      </c>
      <c r="C1818" s="89" t="s">
        <v>40</v>
      </c>
      <c r="D1818" s="93" t="s">
        <v>320</v>
      </c>
      <c r="E1818" s="93" t="s">
        <v>35</v>
      </c>
      <c r="F1818" s="93" t="s">
        <v>322</v>
      </c>
      <c r="G1818" s="93" t="s">
        <v>319</v>
      </c>
      <c r="H1818" s="93" t="s">
        <v>352</v>
      </c>
      <c r="I1818" s="94">
        <v>7.4</v>
      </c>
      <c r="J1818" s="95">
        <v>236.8</v>
      </c>
    </row>
    <row r="1819" spans="1:10" x14ac:dyDescent="0.25">
      <c r="A1819" s="92">
        <v>45888</v>
      </c>
      <c r="B1819" s="93" t="s">
        <v>327</v>
      </c>
      <c r="C1819" s="89" t="s">
        <v>40</v>
      </c>
      <c r="D1819" s="93" t="s">
        <v>320</v>
      </c>
      <c r="E1819" s="93" t="s">
        <v>35</v>
      </c>
      <c r="F1819" s="93" t="s">
        <v>322</v>
      </c>
      <c r="G1819" s="93" t="s">
        <v>319</v>
      </c>
      <c r="H1819" s="93" t="s">
        <v>352</v>
      </c>
      <c r="I1819" s="94">
        <v>7.42</v>
      </c>
      <c r="J1819" s="95">
        <v>237.44</v>
      </c>
    </row>
    <row r="1820" spans="1:10" x14ac:dyDescent="0.25">
      <c r="A1820" s="92">
        <v>45888</v>
      </c>
      <c r="B1820" s="93" t="s">
        <v>330</v>
      </c>
      <c r="C1820" s="89" t="s">
        <v>40</v>
      </c>
      <c r="D1820" s="93" t="s">
        <v>252</v>
      </c>
      <c r="E1820" s="93" t="s">
        <v>36</v>
      </c>
      <c r="F1820" s="93" t="s">
        <v>416</v>
      </c>
      <c r="G1820" s="93" t="s">
        <v>347</v>
      </c>
      <c r="H1820" s="93" t="s">
        <v>342</v>
      </c>
      <c r="I1820" s="94">
        <v>0.5</v>
      </c>
      <c r="J1820" s="95">
        <v>30</v>
      </c>
    </row>
    <row r="1821" spans="1:10" x14ac:dyDescent="0.25">
      <c r="A1821" s="92">
        <v>45888</v>
      </c>
      <c r="B1821" s="93" t="s">
        <v>324</v>
      </c>
      <c r="C1821" s="89" t="s">
        <v>40</v>
      </c>
      <c r="D1821" s="93" t="s">
        <v>314</v>
      </c>
      <c r="E1821" s="93" t="s">
        <v>35</v>
      </c>
      <c r="F1821" s="93" t="s">
        <v>359</v>
      </c>
      <c r="G1821" s="93" t="s">
        <v>339</v>
      </c>
      <c r="H1821" s="93" t="s">
        <v>352</v>
      </c>
      <c r="I1821" s="94">
        <v>4.75</v>
      </c>
      <c r="J1821" s="95">
        <v>356.25</v>
      </c>
    </row>
    <row r="1822" spans="1:10" x14ac:dyDescent="0.25">
      <c r="A1822" s="92">
        <v>45888</v>
      </c>
      <c r="B1822" s="93" t="s">
        <v>332</v>
      </c>
      <c r="C1822" s="89" t="s">
        <v>40</v>
      </c>
      <c r="D1822" s="93" t="s">
        <v>314</v>
      </c>
      <c r="E1822" s="93" t="s">
        <v>35</v>
      </c>
      <c r="F1822" s="93" t="s">
        <v>359</v>
      </c>
      <c r="G1822" s="93" t="s">
        <v>339</v>
      </c>
      <c r="H1822" s="93" t="s">
        <v>352</v>
      </c>
      <c r="I1822" s="94">
        <v>7</v>
      </c>
      <c r="J1822" s="95">
        <v>280</v>
      </c>
    </row>
    <row r="1823" spans="1:10" x14ac:dyDescent="0.25">
      <c r="A1823" s="92">
        <v>45889</v>
      </c>
      <c r="B1823" s="93" t="s">
        <v>333</v>
      </c>
      <c r="C1823" s="89" t="s">
        <v>40</v>
      </c>
      <c r="D1823" s="93" t="s">
        <v>320</v>
      </c>
      <c r="E1823" s="93" t="s">
        <v>35</v>
      </c>
      <c r="F1823" s="93" t="s">
        <v>322</v>
      </c>
      <c r="G1823" s="93" t="s">
        <v>319</v>
      </c>
      <c r="H1823" s="93" t="s">
        <v>352</v>
      </c>
      <c r="I1823" s="94">
        <v>7.43</v>
      </c>
      <c r="J1823" s="95">
        <v>237.76</v>
      </c>
    </row>
    <row r="1824" spans="1:10" x14ac:dyDescent="0.25">
      <c r="A1824" s="92">
        <v>45889</v>
      </c>
      <c r="B1824" s="93" t="s">
        <v>327</v>
      </c>
      <c r="C1824" s="89" t="s">
        <v>40</v>
      </c>
      <c r="D1824" s="93" t="s">
        <v>320</v>
      </c>
      <c r="E1824" s="93" t="s">
        <v>35</v>
      </c>
      <c r="F1824" s="93" t="s">
        <v>322</v>
      </c>
      <c r="G1824" s="93" t="s">
        <v>319</v>
      </c>
      <c r="H1824" s="93" t="s">
        <v>352</v>
      </c>
      <c r="I1824" s="94">
        <v>7.25</v>
      </c>
      <c r="J1824" s="95">
        <v>232</v>
      </c>
    </row>
    <row r="1825" spans="1:10" x14ac:dyDescent="0.25">
      <c r="A1825" s="92">
        <v>45889</v>
      </c>
      <c r="B1825" s="93" t="s">
        <v>323</v>
      </c>
      <c r="C1825" s="89" t="s">
        <v>40</v>
      </c>
      <c r="D1825" s="93" t="s">
        <v>231</v>
      </c>
      <c r="E1825" s="93" t="s">
        <v>36</v>
      </c>
      <c r="F1825" s="93" t="s">
        <v>420</v>
      </c>
      <c r="G1825" s="93" t="s">
        <v>346</v>
      </c>
      <c r="H1825" s="93" t="s">
        <v>342</v>
      </c>
      <c r="I1825" s="94">
        <v>0.33</v>
      </c>
      <c r="J1825" s="95">
        <v>19.8</v>
      </c>
    </row>
    <row r="1826" spans="1:10" x14ac:dyDescent="0.25">
      <c r="A1826" s="92">
        <v>45889</v>
      </c>
      <c r="B1826" s="93" t="s">
        <v>330</v>
      </c>
      <c r="C1826" s="89" t="s">
        <v>40</v>
      </c>
      <c r="D1826" s="93" t="s">
        <v>252</v>
      </c>
      <c r="E1826" s="93" t="s">
        <v>36</v>
      </c>
      <c r="F1826" s="93" t="s">
        <v>416</v>
      </c>
      <c r="G1826" s="93" t="s">
        <v>347</v>
      </c>
      <c r="H1826" s="93" t="s">
        <v>342</v>
      </c>
      <c r="I1826" s="94">
        <v>4</v>
      </c>
      <c r="J1826" s="95">
        <v>240</v>
      </c>
    </row>
    <row r="1827" spans="1:10" x14ac:dyDescent="0.25">
      <c r="A1827" s="92">
        <v>45889</v>
      </c>
      <c r="B1827" s="93" t="s">
        <v>325</v>
      </c>
      <c r="C1827" s="89" t="s">
        <v>40</v>
      </c>
      <c r="D1827" s="93" t="s">
        <v>179</v>
      </c>
      <c r="E1827" s="93" t="s">
        <v>34</v>
      </c>
      <c r="F1827" s="93" t="s">
        <v>422</v>
      </c>
      <c r="G1827" s="93" t="s">
        <v>347</v>
      </c>
      <c r="H1827" s="93" t="s">
        <v>343</v>
      </c>
      <c r="I1827" s="94">
        <v>0.25</v>
      </c>
      <c r="J1827" s="95">
        <v>18.75</v>
      </c>
    </row>
    <row r="1828" spans="1:10" x14ac:dyDescent="0.25">
      <c r="A1828" s="92">
        <v>45889</v>
      </c>
      <c r="B1828" s="93" t="s">
        <v>326</v>
      </c>
      <c r="C1828" s="89" t="s">
        <v>40</v>
      </c>
      <c r="D1828" s="93" t="s">
        <v>175</v>
      </c>
      <c r="E1828" s="93" t="s">
        <v>36</v>
      </c>
      <c r="F1828" s="93" t="s">
        <v>388</v>
      </c>
      <c r="G1828" s="93" t="s">
        <v>348</v>
      </c>
      <c r="H1828" s="93" t="s">
        <v>342</v>
      </c>
      <c r="I1828" s="94">
        <v>1</v>
      </c>
      <c r="J1828" s="95">
        <v>60</v>
      </c>
    </row>
    <row r="1829" spans="1:10" x14ac:dyDescent="0.25">
      <c r="A1829" s="92">
        <v>45889</v>
      </c>
      <c r="B1829" s="93" t="s">
        <v>326</v>
      </c>
      <c r="C1829" s="89" t="s">
        <v>40</v>
      </c>
      <c r="D1829" s="93" t="s">
        <v>188</v>
      </c>
      <c r="E1829" s="93" t="s">
        <v>36</v>
      </c>
      <c r="F1829" s="93" t="s">
        <v>356</v>
      </c>
      <c r="G1829" s="93" t="s">
        <v>348</v>
      </c>
      <c r="H1829" s="93" t="s">
        <v>342</v>
      </c>
      <c r="I1829" s="94">
        <v>1.33</v>
      </c>
      <c r="J1829" s="95">
        <v>79.800000000000011</v>
      </c>
    </row>
    <row r="1830" spans="1:10" x14ac:dyDescent="0.25">
      <c r="A1830" s="92">
        <v>45889</v>
      </c>
      <c r="B1830" s="93" t="s">
        <v>324</v>
      </c>
      <c r="C1830" s="89" t="s">
        <v>40</v>
      </c>
      <c r="D1830" s="93" t="s">
        <v>314</v>
      </c>
      <c r="E1830" s="93" t="s">
        <v>35</v>
      </c>
      <c r="F1830" s="93" t="s">
        <v>359</v>
      </c>
      <c r="G1830" s="93" t="s">
        <v>339</v>
      </c>
      <c r="H1830" s="93" t="s">
        <v>352</v>
      </c>
      <c r="I1830" s="94">
        <v>6</v>
      </c>
      <c r="J1830" s="95">
        <v>450</v>
      </c>
    </row>
    <row r="1831" spans="1:10" x14ac:dyDescent="0.25">
      <c r="A1831" s="92">
        <v>45889</v>
      </c>
      <c r="B1831" s="93" t="s">
        <v>332</v>
      </c>
      <c r="C1831" s="89" t="s">
        <v>40</v>
      </c>
      <c r="D1831" s="93" t="s">
        <v>314</v>
      </c>
      <c r="E1831" s="93" t="s">
        <v>35</v>
      </c>
      <c r="F1831" s="93" t="s">
        <v>359</v>
      </c>
      <c r="G1831" s="93" t="s">
        <v>339</v>
      </c>
      <c r="H1831" s="93" t="s">
        <v>352</v>
      </c>
      <c r="I1831" s="94">
        <v>8.83</v>
      </c>
      <c r="J1831" s="95">
        <v>353.2</v>
      </c>
    </row>
    <row r="1832" spans="1:10" x14ac:dyDescent="0.25">
      <c r="A1832" s="92">
        <v>45890</v>
      </c>
      <c r="B1832" s="93" t="s">
        <v>329</v>
      </c>
      <c r="C1832" s="89" t="s">
        <v>40</v>
      </c>
      <c r="D1832" s="93" t="s">
        <v>316</v>
      </c>
      <c r="E1832" s="93" t="s">
        <v>35</v>
      </c>
      <c r="F1832" s="93" t="s">
        <v>338</v>
      </c>
      <c r="G1832" s="93" t="s">
        <v>337</v>
      </c>
      <c r="H1832" s="93" t="s">
        <v>352</v>
      </c>
      <c r="I1832" s="94">
        <v>1</v>
      </c>
      <c r="J1832" s="95">
        <v>75</v>
      </c>
    </row>
    <row r="1833" spans="1:10" x14ac:dyDescent="0.25">
      <c r="A1833" s="92">
        <v>45890</v>
      </c>
      <c r="B1833" s="93" t="s">
        <v>325</v>
      </c>
      <c r="C1833" s="89" t="s">
        <v>40</v>
      </c>
      <c r="D1833" s="93" t="s">
        <v>198</v>
      </c>
      <c r="E1833" s="93" t="s">
        <v>341</v>
      </c>
      <c r="F1833" s="93" t="s">
        <v>413</v>
      </c>
      <c r="G1833" s="93" t="s">
        <v>347</v>
      </c>
      <c r="H1833" s="93" t="s">
        <v>344</v>
      </c>
      <c r="I1833" s="94">
        <v>1.42</v>
      </c>
      <c r="J1833" s="95">
        <v>106.5</v>
      </c>
    </row>
    <row r="1834" spans="1:10" x14ac:dyDescent="0.25">
      <c r="A1834" s="92">
        <v>45890</v>
      </c>
      <c r="B1834" s="93" t="s">
        <v>333</v>
      </c>
      <c r="C1834" s="89" t="s">
        <v>40</v>
      </c>
      <c r="D1834" s="93" t="s">
        <v>320</v>
      </c>
      <c r="E1834" s="93" t="s">
        <v>35</v>
      </c>
      <c r="F1834" s="93" t="s">
        <v>322</v>
      </c>
      <c r="G1834" s="93" t="s">
        <v>319</v>
      </c>
      <c r="H1834" s="93" t="s">
        <v>352</v>
      </c>
      <c r="I1834" s="94">
        <v>8.2200000000000006</v>
      </c>
      <c r="J1834" s="95">
        <v>263.04000000000002</v>
      </c>
    </row>
    <row r="1835" spans="1:10" x14ac:dyDescent="0.25">
      <c r="A1835" s="92">
        <v>45890</v>
      </c>
      <c r="B1835" s="93" t="s">
        <v>325</v>
      </c>
      <c r="C1835" s="89" t="s">
        <v>40</v>
      </c>
      <c r="D1835" s="93" t="s">
        <v>304</v>
      </c>
      <c r="E1835" s="93" t="s">
        <v>34</v>
      </c>
      <c r="F1835" s="93" t="s">
        <v>372</v>
      </c>
      <c r="G1835" s="93" t="s">
        <v>347</v>
      </c>
      <c r="H1835" s="93" t="s">
        <v>343</v>
      </c>
      <c r="I1835" s="94">
        <v>0.33</v>
      </c>
      <c r="J1835" s="95">
        <v>24.75</v>
      </c>
    </row>
    <row r="1836" spans="1:10" x14ac:dyDescent="0.25">
      <c r="A1836" s="92">
        <v>45890</v>
      </c>
      <c r="B1836" s="93" t="s">
        <v>325</v>
      </c>
      <c r="C1836" s="89" t="s">
        <v>40</v>
      </c>
      <c r="D1836" s="93" t="s">
        <v>210</v>
      </c>
      <c r="E1836" s="93" t="s">
        <v>34</v>
      </c>
      <c r="F1836" s="93" t="s">
        <v>399</v>
      </c>
      <c r="G1836" s="93" t="s">
        <v>347</v>
      </c>
      <c r="H1836" s="93" t="s">
        <v>343</v>
      </c>
      <c r="I1836" s="94">
        <v>0.25</v>
      </c>
      <c r="J1836" s="95">
        <v>18.75</v>
      </c>
    </row>
    <row r="1837" spans="1:10" x14ac:dyDescent="0.25">
      <c r="A1837" s="92">
        <v>45890</v>
      </c>
      <c r="B1837" s="93" t="s">
        <v>329</v>
      </c>
      <c r="C1837" s="89" t="s">
        <v>40</v>
      </c>
      <c r="D1837" s="93" t="s">
        <v>229</v>
      </c>
      <c r="E1837" s="93" t="s">
        <v>34</v>
      </c>
      <c r="F1837" s="93" t="s">
        <v>373</v>
      </c>
      <c r="G1837" s="93" t="s">
        <v>347</v>
      </c>
      <c r="H1837" s="93" t="s">
        <v>343</v>
      </c>
      <c r="I1837" s="94">
        <v>0.67</v>
      </c>
      <c r="J1837" s="95">
        <v>50.25</v>
      </c>
    </row>
    <row r="1838" spans="1:10" x14ac:dyDescent="0.25">
      <c r="A1838" s="92">
        <v>45890</v>
      </c>
      <c r="B1838" s="93" t="s">
        <v>326</v>
      </c>
      <c r="C1838" s="89" t="s">
        <v>40</v>
      </c>
      <c r="D1838" s="93" t="s">
        <v>175</v>
      </c>
      <c r="E1838" s="93" t="s">
        <v>36</v>
      </c>
      <c r="F1838" s="93" t="s">
        <v>388</v>
      </c>
      <c r="G1838" s="93" t="s">
        <v>348</v>
      </c>
      <c r="H1838" s="93" t="s">
        <v>342</v>
      </c>
      <c r="I1838" s="94">
        <v>0.5</v>
      </c>
      <c r="J1838" s="95">
        <v>30</v>
      </c>
    </row>
    <row r="1839" spans="1:10" x14ac:dyDescent="0.25">
      <c r="A1839" s="92">
        <v>45890</v>
      </c>
      <c r="B1839" s="93" t="s">
        <v>326</v>
      </c>
      <c r="C1839" s="89" t="s">
        <v>40</v>
      </c>
      <c r="D1839" s="93" t="s">
        <v>265</v>
      </c>
      <c r="E1839" s="93" t="s">
        <v>34</v>
      </c>
      <c r="F1839" s="93" t="s">
        <v>358</v>
      </c>
      <c r="G1839" s="93" t="s">
        <v>348</v>
      </c>
      <c r="H1839" s="93" t="s">
        <v>343</v>
      </c>
      <c r="I1839" s="94">
        <v>0.5</v>
      </c>
      <c r="J1839" s="95">
        <v>30</v>
      </c>
    </row>
    <row r="1840" spans="1:10" x14ac:dyDescent="0.25">
      <c r="A1840" s="92">
        <v>45890</v>
      </c>
      <c r="B1840" s="93" t="s">
        <v>324</v>
      </c>
      <c r="C1840" s="89" t="s">
        <v>40</v>
      </c>
      <c r="D1840" s="93" t="s">
        <v>314</v>
      </c>
      <c r="E1840" s="93" t="s">
        <v>35</v>
      </c>
      <c r="F1840" s="93" t="s">
        <v>359</v>
      </c>
      <c r="G1840" s="93" t="s">
        <v>339</v>
      </c>
      <c r="H1840" s="93" t="s">
        <v>352</v>
      </c>
      <c r="I1840" s="94">
        <v>4.75</v>
      </c>
      <c r="J1840" s="95">
        <v>356.25</v>
      </c>
    </row>
    <row r="1841" spans="1:10" x14ac:dyDescent="0.25">
      <c r="A1841" s="92">
        <v>45890</v>
      </c>
      <c r="B1841" s="93" t="s">
        <v>332</v>
      </c>
      <c r="C1841" s="89" t="s">
        <v>40</v>
      </c>
      <c r="D1841" s="93" t="s">
        <v>314</v>
      </c>
      <c r="E1841" s="93" t="s">
        <v>35</v>
      </c>
      <c r="F1841" s="93" t="s">
        <v>359</v>
      </c>
      <c r="G1841" s="93" t="s">
        <v>339</v>
      </c>
      <c r="H1841" s="93" t="s">
        <v>352</v>
      </c>
      <c r="I1841" s="94">
        <v>8.5</v>
      </c>
      <c r="J1841" s="95">
        <v>340</v>
      </c>
    </row>
    <row r="1842" spans="1:10" x14ac:dyDescent="0.25">
      <c r="A1842" s="92">
        <v>45891</v>
      </c>
      <c r="B1842" s="93" t="s">
        <v>329</v>
      </c>
      <c r="C1842" s="89" t="s">
        <v>40</v>
      </c>
      <c r="D1842" s="93" t="s">
        <v>316</v>
      </c>
      <c r="E1842" s="93" t="s">
        <v>35</v>
      </c>
      <c r="F1842" s="93" t="s">
        <v>338</v>
      </c>
      <c r="G1842" s="93" t="s">
        <v>337</v>
      </c>
      <c r="H1842" s="93" t="s">
        <v>352</v>
      </c>
      <c r="I1842" s="94">
        <v>1</v>
      </c>
      <c r="J1842" s="95">
        <v>75</v>
      </c>
    </row>
    <row r="1843" spans="1:10" x14ac:dyDescent="0.25">
      <c r="A1843" s="92">
        <v>45891</v>
      </c>
      <c r="B1843" s="93" t="s">
        <v>329</v>
      </c>
      <c r="C1843" s="89" t="s">
        <v>40</v>
      </c>
      <c r="D1843" s="93" t="s">
        <v>242</v>
      </c>
      <c r="E1843" s="93" t="s">
        <v>341</v>
      </c>
      <c r="F1843" s="93" t="s">
        <v>404</v>
      </c>
      <c r="G1843" s="93" t="s">
        <v>347</v>
      </c>
      <c r="H1843" s="93" t="s">
        <v>344</v>
      </c>
      <c r="I1843" s="94">
        <v>0.5</v>
      </c>
      <c r="J1843" s="95">
        <v>37.5</v>
      </c>
    </row>
    <row r="1844" spans="1:10" x14ac:dyDescent="0.25">
      <c r="A1844" s="92">
        <v>45891</v>
      </c>
      <c r="B1844" s="93" t="s">
        <v>323</v>
      </c>
      <c r="C1844" s="89" t="s">
        <v>40</v>
      </c>
      <c r="D1844" s="93" t="s">
        <v>202</v>
      </c>
      <c r="E1844" s="93" t="s">
        <v>36</v>
      </c>
      <c r="F1844" s="93" t="s">
        <v>431</v>
      </c>
      <c r="G1844" s="93" t="s">
        <v>346</v>
      </c>
      <c r="H1844" s="93" t="s">
        <v>342</v>
      </c>
      <c r="I1844" s="94">
        <v>1</v>
      </c>
      <c r="J1844" s="95">
        <v>60</v>
      </c>
    </row>
    <row r="1845" spans="1:10" x14ac:dyDescent="0.25">
      <c r="A1845" s="92">
        <v>45891</v>
      </c>
      <c r="B1845" s="93" t="s">
        <v>327</v>
      </c>
      <c r="C1845" s="89" t="s">
        <v>40</v>
      </c>
      <c r="D1845" s="93" t="s">
        <v>320</v>
      </c>
      <c r="E1845" s="93" t="s">
        <v>35</v>
      </c>
      <c r="F1845" s="93" t="s">
        <v>322</v>
      </c>
      <c r="G1845" s="93" t="s">
        <v>319</v>
      </c>
      <c r="H1845" s="93" t="s">
        <v>352</v>
      </c>
      <c r="I1845" s="94">
        <v>7.25</v>
      </c>
      <c r="J1845" s="95">
        <v>232</v>
      </c>
    </row>
    <row r="1846" spans="1:10" x14ac:dyDescent="0.25">
      <c r="A1846" s="92">
        <v>45891</v>
      </c>
      <c r="B1846" s="93" t="s">
        <v>323</v>
      </c>
      <c r="C1846" s="89" t="s">
        <v>40</v>
      </c>
      <c r="D1846" s="93" t="s">
        <v>282</v>
      </c>
      <c r="E1846" s="93" t="s">
        <v>36</v>
      </c>
      <c r="F1846" s="93" t="s">
        <v>451</v>
      </c>
      <c r="G1846" s="93" t="s">
        <v>346</v>
      </c>
      <c r="H1846" s="93" t="s">
        <v>342</v>
      </c>
      <c r="I1846" s="94">
        <v>0.25</v>
      </c>
      <c r="J1846" s="95">
        <v>15</v>
      </c>
    </row>
    <row r="1847" spans="1:10" x14ac:dyDescent="0.25">
      <c r="A1847" s="92">
        <v>45891</v>
      </c>
      <c r="B1847" s="93" t="s">
        <v>325</v>
      </c>
      <c r="C1847" s="89" t="s">
        <v>40</v>
      </c>
      <c r="D1847" s="93" t="s">
        <v>249</v>
      </c>
      <c r="E1847" s="93" t="s">
        <v>34</v>
      </c>
      <c r="F1847" s="93" t="s">
        <v>409</v>
      </c>
      <c r="G1847" s="93" t="s">
        <v>347</v>
      </c>
      <c r="H1847" s="93" t="s">
        <v>343</v>
      </c>
      <c r="I1847" s="94">
        <v>0.25</v>
      </c>
      <c r="J1847" s="95">
        <v>18.75</v>
      </c>
    </row>
    <row r="1848" spans="1:10" x14ac:dyDescent="0.25">
      <c r="A1848" s="92">
        <v>45891</v>
      </c>
      <c r="B1848" s="93" t="s">
        <v>329</v>
      </c>
      <c r="C1848" s="89" t="s">
        <v>40</v>
      </c>
      <c r="D1848" s="93" t="s">
        <v>299</v>
      </c>
      <c r="E1848" s="93" t="s">
        <v>312</v>
      </c>
      <c r="F1848" s="93" t="s">
        <v>455</v>
      </c>
      <c r="G1848" s="93" t="s">
        <v>347</v>
      </c>
      <c r="H1848" s="93" t="s">
        <v>350</v>
      </c>
      <c r="I1848" s="94">
        <v>2</v>
      </c>
      <c r="J1848" s="95">
        <v>150</v>
      </c>
    </row>
    <row r="1849" spans="1:10" x14ac:dyDescent="0.25">
      <c r="A1849" s="92">
        <v>45891</v>
      </c>
      <c r="B1849" s="93" t="s">
        <v>324</v>
      </c>
      <c r="C1849" s="89" t="s">
        <v>40</v>
      </c>
      <c r="D1849" s="93" t="s">
        <v>314</v>
      </c>
      <c r="E1849" s="93" t="s">
        <v>35</v>
      </c>
      <c r="F1849" s="93" t="s">
        <v>359</v>
      </c>
      <c r="G1849" s="93" t="s">
        <v>339</v>
      </c>
      <c r="H1849" s="93" t="s">
        <v>352</v>
      </c>
      <c r="I1849" s="94">
        <v>3.75</v>
      </c>
      <c r="J1849" s="95">
        <v>281.25</v>
      </c>
    </row>
    <row r="1850" spans="1:10" x14ac:dyDescent="0.25">
      <c r="A1850" s="92">
        <v>45892</v>
      </c>
      <c r="B1850" s="93" t="s">
        <v>332</v>
      </c>
      <c r="C1850" s="89" t="s">
        <v>40</v>
      </c>
      <c r="D1850" s="93" t="s">
        <v>314</v>
      </c>
      <c r="E1850" s="93" t="s">
        <v>35</v>
      </c>
      <c r="F1850" s="93" t="s">
        <v>359</v>
      </c>
      <c r="G1850" s="93" t="s">
        <v>339</v>
      </c>
      <c r="H1850" s="93" t="s">
        <v>352</v>
      </c>
      <c r="I1850" s="94">
        <v>3</v>
      </c>
      <c r="J1850" s="95">
        <v>120</v>
      </c>
    </row>
    <row r="1851" spans="1:10" x14ac:dyDescent="0.25">
      <c r="A1851" s="92">
        <v>45895</v>
      </c>
      <c r="B1851" s="93" t="s">
        <v>333</v>
      </c>
      <c r="C1851" s="89" t="s">
        <v>40</v>
      </c>
      <c r="D1851" s="93" t="s">
        <v>320</v>
      </c>
      <c r="E1851" s="93" t="s">
        <v>35</v>
      </c>
      <c r="F1851" s="93" t="s">
        <v>322</v>
      </c>
      <c r="G1851" s="93" t="s">
        <v>319</v>
      </c>
      <c r="H1851" s="93" t="s">
        <v>352</v>
      </c>
      <c r="I1851" s="94">
        <v>7.23</v>
      </c>
      <c r="J1851" s="95">
        <v>231.36</v>
      </c>
    </row>
    <row r="1852" spans="1:10" x14ac:dyDescent="0.25">
      <c r="A1852" s="92">
        <v>45895</v>
      </c>
      <c r="B1852" s="93" t="s">
        <v>327</v>
      </c>
      <c r="C1852" s="89" t="s">
        <v>40</v>
      </c>
      <c r="D1852" s="93" t="s">
        <v>320</v>
      </c>
      <c r="E1852" s="93" t="s">
        <v>35</v>
      </c>
      <c r="F1852" s="93" t="s">
        <v>322</v>
      </c>
      <c r="G1852" s="93" t="s">
        <v>319</v>
      </c>
      <c r="H1852" s="93" t="s">
        <v>352</v>
      </c>
      <c r="I1852" s="94">
        <v>7.5</v>
      </c>
      <c r="J1852" s="95">
        <v>240</v>
      </c>
    </row>
    <row r="1853" spans="1:10" x14ac:dyDescent="0.25">
      <c r="A1853" s="92">
        <v>45895</v>
      </c>
      <c r="B1853" s="93" t="s">
        <v>323</v>
      </c>
      <c r="C1853" s="89" t="s">
        <v>40</v>
      </c>
      <c r="D1853" s="93" t="s">
        <v>280</v>
      </c>
      <c r="E1853" s="93" t="s">
        <v>36</v>
      </c>
      <c r="F1853" s="93" t="s">
        <v>445</v>
      </c>
      <c r="G1853" s="93" t="s">
        <v>346</v>
      </c>
      <c r="H1853" s="93" t="s">
        <v>342</v>
      </c>
      <c r="I1853" s="94">
        <v>0.5</v>
      </c>
      <c r="J1853" s="95">
        <v>30</v>
      </c>
    </row>
    <row r="1854" spans="1:10" x14ac:dyDescent="0.25">
      <c r="A1854" s="92">
        <v>45895</v>
      </c>
      <c r="B1854" s="93" t="s">
        <v>323</v>
      </c>
      <c r="C1854" s="89" t="s">
        <v>40</v>
      </c>
      <c r="D1854" s="93" t="s">
        <v>169</v>
      </c>
      <c r="E1854" s="93" t="s">
        <v>34</v>
      </c>
      <c r="F1854" s="93" t="s">
        <v>433</v>
      </c>
      <c r="G1854" s="93" t="s">
        <v>346</v>
      </c>
      <c r="H1854" s="93" t="s">
        <v>343</v>
      </c>
      <c r="I1854" s="94">
        <v>1</v>
      </c>
      <c r="J1854" s="95">
        <v>60</v>
      </c>
    </row>
    <row r="1855" spans="1:10" x14ac:dyDescent="0.25">
      <c r="A1855" s="92">
        <v>45895</v>
      </c>
      <c r="B1855" s="93" t="s">
        <v>326</v>
      </c>
      <c r="C1855" s="89" t="s">
        <v>40</v>
      </c>
      <c r="D1855" s="93" t="s">
        <v>175</v>
      </c>
      <c r="E1855" s="93" t="s">
        <v>36</v>
      </c>
      <c r="F1855" s="93" t="s">
        <v>388</v>
      </c>
      <c r="G1855" s="93" t="s">
        <v>348</v>
      </c>
      <c r="H1855" s="93" t="s">
        <v>342</v>
      </c>
      <c r="I1855" s="94">
        <v>0.25</v>
      </c>
      <c r="J1855" s="95">
        <v>15</v>
      </c>
    </row>
    <row r="1856" spans="1:10" x14ac:dyDescent="0.25">
      <c r="A1856" s="92">
        <v>45895</v>
      </c>
      <c r="B1856" s="93" t="s">
        <v>332</v>
      </c>
      <c r="C1856" s="89" t="s">
        <v>40</v>
      </c>
      <c r="D1856" s="93" t="s">
        <v>314</v>
      </c>
      <c r="E1856" s="93" t="s">
        <v>35</v>
      </c>
      <c r="F1856" s="93" t="s">
        <v>359</v>
      </c>
      <c r="G1856" s="93" t="s">
        <v>339</v>
      </c>
      <c r="H1856" s="93" t="s">
        <v>352</v>
      </c>
      <c r="I1856" s="94">
        <v>7.33</v>
      </c>
      <c r="J1856" s="95">
        <v>293.2</v>
      </c>
    </row>
    <row r="1857" spans="1:10" x14ac:dyDescent="0.25">
      <c r="A1857" s="92">
        <v>45895</v>
      </c>
      <c r="B1857" s="93" t="s">
        <v>324</v>
      </c>
      <c r="C1857" s="89" t="s">
        <v>40</v>
      </c>
      <c r="D1857" s="93" t="s">
        <v>314</v>
      </c>
      <c r="E1857" s="93" t="s">
        <v>35</v>
      </c>
      <c r="F1857" s="93" t="s">
        <v>359</v>
      </c>
      <c r="G1857" s="93" t="s">
        <v>339</v>
      </c>
      <c r="H1857" s="93" t="s">
        <v>352</v>
      </c>
      <c r="I1857" s="94">
        <v>4.42</v>
      </c>
      <c r="J1857" s="95">
        <v>331.5</v>
      </c>
    </row>
    <row r="1858" spans="1:10" x14ac:dyDescent="0.25">
      <c r="A1858" s="92">
        <v>45896</v>
      </c>
      <c r="B1858" s="93" t="s">
        <v>329</v>
      </c>
      <c r="C1858" s="89" t="s">
        <v>40</v>
      </c>
      <c r="D1858" s="93" t="s">
        <v>316</v>
      </c>
      <c r="E1858" s="93" t="s">
        <v>35</v>
      </c>
      <c r="F1858" s="93" t="s">
        <v>338</v>
      </c>
      <c r="G1858" s="93" t="s">
        <v>337</v>
      </c>
      <c r="H1858" s="93" t="s">
        <v>352</v>
      </c>
      <c r="I1858" s="94">
        <v>1</v>
      </c>
      <c r="J1858" s="95">
        <v>75</v>
      </c>
    </row>
    <row r="1859" spans="1:10" x14ac:dyDescent="0.25">
      <c r="A1859" s="92">
        <v>45896</v>
      </c>
      <c r="B1859" s="93" t="s">
        <v>323</v>
      </c>
      <c r="C1859" s="89" t="s">
        <v>40</v>
      </c>
      <c r="D1859" s="93" t="s">
        <v>202</v>
      </c>
      <c r="E1859" s="93" t="s">
        <v>36</v>
      </c>
      <c r="F1859" s="93" t="s">
        <v>431</v>
      </c>
      <c r="G1859" s="93" t="s">
        <v>346</v>
      </c>
      <c r="H1859" s="93" t="s">
        <v>342</v>
      </c>
      <c r="I1859" s="94">
        <v>0.25</v>
      </c>
      <c r="J1859" s="95">
        <v>15</v>
      </c>
    </row>
    <row r="1860" spans="1:10" x14ac:dyDescent="0.25">
      <c r="A1860" s="92">
        <v>45896</v>
      </c>
      <c r="B1860" s="93" t="s">
        <v>323</v>
      </c>
      <c r="C1860" s="89" t="s">
        <v>40</v>
      </c>
      <c r="D1860" s="93" t="s">
        <v>212</v>
      </c>
      <c r="E1860" s="93" t="s">
        <v>36</v>
      </c>
      <c r="F1860" s="93" t="s">
        <v>392</v>
      </c>
      <c r="G1860" s="93" t="s">
        <v>346</v>
      </c>
      <c r="H1860" s="93" t="s">
        <v>342</v>
      </c>
      <c r="I1860" s="94">
        <v>0.25</v>
      </c>
      <c r="J1860" s="95">
        <v>15</v>
      </c>
    </row>
    <row r="1861" spans="1:10" x14ac:dyDescent="0.25">
      <c r="A1861" s="92">
        <v>45896</v>
      </c>
      <c r="B1861" s="93" t="s">
        <v>333</v>
      </c>
      <c r="C1861" s="89" t="s">
        <v>40</v>
      </c>
      <c r="D1861" s="93" t="s">
        <v>320</v>
      </c>
      <c r="E1861" s="93" t="s">
        <v>35</v>
      </c>
      <c r="F1861" s="93" t="s">
        <v>322</v>
      </c>
      <c r="G1861" s="93" t="s">
        <v>319</v>
      </c>
      <c r="H1861" s="93" t="s">
        <v>352</v>
      </c>
      <c r="I1861" s="94">
        <v>7</v>
      </c>
      <c r="J1861" s="95">
        <v>224</v>
      </c>
    </row>
    <row r="1862" spans="1:10" x14ac:dyDescent="0.25">
      <c r="A1862" s="92">
        <v>45896</v>
      </c>
      <c r="B1862" s="93" t="s">
        <v>327</v>
      </c>
      <c r="C1862" s="89" t="s">
        <v>40</v>
      </c>
      <c r="D1862" s="93" t="s">
        <v>320</v>
      </c>
      <c r="E1862" s="93" t="s">
        <v>35</v>
      </c>
      <c r="F1862" s="93" t="s">
        <v>322</v>
      </c>
      <c r="G1862" s="93" t="s">
        <v>319</v>
      </c>
      <c r="H1862" s="93" t="s">
        <v>352</v>
      </c>
      <c r="I1862" s="94">
        <v>7.25</v>
      </c>
      <c r="J1862" s="95">
        <v>232</v>
      </c>
    </row>
    <row r="1863" spans="1:10" x14ac:dyDescent="0.25">
      <c r="A1863" s="92">
        <v>45896</v>
      </c>
      <c r="B1863" s="93" t="s">
        <v>323</v>
      </c>
      <c r="C1863" s="89" t="s">
        <v>40</v>
      </c>
      <c r="D1863" s="93" t="s">
        <v>266</v>
      </c>
      <c r="E1863" s="93" t="s">
        <v>36</v>
      </c>
      <c r="F1863" s="93" t="s">
        <v>394</v>
      </c>
      <c r="G1863" s="93" t="s">
        <v>346</v>
      </c>
      <c r="H1863" s="93" t="s">
        <v>342</v>
      </c>
      <c r="I1863" s="94">
        <v>0.5</v>
      </c>
      <c r="J1863" s="95">
        <v>30</v>
      </c>
    </row>
    <row r="1864" spans="1:10" x14ac:dyDescent="0.25">
      <c r="A1864" s="92">
        <v>45896</v>
      </c>
      <c r="B1864" s="93" t="s">
        <v>323</v>
      </c>
      <c r="C1864" s="89" t="s">
        <v>40</v>
      </c>
      <c r="D1864" s="93" t="s">
        <v>169</v>
      </c>
      <c r="E1864" s="93" t="s">
        <v>34</v>
      </c>
      <c r="F1864" s="93" t="s">
        <v>433</v>
      </c>
      <c r="G1864" s="93" t="s">
        <v>346</v>
      </c>
      <c r="H1864" s="93" t="s">
        <v>343</v>
      </c>
      <c r="I1864" s="94">
        <v>1</v>
      </c>
      <c r="J1864" s="95">
        <v>60</v>
      </c>
    </row>
    <row r="1865" spans="1:10" x14ac:dyDescent="0.25">
      <c r="A1865" s="92">
        <v>45896</v>
      </c>
      <c r="B1865" s="93" t="s">
        <v>330</v>
      </c>
      <c r="C1865" s="89" t="s">
        <v>40</v>
      </c>
      <c r="D1865" s="93" t="s">
        <v>252</v>
      </c>
      <c r="E1865" s="93" t="s">
        <v>36</v>
      </c>
      <c r="F1865" s="93" t="s">
        <v>416</v>
      </c>
      <c r="G1865" s="93" t="s">
        <v>347</v>
      </c>
      <c r="H1865" s="93" t="s">
        <v>342</v>
      </c>
      <c r="I1865" s="94">
        <v>0.25</v>
      </c>
      <c r="J1865" s="95">
        <v>15</v>
      </c>
    </row>
    <row r="1866" spans="1:10" x14ac:dyDescent="0.25">
      <c r="A1866" s="92">
        <v>45896</v>
      </c>
      <c r="B1866" s="93" t="s">
        <v>325</v>
      </c>
      <c r="C1866" s="89" t="s">
        <v>40</v>
      </c>
      <c r="D1866" s="93" t="s">
        <v>253</v>
      </c>
      <c r="E1866" s="93" t="s">
        <v>34</v>
      </c>
      <c r="F1866" s="93" t="s">
        <v>408</v>
      </c>
      <c r="G1866" s="93" t="s">
        <v>347</v>
      </c>
      <c r="H1866" s="93" t="s">
        <v>343</v>
      </c>
      <c r="I1866" s="94">
        <v>0.57999999999999996</v>
      </c>
      <c r="J1866" s="95">
        <v>43.5</v>
      </c>
    </row>
    <row r="1867" spans="1:10" x14ac:dyDescent="0.25">
      <c r="A1867" s="92">
        <v>45896</v>
      </c>
      <c r="B1867" s="93" t="s">
        <v>330</v>
      </c>
      <c r="C1867" s="89" t="s">
        <v>40</v>
      </c>
      <c r="D1867" s="93" t="s">
        <v>255</v>
      </c>
      <c r="E1867" s="93" t="s">
        <v>34</v>
      </c>
      <c r="F1867" s="93" t="s">
        <v>462</v>
      </c>
      <c r="G1867" s="93" t="s">
        <v>347</v>
      </c>
      <c r="H1867" s="93" t="s">
        <v>343</v>
      </c>
      <c r="I1867" s="94">
        <v>0.42</v>
      </c>
      <c r="J1867" s="95">
        <v>25.2</v>
      </c>
    </row>
    <row r="1868" spans="1:10" x14ac:dyDescent="0.25">
      <c r="A1868" s="92">
        <v>45896</v>
      </c>
      <c r="B1868" s="93" t="s">
        <v>326</v>
      </c>
      <c r="C1868" s="89" t="s">
        <v>40</v>
      </c>
      <c r="D1868" s="93" t="s">
        <v>227</v>
      </c>
      <c r="E1868" s="93" t="s">
        <v>34</v>
      </c>
      <c r="F1868" s="93" t="s">
        <v>453</v>
      </c>
      <c r="G1868" s="93" t="s">
        <v>348</v>
      </c>
      <c r="H1868" s="93" t="s">
        <v>343</v>
      </c>
      <c r="I1868" s="94">
        <v>0.83</v>
      </c>
      <c r="J1868" s="95">
        <v>49.8</v>
      </c>
    </row>
    <row r="1869" spans="1:10" x14ac:dyDescent="0.25">
      <c r="A1869" s="92">
        <v>45896</v>
      </c>
      <c r="B1869" s="93" t="s">
        <v>332</v>
      </c>
      <c r="C1869" s="89" t="s">
        <v>40</v>
      </c>
      <c r="D1869" s="93" t="s">
        <v>314</v>
      </c>
      <c r="E1869" s="93" t="s">
        <v>35</v>
      </c>
      <c r="F1869" s="93" t="s">
        <v>359</v>
      </c>
      <c r="G1869" s="93" t="s">
        <v>339</v>
      </c>
      <c r="H1869" s="93" t="s">
        <v>352</v>
      </c>
      <c r="I1869" s="94">
        <v>9.33</v>
      </c>
      <c r="J1869" s="95">
        <v>373.2</v>
      </c>
    </row>
    <row r="1870" spans="1:10" x14ac:dyDescent="0.25">
      <c r="A1870" s="92">
        <v>45896</v>
      </c>
      <c r="B1870" s="93" t="s">
        <v>324</v>
      </c>
      <c r="C1870" s="89" t="s">
        <v>40</v>
      </c>
      <c r="D1870" s="93" t="s">
        <v>314</v>
      </c>
      <c r="E1870" s="93" t="s">
        <v>35</v>
      </c>
      <c r="F1870" s="93" t="s">
        <v>359</v>
      </c>
      <c r="G1870" s="93" t="s">
        <v>339</v>
      </c>
      <c r="H1870" s="93" t="s">
        <v>352</v>
      </c>
      <c r="I1870" s="94">
        <v>3</v>
      </c>
      <c r="J1870" s="95">
        <v>225</v>
      </c>
    </row>
    <row r="1871" spans="1:10" x14ac:dyDescent="0.25">
      <c r="A1871" s="92">
        <v>45897</v>
      </c>
      <c r="B1871" s="93" t="s">
        <v>333</v>
      </c>
      <c r="C1871" s="89" t="s">
        <v>40</v>
      </c>
      <c r="D1871" s="93" t="s">
        <v>320</v>
      </c>
      <c r="E1871" s="93" t="s">
        <v>35</v>
      </c>
      <c r="F1871" s="93" t="s">
        <v>322</v>
      </c>
      <c r="G1871" s="93" t="s">
        <v>319</v>
      </c>
      <c r="H1871" s="93" t="s">
        <v>352</v>
      </c>
      <c r="I1871" s="94">
        <v>6.12</v>
      </c>
      <c r="J1871" s="95">
        <v>195.84</v>
      </c>
    </row>
    <row r="1872" spans="1:10" x14ac:dyDescent="0.25">
      <c r="A1872" s="92">
        <v>45897</v>
      </c>
      <c r="B1872" s="93" t="s">
        <v>327</v>
      </c>
      <c r="C1872" s="89" t="s">
        <v>40</v>
      </c>
      <c r="D1872" s="93" t="s">
        <v>320</v>
      </c>
      <c r="E1872" s="93" t="s">
        <v>35</v>
      </c>
      <c r="F1872" s="93" t="s">
        <v>322</v>
      </c>
      <c r="G1872" s="93" t="s">
        <v>319</v>
      </c>
      <c r="H1872" s="93" t="s">
        <v>352</v>
      </c>
      <c r="I1872" s="94">
        <v>4</v>
      </c>
      <c r="J1872" s="95">
        <v>128</v>
      </c>
    </row>
    <row r="1873" spans="1:10" x14ac:dyDescent="0.25">
      <c r="A1873" s="92">
        <v>45897</v>
      </c>
      <c r="B1873" s="93" t="s">
        <v>323</v>
      </c>
      <c r="C1873" s="89" t="s">
        <v>40</v>
      </c>
      <c r="D1873" s="93" t="s">
        <v>285</v>
      </c>
      <c r="E1873" s="93" t="s">
        <v>36</v>
      </c>
      <c r="F1873" s="93" t="s">
        <v>448</v>
      </c>
      <c r="G1873" s="93" t="s">
        <v>346</v>
      </c>
      <c r="H1873" s="93" t="s">
        <v>342</v>
      </c>
      <c r="I1873" s="94">
        <v>0.17</v>
      </c>
      <c r="J1873" s="95">
        <v>10.200000000000001</v>
      </c>
    </row>
    <row r="1874" spans="1:10" x14ac:dyDescent="0.25">
      <c r="A1874" s="92">
        <v>45897</v>
      </c>
      <c r="B1874" s="93" t="s">
        <v>323</v>
      </c>
      <c r="C1874" s="89" t="s">
        <v>40</v>
      </c>
      <c r="D1874" s="93" t="s">
        <v>169</v>
      </c>
      <c r="E1874" s="93" t="s">
        <v>34</v>
      </c>
      <c r="F1874" s="93" t="s">
        <v>433</v>
      </c>
      <c r="G1874" s="93" t="s">
        <v>346</v>
      </c>
      <c r="H1874" s="93" t="s">
        <v>343</v>
      </c>
      <c r="I1874" s="94">
        <v>0.25</v>
      </c>
      <c r="J1874" s="95">
        <v>15</v>
      </c>
    </row>
    <row r="1875" spans="1:10" x14ac:dyDescent="0.25">
      <c r="A1875" s="92">
        <v>45897</v>
      </c>
      <c r="B1875" s="93" t="s">
        <v>325</v>
      </c>
      <c r="C1875" s="89" t="s">
        <v>40</v>
      </c>
      <c r="D1875" s="93" t="s">
        <v>179</v>
      </c>
      <c r="E1875" s="93" t="s">
        <v>34</v>
      </c>
      <c r="F1875" s="93" t="s">
        <v>422</v>
      </c>
      <c r="G1875" s="93" t="s">
        <v>347</v>
      </c>
      <c r="H1875" s="93" t="s">
        <v>343</v>
      </c>
      <c r="I1875" s="94">
        <v>0.42</v>
      </c>
      <c r="J1875" s="95">
        <v>31.5</v>
      </c>
    </row>
    <row r="1876" spans="1:10" x14ac:dyDescent="0.25">
      <c r="A1876" s="92">
        <v>45897</v>
      </c>
      <c r="B1876" s="93" t="s">
        <v>325</v>
      </c>
      <c r="C1876" s="89" t="s">
        <v>40</v>
      </c>
      <c r="D1876" s="93" t="s">
        <v>290</v>
      </c>
      <c r="E1876" s="93" t="s">
        <v>34</v>
      </c>
      <c r="F1876" s="93" t="s">
        <v>428</v>
      </c>
      <c r="G1876" s="93" t="s">
        <v>347</v>
      </c>
      <c r="H1876" s="93" t="s">
        <v>343</v>
      </c>
      <c r="I1876" s="94">
        <v>0.17</v>
      </c>
      <c r="J1876" s="95">
        <v>12.750000000000002</v>
      </c>
    </row>
    <row r="1877" spans="1:10" x14ac:dyDescent="0.25">
      <c r="A1877" s="92">
        <v>45897</v>
      </c>
      <c r="B1877" s="93" t="s">
        <v>325</v>
      </c>
      <c r="C1877" s="89" t="s">
        <v>40</v>
      </c>
      <c r="D1877" s="93" t="s">
        <v>298</v>
      </c>
      <c r="E1877" s="93" t="s">
        <v>34</v>
      </c>
      <c r="F1877" s="93" t="s">
        <v>406</v>
      </c>
      <c r="G1877" s="93" t="s">
        <v>347</v>
      </c>
      <c r="H1877" s="93" t="s">
        <v>343</v>
      </c>
      <c r="I1877" s="94">
        <v>0.25</v>
      </c>
      <c r="J1877" s="95">
        <v>18.75</v>
      </c>
    </row>
    <row r="1878" spans="1:10" x14ac:dyDescent="0.25">
      <c r="A1878" s="92">
        <v>45897</v>
      </c>
      <c r="B1878" s="93" t="s">
        <v>325</v>
      </c>
      <c r="C1878" s="89" t="s">
        <v>40</v>
      </c>
      <c r="D1878" s="93" t="s">
        <v>253</v>
      </c>
      <c r="E1878" s="93" t="s">
        <v>34</v>
      </c>
      <c r="F1878" s="93" t="s">
        <v>408</v>
      </c>
      <c r="G1878" s="93" t="s">
        <v>347</v>
      </c>
      <c r="H1878" s="93" t="s">
        <v>343</v>
      </c>
      <c r="I1878" s="94">
        <v>0.25</v>
      </c>
      <c r="J1878" s="95">
        <v>18.75</v>
      </c>
    </row>
    <row r="1879" spans="1:10" x14ac:dyDescent="0.25">
      <c r="A1879" s="92">
        <v>45897</v>
      </c>
      <c r="B1879" s="93" t="s">
        <v>326</v>
      </c>
      <c r="C1879" s="89" t="s">
        <v>40</v>
      </c>
      <c r="D1879" s="93" t="s">
        <v>188</v>
      </c>
      <c r="E1879" s="93" t="s">
        <v>36</v>
      </c>
      <c r="F1879" s="93" t="s">
        <v>356</v>
      </c>
      <c r="G1879" s="93" t="s">
        <v>348</v>
      </c>
      <c r="H1879" s="93" t="s">
        <v>342</v>
      </c>
      <c r="I1879" s="94">
        <v>1</v>
      </c>
      <c r="J1879" s="95">
        <v>60</v>
      </c>
    </row>
    <row r="1880" spans="1:10" x14ac:dyDescent="0.25">
      <c r="A1880" s="92">
        <v>45897</v>
      </c>
      <c r="B1880" s="93" t="s">
        <v>326</v>
      </c>
      <c r="C1880" s="89" t="s">
        <v>40</v>
      </c>
      <c r="D1880" s="93" t="s">
        <v>265</v>
      </c>
      <c r="E1880" s="93" t="s">
        <v>36</v>
      </c>
      <c r="F1880" s="93" t="s">
        <v>358</v>
      </c>
      <c r="G1880" s="93" t="s">
        <v>348</v>
      </c>
      <c r="H1880" s="93" t="s">
        <v>342</v>
      </c>
      <c r="I1880" s="94">
        <v>1</v>
      </c>
      <c r="J1880" s="95">
        <v>60</v>
      </c>
    </row>
    <row r="1881" spans="1:10" x14ac:dyDescent="0.25">
      <c r="A1881" s="92">
        <v>45897</v>
      </c>
      <c r="B1881" s="93" t="s">
        <v>326</v>
      </c>
      <c r="C1881" s="89" t="s">
        <v>40</v>
      </c>
      <c r="D1881" s="93" t="s">
        <v>227</v>
      </c>
      <c r="E1881" s="93" t="s">
        <v>34</v>
      </c>
      <c r="F1881" s="93" t="s">
        <v>453</v>
      </c>
      <c r="G1881" s="93" t="s">
        <v>348</v>
      </c>
      <c r="H1881" s="93" t="s">
        <v>343</v>
      </c>
      <c r="I1881" s="94">
        <v>0.83</v>
      </c>
      <c r="J1881" s="95">
        <v>49.8</v>
      </c>
    </row>
    <row r="1882" spans="1:10" x14ac:dyDescent="0.25">
      <c r="A1882" s="92">
        <v>45897</v>
      </c>
      <c r="B1882" s="93" t="s">
        <v>332</v>
      </c>
      <c r="C1882" s="89" t="s">
        <v>40</v>
      </c>
      <c r="D1882" s="93" t="s">
        <v>314</v>
      </c>
      <c r="E1882" s="93" t="s">
        <v>35</v>
      </c>
      <c r="F1882" s="93" t="s">
        <v>359</v>
      </c>
      <c r="G1882" s="93" t="s">
        <v>339</v>
      </c>
      <c r="H1882" s="93" t="s">
        <v>352</v>
      </c>
      <c r="I1882" s="94">
        <v>2</v>
      </c>
      <c r="J1882" s="95">
        <v>80</v>
      </c>
    </row>
    <row r="1883" spans="1:10" x14ac:dyDescent="0.25">
      <c r="A1883" s="92">
        <v>45898</v>
      </c>
      <c r="B1883" s="93" t="s">
        <v>327</v>
      </c>
      <c r="C1883" s="89" t="s">
        <v>40</v>
      </c>
      <c r="D1883" s="93" t="s">
        <v>320</v>
      </c>
      <c r="E1883" s="93" t="s">
        <v>35</v>
      </c>
      <c r="F1883" s="93" t="s">
        <v>322</v>
      </c>
      <c r="G1883" s="93" t="s">
        <v>319</v>
      </c>
      <c r="H1883" s="93" t="s">
        <v>352</v>
      </c>
      <c r="I1883" s="94">
        <v>7.5</v>
      </c>
      <c r="J1883" s="95">
        <v>240</v>
      </c>
    </row>
    <row r="1884" spans="1:10" x14ac:dyDescent="0.25">
      <c r="A1884" s="92">
        <v>45898</v>
      </c>
      <c r="B1884" s="93" t="s">
        <v>325</v>
      </c>
      <c r="C1884" s="89" t="s">
        <v>40</v>
      </c>
      <c r="D1884" s="93" t="s">
        <v>179</v>
      </c>
      <c r="E1884" s="93" t="s">
        <v>34</v>
      </c>
      <c r="F1884" s="93" t="s">
        <v>422</v>
      </c>
      <c r="G1884" s="93" t="s">
        <v>347</v>
      </c>
      <c r="H1884" s="93" t="s">
        <v>343</v>
      </c>
      <c r="I1884" s="94">
        <v>0.25</v>
      </c>
      <c r="J1884" s="95">
        <v>18.75</v>
      </c>
    </row>
    <row r="1885" spans="1:10" x14ac:dyDescent="0.25">
      <c r="A1885" s="92">
        <v>45898</v>
      </c>
      <c r="B1885" s="93" t="s">
        <v>332</v>
      </c>
      <c r="C1885" s="89" t="s">
        <v>40</v>
      </c>
      <c r="D1885" s="93" t="s">
        <v>314</v>
      </c>
      <c r="E1885" s="93" t="s">
        <v>35</v>
      </c>
      <c r="F1885" s="93" t="s">
        <v>359</v>
      </c>
      <c r="G1885" s="93" t="s">
        <v>339</v>
      </c>
      <c r="H1885" s="93" t="s">
        <v>352</v>
      </c>
      <c r="I1885" s="94">
        <v>9.33</v>
      </c>
      <c r="J1885" s="95">
        <v>373.2</v>
      </c>
    </row>
    <row r="1886" spans="1:10" x14ac:dyDescent="0.25">
      <c r="A1886" s="92">
        <v>45898</v>
      </c>
      <c r="B1886" s="93" t="s">
        <v>324</v>
      </c>
      <c r="C1886" s="89" t="s">
        <v>40</v>
      </c>
      <c r="D1886" s="93" t="s">
        <v>314</v>
      </c>
      <c r="E1886" s="93" t="s">
        <v>35</v>
      </c>
      <c r="F1886" s="93" t="s">
        <v>359</v>
      </c>
      <c r="G1886" s="93" t="s">
        <v>339</v>
      </c>
      <c r="H1886" s="93" t="s">
        <v>352</v>
      </c>
      <c r="I1886" s="94">
        <v>3.67</v>
      </c>
      <c r="J1886" s="95">
        <v>275.25</v>
      </c>
    </row>
    <row r="1887" spans="1:10" x14ac:dyDescent="0.25">
      <c r="A1887" s="92">
        <v>45899</v>
      </c>
      <c r="B1887" s="93" t="s">
        <v>332</v>
      </c>
      <c r="C1887" s="89" t="s">
        <v>40</v>
      </c>
      <c r="D1887" s="93" t="s">
        <v>314</v>
      </c>
      <c r="E1887" s="93" t="s">
        <v>35</v>
      </c>
      <c r="F1887" s="93" t="s">
        <v>359</v>
      </c>
      <c r="G1887" s="93" t="s">
        <v>339</v>
      </c>
      <c r="H1887" s="93" t="s">
        <v>352</v>
      </c>
      <c r="I1887" s="94">
        <v>4</v>
      </c>
      <c r="J1887" s="95">
        <v>160</v>
      </c>
    </row>
    <row r="1888" spans="1:10" x14ac:dyDescent="0.25">
      <c r="A1888" s="92">
        <v>45901</v>
      </c>
      <c r="B1888" s="93" t="s">
        <v>329</v>
      </c>
      <c r="C1888" s="89" t="s">
        <v>40</v>
      </c>
      <c r="D1888" s="93" t="s">
        <v>197</v>
      </c>
      <c r="E1888" s="93" t="s">
        <v>341</v>
      </c>
      <c r="F1888" s="93" t="s">
        <v>366</v>
      </c>
      <c r="G1888" s="93" t="s">
        <v>347</v>
      </c>
      <c r="H1888" s="93" t="s">
        <v>344</v>
      </c>
      <c r="I1888" s="94">
        <v>0.5</v>
      </c>
      <c r="J1888" s="95">
        <v>37.5</v>
      </c>
    </row>
    <row r="1889" spans="1:10" x14ac:dyDescent="0.25">
      <c r="A1889" s="92">
        <v>45901</v>
      </c>
      <c r="B1889" s="93" t="s">
        <v>333</v>
      </c>
      <c r="C1889" s="89" t="s">
        <v>40</v>
      </c>
      <c r="D1889" s="93" t="s">
        <v>320</v>
      </c>
      <c r="E1889" s="93" t="s">
        <v>35</v>
      </c>
      <c r="F1889" s="93" t="s">
        <v>322</v>
      </c>
      <c r="G1889" s="93" t="s">
        <v>319</v>
      </c>
      <c r="H1889" s="93" t="s">
        <v>352</v>
      </c>
      <c r="I1889" s="94">
        <v>7.67</v>
      </c>
      <c r="J1889" s="95">
        <v>245.44</v>
      </c>
    </row>
    <row r="1890" spans="1:10" x14ac:dyDescent="0.25">
      <c r="A1890" s="92">
        <v>45901</v>
      </c>
      <c r="B1890" s="93" t="s">
        <v>327</v>
      </c>
      <c r="C1890" s="89" t="s">
        <v>40</v>
      </c>
      <c r="D1890" s="93" t="s">
        <v>320</v>
      </c>
      <c r="E1890" s="93" t="s">
        <v>35</v>
      </c>
      <c r="F1890" s="93" t="s">
        <v>322</v>
      </c>
      <c r="G1890" s="93" t="s">
        <v>319</v>
      </c>
      <c r="H1890" s="93" t="s">
        <v>352</v>
      </c>
      <c r="I1890" s="94">
        <v>7.42</v>
      </c>
      <c r="J1890" s="95">
        <v>237.44</v>
      </c>
    </row>
    <row r="1891" spans="1:10" x14ac:dyDescent="0.25">
      <c r="A1891" s="92">
        <v>45901</v>
      </c>
      <c r="B1891" s="93" t="s">
        <v>325</v>
      </c>
      <c r="C1891" s="89" t="s">
        <v>40</v>
      </c>
      <c r="D1891" s="93" t="s">
        <v>182</v>
      </c>
      <c r="E1891" s="93" t="s">
        <v>34</v>
      </c>
      <c r="F1891" s="93" t="s">
        <v>467</v>
      </c>
      <c r="G1891" s="93" t="s">
        <v>347</v>
      </c>
      <c r="H1891" s="93" t="s">
        <v>343</v>
      </c>
      <c r="I1891" s="94">
        <v>0.17</v>
      </c>
      <c r="J1891" s="95">
        <v>12.750000000000002</v>
      </c>
    </row>
    <row r="1892" spans="1:10" x14ac:dyDescent="0.25">
      <c r="A1892" s="92">
        <v>45901</v>
      </c>
      <c r="B1892" s="93" t="s">
        <v>332</v>
      </c>
      <c r="C1892" s="89" t="s">
        <v>40</v>
      </c>
      <c r="D1892" s="93" t="s">
        <v>314</v>
      </c>
      <c r="E1892" s="93" t="s">
        <v>35</v>
      </c>
      <c r="F1892" s="93" t="s">
        <v>359</v>
      </c>
      <c r="G1892" s="93" t="s">
        <v>339</v>
      </c>
      <c r="H1892" s="93" t="s">
        <v>352</v>
      </c>
      <c r="I1892" s="94">
        <v>9.33</v>
      </c>
      <c r="J1892" s="95">
        <v>373.2</v>
      </c>
    </row>
    <row r="1893" spans="1:10" x14ac:dyDescent="0.25">
      <c r="A1893" s="92">
        <v>45901</v>
      </c>
      <c r="B1893" s="93" t="s">
        <v>324</v>
      </c>
      <c r="C1893" s="89" t="s">
        <v>40</v>
      </c>
      <c r="D1893" s="93" t="s">
        <v>314</v>
      </c>
      <c r="E1893" s="93" t="s">
        <v>35</v>
      </c>
      <c r="F1893" s="93" t="s">
        <v>359</v>
      </c>
      <c r="G1893" s="93" t="s">
        <v>339</v>
      </c>
      <c r="H1893" s="93" t="s">
        <v>352</v>
      </c>
      <c r="I1893" s="94">
        <v>4.75</v>
      </c>
      <c r="J1893" s="95">
        <v>356.25</v>
      </c>
    </row>
    <row r="1894" spans="1:10" x14ac:dyDescent="0.25">
      <c r="A1894" s="92">
        <v>45902</v>
      </c>
      <c r="B1894" s="93" t="s">
        <v>329</v>
      </c>
      <c r="C1894" s="89" t="s">
        <v>40</v>
      </c>
      <c r="D1894" s="93" t="s">
        <v>316</v>
      </c>
      <c r="E1894" s="93" t="s">
        <v>35</v>
      </c>
      <c r="F1894" s="93" t="s">
        <v>338</v>
      </c>
      <c r="G1894" s="93" t="s">
        <v>337</v>
      </c>
      <c r="H1894" s="93" t="s">
        <v>352</v>
      </c>
      <c r="I1894" s="94">
        <v>0.83</v>
      </c>
      <c r="J1894" s="95">
        <v>62.25</v>
      </c>
    </row>
    <row r="1895" spans="1:10" x14ac:dyDescent="0.25">
      <c r="A1895" s="92">
        <v>45902</v>
      </c>
      <c r="B1895" s="93" t="s">
        <v>330</v>
      </c>
      <c r="C1895" s="89" t="s">
        <v>40</v>
      </c>
      <c r="D1895" s="93" t="s">
        <v>196</v>
      </c>
      <c r="E1895" s="93" t="s">
        <v>341</v>
      </c>
      <c r="F1895" s="93" t="s">
        <v>446</v>
      </c>
      <c r="G1895" s="93" t="s">
        <v>347</v>
      </c>
      <c r="H1895" s="93" t="s">
        <v>344</v>
      </c>
      <c r="I1895" s="94">
        <v>0.67</v>
      </c>
      <c r="J1895" s="95">
        <v>40.200000000000003</v>
      </c>
    </row>
    <row r="1896" spans="1:10" x14ac:dyDescent="0.25">
      <c r="A1896" s="92">
        <v>45902</v>
      </c>
      <c r="B1896" s="93" t="s">
        <v>329</v>
      </c>
      <c r="C1896" s="89" t="s">
        <v>40</v>
      </c>
      <c r="D1896" s="93" t="s">
        <v>186</v>
      </c>
      <c r="E1896" s="93" t="s">
        <v>341</v>
      </c>
      <c r="F1896" s="93" t="s">
        <v>397</v>
      </c>
      <c r="G1896" s="93" t="s">
        <v>347</v>
      </c>
      <c r="H1896" s="93" t="s">
        <v>344</v>
      </c>
      <c r="I1896" s="94">
        <v>1</v>
      </c>
      <c r="J1896" s="95">
        <v>75</v>
      </c>
    </row>
    <row r="1897" spans="1:10" x14ac:dyDescent="0.25">
      <c r="A1897" s="92">
        <v>45902</v>
      </c>
      <c r="B1897" s="93" t="s">
        <v>323</v>
      </c>
      <c r="C1897" s="89" t="s">
        <v>40</v>
      </c>
      <c r="D1897" s="93" t="s">
        <v>169</v>
      </c>
      <c r="E1897" s="93" t="s">
        <v>36</v>
      </c>
      <c r="F1897" s="93" t="s">
        <v>433</v>
      </c>
      <c r="G1897" s="93" t="s">
        <v>346</v>
      </c>
      <c r="H1897" s="93" t="s">
        <v>342</v>
      </c>
      <c r="I1897" s="94">
        <v>1</v>
      </c>
      <c r="J1897" s="95">
        <v>60</v>
      </c>
    </row>
    <row r="1898" spans="1:10" x14ac:dyDescent="0.25">
      <c r="A1898" s="92">
        <v>45902</v>
      </c>
      <c r="B1898" s="93" t="s">
        <v>333</v>
      </c>
      <c r="C1898" s="89" t="s">
        <v>40</v>
      </c>
      <c r="D1898" s="93" t="s">
        <v>320</v>
      </c>
      <c r="E1898" s="93" t="s">
        <v>35</v>
      </c>
      <c r="F1898" s="93" t="s">
        <v>322</v>
      </c>
      <c r="G1898" s="93" t="s">
        <v>319</v>
      </c>
      <c r="H1898" s="93" t="s">
        <v>352</v>
      </c>
      <c r="I1898" s="94">
        <v>6.98</v>
      </c>
      <c r="J1898" s="95">
        <v>223.36</v>
      </c>
    </row>
    <row r="1899" spans="1:10" x14ac:dyDescent="0.25">
      <c r="A1899" s="92">
        <v>45902</v>
      </c>
      <c r="B1899" s="93" t="s">
        <v>327</v>
      </c>
      <c r="C1899" s="89" t="s">
        <v>40</v>
      </c>
      <c r="D1899" s="93" t="s">
        <v>320</v>
      </c>
      <c r="E1899" s="93" t="s">
        <v>35</v>
      </c>
      <c r="F1899" s="93" t="s">
        <v>322</v>
      </c>
      <c r="G1899" s="93" t="s">
        <v>319</v>
      </c>
      <c r="H1899" s="93" t="s">
        <v>352</v>
      </c>
      <c r="I1899" s="94">
        <v>7.42</v>
      </c>
      <c r="J1899" s="95">
        <v>237.44</v>
      </c>
    </row>
    <row r="1900" spans="1:10" x14ac:dyDescent="0.25">
      <c r="A1900" s="92">
        <v>45902</v>
      </c>
      <c r="B1900" s="93" t="s">
        <v>330</v>
      </c>
      <c r="C1900" s="89" t="s">
        <v>40</v>
      </c>
      <c r="D1900" s="93" t="s">
        <v>252</v>
      </c>
      <c r="E1900" s="93" t="s">
        <v>36</v>
      </c>
      <c r="F1900" s="93" t="s">
        <v>416</v>
      </c>
      <c r="G1900" s="93" t="s">
        <v>347</v>
      </c>
      <c r="H1900" s="93" t="s">
        <v>342</v>
      </c>
      <c r="I1900" s="94">
        <v>1</v>
      </c>
      <c r="J1900" s="95">
        <v>60</v>
      </c>
    </row>
    <row r="1901" spans="1:10" x14ac:dyDescent="0.25">
      <c r="A1901" s="92">
        <v>45902</v>
      </c>
      <c r="B1901" s="93" t="s">
        <v>325</v>
      </c>
      <c r="C1901" s="89" t="s">
        <v>40</v>
      </c>
      <c r="D1901" s="93" t="s">
        <v>179</v>
      </c>
      <c r="E1901" s="93" t="s">
        <v>34</v>
      </c>
      <c r="F1901" s="93" t="s">
        <v>422</v>
      </c>
      <c r="G1901" s="93" t="s">
        <v>347</v>
      </c>
      <c r="H1901" s="93" t="s">
        <v>343</v>
      </c>
      <c r="I1901" s="94">
        <v>0.17</v>
      </c>
      <c r="J1901" s="95">
        <v>12.750000000000002</v>
      </c>
    </row>
    <row r="1902" spans="1:10" x14ac:dyDescent="0.25">
      <c r="A1902" s="92">
        <v>45902</v>
      </c>
      <c r="B1902" s="93" t="s">
        <v>325</v>
      </c>
      <c r="C1902" s="89" t="s">
        <v>40</v>
      </c>
      <c r="D1902" s="93" t="s">
        <v>304</v>
      </c>
      <c r="E1902" s="93" t="s">
        <v>34</v>
      </c>
      <c r="F1902" s="93" t="s">
        <v>372</v>
      </c>
      <c r="G1902" s="93" t="s">
        <v>347</v>
      </c>
      <c r="H1902" s="93" t="s">
        <v>343</v>
      </c>
      <c r="I1902" s="94">
        <v>0.17</v>
      </c>
      <c r="J1902" s="95">
        <v>12.750000000000002</v>
      </c>
    </row>
    <row r="1903" spans="1:10" x14ac:dyDescent="0.25">
      <c r="A1903" s="92">
        <v>45902</v>
      </c>
      <c r="B1903" s="93" t="s">
        <v>325</v>
      </c>
      <c r="C1903" s="89" t="s">
        <v>40</v>
      </c>
      <c r="D1903" s="93" t="s">
        <v>253</v>
      </c>
      <c r="E1903" s="93" t="s">
        <v>34</v>
      </c>
      <c r="F1903" s="93" t="s">
        <v>408</v>
      </c>
      <c r="G1903" s="93" t="s">
        <v>347</v>
      </c>
      <c r="H1903" s="93" t="s">
        <v>343</v>
      </c>
      <c r="I1903" s="94">
        <v>0.57999999999999996</v>
      </c>
      <c r="J1903" s="95">
        <v>43.5</v>
      </c>
    </row>
    <row r="1904" spans="1:10" x14ac:dyDescent="0.25">
      <c r="A1904" s="92">
        <v>45902</v>
      </c>
      <c r="B1904" s="93" t="s">
        <v>329</v>
      </c>
      <c r="C1904" s="89" t="s">
        <v>40</v>
      </c>
      <c r="D1904" s="93" t="s">
        <v>259</v>
      </c>
      <c r="E1904" s="93" t="s">
        <v>34</v>
      </c>
      <c r="F1904" s="93" t="s">
        <v>407</v>
      </c>
      <c r="G1904" s="93" t="s">
        <v>347</v>
      </c>
      <c r="H1904" s="93" t="s">
        <v>343</v>
      </c>
      <c r="I1904" s="94">
        <v>0.25</v>
      </c>
      <c r="J1904" s="95">
        <v>18.75</v>
      </c>
    </row>
    <row r="1905" spans="1:10" x14ac:dyDescent="0.25">
      <c r="A1905" s="92">
        <v>45902</v>
      </c>
      <c r="B1905" s="93" t="s">
        <v>325</v>
      </c>
      <c r="C1905" s="89" t="s">
        <v>40</v>
      </c>
      <c r="D1905" s="93" t="s">
        <v>277</v>
      </c>
      <c r="E1905" s="93" t="s">
        <v>34</v>
      </c>
      <c r="F1905" s="93" t="s">
        <v>353</v>
      </c>
      <c r="G1905" s="93" t="s">
        <v>347</v>
      </c>
      <c r="H1905" s="93" t="s">
        <v>343</v>
      </c>
      <c r="I1905" s="94">
        <v>0.17</v>
      </c>
      <c r="J1905" s="95">
        <v>12.750000000000002</v>
      </c>
    </row>
    <row r="1906" spans="1:10" x14ac:dyDescent="0.25">
      <c r="A1906" s="92">
        <v>45902</v>
      </c>
      <c r="B1906" s="93" t="s">
        <v>330</v>
      </c>
      <c r="C1906" s="89" t="s">
        <v>40</v>
      </c>
      <c r="D1906" s="93" t="s">
        <v>259</v>
      </c>
      <c r="E1906" s="93" t="s">
        <v>341</v>
      </c>
      <c r="F1906" s="93" t="s">
        <v>407</v>
      </c>
      <c r="G1906" s="93" t="s">
        <v>347</v>
      </c>
      <c r="H1906" s="93" t="s">
        <v>344</v>
      </c>
      <c r="I1906" s="94">
        <v>0.75</v>
      </c>
      <c r="J1906" s="95">
        <v>45</v>
      </c>
    </row>
    <row r="1907" spans="1:10" x14ac:dyDescent="0.25">
      <c r="A1907" s="92">
        <v>45902</v>
      </c>
      <c r="B1907" s="93" t="s">
        <v>326</v>
      </c>
      <c r="C1907" s="89" t="s">
        <v>40</v>
      </c>
      <c r="D1907" s="93" t="s">
        <v>175</v>
      </c>
      <c r="E1907" s="93" t="s">
        <v>34</v>
      </c>
      <c r="F1907" s="93" t="s">
        <v>388</v>
      </c>
      <c r="G1907" s="93" t="s">
        <v>348</v>
      </c>
      <c r="H1907" s="93" t="s">
        <v>343</v>
      </c>
      <c r="I1907" s="94">
        <v>0.67</v>
      </c>
      <c r="J1907" s="95">
        <v>40.200000000000003</v>
      </c>
    </row>
    <row r="1908" spans="1:10" x14ac:dyDescent="0.25">
      <c r="A1908" s="92">
        <v>45902</v>
      </c>
      <c r="B1908" s="93" t="s">
        <v>332</v>
      </c>
      <c r="C1908" s="89" t="s">
        <v>40</v>
      </c>
      <c r="D1908" s="93" t="s">
        <v>314</v>
      </c>
      <c r="E1908" s="93" t="s">
        <v>35</v>
      </c>
      <c r="F1908" s="93" t="s">
        <v>359</v>
      </c>
      <c r="G1908" s="93" t="s">
        <v>339</v>
      </c>
      <c r="H1908" s="93" t="s">
        <v>352</v>
      </c>
      <c r="I1908" s="94">
        <v>8.67</v>
      </c>
      <c r="J1908" s="95">
        <v>346.8</v>
      </c>
    </row>
    <row r="1909" spans="1:10" x14ac:dyDescent="0.25">
      <c r="A1909" s="92">
        <v>45902</v>
      </c>
      <c r="B1909" s="93" t="s">
        <v>324</v>
      </c>
      <c r="C1909" s="89" t="s">
        <v>40</v>
      </c>
      <c r="D1909" s="93" t="s">
        <v>314</v>
      </c>
      <c r="E1909" s="93" t="s">
        <v>35</v>
      </c>
      <c r="F1909" s="93" t="s">
        <v>359</v>
      </c>
      <c r="G1909" s="93" t="s">
        <v>339</v>
      </c>
      <c r="H1909" s="93" t="s">
        <v>352</v>
      </c>
      <c r="I1909" s="94">
        <v>5.25</v>
      </c>
      <c r="J1909" s="95">
        <v>393.75</v>
      </c>
    </row>
    <row r="1910" spans="1:10" x14ac:dyDescent="0.25">
      <c r="A1910" s="92">
        <v>45903</v>
      </c>
      <c r="B1910" s="93" t="s">
        <v>329</v>
      </c>
      <c r="C1910" s="89" t="s">
        <v>40</v>
      </c>
      <c r="D1910" s="93" t="s">
        <v>316</v>
      </c>
      <c r="E1910" s="93" t="s">
        <v>35</v>
      </c>
      <c r="F1910" s="93" t="s">
        <v>338</v>
      </c>
      <c r="G1910" s="93" t="s">
        <v>337</v>
      </c>
      <c r="H1910" s="93" t="s">
        <v>352</v>
      </c>
      <c r="I1910" s="94">
        <v>1.5</v>
      </c>
      <c r="J1910" s="95">
        <v>112.5</v>
      </c>
    </row>
    <row r="1911" spans="1:10" x14ac:dyDescent="0.25">
      <c r="A1911" s="92">
        <v>45903</v>
      </c>
      <c r="B1911" s="93" t="s">
        <v>329</v>
      </c>
      <c r="C1911" s="89" t="s">
        <v>40</v>
      </c>
      <c r="D1911" s="93" t="s">
        <v>301</v>
      </c>
      <c r="E1911" s="93" t="s">
        <v>341</v>
      </c>
      <c r="F1911" s="93" t="s">
        <v>371</v>
      </c>
      <c r="G1911" s="93" t="s">
        <v>347</v>
      </c>
      <c r="H1911" s="93" t="s">
        <v>344</v>
      </c>
      <c r="I1911" s="94">
        <v>1</v>
      </c>
      <c r="J1911" s="95">
        <v>75</v>
      </c>
    </row>
    <row r="1912" spans="1:10" x14ac:dyDescent="0.25">
      <c r="A1912" s="92">
        <v>45903</v>
      </c>
      <c r="B1912" s="93" t="s">
        <v>323</v>
      </c>
      <c r="C1912" s="89" t="s">
        <v>40</v>
      </c>
      <c r="D1912" s="93" t="s">
        <v>169</v>
      </c>
      <c r="E1912" s="93" t="s">
        <v>36</v>
      </c>
      <c r="F1912" s="93" t="s">
        <v>433</v>
      </c>
      <c r="G1912" s="93" t="s">
        <v>346</v>
      </c>
      <c r="H1912" s="93" t="s">
        <v>342</v>
      </c>
      <c r="I1912" s="94">
        <v>0.5</v>
      </c>
      <c r="J1912" s="95">
        <v>30</v>
      </c>
    </row>
    <row r="1913" spans="1:10" x14ac:dyDescent="0.25">
      <c r="A1913" s="92">
        <v>45903</v>
      </c>
      <c r="B1913" s="93" t="s">
        <v>323</v>
      </c>
      <c r="C1913" s="89" t="s">
        <v>40</v>
      </c>
      <c r="D1913" s="93" t="s">
        <v>212</v>
      </c>
      <c r="E1913" s="93" t="s">
        <v>36</v>
      </c>
      <c r="F1913" s="93" t="s">
        <v>392</v>
      </c>
      <c r="G1913" s="93" t="s">
        <v>346</v>
      </c>
      <c r="H1913" s="93" t="s">
        <v>342</v>
      </c>
      <c r="I1913" s="94">
        <v>0.33</v>
      </c>
      <c r="J1913" s="95">
        <v>19.8</v>
      </c>
    </row>
    <row r="1914" spans="1:10" x14ac:dyDescent="0.25">
      <c r="A1914" s="92">
        <v>45903</v>
      </c>
      <c r="B1914" s="93" t="s">
        <v>333</v>
      </c>
      <c r="C1914" s="89" t="s">
        <v>40</v>
      </c>
      <c r="D1914" s="93" t="s">
        <v>320</v>
      </c>
      <c r="E1914" s="93" t="s">
        <v>35</v>
      </c>
      <c r="F1914" s="93" t="s">
        <v>322</v>
      </c>
      <c r="G1914" s="93" t="s">
        <v>319</v>
      </c>
      <c r="H1914" s="93" t="s">
        <v>352</v>
      </c>
      <c r="I1914" s="94">
        <v>7.48</v>
      </c>
      <c r="J1914" s="95">
        <v>239.36</v>
      </c>
    </row>
    <row r="1915" spans="1:10" x14ac:dyDescent="0.25">
      <c r="A1915" s="92">
        <v>45903</v>
      </c>
      <c r="B1915" s="93" t="s">
        <v>327</v>
      </c>
      <c r="C1915" s="89" t="s">
        <v>40</v>
      </c>
      <c r="D1915" s="93" t="s">
        <v>320</v>
      </c>
      <c r="E1915" s="93" t="s">
        <v>35</v>
      </c>
      <c r="F1915" s="93" t="s">
        <v>322</v>
      </c>
      <c r="G1915" s="93" t="s">
        <v>319</v>
      </c>
      <c r="H1915" s="93" t="s">
        <v>352</v>
      </c>
      <c r="I1915" s="94">
        <v>7.5</v>
      </c>
      <c r="J1915" s="95">
        <v>240</v>
      </c>
    </row>
    <row r="1916" spans="1:10" x14ac:dyDescent="0.25">
      <c r="A1916" s="92">
        <v>45903</v>
      </c>
      <c r="B1916" s="93" t="s">
        <v>323</v>
      </c>
      <c r="C1916" s="89" t="s">
        <v>40</v>
      </c>
      <c r="D1916" s="93" t="s">
        <v>231</v>
      </c>
      <c r="E1916" s="93" t="s">
        <v>34</v>
      </c>
      <c r="F1916" s="93" t="s">
        <v>420</v>
      </c>
      <c r="G1916" s="93" t="s">
        <v>346</v>
      </c>
      <c r="H1916" s="93" t="s">
        <v>343</v>
      </c>
      <c r="I1916" s="94">
        <v>0.5</v>
      </c>
      <c r="J1916" s="95">
        <v>30</v>
      </c>
    </row>
    <row r="1917" spans="1:10" x14ac:dyDescent="0.25">
      <c r="A1917" s="92">
        <v>45903</v>
      </c>
      <c r="B1917" s="93" t="s">
        <v>323</v>
      </c>
      <c r="C1917" s="89" t="s">
        <v>40</v>
      </c>
      <c r="D1917" s="93" t="s">
        <v>202</v>
      </c>
      <c r="E1917" s="93" t="s">
        <v>34</v>
      </c>
      <c r="F1917" s="93" t="s">
        <v>431</v>
      </c>
      <c r="G1917" s="93" t="s">
        <v>346</v>
      </c>
      <c r="H1917" s="93" t="s">
        <v>343</v>
      </c>
      <c r="I1917" s="94">
        <v>0.5</v>
      </c>
      <c r="J1917" s="95">
        <v>30</v>
      </c>
    </row>
    <row r="1918" spans="1:10" x14ac:dyDescent="0.25">
      <c r="A1918" s="92">
        <v>45903</v>
      </c>
      <c r="B1918" s="93" t="s">
        <v>323</v>
      </c>
      <c r="C1918" s="89" t="s">
        <v>40</v>
      </c>
      <c r="D1918" s="93" t="s">
        <v>283</v>
      </c>
      <c r="E1918" s="93" t="s">
        <v>34</v>
      </c>
      <c r="F1918" s="93" t="s">
        <v>429</v>
      </c>
      <c r="G1918" s="93" t="s">
        <v>346</v>
      </c>
      <c r="H1918" s="93" t="s">
        <v>343</v>
      </c>
      <c r="I1918" s="94">
        <v>0.5</v>
      </c>
      <c r="J1918" s="95">
        <v>30</v>
      </c>
    </row>
    <row r="1919" spans="1:10" x14ac:dyDescent="0.25">
      <c r="A1919" s="92">
        <v>45903</v>
      </c>
      <c r="B1919" s="93" t="s">
        <v>329</v>
      </c>
      <c r="C1919" s="89" t="s">
        <v>40</v>
      </c>
      <c r="D1919" s="93" t="s">
        <v>186</v>
      </c>
      <c r="E1919" s="93" t="s">
        <v>34</v>
      </c>
      <c r="F1919" s="93" t="s">
        <v>397</v>
      </c>
      <c r="G1919" s="93" t="s">
        <v>347</v>
      </c>
      <c r="H1919" s="93" t="s">
        <v>343</v>
      </c>
      <c r="I1919" s="94">
        <v>0.33</v>
      </c>
      <c r="J1919" s="95">
        <v>24.75</v>
      </c>
    </row>
    <row r="1920" spans="1:10" x14ac:dyDescent="0.25">
      <c r="A1920" s="92">
        <v>45903</v>
      </c>
      <c r="B1920" s="93" t="s">
        <v>330</v>
      </c>
      <c r="C1920" s="89" t="s">
        <v>40</v>
      </c>
      <c r="D1920" s="93" t="s">
        <v>252</v>
      </c>
      <c r="E1920" s="93" t="s">
        <v>36</v>
      </c>
      <c r="F1920" s="93" t="s">
        <v>416</v>
      </c>
      <c r="G1920" s="93" t="s">
        <v>347</v>
      </c>
      <c r="H1920" s="93" t="s">
        <v>342</v>
      </c>
      <c r="I1920" s="94">
        <v>0.5</v>
      </c>
      <c r="J1920" s="95">
        <v>30</v>
      </c>
    </row>
    <row r="1921" spans="1:10" x14ac:dyDescent="0.25">
      <c r="A1921" s="92">
        <v>45903</v>
      </c>
      <c r="B1921" s="93" t="s">
        <v>325</v>
      </c>
      <c r="C1921" s="89" t="s">
        <v>40</v>
      </c>
      <c r="D1921" s="93" t="s">
        <v>179</v>
      </c>
      <c r="E1921" s="93" t="s">
        <v>34</v>
      </c>
      <c r="F1921" s="93" t="s">
        <v>422</v>
      </c>
      <c r="G1921" s="93" t="s">
        <v>347</v>
      </c>
      <c r="H1921" s="93" t="s">
        <v>343</v>
      </c>
      <c r="I1921" s="94">
        <v>0.25</v>
      </c>
      <c r="J1921" s="95">
        <v>18.75</v>
      </c>
    </row>
    <row r="1922" spans="1:10" x14ac:dyDescent="0.25">
      <c r="A1922" s="92">
        <v>45903</v>
      </c>
      <c r="B1922" s="93" t="s">
        <v>329</v>
      </c>
      <c r="C1922" s="89" t="s">
        <v>40</v>
      </c>
      <c r="D1922" s="93" t="s">
        <v>302</v>
      </c>
      <c r="E1922" s="93" t="s">
        <v>34</v>
      </c>
      <c r="F1922" s="93" t="s">
        <v>398</v>
      </c>
      <c r="G1922" s="93" t="s">
        <v>347</v>
      </c>
      <c r="H1922" s="93" t="s">
        <v>343</v>
      </c>
      <c r="I1922" s="94">
        <v>0.17</v>
      </c>
      <c r="J1922" s="95">
        <v>12.750000000000002</v>
      </c>
    </row>
    <row r="1923" spans="1:10" x14ac:dyDescent="0.25">
      <c r="A1923" s="92">
        <v>45903</v>
      </c>
      <c r="B1923" s="93" t="s">
        <v>329</v>
      </c>
      <c r="C1923" s="89" t="s">
        <v>40</v>
      </c>
      <c r="D1923" s="93" t="s">
        <v>301</v>
      </c>
      <c r="E1923" s="93" t="s">
        <v>34</v>
      </c>
      <c r="F1923" s="93" t="s">
        <v>371</v>
      </c>
      <c r="G1923" s="93" t="s">
        <v>347</v>
      </c>
      <c r="H1923" s="93" t="s">
        <v>343</v>
      </c>
      <c r="I1923" s="94">
        <v>0.5</v>
      </c>
      <c r="J1923" s="95">
        <v>37.5</v>
      </c>
    </row>
    <row r="1924" spans="1:10" x14ac:dyDescent="0.25">
      <c r="A1924" s="92">
        <v>45903</v>
      </c>
      <c r="B1924" s="93" t="s">
        <v>329</v>
      </c>
      <c r="C1924" s="89" t="s">
        <v>40</v>
      </c>
      <c r="D1924" s="93" t="s">
        <v>303</v>
      </c>
      <c r="E1924" s="93" t="s">
        <v>34</v>
      </c>
      <c r="F1924" s="93" t="s">
        <v>400</v>
      </c>
      <c r="G1924" s="93" t="s">
        <v>347</v>
      </c>
      <c r="H1924" s="93" t="s">
        <v>343</v>
      </c>
      <c r="I1924" s="94">
        <v>0.17</v>
      </c>
      <c r="J1924" s="95">
        <v>12.750000000000002</v>
      </c>
    </row>
    <row r="1925" spans="1:10" x14ac:dyDescent="0.25">
      <c r="A1925" s="92">
        <v>45903</v>
      </c>
      <c r="B1925" s="93" t="s">
        <v>329</v>
      </c>
      <c r="C1925" s="89" t="s">
        <v>40</v>
      </c>
      <c r="D1925" s="93" t="s">
        <v>293</v>
      </c>
      <c r="E1925" s="93" t="s">
        <v>34</v>
      </c>
      <c r="F1925" s="93" t="s">
        <v>376</v>
      </c>
      <c r="G1925" s="93" t="s">
        <v>347</v>
      </c>
      <c r="H1925" s="93" t="s">
        <v>343</v>
      </c>
      <c r="I1925" s="94">
        <v>0.17</v>
      </c>
      <c r="J1925" s="95">
        <v>12.750000000000002</v>
      </c>
    </row>
    <row r="1926" spans="1:10" x14ac:dyDescent="0.25">
      <c r="A1926" s="92">
        <v>45903</v>
      </c>
      <c r="B1926" s="93" t="s">
        <v>329</v>
      </c>
      <c r="C1926" s="89" t="s">
        <v>40</v>
      </c>
      <c r="D1926" s="93" t="s">
        <v>294</v>
      </c>
      <c r="E1926" s="93" t="s">
        <v>34</v>
      </c>
      <c r="F1926" s="93" t="s">
        <v>377</v>
      </c>
      <c r="G1926" s="93" t="s">
        <v>347</v>
      </c>
      <c r="H1926" s="93" t="s">
        <v>343</v>
      </c>
      <c r="I1926" s="94">
        <v>0.17</v>
      </c>
      <c r="J1926" s="95">
        <v>12.750000000000002</v>
      </c>
    </row>
    <row r="1927" spans="1:10" x14ac:dyDescent="0.25">
      <c r="A1927" s="92">
        <v>45903</v>
      </c>
      <c r="B1927" s="93" t="s">
        <v>329</v>
      </c>
      <c r="C1927" s="89" t="s">
        <v>40</v>
      </c>
      <c r="D1927" s="93" t="s">
        <v>295</v>
      </c>
      <c r="E1927" s="93" t="s">
        <v>34</v>
      </c>
      <c r="F1927" s="93" t="s">
        <v>379</v>
      </c>
      <c r="G1927" s="93" t="s">
        <v>347</v>
      </c>
      <c r="H1927" s="93" t="s">
        <v>343</v>
      </c>
      <c r="I1927" s="94">
        <v>0.17</v>
      </c>
      <c r="J1927" s="95">
        <v>12.750000000000002</v>
      </c>
    </row>
    <row r="1928" spans="1:10" x14ac:dyDescent="0.25">
      <c r="A1928" s="92">
        <v>45903</v>
      </c>
      <c r="B1928" s="93" t="s">
        <v>325</v>
      </c>
      <c r="C1928" s="89" t="s">
        <v>40</v>
      </c>
      <c r="D1928" s="93" t="s">
        <v>262</v>
      </c>
      <c r="E1928" s="93" t="s">
        <v>34</v>
      </c>
      <c r="F1928" s="93" t="s">
        <v>442</v>
      </c>
      <c r="G1928" s="93" t="s">
        <v>347</v>
      </c>
      <c r="H1928" s="93" t="s">
        <v>343</v>
      </c>
      <c r="I1928" s="94">
        <v>0.17</v>
      </c>
      <c r="J1928" s="95">
        <v>12.750000000000002</v>
      </c>
    </row>
    <row r="1929" spans="1:10" x14ac:dyDescent="0.25">
      <c r="A1929" s="92">
        <v>45903</v>
      </c>
      <c r="B1929" s="93" t="s">
        <v>329</v>
      </c>
      <c r="C1929" s="89" t="s">
        <v>40</v>
      </c>
      <c r="D1929" s="93" t="s">
        <v>247</v>
      </c>
      <c r="E1929" s="93" t="s">
        <v>34</v>
      </c>
      <c r="F1929" s="93" t="s">
        <v>375</v>
      </c>
      <c r="G1929" s="93" t="s">
        <v>347</v>
      </c>
      <c r="H1929" s="93" t="s">
        <v>343</v>
      </c>
      <c r="I1929" s="94">
        <v>0.33</v>
      </c>
      <c r="J1929" s="95">
        <v>24.75</v>
      </c>
    </row>
    <row r="1930" spans="1:10" x14ac:dyDescent="0.25">
      <c r="A1930" s="92">
        <v>45903</v>
      </c>
      <c r="B1930" s="93" t="s">
        <v>329</v>
      </c>
      <c r="C1930" s="89" t="s">
        <v>40</v>
      </c>
      <c r="D1930" s="93" t="s">
        <v>299</v>
      </c>
      <c r="E1930" s="93" t="s">
        <v>312</v>
      </c>
      <c r="F1930" s="93" t="s">
        <v>455</v>
      </c>
      <c r="G1930" s="93" t="s">
        <v>347</v>
      </c>
      <c r="H1930" s="93" t="s">
        <v>350</v>
      </c>
      <c r="I1930" s="94">
        <v>0.33</v>
      </c>
      <c r="J1930" s="95">
        <v>24.75</v>
      </c>
    </row>
    <row r="1931" spans="1:10" x14ac:dyDescent="0.25">
      <c r="A1931" s="92">
        <v>45903</v>
      </c>
      <c r="B1931" s="93" t="s">
        <v>326</v>
      </c>
      <c r="C1931" s="89" t="s">
        <v>40</v>
      </c>
      <c r="D1931" s="93" t="s">
        <v>265</v>
      </c>
      <c r="E1931" s="93" t="s">
        <v>34</v>
      </c>
      <c r="F1931" s="93" t="s">
        <v>358</v>
      </c>
      <c r="G1931" s="93" t="s">
        <v>348</v>
      </c>
      <c r="H1931" s="93" t="s">
        <v>343</v>
      </c>
      <c r="I1931" s="94">
        <v>1.33</v>
      </c>
      <c r="J1931" s="95">
        <v>79.800000000000011</v>
      </c>
    </row>
    <row r="1932" spans="1:10" x14ac:dyDescent="0.25">
      <c r="A1932" s="92">
        <v>45903</v>
      </c>
      <c r="B1932" s="93" t="s">
        <v>332</v>
      </c>
      <c r="C1932" s="89" t="s">
        <v>40</v>
      </c>
      <c r="D1932" s="93" t="s">
        <v>314</v>
      </c>
      <c r="E1932" s="93" t="s">
        <v>35</v>
      </c>
      <c r="F1932" s="93" t="s">
        <v>359</v>
      </c>
      <c r="G1932" s="93" t="s">
        <v>339</v>
      </c>
      <c r="H1932" s="93" t="s">
        <v>352</v>
      </c>
      <c r="I1932" s="94">
        <v>8.17</v>
      </c>
      <c r="J1932" s="95">
        <v>326.8</v>
      </c>
    </row>
    <row r="1933" spans="1:10" x14ac:dyDescent="0.25">
      <c r="A1933" s="92">
        <v>45903</v>
      </c>
      <c r="B1933" s="93" t="s">
        <v>324</v>
      </c>
      <c r="C1933" s="89" t="s">
        <v>40</v>
      </c>
      <c r="D1933" s="93" t="s">
        <v>314</v>
      </c>
      <c r="E1933" s="93" t="s">
        <v>35</v>
      </c>
      <c r="F1933" s="93" t="s">
        <v>359</v>
      </c>
      <c r="G1933" s="93" t="s">
        <v>339</v>
      </c>
      <c r="H1933" s="93" t="s">
        <v>352</v>
      </c>
      <c r="I1933" s="94">
        <v>3.42</v>
      </c>
      <c r="J1933" s="95">
        <v>256.5</v>
      </c>
    </row>
    <row r="1934" spans="1:10" x14ac:dyDescent="0.25">
      <c r="A1934" s="92">
        <v>45904</v>
      </c>
      <c r="B1934" s="93" t="s">
        <v>329</v>
      </c>
      <c r="C1934" s="89" t="s">
        <v>40</v>
      </c>
      <c r="D1934" s="93" t="s">
        <v>316</v>
      </c>
      <c r="E1934" s="93" t="s">
        <v>35</v>
      </c>
      <c r="F1934" s="93" t="s">
        <v>338</v>
      </c>
      <c r="G1934" s="93" t="s">
        <v>337</v>
      </c>
      <c r="H1934" s="93" t="s">
        <v>352</v>
      </c>
      <c r="I1934" s="94">
        <v>1.75</v>
      </c>
      <c r="J1934" s="95">
        <v>131.25</v>
      </c>
    </row>
    <row r="1935" spans="1:10" x14ac:dyDescent="0.25">
      <c r="A1935" s="92">
        <v>45904</v>
      </c>
      <c r="B1935" s="93" t="s">
        <v>323</v>
      </c>
      <c r="C1935" s="89" t="s">
        <v>40</v>
      </c>
      <c r="D1935" s="93" t="s">
        <v>168</v>
      </c>
      <c r="E1935" s="93" t="s">
        <v>36</v>
      </c>
      <c r="F1935" s="93" t="s">
        <v>419</v>
      </c>
      <c r="G1935" s="93" t="s">
        <v>346</v>
      </c>
      <c r="H1935" s="93" t="s">
        <v>342</v>
      </c>
      <c r="I1935" s="94">
        <v>0.5</v>
      </c>
      <c r="J1935" s="95">
        <v>30</v>
      </c>
    </row>
    <row r="1936" spans="1:10" x14ac:dyDescent="0.25">
      <c r="A1936" s="92">
        <v>45904</v>
      </c>
      <c r="B1936" s="93" t="s">
        <v>334</v>
      </c>
      <c r="C1936" s="89" t="s">
        <v>40</v>
      </c>
      <c r="D1936" s="93" t="s">
        <v>316</v>
      </c>
      <c r="E1936" s="93" t="s">
        <v>35</v>
      </c>
      <c r="F1936" s="93" t="s">
        <v>321</v>
      </c>
      <c r="G1936" s="93" t="s">
        <v>317</v>
      </c>
      <c r="H1936" s="93" t="s">
        <v>352</v>
      </c>
      <c r="I1936" s="94">
        <v>0.42</v>
      </c>
      <c r="J1936" s="95">
        <v>13.44</v>
      </c>
    </row>
    <row r="1937" spans="1:10" x14ac:dyDescent="0.25">
      <c r="A1937" s="92">
        <v>45904</v>
      </c>
      <c r="B1937" s="93" t="s">
        <v>333</v>
      </c>
      <c r="C1937" s="89" t="s">
        <v>40</v>
      </c>
      <c r="D1937" s="93" t="s">
        <v>320</v>
      </c>
      <c r="E1937" s="93" t="s">
        <v>35</v>
      </c>
      <c r="F1937" s="93" t="s">
        <v>322</v>
      </c>
      <c r="G1937" s="93" t="s">
        <v>319</v>
      </c>
      <c r="H1937" s="93" t="s">
        <v>352</v>
      </c>
      <c r="I1937" s="94">
        <v>7.13</v>
      </c>
      <c r="J1937" s="95">
        <v>228.16</v>
      </c>
    </row>
    <row r="1938" spans="1:10" x14ac:dyDescent="0.25">
      <c r="A1938" s="92">
        <v>45904</v>
      </c>
      <c r="B1938" s="93" t="s">
        <v>327</v>
      </c>
      <c r="C1938" s="89" t="s">
        <v>40</v>
      </c>
      <c r="D1938" s="93" t="s">
        <v>320</v>
      </c>
      <c r="E1938" s="93" t="s">
        <v>35</v>
      </c>
      <c r="F1938" s="93" t="s">
        <v>322</v>
      </c>
      <c r="G1938" s="93" t="s">
        <v>319</v>
      </c>
      <c r="H1938" s="93" t="s">
        <v>352</v>
      </c>
      <c r="I1938" s="94">
        <v>7.25</v>
      </c>
      <c r="J1938" s="95">
        <v>232</v>
      </c>
    </row>
    <row r="1939" spans="1:10" x14ac:dyDescent="0.25">
      <c r="A1939" s="92">
        <v>45904</v>
      </c>
      <c r="B1939" s="93" t="s">
        <v>323</v>
      </c>
      <c r="C1939" s="89" t="s">
        <v>40</v>
      </c>
      <c r="D1939" s="93" t="s">
        <v>285</v>
      </c>
      <c r="E1939" s="93" t="s">
        <v>341</v>
      </c>
      <c r="F1939" s="93" t="s">
        <v>448</v>
      </c>
      <c r="G1939" s="93" t="s">
        <v>346</v>
      </c>
      <c r="H1939" s="93" t="s">
        <v>344</v>
      </c>
      <c r="I1939" s="94">
        <v>1.5</v>
      </c>
      <c r="J1939" s="95">
        <v>90</v>
      </c>
    </row>
    <row r="1940" spans="1:10" x14ac:dyDescent="0.25">
      <c r="A1940" s="92">
        <v>45904</v>
      </c>
      <c r="B1940" s="93" t="s">
        <v>325</v>
      </c>
      <c r="C1940" s="89" t="s">
        <v>40</v>
      </c>
      <c r="D1940" s="93" t="s">
        <v>198</v>
      </c>
      <c r="E1940" s="93" t="s">
        <v>36</v>
      </c>
      <c r="F1940" s="93" t="s">
        <v>413</v>
      </c>
      <c r="G1940" s="93" t="s">
        <v>347</v>
      </c>
      <c r="H1940" s="93" t="s">
        <v>342</v>
      </c>
      <c r="I1940" s="94">
        <v>0.33</v>
      </c>
      <c r="J1940" s="95">
        <v>24.75</v>
      </c>
    </row>
    <row r="1941" spans="1:10" x14ac:dyDescent="0.25">
      <c r="A1941" s="92">
        <v>45904</v>
      </c>
      <c r="B1941" s="93" t="s">
        <v>330</v>
      </c>
      <c r="C1941" s="89" t="s">
        <v>40</v>
      </c>
      <c r="D1941" s="93" t="s">
        <v>252</v>
      </c>
      <c r="E1941" s="93" t="s">
        <v>36</v>
      </c>
      <c r="F1941" s="93" t="s">
        <v>416</v>
      </c>
      <c r="G1941" s="93" t="s">
        <v>347</v>
      </c>
      <c r="H1941" s="93" t="s">
        <v>342</v>
      </c>
      <c r="I1941" s="94">
        <v>0.5</v>
      </c>
      <c r="J1941" s="95">
        <v>30</v>
      </c>
    </row>
    <row r="1942" spans="1:10" x14ac:dyDescent="0.25">
      <c r="A1942" s="92">
        <v>45904</v>
      </c>
      <c r="B1942" s="93" t="s">
        <v>325</v>
      </c>
      <c r="C1942" s="89" t="s">
        <v>40</v>
      </c>
      <c r="D1942" s="93" t="s">
        <v>180</v>
      </c>
      <c r="E1942" s="93" t="s">
        <v>34</v>
      </c>
      <c r="F1942" s="93" t="s">
        <v>465</v>
      </c>
      <c r="G1942" s="93" t="s">
        <v>347</v>
      </c>
      <c r="H1942" s="93" t="s">
        <v>343</v>
      </c>
      <c r="I1942" s="94">
        <v>0.33</v>
      </c>
      <c r="J1942" s="95">
        <v>24.75</v>
      </c>
    </row>
    <row r="1943" spans="1:10" x14ac:dyDescent="0.25">
      <c r="A1943" s="92">
        <v>45904</v>
      </c>
      <c r="B1943" s="93" t="s">
        <v>325</v>
      </c>
      <c r="C1943" s="89" t="s">
        <v>40</v>
      </c>
      <c r="D1943" s="93" t="s">
        <v>179</v>
      </c>
      <c r="E1943" s="93" t="s">
        <v>34</v>
      </c>
      <c r="F1943" s="93" t="s">
        <v>422</v>
      </c>
      <c r="G1943" s="93" t="s">
        <v>347</v>
      </c>
      <c r="H1943" s="93" t="s">
        <v>343</v>
      </c>
      <c r="I1943" s="94">
        <v>0.42</v>
      </c>
      <c r="J1943" s="95">
        <v>31.5</v>
      </c>
    </row>
    <row r="1944" spans="1:10" x14ac:dyDescent="0.25">
      <c r="A1944" s="92">
        <v>45904</v>
      </c>
      <c r="B1944" s="93" t="s">
        <v>329</v>
      </c>
      <c r="C1944" s="89" t="s">
        <v>40</v>
      </c>
      <c r="D1944" s="93" t="s">
        <v>176</v>
      </c>
      <c r="E1944" s="93" t="s">
        <v>34</v>
      </c>
      <c r="F1944" s="93" t="s">
        <v>458</v>
      </c>
      <c r="G1944" s="93" t="s">
        <v>347</v>
      </c>
      <c r="H1944" s="93" t="s">
        <v>343</v>
      </c>
      <c r="I1944" s="94">
        <v>0.67</v>
      </c>
      <c r="J1944" s="95">
        <v>50.25</v>
      </c>
    </row>
    <row r="1945" spans="1:10" x14ac:dyDescent="0.25">
      <c r="A1945" s="92">
        <v>45904</v>
      </c>
      <c r="B1945" s="93" t="s">
        <v>325</v>
      </c>
      <c r="C1945" s="89" t="s">
        <v>40</v>
      </c>
      <c r="D1945" s="93" t="s">
        <v>210</v>
      </c>
      <c r="E1945" s="93" t="s">
        <v>34</v>
      </c>
      <c r="F1945" s="93" t="s">
        <v>399</v>
      </c>
      <c r="G1945" s="93" t="s">
        <v>347</v>
      </c>
      <c r="H1945" s="93" t="s">
        <v>343</v>
      </c>
      <c r="I1945" s="94">
        <v>0.42</v>
      </c>
      <c r="J1945" s="95">
        <v>31.5</v>
      </c>
    </row>
    <row r="1946" spans="1:10" x14ac:dyDescent="0.25">
      <c r="A1946" s="92">
        <v>45904</v>
      </c>
      <c r="B1946" s="93" t="s">
        <v>329</v>
      </c>
      <c r="C1946" s="89" t="s">
        <v>40</v>
      </c>
      <c r="D1946" s="93" t="s">
        <v>293</v>
      </c>
      <c r="E1946" s="93" t="s">
        <v>34</v>
      </c>
      <c r="F1946" s="93" t="s">
        <v>376</v>
      </c>
      <c r="G1946" s="93" t="s">
        <v>347</v>
      </c>
      <c r="H1946" s="93" t="s">
        <v>343</v>
      </c>
      <c r="I1946" s="94">
        <v>0.08</v>
      </c>
      <c r="J1946" s="95">
        <v>6</v>
      </c>
    </row>
    <row r="1947" spans="1:10" x14ac:dyDescent="0.25">
      <c r="A1947" s="92">
        <v>45904</v>
      </c>
      <c r="B1947" s="93" t="s">
        <v>329</v>
      </c>
      <c r="C1947" s="89" t="s">
        <v>40</v>
      </c>
      <c r="D1947" s="93" t="s">
        <v>259</v>
      </c>
      <c r="E1947" s="93" t="s">
        <v>34</v>
      </c>
      <c r="F1947" s="93" t="s">
        <v>407</v>
      </c>
      <c r="G1947" s="93" t="s">
        <v>347</v>
      </c>
      <c r="H1947" s="93" t="s">
        <v>343</v>
      </c>
      <c r="I1947" s="94">
        <v>0.08</v>
      </c>
      <c r="J1947" s="95">
        <v>6</v>
      </c>
    </row>
    <row r="1948" spans="1:10" x14ac:dyDescent="0.25">
      <c r="A1948" s="92">
        <v>45904</v>
      </c>
      <c r="B1948" s="93" t="s">
        <v>329</v>
      </c>
      <c r="C1948" s="89" t="s">
        <v>40</v>
      </c>
      <c r="D1948" s="93" t="s">
        <v>248</v>
      </c>
      <c r="E1948" s="93" t="s">
        <v>34</v>
      </c>
      <c r="F1948" s="93" t="s">
        <v>385</v>
      </c>
      <c r="G1948" s="93" t="s">
        <v>347</v>
      </c>
      <c r="H1948" s="93" t="s">
        <v>343</v>
      </c>
      <c r="I1948" s="94">
        <v>0.08</v>
      </c>
      <c r="J1948" s="95">
        <v>6</v>
      </c>
    </row>
    <row r="1949" spans="1:10" x14ac:dyDescent="0.25">
      <c r="A1949" s="92">
        <v>45904</v>
      </c>
      <c r="B1949" s="93" t="s">
        <v>329</v>
      </c>
      <c r="C1949" s="89" t="s">
        <v>40</v>
      </c>
      <c r="D1949" s="93" t="s">
        <v>299</v>
      </c>
      <c r="E1949" s="93" t="s">
        <v>312</v>
      </c>
      <c r="F1949" s="93" t="s">
        <v>455</v>
      </c>
      <c r="G1949" s="93" t="s">
        <v>347</v>
      </c>
      <c r="H1949" s="93" t="s">
        <v>350</v>
      </c>
      <c r="I1949" s="94">
        <v>0.17</v>
      </c>
      <c r="J1949" s="95">
        <v>12.750000000000002</v>
      </c>
    </row>
    <row r="1950" spans="1:10" x14ac:dyDescent="0.25">
      <c r="A1950" s="92">
        <v>45904</v>
      </c>
      <c r="B1950" s="93" t="s">
        <v>332</v>
      </c>
      <c r="C1950" s="89" t="s">
        <v>40</v>
      </c>
      <c r="D1950" s="93" t="s">
        <v>314</v>
      </c>
      <c r="E1950" s="93" t="s">
        <v>35</v>
      </c>
      <c r="F1950" s="93" t="s">
        <v>359</v>
      </c>
      <c r="G1950" s="93" t="s">
        <v>339</v>
      </c>
      <c r="H1950" s="93" t="s">
        <v>352</v>
      </c>
      <c r="I1950" s="94">
        <v>9.17</v>
      </c>
      <c r="J1950" s="95">
        <v>366.8</v>
      </c>
    </row>
    <row r="1951" spans="1:10" x14ac:dyDescent="0.25">
      <c r="A1951" s="92">
        <v>45904</v>
      </c>
      <c r="B1951" s="93" t="s">
        <v>324</v>
      </c>
      <c r="C1951" s="89" t="s">
        <v>40</v>
      </c>
      <c r="D1951" s="93" t="s">
        <v>314</v>
      </c>
      <c r="E1951" s="93" t="s">
        <v>35</v>
      </c>
      <c r="F1951" s="93" t="s">
        <v>359</v>
      </c>
      <c r="G1951" s="93" t="s">
        <v>339</v>
      </c>
      <c r="H1951" s="93" t="s">
        <v>352</v>
      </c>
      <c r="I1951" s="94">
        <v>4.5</v>
      </c>
      <c r="J1951" s="95">
        <v>337.5</v>
      </c>
    </row>
    <row r="1952" spans="1:10" x14ac:dyDescent="0.25">
      <c r="A1952" s="92">
        <v>45905</v>
      </c>
      <c r="B1952" s="93" t="s">
        <v>329</v>
      </c>
      <c r="C1952" s="89" t="s">
        <v>40</v>
      </c>
      <c r="D1952" s="93" t="s">
        <v>316</v>
      </c>
      <c r="E1952" s="93" t="s">
        <v>35</v>
      </c>
      <c r="F1952" s="93" t="s">
        <v>338</v>
      </c>
      <c r="G1952" s="93" t="s">
        <v>337</v>
      </c>
      <c r="H1952" s="93" t="s">
        <v>352</v>
      </c>
      <c r="I1952" s="94">
        <v>1.33</v>
      </c>
      <c r="J1952" s="95">
        <v>99.75</v>
      </c>
    </row>
    <row r="1953" spans="1:10" x14ac:dyDescent="0.25">
      <c r="A1953" s="92">
        <v>45905</v>
      </c>
      <c r="B1953" s="93" t="s">
        <v>327</v>
      </c>
      <c r="C1953" s="89" t="s">
        <v>40</v>
      </c>
      <c r="D1953" s="93" t="s">
        <v>320</v>
      </c>
      <c r="E1953" s="93" t="s">
        <v>35</v>
      </c>
      <c r="F1953" s="93" t="s">
        <v>322</v>
      </c>
      <c r="G1953" s="93" t="s">
        <v>319</v>
      </c>
      <c r="H1953" s="93" t="s">
        <v>352</v>
      </c>
      <c r="I1953" s="94">
        <v>8.5</v>
      </c>
      <c r="J1953" s="95">
        <v>272</v>
      </c>
    </row>
    <row r="1954" spans="1:10" x14ac:dyDescent="0.25">
      <c r="A1954" s="92">
        <v>45905</v>
      </c>
      <c r="B1954" s="93" t="s">
        <v>323</v>
      </c>
      <c r="C1954" s="89" t="s">
        <v>40</v>
      </c>
      <c r="D1954" s="93" t="s">
        <v>219</v>
      </c>
      <c r="E1954" s="93" t="s">
        <v>36</v>
      </c>
      <c r="F1954" s="93" t="s">
        <v>432</v>
      </c>
      <c r="G1954" s="93" t="s">
        <v>346</v>
      </c>
      <c r="H1954" s="93" t="s">
        <v>342</v>
      </c>
      <c r="I1954" s="94">
        <v>0.25</v>
      </c>
      <c r="J1954" s="95">
        <v>15</v>
      </c>
    </row>
    <row r="1955" spans="1:10" x14ac:dyDescent="0.25">
      <c r="A1955" s="92">
        <v>45905</v>
      </c>
      <c r="B1955" s="93" t="s">
        <v>323</v>
      </c>
      <c r="C1955" s="89" t="s">
        <v>40</v>
      </c>
      <c r="D1955" s="93" t="s">
        <v>285</v>
      </c>
      <c r="E1955" s="93" t="s">
        <v>36</v>
      </c>
      <c r="F1955" s="93" t="s">
        <v>448</v>
      </c>
      <c r="G1955" s="93" t="s">
        <v>346</v>
      </c>
      <c r="H1955" s="93" t="s">
        <v>342</v>
      </c>
      <c r="I1955" s="94">
        <v>0.25</v>
      </c>
      <c r="J1955" s="95">
        <v>15</v>
      </c>
    </row>
    <row r="1956" spans="1:10" x14ac:dyDescent="0.25">
      <c r="A1956" s="92">
        <v>45905</v>
      </c>
      <c r="B1956" s="93" t="s">
        <v>323</v>
      </c>
      <c r="C1956" s="89" t="s">
        <v>40</v>
      </c>
      <c r="D1956" s="93" t="s">
        <v>281</v>
      </c>
      <c r="E1956" s="93" t="s">
        <v>36</v>
      </c>
      <c r="F1956" s="93" t="s">
        <v>430</v>
      </c>
      <c r="G1956" s="93" t="s">
        <v>346</v>
      </c>
      <c r="H1956" s="93" t="s">
        <v>342</v>
      </c>
      <c r="I1956" s="94">
        <v>0.5</v>
      </c>
      <c r="J1956" s="95">
        <v>30</v>
      </c>
    </row>
    <row r="1957" spans="1:10" x14ac:dyDescent="0.25">
      <c r="A1957" s="92">
        <v>45905</v>
      </c>
      <c r="B1957" s="93" t="s">
        <v>323</v>
      </c>
      <c r="C1957" s="89" t="s">
        <v>40</v>
      </c>
      <c r="D1957" s="93" t="s">
        <v>208</v>
      </c>
      <c r="E1957" s="93" t="s">
        <v>34</v>
      </c>
      <c r="F1957" s="93" t="s">
        <v>456</v>
      </c>
      <c r="G1957" s="93" t="s">
        <v>346</v>
      </c>
      <c r="H1957" s="93" t="s">
        <v>343</v>
      </c>
      <c r="I1957" s="94">
        <v>0.25</v>
      </c>
      <c r="J1957" s="95">
        <v>15</v>
      </c>
    </row>
    <row r="1958" spans="1:10" x14ac:dyDescent="0.25">
      <c r="A1958" s="92">
        <v>45905</v>
      </c>
      <c r="B1958" s="93" t="s">
        <v>325</v>
      </c>
      <c r="C1958" s="89" t="s">
        <v>40</v>
      </c>
      <c r="D1958" s="93" t="s">
        <v>198</v>
      </c>
      <c r="E1958" s="93" t="s">
        <v>36</v>
      </c>
      <c r="F1958" s="93" t="s">
        <v>413</v>
      </c>
      <c r="G1958" s="93" t="s">
        <v>347</v>
      </c>
      <c r="H1958" s="93" t="s">
        <v>342</v>
      </c>
      <c r="I1958" s="94">
        <v>0.17</v>
      </c>
      <c r="J1958" s="95">
        <v>12.750000000000002</v>
      </c>
    </row>
    <row r="1959" spans="1:10" x14ac:dyDescent="0.25">
      <c r="A1959" s="92">
        <v>45905</v>
      </c>
      <c r="B1959" s="93" t="s">
        <v>329</v>
      </c>
      <c r="C1959" s="89" t="s">
        <v>40</v>
      </c>
      <c r="D1959" s="93" t="s">
        <v>186</v>
      </c>
      <c r="E1959" s="93" t="s">
        <v>34</v>
      </c>
      <c r="F1959" s="93" t="s">
        <v>397</v>
      </c>
      <c r="G1959" s="93" t="s">
        <v>347</v>
      </c>
      <c r="H1959" s="93" t="s">
        <v>343</v>
      </c>
      <c r="I1959" s="94">
        <v>0.17</v>
      </c>
      <c r="J1959" s="95">
        <v>12.750000000000002</v>
      </c>
    </row>
    <row r="1960" spans="1:10" x14ac:dyDescent="0.25">
      <c r="A1960" s="92">
        <v>45905</v>
      </c>
      <c r="B1960" s="93" t="s">
        <v>329</v>
      </c>
      <c r="C1960" s="89" t="s">
        <v>40</v>
      </c>
      <c r="D1960" s="93" t="s">
        <v>301</v>
      </c>
      <c r="E1960" s="93" t="s">
        <v>34</v>
      </c>
      <c r="F1960" s="93" t="s">
        <v>371</v>
      </c>
      <c r="G1960" s="93" t="s">
        <v>347</v>
      </c>
      <c r="H1960" s="93" t="s">
        <v>343</v>
      </c>
      <c r="I1960" s="94">
        <v>0.42</v>
      </c>
      <c r="J1960" s="95">
        <v>31.5</v>
      </c>
    </row>
    <row r="1961" spans="1:10" x14ac:dyDescent="0.25">
      <c r="A1961" s="92">
        <v>45905</v>
      </c>
      <c r="B1961" s="93" t="s">
        <v>325</v>
      </c>
      <c r="C1961" s="89" t="s">
        <v>40</v>
      </c>
      <c r="D1961" s="93" t="s">
        <v>226</v>
      </c>
      <c r="E1961" s="93" t="s">
        <v>34</v>
      </c>
      <c r="F1961" s="93" t="s">
        <v>401</v>
      </c>
      <c r="G1961" s="93" t="s">
        <v>347</v>
      </c>
      <c r="H1961" s="93" t="s">
        <v>343</v>
      </c>
      <c r="I1961" s="94">
        <v>0.25</v>
      </c>
      <c r="J1961" s="95">
        <v>18.75</v>
      </c>
    </row>
    <row r="1962" spans="1:10" x14ac:dyDescent="0.25">
      <c r="A1962" s="92">
        <v>45905</v>
      </c>
      <c r="B1962" s="93" t="s">
        <v>329</v>
      </c>
      <c r="C1962" s="89" t="s">
        <v>40</v>
      </c>
      <c r="D1962" s="93" t="s">
        <v>242</v>
      </c>
      <c r="E1962" s="93" t="s">
        <v>34</v>
      </c>
      <c r="F1962" s="93" t="s">
        <v>404</v>
      </c>
      <c r="G1962" s="93" t="s">
        <v>347</v>
      </c>
      <c r="H1962" s="93" t="s">
        <v>343</v>
      </c>
      <c r="I1962" s="94">
        <v>0.5</v>
      </c>
      <c r="J1962" s="95">
        <v>37.5</v>
      </c>
    </row>
    <row r="1963" spans="1:10" x14ac:dyDescent="0.25">
      <c r="A1963" s="92">
        <v>45905</v>
      </c>
      <c r="B1963" s="93" t="s">
        <v>330</v>
      </c>
      <c r="C1963" s="89" t="s">
        <v>40</v>
      </c>
      <c r="D1963" s="93" t="s">
        <v>297</v>
      </c>
      <c r="E1963" s="93" t="s">
        <v>34</v>
      </c>
      <c r="F1963" s="93" t="s">
        <v>380</v>
      </c>
      <c r="G1963" s="93" t="s">
        <v>347</v>
      </c>
      <c r="H1963" s="93" t="s">
        <v>343</v>
      </c>
      <c r="I1963" s="94">
        <v>0.25</v>
      </c>
      <c r="J1963" s="95">
        <v>15</v>
      </c>
    </row>
    <row r="1964" spans="1:10" x14ac:dyDescent="0.25">
      <c r="A1964" s="92">
        <v>45905</v>
      </c>
      <c r="B1964" s="93" t="s">
        <v>329</v>
      </c>
      <c r="C1964" s="89" t="s">
        <v>40</v>
      </c>
      <c r="D1964" s="93" t="s">
        <v>247</v>
      </c>
      <c r="E1964" s="93" t="s">
        <v>34</v>
      </c>
      <c r="F1964" s="93" t="s">
        <v>375</v>
      </c>
      <c r="G1964" s="93" t="s">
        <v>347</v>
      </c>
      <c r="H1964" s="93" t="s">
        <v>343</v>
      </c>
      <c r="I1964" s="94">
        <v>0.25</v>
      </c>
      <c r="J1964" s="95">
        <v>18.75</v>
      </c>
    </row>
    <row r="1965" spans="1:10" x14ac:dyDescent="0.25">
      <c r="A1965" s="92">
        <v>45905</v>
      </c>
      <c r="B1965" s="93" t="s">
        <v>329</v>
      </c>
      <c r="C1965" s="89" t="s">
        <v>40</v>
      </c>
      <c r="D1965" s="93" t="s">
        <v>299</v>
      </c>
      <c r="E1965" s="93" t="s">
        <v>312</v>
      </c>
      <c r="F1965" s="93" t="s">
        <v>455</v>
      </c>
      <c r="G1965" s="93" t="s">
        <v>347</v>
      </c>
      <c r="H1965" s="93" t="s">
        <v>350</v>
      </c>
      <c r="I1965" s="94">
        <v>0.25</v>
      </c>
      <c r="J1965" s="95">
        <v>18.75</v>
      </c>
    </row>
    <row r="1966" spans="1:10" x14ac:dyDescent="0.25">
      <c r="A1966" s="92">
        <v>45905</v>
      </c>
      <c r="B1966" s="93" t="s">
        <v>326</v>
      </c>
      <c r="C1966" s="89" t="s">
        <v>40</v>
      </c>
      <c r="D1966" s="93" t="s">
        <v>265</v>
      </c>
      <c r="E1966" s="93" t="s">
        <v>34</v>
      </c>
      <c r="F1966" s="93" t="s">
        <v>358</v>
      </c>
      <c r="G1966" s="93" t="s">
        <v>348</v>
      </c>
      <c r="H1966" s="93" t="s">
        <v>343</v>
      </c>
      <c r="I1966" s="94">
        <v>1</v>
      </c>
      <c r="J1966" s="95">
        <v>60</v>
      </c>
    </row>
    <row r="1967" spans="1:10" x14ac:dyDescent="0.25">
      <c r="A1967" s="92">
        <v>45905</v>
      </c>
      <c r="B1967" s="93" t="s">
        <v>332</v>
      </c>
      <c r="C1967" s="89" t="s">
        <v>40</v>
      </c>
      <c r="D1967" s="93" t="s">
        <v>314</v>
      </c>
      <c r="E1967" s="93" t="s">
        <v>35</v>
      </c>
      <c r="F1967" s="93" t="s">
        <v>359</v>
      </c>
      <c r="G1967" s="93" t="s">
        <v>339</v>
      </c>
      <c r="H1967" s="93" t="s">
        <v>352</v>
      </c>
      <c r="I1967" s="94">
        <v>9.33</v>
      </c>
      <c r="J1967" s="95">
        <v>373.2</v>
      </c>
    </row>
    <row r="1968" spans="1:10" x14ac:dyDescent="0.25">
      <c r="A1968" s="92">
        <v>45905</v>
      </c>
      <c r="B1968" s="93" t="s">
        <v>324</v>
      </c>
      <c r="C1968" s="89" t="s">
        <v>40</v>
      </c>
      <c r="D1968" s="93" t="s">
        <v>314</v>
      </c>
      <c r="E1968" s="93" t="s">
        <v>35</v>
      </c>
      <c r="F1968" s="93" t="s">
        <v>359</v>
      </c>
      <c r="G1968" s="93" t="s">
        <v>339</v>
      </c>
      <c r="H1968" s="93" t="s">
        <v>352</v>
      </c>
      <c r="I1968" s="94">
        <v>4.5</v>
      </c>
      <c r="J1968" s="95">
        <v>337.5</v>
      </c>
    </row>
    <row r="1969" spans="1:10" x14ac:dyDescent="0.25">
      <c r="A1969" s="92">
        <v>45906</v>
      </c>
      <c r="B1969" s="93" t="s">
        <v>332</v>
      </c>
      <c r="C1969" s="89" t="s">
        <v>40</v>
      </c>
      <c r="D1969" s="93" t="s">
        <v>314</v>
      </c>
      <c r="E1969" s="93" t="s">
        <v>35</v>
      </c>
      <c r="F1969" s="93" t="s">
        <v>359</v>
      </c>
      <c r="G1969" s="93" t="s">
        <v>339</v>
      </c>
      <c r="H1969" s="93" t="s">
        <v>352</v>
      </c>
      <c r="I1969" s="94">
        <v>4.17</v>
      </c>
      <c r="J1969" s="95">
        <v>166.8</v>
      </c>
    </row>
    <row r="1970" spans="1:10" x14ac:dyDescent="0.25">
      <c r="A1970" s="92">
        <v>45908</v>
      </c>
      <c r="B1970" s="93" t="s">
        <v>329</v>
      </c>
      <c r="C1970" s="89" t="s">
        <v>40</v>
      </c>
      <c r="D1970" s="93" t="s">
        <v>316</v>
      </c>
      <c r="E1970" s="93" t="s">
        <v>35</v>
      </c>
      <c r="F1970" s="93" t="s">
        <v>338</v>
      </c>
      <c r="G1970" s="93" t="s">
        <v>337</v>
      </c>
      <c r="H1970" s="93" t="s">
        <v>352</v>
      </c>
      <c r="I1970" s="94">
        <v>1</v>
      </c>
      <c r="J1970" s="95">
        <v>75</v>
      </c>
    </row>
    <row r="1971" spans="1:10" x14ac:dyDescent="0.25">
      <c r="A1971" s="92">
        <v>45908</v>
      </c>
      <c r="B1971" s="93" t="s">
        <v>327</v>
      </c>
      <c r="C1971" s="89" t="s">
        <v>40</v>
      </c>
      <c r="D1971" s="93" t="s">
        <v>320</v>
      </c>
      <c r="E1971" s="93" t="s">
        <v>35</v>
      </c>
      <c r="F1971" s="93" t="s">
        <v>322</v>
      </c>
      <c r="G1971" s="93" t="s">
        <v>319</v>
      </c>
      <c r="H1971" s="93" t="s">
        <v>352</v>
      </c>
      <c r="I1971" s="94">
        <v>8.5</v>
      </c>
      <c r="J1971" s="95">
        <v>272</v>
      </c>
    </row>
    <row r="1972" spans="1:10" x14ac:dyDescent="0.25">
      <c r="A1972" s="92">
        <v>45908</v>
      </c>
      <c r="B1972" s="93" t="s">
        <v>330</v>
      </c>
      <c r="C1972" s="89" t="s">
        <v>40</v>
      </c>
      <c r="D1972" s="93" t="s">
        <v>252</v>
      </c>
      <c r="E1972" s="93" t="s">
        <v>34</v>
      </c>
      <c r="F1972" s="93" t="s">
        <v>416</v>
      </c>
      <c r="G1972" s="93" t="s">
        <v>347</v>
      </c>
      <c r="H1972" s="93" t="s">
        <v>343</v>
      </c>
      <c r="I1972" s="94">
        <v>0.5</v>
      </c>
      <c r="J1972" s="95">
        <v>30</v>
      </c>
    </row>
    <row r="1973" spans="1:10" x14ac:dyDescent="0.25">
      <c r="A1973" s="92">
        <v>45908</v>
      </c>
      <c r="B1973" s="93" t="s">
        <v>325</v>
      </c>
      <c r="C1973" s="89" t="s">
        <v>40</v>
      </c>
      <c r="D1973" s="93" t="s">
        <v>277</v>
      </c>
      <c r="E1973" s="93" t="s">
        <v>34</v>
      </c>
      <c r="F1973" s="93" t="s">
        <v>353</v>
      </c>
      <c r="G1973" s="93" t="s">
        <v>347</v>
      </c>
      <c r="H1973" s="93" t="s">
        <v>343</v>
      </c>
      <c r="I1973" s="94">
        <v>0.17</v>
      </c>
      <c r="J1973" s="95">
        <v>12.750000000000002</v>
      </c>
    </row>
    <row r="1974" spans="1:10" x14ac:dyDescent="0.25">
      <c r="A1974" s="92">
        <v>45908</v>
      </c>
      <c r="B1974" s="93" t="s">
        <v>329</v>
      </c>
      <c r="C1974" s="89" t="s">
        <v>40</v>
      </c>
      <c r="D1974" s="93" t="s">
        <v>272</v>
      </c>
      <c r="E1974" s="93" t="s">
        <v>34</v>
      </c>
      <c r="F1974" s="93" t="s">
        <v>362</v>
      </c>
      <c r="G1974" s="93" t="s">
        <v>347</v>
      </c>
      <c r="H1974" s="93" t="s">
        <v>343</v>
      </c>
      <c r="I1974" s="94">
        <v>0.17</v>
      </c>
      <c r="J1974" s="95">
        <v>12.750000000000002</v>
      </c>
    </row>
    <row r="1975" spans="1:10" x14ac:dyDescent="0.25">
      <c r="A1975" s="92">
        <v>45908</v>
      </c>
      <c r="B1975" s="93" t="s">
        <v>330</v>
      </c>
      <c r="C1975" s="89" t="s">
        <v>40</v>
      </c>
      <c r="D1975" s="93" t="s">
        <v>252</v>
      </c>
      <c r="E1975" s="93" t="s">
        <v>341</v>
      </c>
      <c r="F1975" s="93" t="s">
        <v>416</v>
      </c>
      <c r="G1975" s="93" t="s">
        <v>347</v>
      </c>
      <c r="H1975" s="93" t="s">
        <v>344</v>
      </c>
      <c r="I1975" s="94">
        <v>1.5</v>
      </c>
      <c r="J1975" s="95">
        <v>90</v>
      </c>
    </row>
    <row r="1976" spans="1:10" x14ac:dyDescent="0.25">
      <c r="A1976" s="92">
        <v>45908</v>
      </c>
      <c r="B1976" s="93" t="s">
        <v>325</v>
      </c>
      <c r="C1976" s="89" t="s">
        <v>40</v>
      </c>
      <c r="D1976" s="93" t="s">
        <v>298</v>
      </c>
      <c r="E1976" s="93" t="s">
        <v>341</v>
      </c>
      <c r="F1976" s="93" t="s">
        <v>406</v>
      </c>
      <c r="G1976" s="93" t="s">
        <v>347</v>
      </c>
      <c r="H1976" s="93" t="s">
        <v>344</v>
      </c>
      <c r="I1976" s="94">
        <v>0.83</v>
      </c>
      <c r="J1976" s="95">
        <v>62.25</v>
      </c>
    </row>
    <row r="1977" spans="1:10" x14ac:dyDescent="0.25">
      <c r="A1977" s="92">
        <v>45908</v>
      </c>
      <c r="B1977" s="93" t="s">
        <v>324</v>
      </c>
      <c r="C1977" s="89" t="s">
        <v>40</v>
      </c>
      <c r="D1977" s="93" t="s">
        <v>314</v>
      </c>
      <c r="E1977" s="93" t="s">
        <v>35</v>
      </c>
      <c r="F1977" s="93" t="s">
        <v>359</v>
      </c>
      <c r="G1977" s="93" t="s">
        <v>339</v>
      </c>
      <c r="H1977" s="93" t="s">
        <v>352</v>
      </c>
      <c r="I1977" s="94">
        <v>4</v>
      </c>
      <c r="J1977" s="95">
        <v>300</v>
      </c>
    </row>
    <row r="1978" spans="1:10" x14ac:dyDescent="0.25">
      <c r="A1978" s="92">
        <v>45909</v>
      </c>
      <c r="B1978" s="93" t="s">
        <v>329</v>
      </c>
      <c r="C1978" s="89" t="s">
        <v>40</v>
      </c>
      <c r="D1978" s="93" t="s">
        <v>316</v>
      </c>
      <c r="E1978" s="93" t="s">
        <v>35</v>
      </c>
      <c r="F1978" s="93" t="s">
        <v>338</v>
      </c>
      <c r="G1978" s="93" t="s">
        <v>337</v>
      </c>
      <c r="H1978" s="93" t="s">
        <v>352</v>
      </c>
      <c r="I1978" s="94">
        <v>1.25</v>
      </c>
      <c r="J1978" s="95">
        <v>93.75</v>
      </c>
    </row>
    <row r="1979" spans="1:10" x14ac:dyDescent="0.25">
      <c r="A1979" s="92">
        <v>45909</v>
      </c>
      <c r="B1979" s="93" t="s">
        <v>327</v>
      </c>
      <c r="C1979" s="89" t="s">
        <v>40</v>
      </c>
      <c r="D1979" s="93" t="s">
        <v>320</v>
      </c>
      <c r="E1979" s="93" t="s">
        <v>35</v>
      </c>
      <c r="F1979" s="93" t="s">
        <v>322</v>
      </c>
      <c r="G1979" s="93" t="s">
        <v>319</v>
      </c>
      <c r="H1979" s="93" t="s">
        <v>352</v>
      </c>
      <c r="I1979" s="94">
        <v>7.42</v>
      </c>
      <c r="J1979" s="95">
        <v>237.44</v>
      </c>
    </row>
    <row r="1980" spans="1:10" x14ac:dyDescent="0.25">
      <c r="A1980" s="92">
        <v>45909</v>
      </c>
      <c r="B1980" s="93" t="s">
        <v>325</v>
      </c>
      <c r="C1980" s="89" t="s">
        <v>40</v>
      </c>
      <c r="D1980" s="93" t="s">
        <v>304</v>
      </c>
      <c r="E1980" s="93" t="s">
        <v>34</v>
      </c>
      <c r="F1980" s="93" t="s">
        <v>372</v>
      </c>
      <c r="G1980" s="93" t="s">
        <v>347</v>
      </c>
      <c r="H1980" s="93" t="s">
        <v>343</v>
      </c>
      <c r="I1980" s="94">
        <v>0.25</v>
      </c>
      <c r="J1980" s="95">
        <v>18.75</v>
      </c>
    </row>
    <row r="1981" spans="1:10" x14ac:dyDescent="0.25">
      <c r="A1981" s="92">
        <v>45909</v>
      </c>
      <c r="B1981" s="93" t="s">
        <v>325</v>
      </c>
      <c r="C1981" s="89" t="s">
        <v>40</v>
      </c>
      <c r="D1981" s="93" t="s">
        <v>287</v>
      </c>
      <c r="E1981" s="93" t="s">
        <v>34</v>
      </c>
      <c r="F1981" s="93" t="s">
        <v>378</v>
      </c>
      <c r="G1981" s="93" t="s">
        <v>347</v>
      </c>
      <c r="H1981" s="93" t="s">
        <v>343</v>
      </c>
      <c r="I1981" s="94">
        <v>0.17</v>
      </c>
      <c r="J1981" s="95">
        <v>12.750000000000002</v>
      </c>
    </row>
    <row r="1982" spans="1:10" x14ac:dyDescent="0.25">
      <c r="A1982" s="92">
        <v>45909</v>
      </c>
      <c r="B1982" s="93" t="s">
        <v>330</v>
      </c>
      <c r="C1982" s="89" t="s">
        <v>40</v>
      </c>
      <c r="D1982" s="93" t="s">
        <v>261</v>
      </c>
      <c r="E1982" s="93" t="s">
        <v>34</v>
      </c>
      <c r="F1982" s="93" t="s">
        <v>444</v>
      </c>
      <c r="G1982" s="93" t="s">
        <v>347</v>
      </c>
      <c r="H1982" s="93" t="s">
        <v>343</v>
      </c>
      <c r="I1982" s="94">
        <v>0.17</v>
      </c>
      <c r="J1982" s="95">
        <v>10.200000000000001</v>
      </c>
    </row>
    <row r="1983" spans="1:10" x14ac:dyDescent="0.25">
      <c r="A1983" s="92">
        <v>45909</v>
      </c>
      <c r="B1983" s="93" t="s">
        <v>330</v>
      </c>
      <c r="C1983" s="89" t="s">
        <v>40</v>
      </c>
      <c r="D1983" s="93" t="s">
        <v>275</v>
      </c>
      <c r="E1983" s="93" t="s">
        <v>34</v>
      </c>
      <c r="F1983" s="93" t="s">
        <v>443</v>
      </c>
      <c r="G1983" s="93" t="s">
        <v>347</v>
      </c>
      <c r="H1983" s="93" t="s">
        <v>343</v>
      </c>
      <c r="I1983" s="94">
        <v>0.25</v>
      </c>
      <c r="J1983" s="95">
        <v>15</v>
      </c>
    </row>
    <row r="1984" spans="1:10" x14ac:dyDescent="0.25">
      <c r="A1984" s="92">
        <v>45909</v>
      </c>
      <c r="B1984" s="93" t="s">
        <v>325</v>
      </c>
      <c r="C1984" s="89" t="s">
        <v>40</v>
      </c>
      <c r="D1984" s="93" t="s">
        <v>277</v>
      </c>
      <c r="E1984" s="93" t="s">
        <v>34</v>
      </c>
      <c r="F1984" s="93" t="s">
        <v>353</v>
      </c>
      <c r="G1984" s="93" t="s">
        <v>347</v>
      </c>
      <c r="H1984" s="93" t="s">
        <v>343</v>
      </c>
      <c r="I1984" s="94">
        <v>0.25</v>
      </c>
      <c r="J1984" s="95">
        <v>18.75</v>
      </c>
    </row>
    <row r="1985" spans="1:10" x14ac:dyDescent="0.25">
      <c r="A1985" s="92">
        <v>45909</v>
      </c>
      <c r="B1985" s="93" t="s">
        <v>325</v>
      </c>
      <c r="C1985" s="89" t="s">
        <v>40</v>
      </c>
      <c r="D1985" s="93" t="s">
        <v>262</v>
      </c>
      <c r="E1985" s="93" t="s">
        <v>341</v>
      </c>
      <c r="F1985" s="93" t="s">
        <v>442</v>
      </c>
      <c r="G1985" s="93" t="s">
        <v>347</v>
      </c>
      <c r="H1985" s="93" t="s">
        <v>344</v>
      </c>
      <c r="I1985" s="94">
        <v>0.42</v>
      </c>
      <c r="J1985" s="95">
        <v>31.5</v>
      </c>
    </row>
    <row r="1986" spans="1:10" x14ac:dyDescent="0.25">
      <c r="A1986" s="92">
        <v>45909</v>
      </c>
      <c r="B1986" s="93" t="s">
        <v>325</v>
      </c>
      <c r="C1986" s="89" t="s">
        <v>40</v>
      </c>
      <c r="D1986" s="93" t="s">
        <v>262</v>
      </c>
      <c r="E1986" s="93" t="s">
        <v>341</v>
      </c>
      <c r="F1986" s="93" t="s">
        <v>442</v>
      </c>
      <c r="G1986" s="93" t="s">
        <v>347</v>
      </c>
      <c r="H1986" s="93" t="s">
        <v>344</v>
      </c>
      <c r="I1986" s="94">
        <v>1.25</v>
      </c>
      <c r="J1986" s="95">
        <v>93.75</v>
      </c>
    </row>
    <row r="1987" spans="1:10" x14ac:dyDescent="0.25">
      <c r="A1987" s="92">
        <v>45909</v>
      </c>
      <c r="B1987" s="93" t="s">
        <v>329</v>
      </c>
      <c r="C1987" s="89" t="s">
        <v>40</v>
      </c>
      <c r="D1987" s="93" t="s">
        <v>299</v>
      </c>
      <c r="E1987" s="93" t="s">
        <v>312</v>
      </c>
      <c r="F1987" s="93" t="s">
        <v>455</v>
      </c>
      <c r="G1987" s="93" t="s">
        <v>347</v>
      </c>
      <c r="H1987" s="93" t="s">
        <v>350</v>
      </c>
      <c r="I1987" s="94">
        <v>0.25</v>
      </c>
      <c r="J1987" s="95">
        <v>18.75</v>
      </c>
    </row>
    <row r="1988" spans="1:10" x14ac:dyDescent="0.25">
      <c r="A1988" s="92">
        <v>45909</v>
      </c>
      <c r="B1988" s="93" t="s">
        <v>324</v>
      </c>
      <c r="C1988" s="89" t="s">
        <v>40</v>
      </c>
      <c r="D1988" s="93" t="s">
        <v>314</v>
      </c>
      <c r="E1988" s="93" t="s">
        <v>35</v>
      </c>
      <c r="F1988" s="93" t="s">
        <v>359</v>
      </c>
      <c r="G1988" s="93" t="s">
        <v>339</v>
      </c>
      <c r="H1988" s="93" t="s">
        <v>352</v>
      </c>
      <c r="I1988" s="94">
        <v>6.75</v>
      </c>
      <c r="J1988" s="95">
        <v>506.25</v>
      </c>
    </row>
    <row r="1989" spans="1:10" x14ac:dyDescent="0.25">
      <c r="A1989" s="92">
        <v>45910</v>
      </c>
      <c r="B1989" s="93" t="s">
        <v>329</v>
      </c>
      <c r="C1989" s="89" t="s">
        <v>40</v>
      </c>
      <c r="D1989" s="93" t="s">
        <v>316</v>
      </c>
      <c r="E1989" s="93" t="s">
        <v>35</v>
      </c>
      <c r="F1989" s="93" t="s">
        <v>338</v>
      </c>
      <c r="G1989" s="93" t="s">
        <v>337</v>
      </c>
      <c r="H1989" s="93" t="s">
        <v>352</v>
      </c>
      <c r="I1989" s="94">
        <v>0.17</v>
      </c>
      <c r="J1989" s="95">
        <v>12.750000000000002</v>
      </c>
    </row>
    <row r="1990" spans="1:10" x14ac:dyDescent="0.25">
      <c r="A1990" s="92">
        <v>45910</v>
      </c>
      <c r="B1990" s="93" t="s">
        <v>323</v>
      </c>
      <c r="C1990" s="89" t="s">
        <v>40</v>
      </c>
      <c r="D1990" s="93" t="s">
        <v>201</v>
      </c>
      <c r="E1990" s="93" t="s">
        <v>36</v>
      </c>
      <c r="F1990" s="93" t="s">
        <v>395</v>
      </c>
      <c r="G1990" s="93" t="s">
        <v>346</v>
      </c>
      <c r="H1990" s="93" t="s">
        <v>342</v>
      </c>
      <c r="I1990" s="94">
        <v>0.25</v>
      </c>
      <c r="J1990" s="95">
        <v>15</v>
      </c>
    </row>
    <row r="1991" spans="1:10" x14ac:dyDescent="0.25">
      <c r="A1991" s="92">
        <v>45910</v>
      </c>
      <c r="B1991" s="93" t="s">
        <v>327</v>
      </c>
      <c r="C1991" s="89" t="s">
        <v>40</v>
      </c>
      <c r="D1991" s="93" t="s">
        <v>320</v>
      </c>
      <c r="E1991" s="93" t="s">
        <v>35</v>
      </c>
      <c r="F1991" s="93" t="s">
        <v>322</v>
      </c>
      <c r="G1991" s="93" t="s">
        <v>319</v>
      </c>
      <c r="H1991" s="93" t="s">
        <v>352</v>
      </c>
      <c r="I1991" s="94">
        <v>7.33</v>
      </c>
      <c r="J1991" s="95">
        <v>234.56</v>
      </c>
    </row>
    <row r="1992" spans="1:10" x14ac:dyDescent="0.25">
      <c r="A1992" s="92">
        <v>45910</v>
      </c>
      <c r="B1992" s="93" t="s">
        <v>323</v>
      </c>
      <c r="C1992" s="89" t="s">
        <v>40</v>
      </c>
      <c r="D1992" s="93" t="s">
        <v>232</v>
      </c>
      <c r="E1992" s="93" t="s">
        <v>36</v>
      </c>
      <c r="F1992" s="93" t="s">
        <v>393</v>
      </c>
      <c r="G1992" s="93" t="s">
        <v>346</v>
      </c>
      <c r="H1992" s="93" t="s">
        <v>342</v>
      </c>
      <c r="I1992" s="94">
        <v>0.25</v>
      </c>
      <c r="J1992" s="95">
        <v>15</v>
      </c>
    </row>
    <row r="1993" spans="1:10" x14ac:dyDescent="0.25">
      <c r="A1993" s="92">
        <v>45910</v>
      </c>
      <c r="B1993" s="93" t="s">
        <v>323</v>
      </c>
      <c r="C1993" s="89" t="s">
        <v>40</v>
      </c>
      <c r="D1993" s="93" t="s">
        <v>231</v>
      </c>
      <c r="E1993" s="93" t="s">
        <v>34</v>
      </c>
      <c r="F1993" s="93" t="s">
        <v>420</v>
      </c>
      <c r="G1993" s="93" t="s">
        <v>346</v>
      </c>
      <c r="H1993" s="93" t="s">
        <v>343</v>
      </c>
      <c r="I1993" s="94">
        <v>0.25</v>
      </c>
      <c r="J1993" s="95">
        <v>15</v>
      </c>
    </row>
    <row r="1994" spans="1:10" x14ac:dyDescent="0.25">
      <c r="A1994" s="92">
        <v>45910</v>
      </c>
      <c r="B1994" s="93" t="s">
        <v>325</v>
      </c>
      <c r="C1994" s="89" t="s">
        <v>40</v>
      </c>
      <c r="D1994" s="93" t="s">
        <v>205</v>
      </c>
      <c r="E1994" s="93" t="s">
        <v>34</v>
      </c>
      <c r="F1994" s="93" t="s">
        <v>470</v>
      </c>
      <c r="G1994" s="93" t="s">
        <v>347</v>
      </c>
      <c r="H1994" s="93" t="s">
        <v>343</v>
      </c>
      <c r="I1994" s="94">
        <v>0.17</v>
      </c>
      <c r="J1994" s="95">
        <v>12.750000000000002</v>
      </c>
    </row>
    <row r="1995" spans="1:10" x14ac:dyDescent="0.25">
      <c r="A1995" s="92">
        <v>45910</v>
      </c>
      <c r="B1995" s="93" t="s">
        <v>325</v>
      </c>
      <c r="C1995" s="89" t="s">
        <v>40</v>
      </c>
      <c r="D1995" s="93" t="s">
        <v>179</v>
      </c>
      <c r="E1995" s="93" t="s">
        <v>34</v>
      </c>
      <c r="F1995" s="93" t="s">
        <v>422</v>
      </c>
      <c r="G1995" s="93" t="s">
        <v>347</v>
      </c>
      <c r="H1995" s="93" t="s">
        <v>343</v>
      </c>
      <c r="I1995" s="94">
        <v>0.57999999999999996</v>
      </c>
      <c r="J1995" s="95">
        <v>43.5</v>
      </c>
    </row>
    <row r="1996" spans="1:10" x14ac:dyDescent="0.25">
      <c r="A1996" s="92">
        <v>45910</v>
      </c>
      <c r="B1996" s="93" t="s">
        <v>325</v>
      </c>
      <c r="C1996" s="89" t="s">
        <v>40</v>
      </c>
      <c r="D1996" s="93" t="s">
        <v>210</v>
      </c>
      <c r="E1996" s="93" t="s">
        <v>34</v>
      </c>
      <c r="F1996" s="93" t="s">
        <v>399</v>
      </c>
      <c r="G1996" s="93" t="s">
        <v>347</v>
      </c>
      <c r="H1996" s="93" t="s">
        <v>343</v>
      </c>
      <c r="I1996" s="94">
        <v>0.17</v>
      </c>
      <c r="J1996" s="95">
        <v>12.750000000000002</v>
      </c>
    </row>
    <row r="1997" spans="1:10" x14ac:dyDescent="0.25">
      <c r="A1997" s="92">
        <v>45910</v>
      </c>
      <c r="B1997" s="93" t="s">
        <v>329</v>
      </c>
      <c r="C1997" s="89" t="s">
        <v>40</v>
      </c>
      <c r="D1997" s="93" t="s">
        <v>301</v>
      </c>
      <c r="E1997" s="93" t="s">
        <v>34</v>
      </c>
      <c r="F1997" s="93" t="s">
        <v>371</v>
      </c>
      <c r="G1997" s="93" t="s">
        <v>347</v>
      </c>
      <c r="H1997" s="93" t="s">
        <v>343</v>
      </c>
      <c r="I1997" s="94">
        <v>0.17</v>
      </c>
      <c r="J1997" s="95">
        <v>12.750000000000002</v>
      </c>
    </row>
    <row r="1998" spans="1:10" x14ac:dyDescent="0.25">
      <c r="A1998" s="92">
        <v>45910</v>
      </c>
      <c r="B1998" s="93" t="s">
        <v>325</v>
      </c>
      <c r="C1998" s="89" t="s">
        <v>40</v>
      </c>
      <c r="D1998" s="93" t="s">
        <v>287</v>
      </c>
      <c r="E1998" s="93" t="s">
        <v>34</v>
      </c>
      <c r="F1998" s="93" t="s">
        <v>378</v>
      </c>
      <c r="G1998" s="93" t="s">
        <v>347</v>
      </c>
      <c r="H1998" s="93" t="s">
        <v>343</v>
      </c>
      <c r="I1998" s="94">
        <v>0.25</v>
      </c>
      <c r="J1998" s="95">
        <v>18.75</v>
      </c>
    </row>
    <row r="1999" spans="1:10" x14ac:dyDescent="0.25">
      <c r="A1999" s="92">
        <v>45910</v>
      </c>
      <c r="B1999" s="93" t="s">
        <v>330</v>
      </c>
      <c r="C1999" s="89" t="s">
        <v>40</v>
      </c>
      <c r="D1999" s="93" t="s">
        <v>297</v>
      </c>
      <c r="E1999" s="93" t="s">
        <v>341</v>
      </c>
      <c r="F1999" s="93" t="s">
        <v>380</v>
      </c>
      <c r="G1999" s="93" t="s">
        <v>347</v>
      </c>
      <c r="H1999" s="93" t="s">
        <v>344</v>
      </c>
      <c r="I1999" s="94">
        <v>2.67</v>
      </c>
      <c r="J1999" s="95">
        <v>160.19999999999999</v>
      </c>
    </row>
    <row r="2000" spans="1:10" x14ac:dyDescent="0.25">
      <c r="A2000" s="92">
        <v>45910</v>
      </c>
      <c r="B2000" s="93" t="s">
        <v>324</v>
      </c>
      <c r="C2000" s="89" t="s">
        <v>40</v>
      </c>
      <c r="D2000" s="93" t="s">
        <v>314</v>
      </c>
      <c r="E2000" s="93" t="s">
        <v>35</v>
      </c>
      <c r="F2000" s="93" t="s">
        <v>359</v>
      </c>
      <c r="G2000" s="93" t="s">
        <v>339</v>
      </c>
      <c r="H2000" s="93" t="s">
        <v>352</v>
      </c>
      <c r="I2000" s="94">
        <v>5</v>
      </c>
      <c r="J2000" s="95">
        <v>375</v>
      </c>
    </row>
    <row r="2001" spans="1:10" x14ac:dyDescent="0.25">
      <c r="A2001" s="92">
        <v>45911</v>
      </c>
      <c r="B2001" s="93" t="s">
        <v>329</v>
      </c>
      <c r="C2001" s="89" t="s">
        <v>40</v>
      </c>
      <c r="D2001" s="93" t="s">
        <v>316</v>
      </c>
      <c r="E2001" s="93" t="s">
        <v>35</v>
      </c>
      <c r="F2001" s="93" t="s">
        <v>338</v>
      </c>
      <c r="G2001" s="93" t="s">
        <v>337</v>
      </c>
      <c r="H2001" s="93" t="s">
        <v>352</v>
      </c>
      <c r="I2001" s="94">
        <v>0.83</v>
      </c>
      <c r="J2001" s="95">
        <v>62.25</v>
      </c>
    </row>
    <row r="2002" spans="1:10" x14ac:dyDescent="0.25">
      <c r="A2002" s="92">
        <v>45911</v>
      </c>
      <c r="B2002" s="93" t="s">
        <v>329</v>
      </c>
      <c r="C2002" s="89" t="s">
        <v>40</v>
      </c>
      <c r="D2002" s="93" t="s">
        <v>242</v>
      </c>
      <c r="E2002" s="93" t="s">
        <v>341</v>
      </c>
      <c r="F2002" s="93" t="s">
        <v>404</v>
      </c>
      <c r="G2002" s="93" t="s">
        <v>347</v>
      </c>
      <c r="H2002" s="93" t="s">
        <v>344</v>
      </c>
      <c r="I2002" s="94">
        <v>3</v>
      </c>
      <c r="J2002" s="95">
        <v>225</v>
      </c>
    </row>
    <row r="2003" spans="1:10" x14ac:dyDescent="0.25">
      <c r="A2003" s="92">
        <v>45911</v>
      </c>
      <c r="B2003" s="93" t="s">
        <v>325</v>
      </c>
      <c r="C2003" s="89" t="s">
        <v>40</v>
      </c>
      <c r="D2003" s="93" t="s">
        <v>198</v>
      </c>
      <c r="E2003" s="93" t="s">
        <v>341</v>
      </c>
      <c r="F2003" s="93" t="s">
        <v>413</v>
      </c>
      <c r="G2003" s="93" t="s">
        <v>347</v>
      </c>
      <c r="H2003" s="93" t="s">
        <v>344</v>
      </c>
      <c r="I2003" s="94">
        <v>1.58</v>
      </c>
      <c r="J2003" s="95">
        <v>118.5</v>
      </c>
    </row>
    <row r="2004" spans="1:10" x14ac:dyDescent="0.25">
      <c r="A2004" s="92">
        <v>45911</v>
      </c>
      <c r="B2004" s="93" t="s">
        <v>333</v>
      </c>
      <c r="C2004" s="89" t="s">
        <v>40</v>
      </c>
      <c r="D2004" s="93" t="s">
        <v>320</v>
      </c>
      <c r="E2004" s="93" t="s">
        <v>35</v>
      </c>
      <c r="F2004" s="93" t="s">
        <v>322</v>
      </c>
      <c r="G2004" s="93" t="s">
        <v>319</v>
      </c>
      <c r="H2004" s="93" t="s">
        <v>352</v>
      </c>
      <c r="I2004" s="94">
        <v>7.63</v>
      </c>
      <c r="J2004" s="95">
        <v>244.16</v>
      </c>
    </row>
    <row r="2005" spans="1:10" x14ac:dyDescent="0.25">
      <c r="A2005" s="92">
        <v>45911</v>
      </c>
      <c r="B2005" s="93" t="s">
        <v>327</v>
      </c>
      <c r="C2005" s="89" t="s">
        <v>40</v>
      </c>
      <c r="D2005" s="93" t="s">
        <v>320</v>
      </c>
      <c r="E2005" s="93" t="s">
        <v>35</v>
      </c>
      <c r="F2005" s="93" t="s">
        <v>322</v>
      </c>
      <c r="G2005" s="93" t="s">
        <v>319</v>
      </c>
      <c r="H2005" s="93" t="s">
        <v>352</v>
      </c>
      <c r="I2005" s="94">
        <v>6.5</v>
      </c>
      <c r="J2005" s="95">
        <v>208</v>
      </c>
    </row>
    <row r="2006" spans="1:10" x14ac:dyDescent="0.25">
      <c r="A2006" s="92">
        <v>45911</v>
      </c>
      <c r="B2006" s="93" t="s">
        <v>323</v>
      </c>
      <c r="C2006" s="89" t="s">
        <v>40</v>
      </c>
      <c r="D2006" s="93" t="s">
        <v>202</v>
      </c>
      <c r="E2006" s="93" t="s">
        <v>34</v>
      </c>
      <c r="F2006" s="93" t="s">
        <v>431</v>
      </c>
      <c r="G2006" s="93" t="s">
        <v>346</v>
      </c>
      <c r="H2006" s="93" t="s">
        <v>343</v>
      </c>
      <c r="I2006" s="94">
        <v>0.25</v>
      </c>
      <c r="J2006" s="95">
        <v>15</v>
      </c>
    </row>
    <row r="2007" spans="1:10" x14ac:dyDescent="0.25">
      <c r="A2007" s="92">
        <v>45911</v>
      </c>
      <c r="B2007" s="93" t="s">
        <v>325</v>
      </c>
      <c r="C2007" s="89" t="s">
        <v>40</v>
      </c>
      <c r="D2007" s="93" t="s">
        <v>198</v>
      </c>
      <c r="E2007" s="93" t="s">
        <v>34</v>
      </c>
      <c r="F2007" s="93" t="s">
        <v>413</v>
      </c>
      <c r="G2007" s="93" t="s">
        <v>347</v>
      </c>
      <c r="H2007" s="93" t="s">
        <v>343</v>
      </c>
      <c r="I2007" s="94">
        <v>0.25</v>
      </c>
      <c r="J2007" s="95">
        <v>18.75</v>
      </c>
    </row>
    <row r="2008" spans="1:10" x14ac:dyDescent="0.25">
      <c r="A2008" s="92">
        <v>45911</v>
      </c>
      <c r="B2008" s="93" t="s">
        <v>329</v>
      </c>
      <c r="C2008" s="89" t="s">
        <v>40</v>
      </c>
      <c r="D2008" s="93" t="s">
        <v>206</v>
      </c>
      <c r="E2008" s="93" t="s">
        <v>34</v>
      </c>
      <c r="F2008" s="93" t="s">
        <v>367</v>
      </c>
      <c r="G2008" s="93" t="s">
        <v>347</v>
      </c>
      <c r="H2008" s="93" t="s">
        <v>343</v>
      </c>
      <c r="I2008" s="94">
        <v>0.17</v>
      </c>
      <c r="J2008" s="95">
        <v>12.750000000000002</v>
      </c>
    </row>
    <row r="2009" spans="1:10" x14ac:dyDescent="0.25">
      <c r="A2009" s="92">
        <v>45911</v>
      </c>
      <c r="B2009" s="93" t="s">
        <v>325</v>
      </c>
      <c r="C2009" s="89" t="s">
        <v>40</v>
      </c>
      <c r="D2009" s="93" t="s">
        <v>210</v>
      </c>
      <c r="E2009" s="93" t="s">
        <v>34</v>
      </c>
      <c r="F2009" s="93" t="s">
        <v>399</v>
      </c>
      <c r="G2009" s="93" t="s">
        <v>347</v>
      </c>
      <c r="H2009" s="93" t="s">
        <v>343</v>
      </c>
      <c r="I2009" s="94">
        <v>0.17</v>
      </c>
      <c r="J2009" s="95">
        <v>12.750000000000002</v>
      </c>
    </row>
    <row r="2010" spans="1:10" x14ac:dyDescent="0.25">
      <c r="A2010" s="92">
        <v>45911</v>
      </c>
      <c r="B2010" s="93" t="s">
        <v>329</v>
      </c>
      <c r="C2010" s="89" t="s">
        <v>40</v>
      </c>
      <c r="D2010" s="93" t="s">
        <v>229</v>
      </c>
      <c r="E2010" s="93" t="s">
        <v>34</v>
      </c>
      <c r="F2010" s="93" t="s">
        <v>373</v>
      </c>
      <c r="G2010" s="93" t="s">
        <v>347</v>
      </c>
      <c r="H2010" s="93" t="s">
        <v>343</v>
      </c>
      <c r="I2010" s="94">
        <v>0.17</v>
      </c>
      <c r="J2010" s="95">
        <v>12.750000000000002</v>
      </c>
    </row>
    <row r="2011" spans="1:10" x14ac:dyDescent="0.25">
      <c r="A2011" s="92">
        <v>45911</v>
      </c>
      <c r="B2011" s="93" t="s">
        <v>329</v>
      </c>
      <c r="C2011" s="89" t="s">
        <v>40</v>
      </c>
      <c r="D2011" s="93" t="s">
        <v>242</v>
      </c>
      <c r="E2011" s="93" t="s">
        <v>34</v>
      </c>
      <c r="F2011" s="93" t="s">
        <v>404</v>
      </c>
      <c r="G2011" s="93" t="s">
        <v>347</v>
      </c>
      <c r="H2011" s="93" t="s">
        <v>343</v>
      </c>
      <c r="I2011" s="94">
        <v>0.17</v>
      </c>
      <c r="J2011" s="95">
        <v>12.750000000000002</v>
      </c>
    </row>
    <row r="2012" spans="1:10" x14ac:dyDescent="0.25">
      <c r="A2012" s="92">
        <v>45911</v>
      </c>
      <c r="B2012" s="93" t="s">
        <v>329</v>
      </c>
      <c r="C2012" s="89" t="s">
        <v>40</v>
      </c>
      <c r="D2012" s="93" t="s">
        <v>296</v>
      </c>
      <c r="E2012" s="93" t="s">
        <v>34</v>
      </c>
      <c r="F2012" s="93" t="s">
        <v>411</v>
      </c>
      <c r="G2012" s="93" t="s">
        <v>347</v>
      </c>
      <c r="H2012" s="93" t="s">
        <v>343</v>
      </c>
      <c r="I2012" s="94">
        <v>0.25</v>
      </c>
      <c r="J2012" s="95">
        <v>18.75</v>
      </c>
    </row>
    <row r="2013" spans="1:10" x14ac:dyDescent="0.25">
      <c r="A2013" s="92">
        <v>45911</v>
      </c>
      <c r="B2013" s="93" t="s">
        <v>330</v>
      </c>
      <c r="C2013" s="89" t="s">
        <v>40</v>
      </c>
      <c r="D2013" s="93" t="s">
        <v>297</v>
      </c>
      <c r="E2013" s="93" t="s">
        <v>34</v>
      </c>
      <c r="F2013" s="93" t="s">
        <v>380</v>
      </c>
      <c r="G2013" s="93" t="s">
        <v>347</v>
      </c>
      <c r="H2013" s="93" t="s">
        <v>343</v>
      </c>
      <c r="I2013" s="94">
        <v>2</v>
      </c>
      <c r="J2013" s="95">
        <v>120</v>
      </c>
    </row>
    <row r="2014" spans="1:10" x14ac:dyDescent="0.25">
      <c r="A2014" s="92">
        <v>45911</v>
      </c>
      <c r="B2014" s="93" t="s">
        <v>325</v>
      </c>
      <c r="C2014" s="89" t="s">
        <v>40</v>
      </c>
      <c r="D2014" s="93" t="s">
        <v>305</v>
      </c>
      <c r="E2014" s="93" t="s">
        <v>34</v>
      </c>
      <c r="F2014" s="93" t="s">
        <v>382</v>
      </c>
      <c r="G2014" s="93" t="s">
        <v>347</v>
      </c>
      <c r="H2014" s="93" t="s">
        <v>343</v>
      </c>
      <c r="I2014" s="94">
        <v>0.25</v>
      </c>
      <c r="J2014" s="95">
        <v>18.75</v>
      </c>
    </row>
    <row r="2015" spans="1:10" x14ac:dyDescent="0.25">
      <c r="A2015" s="92">
        <v>45911</v>
      </c>
      <c r="B2015" s="93" t="s">
        <v>325</v>
      </c>
      <c r="C2015" s="89" t="s">
        <v>40</v>
      </c>
      <c r="D2015" s="93" t="s">
        <v>290</v>
      </c>
      <c r="E2015" s="93" t="s">
        <v>341</v>
      </c>
      <c r="F2015" s="93" t="s">
        <v>428</v>
      </c>
      <c r="G2015" s="93" t="s">
        <v>347</v>
      </c>
      <c r="H2015" s="93" t="s">
        <v>344</v>
      </c>
      <c r="I2015" s="94">
        <v>0.17</v>
      </c>
      <c r="J2015" s="95">
        <v>12.750000000000002</v>
      </c>
    </row>
    <row r="2016" spans="1:10" x14ac:dyDescent="0.25">
      <c r="A2016" s="92">
        <v>45911</v>
      </c>
      <c r="B2016" s="93" t="s">
        <v>324</v>
      </c>
      <c r="C2016" s="89" t="s">
        <v>40</v>
      </c>
      <c r="D2016" s="93" t="s">
        <v>314</v>
      </c>
      <c r="E2016" s="93" t="s">
        <v>35</v>
      </c>
      <c r="F2016" s="93" t="s">
        <v>359</v>
      </c>
      <c r="G2016" s="93" t="s">
        <v>339</v>
      </c>
      <c r="H2016" s="93" t="s">
        <v>352</v>
      </c>
      <c r="I2016" s="94">
        <v>4.75</v>
      </c>
      <c r="J2016" s="95">
        <v>356.25</v>
      </c>
    </row>
    <row r="2017" spans="1:10" x14ac:dyDescent="0.25">
      <c r="A2017" s="92">
        <v>45912</v>
      </c>
      <c r="B2017" s="93" t="s">
        <v>329</v>
      </c>
      <c r="C2017" s="89" t="s">
        <v>40</v>
      </c>
      <c r="D2017" s="93" t="s">
        <v>316</v>
      </c>
      <c r="E2017" s="93" t="s">
        <v>35</v>
      </c>
      <c r="F2017" s="93" t="s">
        <v>338</v>
      </c>
      <c r="G2017" s="93" t="s">
        <v>337</v>
      </c>
      <c r="H2017" s="93" t="s">
        <v>352</v>
      </c>
      <c r="I2017" s="94">
        <v>0.17</v>
      </c>
      <c r="J2017" s="95">
        <v>12.750000000000002</v>
      </c>
    </row>
    <row r="2018" spans="1:10" x14ac:dyDescent="0.25">
      <c r="A2018" s="92">
        <v>45912</v>
      </c>
      <c r="B2018" s="93" t="s">
        <v>323</v>
      </c>
      <c r="C2018" s="89" t="s">
        <v>40</v>
      </c>
      <c r="D2018" s="93" t="s">
        <v>201</v>
      </c>
      <c r="E2018" s="93" t="s">
        <v>36</v>
      </c>
      <c r="F2018" s="93" t="s">
        <v>395</v>
      </c>
      <c r="G2018" s="93" t="s">
        <v>346</v>
      </c>
      <c r="H2018" s="93" t="s">
        <v>342</v>
      </c>
      <c r="I2018" s="94">
        <v>0.25</v>
      </c>
      <c r="J2018" s="95">
        <v>15</v>
      </c>
    </row>
    <row r="2019" spans="1:10" x14ac:dyDescent="0.25">
      <c r="A2019" s="92">
        <v>45912</v>
      </c>
      <c r="B2019" s="93" t="s">
        <v>333</v>
      </c>
      <c r="C2019" s="89" t="s">
        <v>40</v>
      </c>
      <c r="D2019" s="93" t="s">
        <v>320</v>
      </c>
      <c r="E2019" s="93" t="s">
        <v>35</v>
      </c>
      <c r="F2019" s="93" t="s">
        <v>322</v>
      </c>
      <c r="G2019" s="93" t="s">
        <v>319</v>
      </c>
      <c r="H2019" s="93" t="s">
        <v>352</v>
      </c>
      <c r="I2019" s="94">
        <v>7.55</v>
      </c>
      <c r="J2019" s="95">
        <v>241.6</v>
      </c>
    </row>
    <row r="2020" spans="1:10" x14ac:dyDescent="0.25">
      <c r="A2020" s="92">
        <v>45912</v>
      </c>
      <c r="B2020" s="93" t="s">
        <v>327</v>
      </c>
      <c r="C2020" s="89" t="s">
        <v>40</v>
      </c>
      <c r="D2020" s="93" t="s">
        <v>320</v>
      </c>
      <c r="E2020" s="93" t="s">
        <v>35</v>
      </c>
      <c r="F2020" s="93" t="s">
        <v>322</v>
      </c>
      <c r="G2020" s="93" t="s">
        <v>319</v>
      </c>
      <c r="H2020" s="93" t="s">
        <v>352</v>
      </c>
      <c r="I2020" s="94">
        <v>3.7</v>
      </c>
      <c r="J2020" s="95">
        <v>118.4</v>
      </c>
    </row>
    <row r="2021" spans="1:10" x14ac:dyDescent="0.25">
      <c r="A2021" s="92">
        <v>45912</v>
      </c>
      <c r="B2021" s="93" t="s">
        <v>325</v>
      </c>
      <c r="C2021" s="89" t="s">
        <v>40</v>
      </c>
      <c r="D2021" s="93" t="s">
        <v>170</v>
      </c>
      <c r="E2021" s="93" t="s">
        <v>34</v>
      </c>
      <c r="F2021" s="93" t="s">
        <v>424</v>
      </c>
      <c r="G2021" s="93" t="s">
        <v>347</v>
      </c>
      <c r="H2021" s="93" t="s">
        <v>343</v>
      </c>
      <c r="I2021" s="94">
        <v>0.17</v>
      </c>
      <c r="J2021" s="95">
        <v>12.750000000000002</v>
      </c>
    </row>
    <row r="2022" spans="1:10" x14ac:dyDescent="0.25">
      <c r="A2022" s="92">
        <v>45912</v>
      </c>
      <c r="B2022" s="93" t="s">
        <v>325</v>
      </c>
      <c r="C2022" s="89" t="s">
        <v>40</v>
      </c>
      <c r="D2022" s="93" t="s">
        <v>278</v>
      </c>
      <c r="E2022" s="93" t="s">
        <v>34</v>
      </c>
      <c r="F2022" s="93" t="s">
        <v>452</v>
      </c>
      <c r="G2022" s="93" t="s">
        <v>347</v>
      </c>
      <c r="H2022" s="93" t="s">
        <v>343</v>
      </c>
      <c r="I2022" s="94">
        <v>0.17</v>
      </c>
      <c r="J2022" s="95">
        <v>12.750000000000002</v>
      </c>
    </row>
    <row r="2023" spans="1:10" x14ac:dyDescent="0.25">
      <c r="A2023" s="92">
        <v>45912</v>
      </c>
      <c r="B2023" s="93" t="s">
        <v>330</v>
      </c>
      <c r="C2023" s="89" t="s">
        <v>40</v>
      </c>
      <c r="D2023" s="93" t="s">
        <v>273</v>
      </c>
      <c r="E2023" s="93" t="s">
        <v>34</v>
      </c>
      <c r="F2023" s="93" t="s">
        <v>469</v>
      </c>
      <c r="G2023" s="93" t="s">
        <v>347</v>
      </c>
      <c r="H2023" s="93" t="s">
        <v>343</v>
      </c>
      <c r="I2023" s="94">
        <v>0.5</v>
      </c>
      <c r="J2023" s="95">
        <v>30</v>
      </c>
    </row>
    <row r="2024" spans="1:10" x14ac:dyDescent="0.25">
      <c r="A2024" s="92">
        <v>45913</v>
      </c>
      <c r="B2024" s="93" t="s">
        <v>332</v>
      </c>
      <c r="C2024" s="89" t="s">
        <v>40</v>
      </c>
      <c r="D2024" s="93" t="s">
        <v>314</v>
      </c>
      <c r="E2024" s="93" t="s">
        <v>35</v>
      </c>
      <c r="F2024" s="93" t="s">
        <v>359</v>
      </c>
      <c r="G2024" s="93" t="s">
        <v>339</v>
      </c>
      <c r="H2024" s="93" t="s">
        <v>352</v>
      </c>
      <c r="I2024" s="94">
        <v>5</v>
      </c>
      <c r="J2024" s="95">
        <v>200</v>
      </c>
    </row>
    <row r="2025" spans="1:10" x14ac:dyDescent="0.25">
      <c r="A2025" s="92">
        <v>45914</v>
      </c>
      <c r="B2025" s="93" t="s">
        <v>329</v>
      </c>
      <c r="C2025" s="89" t="s">
        <v>40</v>
      </c>
      <c r="D2025" s="93" t="s">
        <v>206</v>
      </c>
      <c r="E2025" s="93" t="s">
        <v>34</v>
      </c>
      <c r="F2025" s="93" t="s">
        <v>367</v>
      </c>
      <c r="G2025" s="93" t="s">
        <v>347</v>
      </c>
      <c r="H2025" s="93" t="s">
        <v>343</v>
      </c>
      <c r="I2025" s="94">
        <v>0.08</v>
      </c>
      <c r="J2025" s="95">
        <v>6</v>
      </c>
    </row>
    <row r="2026" spans="1:10" x14ac:dyDescent="0.25">
      <c r="A2026" s="92">
        <v>45915</v>
      </c>
      <c r="B2026" s="93" t="s">
        <v>329</v>
      </c>
      <c r="C2026" s="89" t="s">
        <v>40</v>
      </c>
      <c r="D2026" s="93" t="s">
        <v>316</v>
      </c>
      <c r="E2026" s="93" t="s">
        <v>35</v>
      </c>
      <c r="F2026" s="93" t="s">
        <v>338</v>
      </c>
      <c r="G2026" s="93" t="s">
        <v>337</v>
      </c>
      <c r="H2026" s="93" t="s">
        <v>352</v>
      </c>
      <c r="I2026" s="94">
        <v>1.5</v>
      </c>
      <c r="J2026" s="95">
        <v>112.5</v>
      </c>
    </row>
    <row r="2027" spans="1:10" x14ac:dyDescent="0.25">
      <c r="A2027" s="92">
        <v>45915</v>
      </c>
      <c r="B2027" s="93" t="s">
        <v>323</v>
      </c>
      <c r="C2027" s="89" t="s">
        <v>40</v>
      </c>
      <c r="D2027" s="93" t="s">
        <v>169</v>
      </c>
      <c r="E2027" s="93" t="s">
        <v>36</v>
      </c>
      <c r="F2027" s="93" t="s">
        <v>433</v>
      </c>
      <c r="G2027" s="93" t="s">
        <v>346</v>
      </c>
      <c r="H2027" s="93" t="s">
        <v>342</v>
      </c>
      <c r="I2027" s="94">
        <v>0.5</v>
      </c>
      <c r="J2027" s="95">
        <v>30</v>
      </c>
    </row>
    <row r="2028" spans="1:10" x14ac:dyDescent="0.25">
      <c r="A2028" s="92">
        <v>45915</v>
      </c>
      <c r="B2028" s="93" t="s">
        <v>333</v>
      </c>
      <c r="C2028" s="89" t="s">
        <v>40</v>
      </c>
      <c r="D2028" s="93" t="s">
        <v>320</v>
      </c>
      <c r="E2028" s="93" t="s">
        <v>35</v>
      </c>
      <c r="F2028" s="93" t="s">
        <v>322</v>
      </c>
      <c r="G2028" s="93" t="s">
        <v>319</v>
      </c>
      <c r="H2028" s="93" t="s">
        <v>352</v>
      </c>
      <c r="I2028" s="94">
        <v>3.78</v>
      </c>
      <c r="J2028" s="95">
        <v>120.96</v>
      </c>
    </row>
    <row r="2029" spans="1:10" x14ac:dyDescent="0.25">
      <c r="A2029" s="92">
        <v>45915</v>
      </c>
      <c r="B2029" s="93" t="s">
        <v>327</v>
      </c>
      <c r="C2029" s="89" t="s">
        <v>40</v>
      </c>
      <c r="D2029" s="93" t="s">
        <v>320</v>
      </c>
      <c r="E2029" s="93" t="s">
        <v>35</v>
      </c>
      <c r="F2029" s="93" t="s">
        <v>322</v>
      </c>
      <c r="G2029" s="93" t="s">
        <v>319</v>
      </c>
      <c r="H2029" s="93" t="s">
        <v>352</v>
      </c>
      <c r="I2029" s="94">
        <v>7.5</v>
      </c>
      <c r="J2029" s="95">
        <v>240</v>
      </c>
    </row>
    <row r="2030" spans="1:10" x14ac:dyDescent="0.25">
      <c r="A2030" s="92">
        <v>45915</v>
      </c>
      <c r="B2030" s="93" t="s">
        <v>323</v>
      </c>
      <c r="C2030" s="89" t="s">
        <v>40</v>
      </c>
      <c r="D2030" s="93" t="s">
        <v>232</v>
      </c>
      <c r="E2030" s="93" t="s">
        <v>34</v>
      </c>
      <c r="F2030" s="93" t="s">
        <v>393</v>
      </c>
      <c r="G2030" s="93" t="s">
        <v>346</v>
      </c>
      <c r="H2030" s="93" t="s">
        <v>343</v>
      </c>
      <c r="I2030" s="94">
        <v>0.25</v>
      </c>
      <c r="J2030" s="95">
        <v>15</v>
      </c>
    </row>
    <row r="2031" spans="1:10" x14ac:dyDescent="0.25">
      <c r="A2031" s="92">
        <v>45915</v>
      </c>
      <c r="B2031" s="93" t="s">
        <v>325</v>
      </c>
      <c r="C2031" s="89" t="s">
        <v>40</v>
      </c>
      <c r="D2031" s="93" t="s">
        <v>271</v>
      </c>
      <c r="E2031" s="93" t="s">
        <v>36</v>
      </c>
      <c r="F2031" s="93" t="s">
        <v>363</v>
      </c>
      <c r="G2031" s="93" t="s">
        <v>347</v>
      </c>
      <c r="H2031" s="93" t="s">
        <v>342</v>
      </c>
      <c r="I2031" s="94">
        <v>0.42</v>
      </c>
      <c r="J2031" s="95">
        <v>31.5</v>
      </c>
    </row>
    <row r="2032" spans="1:10" x14ac:dyDescent="0.25">
      <c r="A2032" s="92">
        <v>45915</v>
      </c>
      <c r="B2032" s="93" t="s">
        <v>325</v>
      </c>
      <c r="C2032" s="89" t="s">
        <v>40</v>
      </c>
      <c r="D2032" s="93" t="s">
        <v>198</v>
      </c>
      <c r="E2032" s="93" t="s">
        <v>36</v>
      </c>
      <c r="F2032" s="93" t="s">
        <v>413</v>
      </c>
      <c r="G2032" s="93" t="s">
        <v>347</v>
      </c>
      <c r="H2032" s="93" t="s">
        <v>342</v>
      </c>
      <c r="I2032" s="94">
        <v>0.57999999999999996</v>
      </c>
      <c r="J2032" s="95">
        <v>43.5</v>
      </c>
    </row>
    <row r="2033" spans="1:10" x14ac:dyDescent="0.25">
      <c r="A2033" s="92">
        <v>45915</v>
      </c>
      <c r="B2033" s="93" t="s">
        <v>330</v>
      </c>
      <c r="C2033" s="89" t="s">
        <v>40</v>
      </c>
      <c r="D2033" s="93" t="s">
        <v>195</v>
      </c>
      <c r="E2033" s="93" t="s">
        <v>34</v>
      </c>
      <c r="F2033" s="93" t="s">
        <v>449</v>
      </c>
      <c r="G2033" s="93" t="s">
        <v>347</v>
      </c>
      <c r="H2033" s="93" t="s">
        <v>343</v>
      </c>
      <c r="I2033" s="94">
        <v>0.25</v>
      </c>
      <c r="J2033" s="95">
        <v>15</v>
      </c>
    </row>
    <row r="2034" spans="1:10" x14ac:dyDescent="0.25">
      <c r="A2034" s="92">
        <v>45915</v>
      </c>
      <c r="B2034" s="93" t="s">
        <v>325</v>
      </c>
      <c r="C2034" s="89" t="s">
        <v>40</v>
      </c>
      <c r="D2034" s="93" t="s">
        <v>198</v>
      </c>
      <c r="E2034" s="93" t="s">
        <v>34</v>
      </c>
      <c r="F2034" s="93" t="s">
        <v>413</v>
      </c>
      <c r="G2034" s="93" t="s">
        <v>347</v>
      </c>
      <c r="H2034" s="93" t="s">
        <v>343</v>
      </c>
      <c r="I2034" s="94">
        <v>0.75</v>
      </c>
      <c r="J2034" s="95">
        <v>56.25</v>
      </c>
    </row>
    <row r="2035" spans="1:10" x14ac:dyDescent="0.25">
      <c r="A2035" s="92">
        <v>45915</v>
      </c>
      <c r="B2035" s="93" t="s">
        <v>329</v>
      </c>
      <c r="C2035" s="89" t="s">
        <v>40</v>
      </c>
      <c r="D2035" s="93" t="s">
        <v>183</v>
      </c>
      <c r="E2035" s="93" t="s">
        <v>34</v>
      </c>
      <c r="F2035" s="93" t="s">
        <v>368</v>
      </c>
      <c r="G2035" s="93" t="s">
        <v>347</v>
      </c>
      <c r="H2035" s="93" t="s">
        <v>343</v>
      </c>
      <c r="I2035" s="94">
        <v>0.17</v>
      </c>
      <c r="J2035" s="95">
        <v>12.750000000000002</v>
      </c>
    </row>
    <row r="2036" spans="1:10" x14ac:dyDescent="0.25">
      <c r="A2036" s="92">
        <v>45915</v>
      </c>
      <c r="B2036" s="93" t="s">
        <v>329</v>
      </c>
      <c r="C2036" s="89" t="s">
        <v>40</v>
      </c>
      <c r="D2036" s="93" t="s">
        <v>206</v>
      </c>
      <c r="E2036" s="93" t="s">
        <v>34</v>
      </c>
      <c r="F2036" s="93" t="s">
        <v>367</v>
      </c>
      <c r="G2036" s="93" t="s">
        <v>347</v>
      </c>
      <c r="H2036" s="93" t="s">
        <v>343</v>
      </c>
      <c r="I2036" s="94">
        <v>0.5</v>
      </c>
      <c r="J2036" s="95">
        <v>37.5</v>
      </c>
    </row>
    <row r="2037" spans="1:10" x14ac:dyDescent="0.25">
      <c r="A2037" s="92">
        <v>45915</v>
      </c>
      <c r="B2037" s="93" t="s">
        <v>329</v>
      </c>
      <c r="C2037" s="89" t="s">
        <v>40</v>
      </c>
      <c r="D2037" s="93" t="s">
        <v>302</v>
      </c>
      <c r="E2037" s="93" t="s">
        <v>34</v>
      </c>
      <c r="F2037" s="93" t="s">
        <v>398</v>
      </c>
      <c r="G2037" s="93" t="s">
        <v>347</v>
      </c>
      <c r="H2037" s="93" t="s">
        <v>343</v>
      </c>
      <c r="I2037" s="94">
        <v>0.5</v>
      </c>
      <c r="J2037" s="95">
        <v>37.5</v>
      </c>
    </row>
    <row r="2038" spans="1:10" x14ac:dyDescent="0.25">
      <c r="A2038" s="92">
        <v>45915</v>
      </c>
      <c r="B2038" s="93" t="s">
        <v>329</v>
      </c>
      <c r="C2038" s="89" t="s">
        <v>40</v>
      </c>
      <c r="D2038" s="93" t="s">
        <v>301</v>
      </c>
      <c r="E2038" s="93" t="s">
        <v>34</v>
      </c>
      <c r="F2038" s="93" t="s">
        <v>371</v>
      </c>
      <c r="G2038" s="93" t="s">
        <v>347</v>
      </c>
      <c r="H2038" s="93" t="s">
        <v>343</v>
      </c>
      <c r="I2038" s="94">
        <v>0.5</v>
      </c>
      <c r="J2038" s="95">
        <v>37.5</v>
      </c>
    </row>
    <row r="2039" spans="1:10" x14ac:dyDescent="0.25">
      <c r="A2039" s="92">
        <v>45915</v>
      </c>
      <c r="B2039" s="93" t="s">
        <v>329</v>
      </c>
      <c r="C2039" s="89" t="s">
        <v>40</v>
      </c>
      <c r="D2039" s="93" t="s">
        <v>229</v>
      </c>
      <c r="E2039" s="93" t="s">
        <v>34</v>
      </c>
      <c r="F2039" s="93" t="s">
        <v>373</v>
      </c>
      <c r="G2039" s="93" t="s">
        <v>347</v>
      </c>
      <c r="H2039" s="93" t="s">
        <v>343</v>
      </c>
      <c r="I2039" s="94">
        <v>0.17</v>
      </c>
      <c r="J2039" s="95">
        <v>12.750000000000002</v>
      </c>
    </row>
    <row r="2040" spans="1:10" x14ac:dyDescent="0.25">
      <c r="A2040" s="92">
        <v>45915</v>
      </c>
      <c r="B2040" s="93" t="s">
        <v>325</v>
      </c>
      <c r="C2040" s="89" t="s">
        <v>40</v>
      </c>
      <c r="D2040" s="93" t="s">
        <v>226</v>
      </c>
      <c r="E2040" s="93" t="s">
        <v>34</v>
      </c>
      <c r="F2040" s="93" t="s">
        <v>401</v>
      </c>
      <c r="G2040" s="93" t="s">
        <v>347</v>
      </c>
      <c r="H2040" s="93" t="s">
        <v>343</v>
      </c>
      <c r="I2040" s="94">
        <v>0.75</v>
      </c>
      <c r="J2040" s="95">
        <v>56.25</v>
      </c>
    </row>
    <row r="2041" spans="1:10" x14ac:dyDescent="0.25">
      <c r="A2041" s="92">
        <v>45915</v>
      </c>
      <c r="B2041" s="93" t="s">
        <v>329</v>
      </c>
      <c r="C2041" s="89" t="s">
        <v>40</v>
      </c>
      <c r="D2041" s="93" t="s">
        <v>303</v>
      </c>
      <c r="E2041" s="93" t="s">
        <v>34</v>
      </c>
      <c r="F2041" s="93" t="s">
        <v>400</v>
      </c>
      <c r="G2041" s="93" t="s">
        <v>347</v>
      </c>
      <c r="H2041" s="93" t="s">
        <v>343</v>
      </c>
      <c r="I2041" s="94">
        <v>0.5</v>
      </c>
      <c r="J2041" s="95">
        <v>37.5</v>
      </c>
    </row>
    <row r="2042" spans="1:10" x14ac:dyDescent="0.25">
      <c r="A2042" s="92">
        <v>45915</v>
      </c>
      <c r="B2042" s="93" t="s">
        <v>329</v>
      </c>
      <c r="C2042" s="89" t="s">
        <v>40</v>
      </c>
      <c r="D2042" s="93" t="s">
        <v>238</v>
      </c>
      <c r="E2042" s="93" t="s">
        <v>34</v>
      </c>
      <c r="F2042" s="93" t="s">
        <v>374</v>
      </c>
      <c r="G2042" s="93" t="s">
        <v>347</v>
      </c>
      <c r="H2042" s="93" t="s">
        <v>343</v>
      </c>
      <c r="I2042" s="94">
        <v>0.08</v>
      </c>
      <c r="J2042" s="95">
        <v>6</v>
      </c>
    </row>
    <row r="2043" spans="1:10" x14ac:dyDescent="0.25">
      <c r="A2043" s="92">
        <v>45915</v>
      </c>
      <c r="B2043" s="93" t="s">
        <v>325</v>
      </c>
      <c r="C2043" s="89" t="s">
        <v>40</v>
      </c>
      <c r="D2043" s="93" t="s">
        <v>290</v>
      </c>
      <c r="E2043" s="93" t="s">
        <v>34</v>
      </c>
      <c r="F2043" s="93" t="s">
        <v>428</v>
      </c>
      <c r="G2043" s="93" t="s">
        <v>347</v>
      </c>
      <c r="H2043" s="93" t="s">
        <v>343</v>
      </c>
      <c r="I2043" s="94">
        <v>0.17</v>
      </c>
      <c r="J2043" s="95">
        <v>12.750000000000002</v>
      </c>
    </row>
    <row r="2044" spans="1:10" x14ac:dyDescent="0.25">
      <c r="A2044" s="92">
        <v>45915</v>
      </c>
      <c r="B2044" s="93" t="s">
        <v>329</v>
      </c>
      <c r="C2044" s="89" t="s">
        <v>40</v>
      </c>
      <c r="D2044" s="93" t="s">
        <v>293</v>
      </c>
      <c r="E2044" s="93" t="s">
        <v>34</v>
      </c>
      <c r="F2044" s="93" t="s">
        <v>376</v>
      </c>
      <c r="G2044" s="93" t="s">
        <v>347</v>
      </c>
      <c r="H2044" s="93" t="s">
        <v>343</v>
      </c>
      <c r="I2044" s="94">
        <v>0.17</v>
      </c>
      <c r="J2044" s="95">
        <v>12.750000000000002</v>
      </c>
    </row>
    <row r="2045" spans="1:10" x14ac:dyDescent="0.25">
      <c r="A2045" s="92">
        <v>45915</v>
      </c>
      <c r="B2045" s="93" t="s">
        <v>329</v>
      </c>
      <c r="C2045" s="89" t="s">
        <v>40</v>
      </c>
      <c r="D2045" s="93" t="s">
        <v>295</v>
      </c>
      <c r="E2045" s="93" t="s">
        <v>34</v>
      </c>
      <c r="F2045" s="93" t="s">
        <v>379</v>
      </c>
      <c r="G2045" s="93" t="s">
        <v>347</v>
      </c>
      <c r="H2045" s="93" t="s">
        <v>343</v>
      </c>
      <c r="I2045" s="94">
        <v>0.75</v>
      </c>
      <c r="J2045" s="95">
        <v>56.25</v>
      </c>
    </row>
    <row r="2046" spans="1:10" x14ac:dyDescent="0.25">
      <c r="A2046" s="92">
        <v>45915</v>
      </c>
      <c r="B2046" s="93" t="s">
        <v>330</v>
      </c>
      <c r="C2046" s="89" t="s">
        <v>40</v>
      </c>
      <c r="D2046" s="93" t="s">
        <v>297</v>
      </c>
      <c r="E2046" s="93" t="s">
        <v>34</v>
      </c>
      <c r="F2046" s="93" t="s">
        <v>380</v>
      </c>
      <c r="G2046" s="93" t="s">
        <v>347</v>
      </c>
      <c r="H2046" s="93" t="s">
        <v>343</v>
      </c>
      <c r="I2046" s="94">
        <v>0.5</v>
      </c>
      <c r="J2046" s="95">
        <v>30</v>
      </c>
    </row>
    <row r="2047" spans="1:10" x14ac:dyDescent="0.25">
      <c r="A2047" s="92">
        <v>45915</v>
      </c>
      <c r="B2047" s="93" t="s">
        <v>329</v>
      </c>
      <c r="C2047" s="89" t="s">
        <v>40</v>
      </c>
      <c r="D2047" s="93" t="s">
        <v>297</v>
      </c>
      <c r="E2047" s="93" t="s">
        <v>34</v>
      </c>
      <c r="F2047" s="93" t="s">
        <v>380</v>
      </c>
      <c r="G2047" s="93" t="s">
        <v>347</v>
      </c>
      <c r="H2047" s="93" t="s">
        <v>343</v>
      </c>
      <c r="I2047" s="94">
        <v>0.25</v>
      </c>
      <c r="J2047" s="95">
        <v>18.75</v>
      </c>
    </row>
    <row r="2048" spans="1:10" x14ac:dyDescent="0.25">
      <c r="A2048" s="92">
        <v>45915</v>
      </c>
      <c r="B2048" s="93" t="s">
        <v>330</v>
      </c>
      <c r="C2048" s="89" t="s">
        <v>40</v>
      </c>
      <c r="D2048" s="93" t="s">
        <v>252</v>
      </c>
      <c r="E2048" s="93" t="s">
        <v>34</v>
      </c>
      <c r="F2048" s="93" t="s">
        <v>416</v>
      </c>
      <c r="G2048" s="93" t="s">
        <v>347</v>
      </c>
      <c r="H2048" s="93" t="s">
        <v>343</v>
      </c>
      <c r="I2048" s="94">
        <v>0.25</v>
      </c>
      <c r="J2048" s="95">
        <v>15</v>
      </c>
    </row>
    <row r="2049" spans="1:10" x14ac:dyDescent="0.25">
      <c r="A2049" s="92">
        <v>45915</v>
      </c>
      <c r="B2049" s="93" t="s">
        <v>329</v>
      </c>
      <c r="C2049" s="89" t="s">
        <v>40</v>
      </c>
      <c r="D2049" s="93" t="s">
        <v>248</v>
      </c>
      <c r="E2049" s="93" t="s">
        <v>34</v>
      </c>
      <c r="F2049" s="93" t="s">
        <v>385</v>
      </c>
      <c r="G2049" s="93" t="s">
        <v>347</v>
      </c>
      <c r="H2049" s="93" t="s">
        <v>343</v>
      </c>
      <c r="I2049" s="94">
        <v>0.33</v>
      </c>
      <c r="J2049" s="95">
        <v>24.75</v>
      </c>
    </row>
    <row r="2050" spans="1:10" x14ac:dyDescent="0.25">
      <c r="A2050" s="92">
        <v>45915</v>
      </c>
      <c r="B2050" s="93" t="s">
        <v>329</v>
      </c>
      <c r="C2050" s="89" t="s">
        <v>40</v>
      </c>
      <c r="D2050" s="93" t="s">
        <v>247</v>
      </c>
      <c r="E2050" s="93" t="s">
        <v>34</v>
      </c>
      <c r="F2050" s="93" t="s">
        <v>375</v>
      </c>
      <c r="G2050" s="93" t="s">
        <v>347</v>
      </c>
      <c r="H2050" s="93" t="s">
        <v>343</v>
      </c>
      <c r="I2050" s="94">
        <v>0.17</v>
      </c>
      <c r="J2050" s="95">
        <v>12.750000000000002</v>
      </c>
    </row>
    <row r="2051" spans="1:10" x14ac:dyDescent="0.25">
      <c r="A2051" s="92">
        <v>45915</v>
      </c>
      <c r="B2051" s="93" t="s">
        <v>329</v>
      </c>
      <c r="C2051" s="89" t="s">
        <v>40</v>
      </c>
      <c r="D2051" s="93" t="s">
        <v>230</v>
      </c>
      <c r="E2051" s="93" t="s">
        <v>34</v>
      </c>
      <c r="F2051" s="93" t="s">
        <v>410</v>
      </c>
      <c r="G2051" s="93" t="s">
        <v>347</v>
      </c>
      <c r="H2051" s="93" t="s">
        <v>343</v>
      </c>
      <c r="I2051" s="94">
        <v>0.5</v>
      </c>
      <c r="J2051" s="95">
        <v>37.5</v>
      </c>
    </row>
    <row r="2052" spans="1:10" x14ac:dyDescent="0.25">
      <c r="A2052" s="92">
        <v>45915</v>
      </c>
      <c r="B2052" s="93" t="s">
        <v>330</v>
      </c>
      <c r="C2052" s="89" t="s">
        <v>40</v>
      </c>
      <c r="D2052" s="93" t="s">
        <v>273</v>
      </c>
      <c r="E2052" s="93" t="s">
        <v>34</v>
      </c>
      <c r="F2052" s="93" t="s">
        <v>469</v>
      </c>
      <c r="G2052" s="93" t="s">
        <v>347</v>
      </c>
      <c r="H2052" s="93" t="s">
        <v>343</v>
      </c>
      <c r="I2052" s="94">
        <v>0.5</v>
      </c>
      <c r="J2052" s="95">
        <v>30</v>
      </c>
    </row>
    <row r="2053" spans="1:10" x14ac:dyDescent="0.25">
      <c r="A2053" s="92">
        <v>45915</v>
      </c>
      <c r="B2053" s="93" t="s">
        <v>326</v>
      </c>
      <c r="C2053" s="89" t="s">
        <v>40</v>
      </c>
      <c r="D2053" s="93" t="s">
        <v>233</v>
      </c>
      <c r="E2053" s="93" t="s">
        <v>36</v>
      </c>
      <c r="F2053" s="93" t="s">
        <v>387</v>
      </c>
      <c r="G2053" s="93" t="s">
        <v>348</v>
      </c>
      <c r="H2053" s="93" t="s">
        <v>342</v>
      </c>
      <c r="I2053" s="94">
        <v>0.33</v>
      </c>
      <c r="J2053" s="95">
        <v>19.8</v>
      </c>
    </row>
    <row r="2054" spans="1:10" x14ac:dyDescent="0.25">
      <c r="A2054" s="92">
        <v>45915</v>
      </c>
      <c r="B2054" s="93" t="s">
        <v>326</v>
      </c>
      <c r="C2054" s="89" t="s">
        <v>40</v>
      </c>
      <c r="D2054" s="93" t="s">
        <v>234</v>
      </c>
      <c r="E2054" s="93" t="s">
        <v>36</v>
      </c>
      <c r="F2054" s="93" t="s">
        <v>389</v>
      </c>
      <c r="G2054" s="93" t="s">
        <v>348</v>
      </c>
      <c r="H2054" s="93" t="s">
        <v>342</v>
      </c>
      <c r="I2054" s="94">
        <v>0.33</v>
      </c>
      <c r="J2054" s="95">
        <v>19.8</v>
      </c>
    </row>
    <row r="2055" spans="1:10" x14ac:dyDescent="0.25">
      <c r="A2055" s="92">
        <v>45915</v>
      </c>
      <c r="B2055" s="93" t="s">
        <v>326</v>
      </c>
      <c r="C2055" s="89" t="s">
        <v>40</v>
      </c>
      <c r="D2055" s="93" t="s">
        <v>235</v>
      </c>
      <c r="E2055" s="93" t="s">
        <v>36</v>
      </c>
      <c r="F2055" s="93" t="s">
        <v>355</v>
      </c>
      <c r="G2055" s="93" t="s">
        <v>348</v>
      </c>
      <c r="H2055" s="93" t="s">
        <v>342</v>
      </c>
      <c r="I2055" s="94">
        <v>0.33</v>
      </c>
      <c r="J2055" s="95">
        <v>19.8</v>
      </c>
    </row>
    <row r="2056" spans="1:10" x14ac:dyDescent="0.25">
      <c r="A2056" s="92">
        <v>45915</v>
      </c>
      <c r="B2056" s="93" t="s">
        <v>326</v>
      </c>
      <c r="C2056" s="89" t="s">
        <v>40</v>
      </c>
      <c r="D2056" s="93" t="s">
        <v>236</v>
      </c>
      <c r="E2056" s="93" t="s">
        <v>36</v>
      </c>
      <c r="F2056" s="93" t="s">
        <v>357</v>
      </c>
      <c r="G2056" s="93" t="s">
        <v>348</v>
      </c>
      <c r="H2056" s="93" t="s">
        <v>342</v>
      </c>
      <c r="I2056" s="94">
        <v>0.33</v>
      </c>
      <c r="J2056" s="95">
        <v>19.8</v>
      </c>
    </row>
    <row r="2057" spans="1:10" x14ac:dyDescent="0.25">
      <c r="A2057" s="92">
        <v>45915</v>
      </c>
      <c r="B2057" s="93" t="s">
        <v>326</v>
      </c>
      <c r="C2057" s="89" t="s">
        <v>40</v>
      </c>
      <c r="D2057" s="93" t="s">
        <v>309</v>
      </c>
      <c r="E2057" s="93" t="s">
        <v>34</v>
      </c>
      <c r="F2057" s="93" t="s">
        <v>454</v>
      </c>
      <c r="G2057" s="93" t="s">
        <v>348</v>
      </c>
      <c r="H2057" s="93" t="s">
        <v>343</v>
      </c>
      <c r="I2057" s="94">
        <v>1</v>
      </c>
      <c r="J2057" s="95">
        <v>60</v>
      </c>
    </row>
    <row r="2058" spans="1:10" x14ac:dyDescent="0.25">
      <c r="A2058" s="92">
        <v>45915</v>
      </c>
      <c r="B2058" s="93" t="s">
        <v>332</v>
      </c>
      <c r="C2058" s="89" t="s">
        <v>40</v>
      </c>
      <c r="D2058" s="93" t="s">
        <v>314</v>
      </c>
      <c r="E2058" s="93" t="s">
        <v>35</v>
      </c>
      <c r="F2058" s="93" t="s">
        <v>359</v>
      </c>
      <c r="G2058" s="93" t="s">
        <v>339</v>
      </c>
      <c r="H2058" s="93" t="s">
        <v>352</v>
      </c>
      <c r="I2058" s="94">
        <v>9.33</v>
      </c>
      <c r="J2058" s="95">
        <v>373.2</v>
      </c>
    </row>
    <row r="2059" spans="1:10" x14ac:dyDescent="0.25">
      <c r="A2059" s="92">
        <v>45915</v>
      </c>
      <c r="B2059" s="93" t="s">
        <v>324</v>
      </c>
      <c r="C2059" s="89" t="s">
        <v>40</v>
      </c>
      <c r="D2059" s="93" t="s">
        <v>314</v>
      </c>
      <c r="E2059" s="93" t="s">
        <v>35</v>
      </c>
      <c r="F2059" s="93" t="s">
        <v>359</v>
      </c>
      <c r="G2059" s="93" t="s">
        <v>339</v>
      </c>
      <c r="H2059" s="93" t="s">
        <v>352</v>
      </c>
      <c r="I2059" s="94">
        <v>1.25</v>
      </c>
      <c r="J2059" s="95">
        <v>93.75</v>
      </c>
    </row>
    <row r="2060" spans="1:10" x14ac:dyDescent="0.25">
      <c r="A2060" s="92">
        <v>45916</v>
      </c>
      <c r="B2060" s="93" t="s">
        <v>329</v>
      </c>
      <c r="C2060" s="89" t="s">
        <v>40</v>
      </c>
      <c r="D2060" s="93" t="s">
        <v>316</v>
      </c>
      <c r="E2060" s="93" t="s">
        <v>35</v>
      </c>
      <c r="F2060" s="93" t="s">
        <v>338</v>
      </c>
      <c r="G2060" s="93" t="s">
        <v>337</v>
      </c>
      <c r="H2060" s="93" t="s">
        <v>352</v>
      </c>
      <c r="I2060" s="94">
        <v>1.5</v>
      </c>
      <c r="J2060" s="95">
        <v>112.5</v>
      </c>
    </row>
    <row r="2061" spans="1:10" x14ac:dyDescent="0.25">
      <c r="A2061" s="92">
        <v>45916</v>
      </c>
      <c r="B2061" s="93" t="s">
        <v>330</v>
      </c>
      <c r="C2061" s="89" t="s">
        <v>40</v>
      </c>
      <c r="D2061" s="93" t="s">
        <v>225</v>
      </c>
      <c r="E2061" s="93" t="s">
        <v>341</v>
      </c>
      <c r="F2061" s="93" t="s">
        <v>365</v>
      </c>
      <c r="G2061" s="93" t="s">
        <v>347</v>
      </c>
      <c r="H2061" s="93" t="s">
        <v>344</v>
      </c>
      <c r="I2061" s="94">
        <v>1</v>
      </c>
      <c r="J2061" s="95">
        <v>60</v>
      </c>
    </row>
    <row r="2062" spans="1:10" x14ac:dyDescent="0.25">
      <c r="A2062" s="92">
        <v>45916</v>
      </c>
      <c r="B2062" s="93" t="s">
        <v>323</v>
      </c>
      <c r="C2062" s="89" t="s">
        <v>40</v>
      </c>
      <c r="D2062" s="93" t="s">
        <v>169</v>
      </c>
      <c r="E2062" s="93" t="s">
        <v>36</v>
      </c>
      <c r="F2062" s="93" t="s">
        <v>433</v>
      </c>
      <c r="G2062" s="93" t="s">
        <v>346</v>
      </c>
      <c r="H2062" s="93" t="s">
        <v>342</v>
      </c>
      <c r="I2062" s="94">
        <v>0.25</v>
      </c>
      <c r="J2062" s="95">
        <v>15</v>
      </c>
    </row>
    <row r="2063" spans="1:10" x14ac:dyDescent="0.25">
      <c r="A2063" s="92">
        <v>45916</v>
      </c>
      <c r="B2063" s="93" t="s">
        <v>333</v>
      </c>
      <c r="C2063" s="89" t="s">
        <v>40</v>
      </c>
      <c r="D2063" s="93" t="s">
        <v>320</v>
      </c>
      <c r="E2063" s="93" t="s">
        <v>35</v>
      </c>
      <c r="F2063" s="93" t="s">
        <v>322</v>
      </c>
      <c r="G2063" s="93" t="s">
        <v>319</v>
      </c>
      <c r="H2063" s="93" t="s">
        <v>352</v>
      </c>
      <c r="I2063" s="94">
        <v>7.52</v>
      </c>
      <c r="J2063" s="95">
        <v>240.64</v>
      </c>
    </row>
    <row r="2064" spans="1:10" x14ac:dyDescent="0.25">
      <c r="A2064" s="92">
        <v>45916</v>
      </c>
      <c r="B2064" s="93" t="s">
        <v>327</v>
      </c>
      <c r="C2064" s="89" t="s">
        <v>40</v>
      </c>
      <c r="D2064" s="93" t="s">
        <v>320</v>
      </c>
      <c r="E2064" s="93" t="s">
        <v>35</v>
      </c>
      <c r="F2064" s="93" t="s">
        <v>322</v>
      </c>
      <c r="G2064" s="93" t="s">
        <v>319</v>
      </c>
      <c r="H2064" s="93" t="s">
        <v>352</v>
      </c>
      <c r="I2064" s="94">
        <v>7.25</v>
      </c>
      <c r="J2064" s="95">
        <v>232</v>
      </c>
    </row>
    <row r="2065" spans="1:10" x14ac:dyDescent="0.25">
      <c r="A2065" s="92">
        <v>45916</v>
      </c>
      <c r="B2065" s="93" t="s">
        <v>323</v>
      </c>
      <c r="C2065" s="89" t="s">
        <v>40</v>
      </c>
      <c r="D2065" s="93" t="s">
        <v>232</v>
      </c>
      <c r="E2065" s="93" t="s">
        <v>34</v>
      </c>
      <c r="F2065" s="93" t="s">
        <v>393</v>
      </c>
      <c r="G2065" s="93" t="s">
        <v>346</v>
      </c>
      <c r="H2065" s="93" t="s">
        <v>343</v>
      </c>
      <c r="I2065" s="94">
        <v>0.25</v>
      </c>
      <c r="J2065" s="95">
        <v>15</v>
      </c>
    </row>
    <row r="2066" spans="1:10" x14ac:dyDescent="0.25">
      <c r="A2066" s="92">
        <v>45916</v>
      </c>
      <c r="B2066" s="93" t="s">
        <v>325</v>
      </c>
      <c r="C2066" s="89" t="s">
        <v>40</v>
      </c>
      <c r="D2066" s="93" t="s">
        <v>198</v>
      </c>
      <c r="E2066" s="93" t="s">
        <v>36</v>
      </c>
      <c r="F2066" s="93" t="s">
        <v>413</v>
      </c>
      <c r="G2066" s="93" t="s">
        <v>347</v>
      </c>
      <c r="H2066" s="93" t="s">
        <v>342</v>
      </c>
      <c r="I2066" s="94">
        <v>0.75</v>
      </c>
      <c r="J2066" s="95">
        <v>56.25</v>
      </c>
    </row>
    <row r="2067" spans="1:10" x14ac:dyDescent="0.25">
      <c r="A2067" s="92">
        <v>45916</v>
      </c>
      <c r="B2067" s="93" t="s">
        <v>325</v>
      </c>
      <c r="C2067" s="89" t="s">
        <v>40</v>
      </c>
      <c r="D2067" s="93" t="s">
        <v>179</v>
      </c>
      <c r="E2067" s="93" t="s">
        <v>34</v>
      </c>
      <c r="F2067" s="93" t="s">
        <v>422</v>
      </c>
      <c r="G2067" s="93" t="s">
        <v>347</v>
      </c>
      <c r="H2067" s="93" t="s">
        <v>343</v>
      </c>
      <c r="I2067" s="94">
        <v>0.25</v>
      </c>
      <c r="J2067" s="95">
        <v>18.75</v>
      </c>
    </row>
    <row r="2068" spans="1:10" x14ac:dyDescent="0.25">
      <c r="A2068" s="92">
        <v>45916</v>
      </c>
      <c r="B2068" s="93" t="s">
        <v>329</v>
      </c>
      <c r="C2068" s="89" t="s">
        <v>40</v>
      </c>
      <c r="D2068" s="93" t="s">
        <v>206</v>
      </c>
      <c r="E2068" s="93" t="s">
        <v>34</v>
      </c>
      <c r="F2068" s="93" t="s">
        <v>367</v>
      </c>
      <c r="G2068" s="93" t="s">
        <v>347</v>
      </c>
      <c r="H2068" s="93" t="s">
        <v>343</v>
      </c>
      <c r="I2068" s="94">
        <v>0.17</v>
      </c>
      <c r="J2068" s="95">
        <v>12.750000000000002</v>
      </c>
    </row>
    <row r="2069" spans="1:10" x14ac:dyDescent="0.25">
      <c r="A2069" s="92">
        <v>45916</v>
      </c>
      <c r="B2069" s="93" t="s">
        <v>329</v>
      </c>
      <c r="C2069" s="89" t="s">
        <v>40</v>
      </c>
      <c r="D2069" s="93" t="s">
        <v>229</v>
      </c>
      <c r="E2069" s="93" t="s">
        <v>34</v>
      </c>
      <c r="F2069" s="93" t="s">
        <v>373</v>
      </c>
      <c r="G2069" s="93" t="s">
        <v>347</v>
      </c>
      <c r="H2069" s="93" t="s">
        <v>343</v>
      </c>
      <c r="I2069" s="94">
        <v>0.67</v>
      </c>
      <c r="J2069" s="95">
        <v>50.25</v>
      </c>
    </row>
    <row r="2070" spans="1:10" x14ac:dyDescent="0.25">
      <c r="A2070" s="92">
        <v>45916</v>
      </c>
      <c r="B2070" s="93" t="s">
        <v>330</v>
      </c>
      <c r="C2070" s="89" t="s">
        <v>40</v>
      </c>
      <c r="D2070" s="93" t="s">
        <v>225</v>
      </c>
      <c r="E2070" s="93" t="s">
        <v>34</v>
      </c>
      <c r="F2070" s="93" t="s">
        <v>365</v>
      </c>
      <c r="G2070" s="93" t="s">
        <v>347</v>
      </c>
      <c r="H2070" s="93" t="s">
        <v>343</v>
      </c>
      <c r="I2070" s="94">
        <v>0.5</v>
      </c>
      <c r="J2070" s="95">
        <v>30</v>
      </c>
    </row>
    <row r="2071" spans="1:10" x14ac:dyDescent="0.25">
      <c r="A2071" s="92">
        <v>45916</v>
      </c>
      <c r="B2071" s="93" t="s">
        <v>329</v>
      </c>
      <c r="C2071" s="89" t="s">
        <v>40</v>
      </c>
      <c r="D2071" s="93" t="s">
        <v>221</v>
      </c>
      <c r="E2071" s="93" t="s">
        <v>34</v>
      </c>
      <c r="F2071" s="93" t="s">
        <v>369</v>
      </c>
      <c r="G2071" s="93" t="s">
        <v>347</v>
      </c>
      <c r="H2071" s="93" t="s">
        <v>343</v>
      </c>
      <c r="I2071" s="94">
        <v>0.08</v>
      </c>
      <c r="J2071" s="95">
        <v>6</v>
      </c>
    </row>
    <row r="2072" spans="1:10" x14ac:dyDescent="0.25">
      <c r="A2072" s="92">
        <v>45916</v>
      </c>
      <c r="B2072" s="93" t="s">
        <v>329</v>
      </c>
      <c r="C2072" s="89" t="s">
        <v>40</v>
      </c>
      <c r="D2072" s="93" t="s">
        <v>303</v>
      </c>
      <c r="E2072" s="93" t="s">
        <v>34</v>
      </c>
      <c r="F2072" s="93" t="s">
        <v>400</v>
      </c>
      <c r="G2072" s="93" t="s">
        <v>347</v>
      </c>
      <c r="H2072" s="93" t="s">
        <v>343</v>
      </c>
      <c r="I2072" s="94">
        <v>0.08</v>
      </c>
      <c r="J2072" s="95">
        <v>6</v>
      </c>
    </row>
    <row r="2073" spans="1:10" x14ac:dyDescent="0.25">
      <c r="A2073" s="92">
        <v>45916</v>
      </c>
      <c r="B2073" s="93" t="s">
        <v>329</v>
      </c>
      <c r="C2073" s="89" t="s">
        <v>40</v>
      </c>
      <c r="D2073" s="93" t="s">
        <v>242</v>
      </c>
      <c r="E2073" s="93" t="s">
        <v>34</v>
      </c>
      <c r="F2073" s="93" t="s">
        <v>404</v>
      </c>
      <c r="G2073" s="93" t="s">
        <v>347</v>
      </c>
      <c r="H2073" s="93" t="s">
        <v>343</v>
      </c>
      <c r="I2073" s="94">
        <v>0.08</v>
      </c>
      <c r="J2073" s="95">
        <v>6</v>
      </c>
    </row>
    <row r="2074" spans="1:10" x14ac:dyDescent="0.25">
      <c r="A2074" s="92">
        <v>45916</v>
      </c>
      <c r="B2074" s="93" t="s">
        <v>330</v>
      </c>
      <c r="C2074" s="89" t="s">
        <v>40</v>
      </c>
      <c r="D2074" s="93" t="s">
        <v>177</v>
      </c>
      <c r="E2074" s="93" t="s">
        <v>34</v>
      </c>
      <c r="F2074" s="93" t="s">
        <v>461</v>
      </c>
      <c r="G2074" s="93" t="s">
        <v>347</v>
      </c>
      <c r="H2074" s="93" t="s">
        <v>343</v>
      </c>
      <c r="I2074" s="94">
        <v>0.5</v>
      </c>
      <c r="J2074" s="95">
        <v>30</v>
      </c>
    </row>
    <row r="2075" spans="1:10" x14ac:dyDescent="0.25">
      <c r="A2075" s="92">
        <v>45916</v>
      </c>
      <c r="B2075" s="93" t="s">
        <v>329</v>
      </c>
      <c r="C2075" s="89" t="s">
        <v>40</v>
      </c>
      <c r="D2075" s="93" t="s">
        <v>288</v>
      </c>
      <c r="E2075" s="93" t="s">
        <v>34</v>
      </c>
      <c r="F2075" s="93" t="s">
        <v>405</v>
      </c>
      <c r="G2075" s="93" t="s">
        <v>347</v>
      </c>
      <c r="H2075" s="93" t="s">
        <v>343</v>
      </c>
      <c r="I2075" s="94">
        <v>0.08</v>
      </c>
      <c r="J2075" s="95">
        <v>6</v>
      </c>
    </row>
    <row r="2076" spans="1:10" x14ac:dyDescent="0.25">
      <c r="A2076" s="92">
        <v>45916</v>
      </c>
      <c r="B2076" s="93" t="s">
        <v>329</v>
      </c>
      <c r="C2076" s="89" t="s">
        <v>40</v>
      </c>
      <c r="D2076" s="93" t="s">
        <v>295</v>
      </c>
      <c r="E2076" s="93" t="s">
        <v>34</v>
      </c>
      <c r="F2076" s="93" t="s">
        <v>379</v>
      </c>
      <c r="G2076" s="93" t="s">
        <v>347</v>
      </c>
      <c r="H2076" s="93" t="s">
        <v>343</v>
      </c>
      <c r="I2076" s="94">
        <v>0.17</v>
      </c>
      <c r="J2076" s="95">
        <v>12.750000000000002</v>
      </c>
    </row>
    <row r="2077" spans="1:10" x14ac:dyDescent="0.25">
      <c r="A2077" s="92">
        <v>45916</v>
      </c>
      <c r="B2077" s="93" t="s">
        <v>330</v>
      </c>
      <c r="C2077" s="89" t="s">
        <v>40</v>
      </c>
      <c r="D2077" s="93" t="s">
        <v>297</v>
      </c>
      <c r="E2077" s="93" t="s">
        <v>34</v>
      </c>
      <c r="F2077" s="93" t="s">
        <v>380</v>
      </c>
      <c r="G2077" s="93" t="s">
        <v>347</v>
      </c>
      <c r="H2077" s="93" t="s">
        <v>343</v>
      </c>
      <c r="I2077" s="94">
        <v>0.5</v>
      </c>
      <c r="J2077" s="95">
        <v>30</v>
      </c>
    </row>
    <row r="2078" spans="1:10" x14ac:dyDescent="0.25">
      <c r="A2078" s="92">
        <v>45916</v>
      </c>
      <c r="B2078" s="93" t="s">
        <v>325</v>
      </c>
      <c r="C2078" s="89" t="s">
        <v>40</v>
      </c>
      <c r="D2078" s="93" t="s">
        <v>254</v>
      </c>
      <c r="E2078" s="93" t="s">
        <v>34</v>
      </c>
      <c r="F2078" s="93" t="s">
        <v>441</v>
      </c>
      <c r="G2078" s="93" t="s">
        <v>347</v>
      </c>
      <c r="H2078" s="93" t="s">
        <v>343</v>
      </c>
      <c r="I2078" s="94">
        <v>0.17</v>
      </c>
      <c r="J2078" s="95">
        <v>12.750000000000002</v>
      </c>
    </row>
    <row r="2079" spans="1:10" x14ac:dyDescent="0.25">
      <c r="A2079" s="92">
        <v>45916</v>
      </c>
      <c r="B2079" s="93" t="s">
        <v>329</v>
      </c>
      <c r="C2079" s="89" t="s">
        <v>40</v>
      </c>
      <c r="D2079" s="93" t="s">
        <v>248</v>
      </c>
      <c r="E2079" s="93" t="s">
        <v>34</v>
      </c>
      <c r="F2079" s="93" t="s">
        <v>385</v>
      </c>
      <c r="G2079" s="93" t="s">
        <v>347</v>
      </c>
      <c r="H2079" s="93" t="s">
        <v>343</v>
      </c>
      <c r="I2079" s="94">
        <v>0.08</v>
      </c>
      <c r="J2079" s="95">
        <v>6</v>
      </c>
    </row>
    <row r="2080" spans="1:10" x14ac:dyDescent="0.25">
      <c r="A2080" s="92">
        <v>45916</v>
      </c>
      <c r="B2080" s="93" t="s">
        <v>325</v>
      </c>
      <c r="C2080" s="89" t="s">
        <v>40</v>
      </c>
      <c r="D2080" s="93" t="s">
        <v>277</v>
      </c>
      <c r="E2080" s="93" t="s">
        <v>34</v>
      </c>
      <c r="F2080" s="93" t="s">
        <v>353</v>
      </c>
      <c r="G2080" s="93" t="s">
        <v>347</v>
      </c>
      <c r="H2080" s="93" t="s">
        <v>343</v>
      </c>
      <c r="I2080" s="94">
        <v>0.25</v>
      </c>
      <c r="J2080" s="95">
        <v>18.75</v>
      </c>
    </row>
    <row r="2081" spans="1:10" x14ac:dyDescent="0.25">
      <c r="A2081" s="92">
        <v>45916</v>
      </c>
      <c r="B2081" s="93" t="s">
        <v>329</v>
      </c>
      <c r="C2081" s="89" t="s">
        <v>40</v>
      </c>
      <c r="D2081" s="93" t="s">
        <v>230</v>
      </c>
      <c r="E2081" s="93" t="s">
        <v>34</v>
      </c>
      <c r="F2081" s="93" t="s">
        <v>410</v>
      </c>
      <c r="G2081" s="93" t="s">
        <v>347</v>
      </c>
      <c r="H2081" s="93" t="s">
        <v>343</v>
      </c>
      <c r="I2081" s="94">
        <v>0.17</v>
      </c>
      <c r="J2081" s="95">
        <v>12.750000000000002</v>
      </c>
    </row>
    <row r="2082" spans="1:10" x14ac:dyDescent="0.25">
      <c r="A2082" s="92">
        <v>45916</v>
      </c>
      <c r="B2082" s="93" t="s">
        <v>329</v>
      </c>
      <c r="C2082" s="89" t="s">
        <v>40</v>
      </c>
      <c r="D2082" s="93" t="s">
        <v>247</v>
      </c>
      <c r="E2082" s="93" t="s">
        <v>341</v>
      </c>
      <c r="F2082" s="93" t="s">
        <v>375</v>
      </c>
      <c r="G2082" s="93" t="s">
        <v>347</v>
      </c>
      <c r="H2082" s="93" t="s">
        <v>344</v>
      </c>
      <c r="I2082" s="94">
        <v>1</v>
      </c>
      <c r="J2082" s="95">
        <v>75</v>
      </c>
    </row>
    <row r="2083" spans="1:10" x14ac:dyDescent="0.25">
      <c r="A2083" s="92">
        <v>45916</v>
      </c>
      <c r="B2083" s="93" t="s">
        <v>326</v>
      </c>
      <c r="C2083" s="89" t="s">
        <v>40</v>
      </c>
      <c r="D2083" s="93" t="s">
        <v>233</v>
      </c>
      <c r="E2083" s="93" t="s">
        <v>36</v>
      </c>
      <c r="F2083" s="93" t="s">
        <v>387</v>
      </c>
      <c r="G2083" s="93" t="s">
        <v>348</v>
      </c>
      <c r="H2083" s="93" t="s">
        <v>342</v>
      </c>
      <c r="I2083" s="94">
        <v>0.67</v>
      </c>
      <c r="J2083" s="95">
        <v>40.200000000000003</v>
      </c>
    </row>
    <row r="2084" spans="1:10" x14ac:dyDescent="0.25">
      <c r="A2084" s="92">
        <v>45916</v>
      </c>
      <c r="B2084" s="93" t="s">
        <v>326</v>
      </c>
      <c r="C2084" s="89" t="s">
        <v>40</v>
      </c>
      <c r="D2084" s="93" t="s">
        <v>234</v>
      </c>
      <c r="E2084" s="93" t="s">
        <v>36</v>
      </c>
      <c r="F2084" s="93" t="s">
        <v>389</v>
      </c>
      <c r="G2084" s="93" t="s">
        <v>348</v>
      </c>
      <c r="H2084" s="93" t="s">
        <v>342</v>
      </c>
      <c r="I2084" s="94">
        <v>0.67</v>
      </c>
      <c r="J2084" s="95">
        <v>40.200000000000003</v>
      </c>
    </row>
    <row r="2085" spans="1:10" x14ac:dyDescent="0.25">
      <c r="A2085" s="92">
        <v>45916</v>
      </c>
      <c r="B2085" s="93" t="s">
        <v>326</v>
      </c>
      <c r="C2085" s="89" t="s">
        <v>40</v>
      </c>
      <c r="D2085" s="93" t="s">
        <v>235</v>
      </c>
      <c r="E2085" s="93" t="s">
        <v>36</v>
      </c>
      <c r="F2085" s="93" t="s">
        <v>355</v>
      </c>
      <c r="G2085" s="93" t="s">
        <v>348</v>
      </c>
      <c r="H2085" s="93" t="s">
        <v>342</v>
      </c>
      <c r="I2085" s="94">
        <v>0.67</v>
      </c>
      <c r="J2085" s="95">
        <v>40.200000000000003</v>
      </c>
    </row>
    <row r="2086" spans="1:10" x14ac:dyDescent="0.25">
      <c r="A2086" s="92">
        <v>45916</v>
      </c>
      <c r="B2086" s="93" t="s">
        <v>326</v>
      </c>
      <c r="C2086" s="89" t="s">
        <v>40</v>
      </c>
      <c r="D2086" s="93" t="s">
        <v>236</v>
      </c>
      <c r="E2086" s="93" t="s">
        <v>36</v>
      </c>
      <c r="F2086" s="93" t="s">
        <v>357</v>
      </c>
      <c r="G2086" s="93" t="s">
        <v>348</v>
      </c>
      <c r="H2086" s="93" t="s">
        <v>342</v>
      </c>
      <c r="I2086" s="94">
        <v>0.67</v>
      </c>
      <c r="J2086" s="95">
        <v>40.200000000000003</v>
      </c>
    </row>
    <row r="2087" spans="1:10" x14ac:dyDescent="0.25">
      <c r="A2087" s="92">
        <v>45916</v>
      </c>
      <c r="B2087" s="93" t="s">
        <v>332</v>
      </c>
      <c r="C2087" s="89" t="s">
        <v>40</v>
      </c>
      <c r="D2087" s="93" t="s">
        <v>314</v>
      </c>
      <c r="E2087" s="93" t="s">
        <v>35</v>
      </c>
      <c r="F2087" s="93" t="s">
        <v>359</v>
      </c>
      <c r="G2087" s="93" t="s">
        <v>339</v>
      </c>
      <c r="H2087" s="93" t="s">
        <v>352</v>
      </c>
      <c r="I2087" s="94">
        <v>8.17</v>
      </c>
      <c r="J2087" s="95">
        <v>326.8</v>
      </c>
    </row>
    <row r="2088" spans="1:10" x14ac:dyDescent="0.25">
      <c r="A2088" s="92">
        <v>45916</v>
      </c>
      <c r="B2088" s="93" t="s">
        <v>324</v>
      </c>
      <c r="C2088" s="89" t="s">
        <v>40</v>
      </c>
      <c r="D2088" s="93" t="s">
        <v>314</v>
      </c>
      <c r="E2088" s="93" t="s">
        <v>35</v>
      </c>
      <c r="F2088" s="93" t="s">
        <v>359</v>
      </c>
      <c r="G2088" s="93" t="s">
        <v>339</v>
      </c>
      <c r="H2088" s="93" t="s">
        <v>352</v>
      </c>
      <c r="I2088" s="94">
        <v>8</v>
      </c>
      <c r="J2088" s="95">
        <v>600</v>
      </c>
    </row>
    <row r="2089" spans="1:10" x14ac:dyDescent="0.25">
      <c r="A2089" s="92">
        <v>45917</v>
      </c>
      <c r="B2089" s="93" t="s">
        <v>329</v>
      </c>
      <c r="C2089" s="89" t="s">
        <v>40</v>
      </c>
      <c r="D2089" s="93" t="s">
        <v>316</v>
      </c>
      <c r="E2089" s="93" t="s">
        <v>35</v>
      </c>
      <c r="F2089" s="93" t="s">
        <v>338</v>
      </c>
      <c r="G2089" s="93" t="s">
        <v>337</v>
      </c>
      <c r="H2089" s="93" t="s">
        <v>352</v>
      </c>
      <c r="I2089" s="94">
        <v>1.25</v>
      </c>
      <c r="J2089" s="95">
        <v>93.75</v>
      </c>
    </row>
    <row r="2090" spans="1:10" x14ac:dyDescent="0.25">
      <c r="A2090" s="92">
        <v>45917</v>
      </c>
      <c r="B2090" s="93" t="s">
        <v>333</v>
      </c>
      <c r="C2090" s="89" t="s">
        <v>40</v>
      </c>
      <c r="D2090" s="93" t="s">
        <v>320</v>
      </c>
      <c r="E2090" s="93" t="s">
        <v>35</v>
      </c>
      <c r="F2090" s="93" t="s">
        <v>322</v>
      </c>
      <c r="G2090" s="93" t="s">
        <v>319</v>
      </c>
      <c r="H2090" s="93" t="s">
        <v>352</v>
      </c>
      <c r="I2090" s="94">
        <v>8.75</v>
      </c>
      <c r="J2090" s="95">
        <v>280</v>
      </c>
    </row>
    <row r="2091" spans="1:10" x14ac:dyDescent="0.25">
      <c r="A2091" s="92">
        <v>45917</v>
      </c>
      <c r="B2091" s="93" t="s">
        <v>323</v>
      </c>
      <c r="C2091" s="89" t="s">
        <v>40</v>
      </c>
      <c r="D2091" s="93" t="s">
        <v>245</v>
      </c>
      <c r="E2091" s="93" t="s">
        <v>36</v>
      </c>
      <c r="F2091" s="93" t="s">
        <v>435</v>
      </c>
      <c r="G2091" s="93" t="s">
        <v>346</v>
      </c>
      <c r="H2091" s="93" t="s">
        <v>342</v>
      </c>
      <c r="I2091" s="94">
        <v>0.25</v>
      </c>
      <c r="J2091" s="95">
        <v>15</v>
      </c>
    </row>
    <row r="2092" spans="1:10" x14ac:dyDescent="0.25">
      <c r="A2092" s="92">
        <v>45917</v>
      </c>
      <c r="B2092" s="93" t="s">
        <v>323</v>
      </c>
      <c r="C2092" s="89" t="s">
        <v>40</v>
      </c>
      <c r="D2092" s="93" t="s">
        <v>231</v>
      </c>
      <c r="E2092" s="93" t="s">
        <v>34</v>
      </c>
      <c r="F2092" s="93" t="s">
        <v>420</v>
      </c>
      <c r="G2092" s="93" t="s">
        <v>346</v>
      </c>
      <c r="H2092" s="93" t="s">
        <v>343</v>
      </c>
      <c r="I2092" s="94">
        <v>0.25</v>
      </c>
      <c r="J2092" s="95">
        <v>15</v>
      </c>
    </row>
    <row r="2093" spans="1:10" x14ac:dyDescent="0.25">
      <c r="A2093" s="92">
        <v>45917</v>
      </c>
      <c r="B2093" s="93" t="s">
        <v>323</v>
      </c>
      <c r="C2093" s="89" t="s">
        <v>40</v>
      </c>
      <c r="D2093" s="93" t="s">
        <v>200</v>
      </c>
      <c r="E2093" s="93" t="s">
        <v>34</v>
      </c>
      <c r="F2093" s="93" t="s">
        <v>391</v>
      </c>
      <c r="G2093" s="93" t="s">
        <v>346</v>
      </c>
      <c r="H2093" s="93" t="s">
        <v>343</v>
      </c>
      <c r="I2093" s="94">
        <v>0.25</v>
      </c>
      <c r="J2093" s="95">
        <v>15</v>
      </c>
    </row>
    <row r="2094" spans="1:10" x14ac:dyDescent="0.25">
      <c r="A2094" s="92">
        <v>45917</v>
      </c>
      <c r="B2094" s="93" t="s">
        <v>323</v>
      </c>
      <c r="C2094" s="89" t="s">
        <v>40</v>
      </c>
      <c r="D2094" s="93" t="s">
        <v>283</v>
      </c>
      <c r="E2094" s="93" t="s">
        <v>34</v>
      </c>
      <c r="F2094" s="93" t="s">
        <v>429</v>
      </c>
      <c r="G2094" s="93" t="s">
        <v>346</v>
      </c>
      <c r="H2094" s="93" t="s">
        <v>343</v>
      </c>
      <c r="I2094" s="94">
        <v>0.5</v>
      </c>
      <c r="J2094" s="95">
        <v>30</v>
      </c>
    </row>
    <row r="2095" spans="1:10" x14ac:dyDescent="0.25">
      <c r="A2095" s="92">
        <v>45917</v>
      </c>
      <c r="B2095" s="93" t="s">
        <v>325</v>
      </c>
      <c r="C2095" s="89" t="s">
        <v>40</v>
      </c>
      <c r="D2095" s="93" t="s">
        <v>271</v>
      </c>
      <c r="E2095" s="93" t="s">
        <v>36</v>
      </c>
      <c r="F2095" s="93" t="s">
        <v>363</v>
      </c>
      <c r="G2095" s="93" t="s">
        <v>347</v>
      </c>
      <c r="H2095" s="93" t="s">
        <v>342</v>
      </c>
      <c r="I2095" s="94">
        <v>0.57999999999999996</v>
      </c>
      <c r="J2095" s="95">
        <v>43.5</v>
      </c>
    </row>
    <row r="2096" spans="1:10" x14ac:dyDescent="0.25">
      <c r="A2096" s="92">
        <v>45917</v>
      </c>
      <c r="B2096" s="93" t="s">
        <v>330</v>
      </c>
      <c r="C2096" s="89" t="s">
        <v>40</v>
      </c>
      <c r="D2096" s="93" t="s">
        <v>199</v>
      </c>
      <c r="E2096" s="93" t="s">
        <v>34</v>
      </c>
      <c r="F2096" s="93" t="s">
        <v>414</v>
      </c>
      <c r="G2096" s="93" t="s">
        <v>347</v>
      </c>
      <c r="H2096" s="93" t="s">
        <v>343</v>
      </c>
      <c r="I2096" s="94">
        <v>0.5</v>
      </c>
      <c r="J2096" s="95">
        <v>30</v>
      </c>
    </row>
    <row r="2097" spans="1:10" x14ac:dyDescent="0.25">
      <c r="A2097" s="92">
        <v>45917</v>
      </c>
      <c r="B2097" s="93" t="s">
        <v>325</v>
      </c>
      <c r="C2097" s="89" t="s">
        <v>40</v>
      </c>
      <c r="D2097" s="93" t="s">
        <v>179</v>
      </c>
      <c r="E2097" s="93" t="s">
        <v>34</v>
      </c>
      <c r="F2097" s="93" t="s">
        <v>422</v>
      </c>
      <c r="G2097" s="93" t="s">
        <v>347</v>
      </c>
      <c r="H2097" s="93" t="s">
        <v>343</v>
      </c>
      <c r="I2097" s="94">
        <v>0.33</v>
      </c>
      <c r="J2097" s="95">
        <v>24.75</v>
      </c>
    </row>
    <row r="2098" spans="1:10" x14ac:dyDescent="0.25">
      <c r="A2098" s="92">
        <v>45917</v>
      </c>
      <c r="B2098" s="93" t="s">
        <v>329</v>
      </c>
      <c r="C2098" s="89" t="s">
        <v>40</v>
      </c>
      <c r="D2098" s="93" t="s">
        <v>206</v>
      </c>
      <c r="E2098" s="93" t="s">
        <v>34</v>
      </c>
      <c r="F2098" s="93" t="s">
        <v>367</v>
      </c>
      <c r="G2098" s="93" t="s">
        <v>347</v>
      </c>
      <c r="H2098" s="93" t="s">
        <v>343</v>
      </c>
      <c r="I2098" s="94">
        <v>0.5</v>
      </c>
      <c r="J2098" s="95">
        <v>37.5</v>
      </c>
    </row>
    <row r="2099" spans="1:10" x14ac:dyDescent="0.25">
      <c r="A2099" s="92">
        <v>45917</v>
      </c>
      <c r="B2099" s="93" t="s">
        <v>330</v>
      </c>
      <c r="C2099" s="89" t="s">
        <v>40</v>
      </c>
      <c r="D2099" s="93" t="s">
        <v>215</v>
      </c>
      <c r="E2099" s="93" t="s">
        <v>34</v>
      </c>
      <c r="F2099" s="93" t="s">
        <v>450</v>
      </c>
      <c r="G2099" s="93" t="s">
        <v>347</v>
      </c>
      <c r="H2099" s="93" t="s">
        <v>343</v>
      </c>
      <c r="I2099" s="94">
        <v>0.5</v>
      </c>
      <c r="J2099" s="95">
        <v>30</v>
      </c>
    </row>
    <row r="2100" spans="1:10" x14ac:dyDescent="0.25">
      <c r="A2100" s="92">
        <v>45917</v>
      </c>
      <c r="B2100" s="93" t="s">
        <v>325</v>
      </c>
      <c r="C2100" s="89" t="s">
        <v>40</v>
      </c>
      <c r="D2100" s="93" t="s">
        <v>224</v>
      </c>
      <c r="E2100" s="93" t="s">
        <v>34</v>
      </c>
      <c r="F2100" s="93" t="s">
        <v>423</v>
      </c>
      <c r="G2100" s="93" t="s">
        <v>347</v>
      </c>
      <c r="H2100" s="93" t="s">
        <v>343</v>
      </c>
      <c r="I2100" s="94">
        <v>0.17</v>
      </c>
      <c r="J2100" s="95">
        <v>12.750000000000002</v>
      </c>
    </row>
    <row r="2101" spans="1:10" x14ac:dyDescent="0.25">
      <c r="A2101" s="92">
        <v>45917</v>
      </c>
      <c r="B2101" s="93" t="s">
        <v>329</v>
      </c>
      <c r="C2101" s="89" t="s">
        <v>40</v>
      </c>
      <c r="D2101" s="93" t="s">
        <v>303</v>
      </c>
      <c r="E2101" s="93" t="s">
        <v>34</v>
      </c>
      <c r="F2101" s="93" t="s">
        <v>400</v>
      </c>
      <c r="G2101" s="93" t="s">
        <v>347</v>
      </c>
      <c r="H2101" s="93" t="s">
        <v>343</v>
      </c>
      <c r="I2101" s="94">
        <v>0.17</v>
      </c>
      <c r="J2101" s="95">
        <v>12.750000000000002</v>
      </c>
    </row>
    <row r="2102" spans="1:10" x14ac:dyDescent="0.25">
      <c r="A2102" s="92">
        <v>45917</v>
      </c>
      <c r="B2102" s="93" t="s">
        <v>329</v>
      </c>
      <c r="C2102" s="89" t="s">
        <v>40</v>
      </c>
      <c r="D2102" s="93" t="s">
        <v>241</v>
      </c>
      <c r="E2102" s="93" t="s">
        <v>34</v>
      </c>
      <c r="F2102" s="93" t="s">
        <v>403</v>
      </c>
      <c r="G2102" s="93" t="s">
        <v>347</v>
      </c>
      <c r="H2102" s="93" t="s">
        <v>343</v>
      </c>
      <c r="I2102" s="94">
        <v>0.33</v>
      </c>
      <c r="J2102" s="95">
        <v>24.75</v>
      </c>
    </row>
    <row r="2103" spans="1:10" x14ac:dyDescent="0.25">
      <c r="A2103" s="92">
        <v>45917</v>
      </c>
      <c r="B2103" s="93" t="s">
        <v>325</v>
      </c>
      <c r="C2103" s="89" t="s">
        <v>40</v>
      </c>
      <c r="D2103" s="93" t="s">
        <v>271</v>
      </c>
      <c r="E2103" s="93" t="s">
        <v>34</v>
      </c>
      <c r="F2103" s="93" t="s">
        <v>363</v>
      </c>
      <c r="G2103" s="93" t="s">
        <v>347</v>
      </c>
      <c r="H2103" s="93" t="s">
        <v>343</v>
      </c>
      <c r="I2103" s="94">
        <v>0.25</v>
      </c>
      <c r="J2103" s="95">
        <v>18.75</v>
      </c>
    </row>
    <row r="2104" spans="1:10" x14ac:dyDescent="0.25">
      <c r="A2104" s="92">
        <v>45917</v>
      </c>
      <c r="B2104" s="93" t="s">
        <v>325</v>
      </c>
      <c r="C2104" s="89" t="s">
        <v>40</v>
      </c>
      <c r="D2104" s="93" t="s">
        <v>290</v>
      </c>
      <c r="E2104" s="93" t="s">
        <v>34</v>
      </c>
      <c r="F2104" s="93" t="s">
        <v>428</v>
      </c>
      <c r="G2104" s="93" t="s">
        <v>347</v>
      </c>
      <c r="H2104" s="93" t="s">
        <v>343</v>
      </c>
      <c r="I2104" s="94">
        <v>0.33</v>
      </c>
      <c r="J2104" s="95">
        <v>24.75</v>
      </c>
    </row>
    <row r="2105" spans="1:10" x14ac:dyDescent="0.25">
      <c r="A2105" s="92">
        <v>45917</v>
      </c>
      <c r="B2105" s="93" t="s">
        <v>329</v>
      </c>
      <c r="C2105" s="89" t="s">
        <v>40</v>
      </c>
      <c r="D2105" s="93" t="s">
        <v>295</v>
      </c>
      <c r="E2105" s="93" t="s">
        <v>34</v>
      </c>
      <c r="F2105" s="93" t="s">
        <v>379</v>
      </c>
      <c r="G2105" s="93" t="s">
        <v>347</v>
      </c>
      <c r="H2105" s="93" t="s">
        <v>343</v>
      </c>
      <c r="I2105" s="94">
        <v>0.17</v>
      </c>
      <c r="J2105" s="95">
        <v>12.750000000000002</v>
      </c>
    </row>
    <row r="2106" spans="1:10" x14ac:dyDescent="0.25">
      <c r="A2106" s="92">
        <v>45917</v>
      </c>
      <c r="B2106" s="93" t="s">
        <v>329</v>
      </c>
      <c r="C2106" s="89" t="s">
        <v>40</v>
      </c>
      <c r="D2106" s="93" t="s">
        <v>259</v>
      </c>
      <c r="E2106" s="93" t="s">
        <v>34</v>
      </c>
      <c r="F2106" s="93" t="s">
        <v>407</v>
      </c>
      <c r="G2106" s="93" t="s">
        <v>347</v>
      </c>
      <c r="H2106" s="93" t="s">
        <v>343</v>
      </c>
      <c r="I2106" s="94">
        <v>0.25</v>
      </c>
      <c r="J2106" s="95">
        <v>18.75</v>
      </c>
    </row>
    <row r="2107" spans="1:10" x14ac:dyDescent="0.25">
      <c r="A2107" s="92">
        <v>45917</v>
      </c>
      <c r="B2107" s="93" t="s">
        <v>330</v>
      </c>
      <c r="C2107" s="89" t="s">
        <v>40</v>
      </c>
      <c r="D2107" s="93" t="s">
        <v>255</v>
      </c>
      <c r="E2107" s="93" t="s">
        <v>34</v>
      </c>
      <c r="F2107" s="93" t="s">
        <v>462</v>
      </c>
      <c r="G2107" s="93" t="s">
        <v>347</v>
      </c>
      <c r="H2107" s="93" t="s">
        <v>343</v>
      </c>
      <c r="I2107" s="94">
        <v>1</v>
      </c>
      <c r="J2107" s="95">
        <v>60</v>
      </c>
    </row>
    <row r="2108" spans="1:10" x14ac:dyDescent="0.25">
      <c r="A2108" s="92">
        <v>45917</v>
      </c>
      <c r="B2108" s="93" t="s">
        <v>325</v>
      </c>
      <c r="C2108" s="89" t="s">
        <v>40</v>
      </c>
      <c r="D2108" s="93" t="s">
        <v>262</v>
      </c>
      <c r="E2108" s="93" t="s">
        <v>34</v>
      </c>
      <c r="F2108" s="93" t="s">
        <v>442</v>
      </c>
      <c r="G2108" s="93" t="s">
        <v>347</v>
      </c>
      <c r="H2108" s="93" t="s">
        <v>343</v>
      </c>
      <c r="I2108" s="94">
        <v>0.17</v>
      </c>
      <c r="J2108" s="95">
        <v>12.750000000000002</v>
      </c>
    </row>
    <row r="2109" spans="1:10" x14ac:dyDescent="0.25">
      <c r="A2109" s="92">
        <v>45917</v>
      </c>
      <c r="B2109" s="93" t="s">
        <v>329</v>
      </c>
      <c r="C2109" s="89" t="s">
        <v>40</v>
      </c>
      <c r="D2109" s="93" t="s">
        <v>247</v>
      </c>
      <c r="E2109" s="93" t="s">
        <v>34</v>
      </c>
      <c r="F2109" s="93" t="s">
        <v>375</v>
      </c>
      <c r="G2109" s="93" t="s">
        <v>347</v>
      </c>
      <c r="H2109" s="93" t="s">
        <v>343</v>
      </c>
      <c r="I2109" s="94">
        <v>0.17</v>
      </c>
      <c r="J2109" s="95">
        <v>12.750000000000002</v>
      </c>
    </row>
    <row r="2110" spans="1:10" x14ac:dyDescent="0.25">
      <c r="A2110" s="92">
        <v>45917</v>
      </c>
      <c r="B2110" s="93" t="s">
        <v>329</v>
      </c>
      <c r="C2110" s="89" t="s">
        <v>40</v>
      </c>
      <c r="D2110" s="93" t="s">
        <v>268</v>
      </c>
      <c r="E2110" s="93" t="s">
        <v>34</v>
      </c>
      <c r="F2110" s="93" t="s">
        <v>386</v>
      </c>
      <c r="G2110" s="93" t="s">
        <v>347</v>
      </c>
      <c r="H2110" s="93" t="s">
        <v>343</v>
      </c>
      <c r="I2110" s="94">
        <v>0.08</v>
      </c>
      <c r="J2110" s="95">
        <v>6</v>
      </c>
    </row>
    <row r="2111" spans="1:10" x14ac:dyDescent="0.25">
      <c r="A2111" s="92">
        <v>45917</v>
      </c>
      <c r="B2111" s="93" t="s">
        <v>326</v>
      </c>
      <c r="C2111" s="89" t="s">
        <v>40</v>
      </c>
      <c r="D2111" s="93" t="s">
        <v>227</v>
      </c>
      <c r="E2111" s="93" t="s">
        <v>36</v>
      </c>
      <c r="F2111" s="93" t="s">
        <v>453</v>
      </c>
      <c r="G2111" s="93" t="s">
        <v>348</v>
      </c>
      <c r="H2111" s="93" t="s">
        <v>342</v>
      </c>
      <c r="I2111" s="94">
        <v>0.75</v>
      </c>
      <c r="J2111" s="95">
        <v>45</v>
      </c>
    </row>
    <row r="2112" spans="1:10" x14ac:dyDescent="0.25">
      <c r="A2112" s="92">
        <v>45917</v>
      </c>
      <c r="B2112" s="93" t="s">
        <v>332</v>
      </c>
      <c r="C2112" s="89" t="s">
        <v>40</v>
      </c>
      <c r="D2112" s="93" t="s">
        <v>314</v>
      </c>
      <c r="E2112" s="93" t="s">
        <v>35</v>
      </c>
      <c r="F2112" s="93" t="s">
        <v>359</v>
      </c>
      <c r="G2112" s="93" t="s">
        <v>339</v>
      </c>
      <c r="H2112" s="93" t="s">
        <v>352</v>
      </c>
      <c r="I2112" s="94">
        <v>9.33</v>
      </c>
      <c r="J2112" s="95">
        <v>373.2</v>
      </c>
    </row>
    <row r="2113" spans="1:10" x14ac:dyDescent="0.25">
      <c r="A2113" s="92">
        <v>45917</v>
      </c>
      <c r="B2113" s="93" t="s">
        <v>324</v>
      </c>
      <c r="C2113" s="89" t="s">
        <v>40</v>
      </c>
      <c r="D2113" s="93" t="s">
        <v>314</v>
      </c>
      <c r="E2113" s="93" t="s">
        <v>35</v>
      </c>
      <c r="F2113" s="93" t="s">
        <v>359</v>
      </c>
      <c r="G2113" s="93" t="s">
        <v>339</v>
      </c>
      <c r="H2113" s="93" t="s">
        <v>352</v>
      </c>
      <c r="I2113" s="94">
        <v>3.42</v>
      </c>
      <c r="J2113" s="95">
        <v>256.5</v>
      </c>
    </row>
    <row r="2114" spans="1:10" x14ac:dyDescent="0.25">
      <c r="A2114" s="92">
        <v>45918</v>
      </c>
      <c r="B2114" s="93" t="s">
        <v>329</v>
      </c>
      <c r="C2114" s="89" t="s">
        <v>40</v>
      </c>
      <c r="D2114" s="93" t="s">
        <v>316</v>
      </c>
      <c r="E2114" s="93" t="s">
        <v>35</v>
      </c>
      <c r="F2114" s="93" t="s">
        <v>338</v>
      </c>
      <c r="G2114" s="93" t="s">
        <v>337</v>
      </c>
      <c r="H2114" s="93" t="s">
        <v>352</v>
      </c>
      <c r="I2114" s="94">
        <v>1</v>
      </c>
      <c r="J2114" s="95">
        <v>75</v>
      </c>
    </row>
    <row r="2115" spans="1:10" x14ac:dyDescent="0.25">
      <c r="A2115" s="92">
        <v>45918</v>
      </c>
      <c r="B2115" s="93" t="s">
        <v>330</v>
      </c>
      <c r="C2115" s="89" t="s">
        <v>40</v>
      </c>
      <c r="D2115" s="93" t="s">
        <v>209</v>
      </c>
      <c r="E2115" s="93" t="s">
        <v>341</v>
      </c>
      <c r="F2115" s="93" t="s">
        <v>370</v>
      </c>
      <c r="G2115" s="93" t="s">
        <v>347</v>
      </c>
      <c r="H2115" s="93" t="s">
        <v>344</v>
      </c>
      <c r="I2115" s="94">
        <v>2</v>
      </c>
      <c r="J2115" s="95">
        <v>120</v>
      </c>
    </row>
    <row r="2116" spans="1:10" x14ac:dyDescent="0.25">
      <c r="A2116" s="92">
        <v>45918</v>
      </c>
      <c r="B2116" s="93" t="s">
        <v>333</v>
      </c>
      <c r="C2116" s="89" t="s">
        <v>40</v>
      </c>
      <c r="D2116" s="93" t="s">
        <v>320</v>
      </c>
      <c r="E2116" s="93" t="s">
        <v>35</v>
      </c>
      <c r="F2116" s="93" t="s">
        <v>322</v>
      </c>
      <c r="G2116" s="93" t="s">
        <v>319</v>
      </c>
      <c r="H2116" s="93" t="s">
        <v>352</v>
      </c>
      <c r="I2116" s="94">
        <v>8.9499999999999993</v>
      </c>
      <c r="J2116" s="95">
        <v>286.39999999999998</v>
      </c>
    </row>
    <row r="2117" spans="1:10" x14ac:dyDescent="0.25">
      <c r="A2117" s="92">
        <v>45918</v>
      </c>
      <c r="B2117" s="93" t="s">
        <v>323</v>
      </c>
      <c r="C2117" s="89" t="s">
        <v>40</v>
      </c>
      <c r="D2117" s="93" t="s">
        <v>231</v>
      </c>
      <c r="E2117" s="93" t="s">
        <v>36</v>
      </c>
      <c r="F2117" s="93" t="s">
        <v>420</v>
      </c>
      <c r="G2117" s="93" t="s">
        <v>346</v>
      </c>
      <c r="H2117" s="93" t="s">
        <v>342</v>
      </c>
      <c r="I2117" s="94">
        <v>1.33</v>
      </c>
      <c r="J2117" s="95">
        <v>79.800000000000011</v>
      </c>
    </row>
    <row r="2118" spans="1:10" x14ac:dyDescent="0.25">
      <c r="A2118" s="92">
        <v>45918</v>
      </c>
      <c r="B2118" s="93" t="s">
        <v>323</v>
      </c>
      <c r="C2118" s="89" t="s">
        <v>40</v>
      </c>
      <c r="D2118" s="93" t="s">
        <v>280</v>
      </c>
      <c r="E2118" s="93" t="s">
        <v>36</v>
      </c>
      <c r="F2118" s="93" t="s">
        <v>445</v>
      </c>
      <c r="G2118" s="93" t="s">
        <v>346</v>
      </c>
      <c r="H2118" s="93" t="s">
        <v>342</v>
      </c>
      <c r="I2118" s="94">
        <v>0.25</v>
      </c>
      <c r="J2118" s="95">
        <v>15</v>
      </c>
    </row>
    <row r="2119" spans="1:10" x14ac:dyDescent="0.25">
      <c r="A2119" s="92">
        <v>45918</v>
      </c>
      <c r="B2119" s="93" t="s">
        <v>323</v>
      </c>
      <c r="C2119" s="89" t="s">
        <v>40</v>
      </c>
      <c r="D2119" s="93" t="s">
        <v>281</v>
      </c>
      <c r="E2119" s="93" t="s">
        <v>36</v>
      </c>
      <c r="F2119" s="93" t="s">
        <v>430</v>
      </c>
      <c r="G2119" s="93" t="s">
        <v>346</v>
      </c>
      <c r="H2119" s="93" t="s">
        <v>342</v>
      </c>
      <c r="I2119" s="94">
        <v>0.25</v>
      </c>
      <c r="J2119" s="95">
        <v>15</v>
      </c>
    </row>
    <row r="2120" spans="1:10" x14ac:dyDescent="0.25">
      <c r="A2120" s="92">
        <v>45918</v>
      </c>
      <c r="B2120" s="93" t="s">
        <v>329</v>
      </c>
      <c r="C2120" s="89" t="s">
        <v>40</v>
      </c>
      <c r="D2120" s="93" t="s">
        <v>206</v>
      </c>
      <c r="E2120" s="93" t="s">
        <v>34</v>
      </c>
      <c r="F2120" s="93" t="s">
        <v>367</v>
      </c>
      <c r="G2120" s="93" t="s">
        <v>347</v>
      </c>
      <c r="H2120" s="93" t="s">
        <v>343</v>
      </c>
      <c r="I2120" s="94">
        <v>0.25</v>
      </c>
      <c r="J2120" s="95">
        <v>18.75</v>
      </c>
    </row>
    <row r="2121" spans="1:10" x14ac:dyDescent="0.25">
      <c r="A2121" s="92">
        <v>45918</v>
      </c>
      <c r="B2121" s="93" t="s">
        <v>325</v>
      </c>
      <c r="C2121" s="89" t="s">
        <v>40</v>
      </c>
      <c r="D2121" s="93" t="s">
        <v>304</v>
      </c>
      <c r="E2121" s="93" t="s">
        <v>34</v>
      </c>
      <c r="F2121" s="93" t="s">
        <v>372</v>
      </c>
      <c r="G2121" s="93" t="s">
        <v>347</v>
      </c>
      <c r="H2121" s="93" t="s">
        <v>343</v>
      </c>
      <c r="I2121" s="94">
        <v>0.25</v>
      </c>
      <c r="J2121" s="95">
        <v>18.75</v>
      </c>
    </row>
    <row r="2122" spans="1:10" x14ac:dyDescent="0.25">
      <c r="A2122" s="92">
        <v>45918</v>
      </c>
      <c r="B2122" s="93" t="s">
        <v>325</v>
      </c>
      <c r="C2122" s="89" t="s">
        <v>40</v>
      </c>
      <c r="D2122" s="93" t="s">
        <v>210</v>
      </c>
      <c r="E2122" s="93" t="s">
        <v>34</v>
      </c>
      <c r="F2122" s="93" t="s">
        <v>399</v>
      </c>
      <c r="G2122" s="93" t="s">
        <v>347</v>
      </c>
      <c r="H2122" s="93" t="s">
        <v>343</v>
      </c>
      <c r="I2122" s="94">
        <v>0.25</v>
      </c>
      <c r="J2122" s="95">
        <v>18.75</v>
      </c>
    </row>
    <row r="2123" spans="1:10" x14ac:dyDescent="0.25">
      <c r="A2123" s="92">
        <v>45918</v>
      </c>
      <c r="B2123" s="93" t="s">
        <v>329</v>
      </c>
      <c r="C2123" s="89" t="s">
        <v>40</v>
      </c>
      <c r="D2123" s="93" t="s">
        <v>288</v>
      </c>
      <c r="E2123" s="93" t="s">
        <v>34</v>
      </c>
      <c r="F2123" s="93" t="s">
        <v>405</v>
      </c>
      <c r="G2123" s="93" t="s">
        <v>347</v>
      </c>
      <c r="H2123" s="93" t="s">
        <v>343</v>
      </c>
      <c r="I2123" s="94">
        <v>0.08</v>
      </c>
      <c r="J2123" s="95">
        <v>6</v>
      </c>
    </row>
    <row r="2124" spans="1:10" x14ac:dyDescent="0.25">
      <c r="A2124" s="92">
        <v>45918</v>
      </c>
      <c r="B2124" s="93" t="s">
        <v>329</v>
      </c>
      <c r="C2124" s="89" t="s">
        <v>40</v>
      </c>
      <c r="D2124" s="93" t="s">
        <v>248</v>
      </c>
      <c r="E2124" s="93" t="s">
        <v>34</v>
      </c>
      <c r="F2124" s="93" t="s">
        <v>385</v>
      </c>
      <c r="G2124" s="93" t="s">
        <v>347</v>
      </c>
      <c r="H2124" s="93" t="s">
        <v>343</v>
      </c>
      <c r="I2124" s="94">
        <v>0.17</v>
      </c>
      <c r="J2124" s="95">
        <v>12.750000000000002</v>
      </c>
    </row>
    <row r="2125" spans="1:10" x14ac:dyDescent="0.25">
      <c r="A2125" s="92">
        <v>45918</v>
      </c>
      <c r="B2125" s="93" t="s">
        <v>329</v>
      </c>
      <c r="C2125" s="89" t="s">
        <v>40</v>
      </c>
      <c r="D2125" s="93" t="s">
        <v>247</v>
      </c>
      <c r="E2125" s="93" t="s">
        <v>34</v>
      </c>
      <c r="F2125" s="93" t="s">
        <v>375</v>
      </c>
      <c r="G2125" s="93" t="s">
        <v>347</v>
      </c>
      <c r="H2125" s="93" t="s">
        <v>343</v>
      </c>
      <c r="I2125" s="94">
        <v>0.17</v>
      </c>
      <c r="J2125" s="95">
        <v>12.750000000000002</v>
      </c>
    </row>
    <row r="2126" spans="1:10" x14ac:dyDescent="0.25">
      <c r="A2126" s="92">
        <v>45918</v>
      </c>
      <c r="B2126" s="93" t="s">
        <v>329</v>
      </c>
      <c r="C2126" s="89" t="s">
        <v>40</v>
      </c>
      <c r="D2126" s="93" t="s">
        <v>230</v>
      </c>
      <c r="E2126" s="93" t="s">
        <v>34</v>
      </c>
      <c r="F2126" s="93" t="s">
        <v>410</v>
      </c>
      <c r="G2126" s="93" t="s">
        <v>347</v>
      </c>
      <c r="H2126" s="93" t="s">
        <v>343</v>
      </c>
      <c r="I2126" s="94">
        <v>0.08</v>
      </c>
      <c r="J2126" s="95">
        <v>6</v>
      </c>
    </row>
    <row r="2127" spans="1:10" x14ac:dyDescent="0.25">
      <c r="A2127" s="92">
        <v>45918</v>
      </c>
      <c r="B2127" s="93" t="s">
        <v>329</v>
      </c>
      <c r="C2127" s="89" t="s">
        <v>40</v>
      </c>
      <c r="D2127" s="93" t="s">
        <v>299</v>
      </c>
      <c r="E2127" s="93" t="s">
        <v>312</v>
      </c>
      <c r="F2127" s="93" t="s">
        <v>455</v>
      </c>
      <c r="G2127" s="93" t="s">
        <v>347</v>
      </c>
      <c r="H2127" s="93" t="s">
        <v>350</v>
      </c>
      <c r="I2127" s="94">
        <v>3</v>
      </c>
      <c r="J2127" s="95">
        <v>225</v>
      </c>
    </row>
    <row r="2128" spans="1:10" x14ac:dyDescent="0.25">
      <c r="A2128" s="92">
        <v>45918</v>
      </c>
      <c r="B2128" s="93" t="s">
        <v>332</v>
      </c>
      <c r="C2128" s="89" t="s">
        <v>40</v>
      </c>
      <c r="D2128" s="93" t="s">
        <v>314</v>
      </c>
      <c r="E2128" s="93" t="s">
        <v>35</v>
      </c>
      <c r="F2128" s="93" t="s">
        <v>359</v>
      </c>
      <c r="G2128" s="93" t="s">
        <v>339</v>
      </c>
      <c r="H2128" s="93" t="s">
        <v>352</v>
      </c>
      <c r="I2128" s="94">
        <v>8.67</v>
      </c>
      <c r="J2128" s="95">
        <v>346.8</v>
      </c>
    </row>
    <row r="2129" spans="1:10" x14ac:dyDescent="0.25">
      <c r="A2129" s="92">
        <v>45918</v>
      </c>
      <c r="B2129" s="93" t="s">
        <v>324</v>
      </c>
      <c r="C2129" s="89" t="s">
        <v>40</v>
      </c>
      <c r="D2129" s="93" t="s">
        <v>314</v>
      </c>
      <c r="E2129" s="93" t="s">
        <v>35</v>
      </c>
      <c r="F2129" s="93" t="s">
        <v>359</v>
      </c>
      <c r="G2129" s="93" t="s">
        <v>339</v>
      </c>
      <c r="H2129" s="93" t="s">
        <v>352</v>
      </c>
      <c r="I2129" s="94">
        <v>5.75</v>
      </c>
      <c r="J2129" s="95">
        <v>431.25</v>
      </c>
    </row>
    <row r="2130" spans="1:10" x14ac:dyDescent="0.25">
      <c r="A2130" s="92">
        <v>45919</v>
      </c>
      <c r="B2130" s="93" t="s">
        <v>329</v>
      </c>
      <c r="C2130" s="89" t="s">
        <v>40</v>
      </c>
      <c r="D2130" s="93" t="s">
        <v>316</v>
      </c>
      <c r="E2130" s="93" t="s">
        <v>35</v>
      </c>
      <c r="F2130" s="93" t="s">
        <v>338</v>
      </c>
      <c r="G2130" s="93" t="s">
        <v>337</v>
      </c>
      <c r="H2130" s="93" t="s">
        <v>352</v>
      </c>
      <c r="I2130" s="94">
        <v>1.75</v>
      </c>
      <c r="J2130" s="95">
        <v>131.25</v>
      </c>
    </row>
    <row r="2131" spans="1:10" x14ac:dyDescent="0.25">
      <c r="A2131" s="92">
        <v>45919</v>
      </c>
      <c r="B2131" s="93" t="s">
        <v>329</v>
      </c>
      <c r="C2131" s="89" t="s">
        <v>40</v>
      </c>
      <c r="D2131" s="93" t="s">
        <v>183</v>
      </c>
      <c r="E2131" s="93" t="s">
        <v>341</v>
      </c>
      <c r="F2131" s="93" t="s">
        <v>368</v>
      </c>
      <c r="G2131" s="93" t="s">
        <v>347</v>
      </c>
      <c r="H2131" s="93" t="s">
        <v>344</v>
      </c>
      <c r="I2131" s="94">
        <v>2.75</v>
      </c>
      <c r="J2131" s="95">
        <v>206.25</v>
      </c>
    </row>
    <row r="2132" spans="1:10" x14ac:dyDescent="0.25">
      <c r="A2132" s="92">
        <v>45919</v>
      </c>
      <c r="B2132" s="93" t="s">
        <v>333</v>
      </c>
      <c r="C2132" s="89" t="s">
        <v>40</v>
      </c>
      <c r="D2132" s="93" t="s">
        <v>320</v>
      </c>
      <c r="E2132" s="93" t="s">
        <v>35</v>
      </c>
      <c r="F2132" s="93" t="s">
        <v>322</v>
      </c>
      <c r="G2132" s="93" t="s">
        <v>319</v>
      </c>
      <c r="H2132" s="93" t="s">
        <v>352</v>
      </c>
      <c r="I2132" s="94">
        <v>8.7200000000000006</v>
      </c>
      <c r="J2132" s="95">
        <v>279.04000000000002</v>
      </c>
    </row>
    <row r="2133" spans="1:10" x14ac:dyDescent="0.25">
      <c r="A2133" s="92">
        <v>45919</v>
      </c>
      <c r="B2133" s="93" t="s">
        <v>323</v>
      </c>
      <c r="C2133" s="89" t="s">
        <v>40</v>
      </c>
      <c r="D2133" s="93" t="s">
        <v>231</v>
      </c>
      <c r="E2133" s="93" t="s">
        <v>36</v>
      </c>
      <c r="F2133" s="93" t="s">
        <v>420</v>
      </c>
      <c r="G2133" s="93" t="s">
        <v>346</v>
      </c>
      <c r="H2133" s="93" t="s">
        <v>342</v>
      </c>
      <c r="I2133" s="94">
        <v>0.17</v>
      </c>
      <c r="J2133" s="95">
        <v>10.200000000000001</v>
      </c>
    </row>
    <row r="2134" spans="1:10" x14ac:dyDescent="0.25">
      <c r="A2134" s="92">
        <v>45919</v>
      </c>
      <c r="B2134" s="93" t="s">
        <v>329</v>
      </c>
      <c r="C2134" s="89" t="s">
        <v>40</v>
      </c>
      <c r="D2134" s="93" t="s">
        <v>197</v>
      </c>
      <c r="E2134" s="93" t="s">
        <v>34</v>
      </c>
      <c r="F2134" s="93" t="s">
        <v>366</v>
      </c>
      <c r="G2134" s="93" t="s">
        <v>347</v>
      </c>
      <c r="H2134" s="93" t="s">
        <v>343</v>
      </c>
      <c r="I2134" s="94">
        <v>0.17</v>
      </c>
      <c r="J2134" s="95">
        <v>12.750000000000002</v>
      </c>
    </row>
    <row r="2135" spans="1:10" x14ac:dyDescent="0.25">
      <c r="A2135" s="92">
        <v>45919</v>
      </c>
      <c r="B2135" s="93" t="s">
        <v>325</v>
      </c>
      <c r="C2135" s="89" t="s">
        <v>40</v>
      </c>
      <c r="D2135" s="93" t="s">
        <v>198</v>
      </c>
      <c r="E2135" s="93" t="s">
        <v>34</v>
      </c>
      <c r="F2135" s="93" t="s">
        <v>413</v>
      </c>
      <c r="G2135" s="93" t="s">
        <v>347</v>
      </c>
      <c r="H2135" s="93" t="s">
        <v>343</v>
      </c>
      <c r="I2135" s="94">
        <v>0.17</v>
      </c>
      <c r="J2135" s="95">
        <v>12.750000000000002</v>
      </c>
    </row>
    <row r="2136" spans="1:10" x14ac:dyDescent="0.25">
      <c r="A2136" s="92">
        <v>45919</v>
      </c>
      <c r="B2136" s="93" t="s">
        <v>325</v>
      </c>
      <c r="C2136" s="89" t="s">
        <v>40</v>
      </c>
      <c r="D2136" s="93" t="s">
        <v>179</v>
      </c>
      <c r="E2136" s="93" t="s">
        <v>34</v>
      </c>
      <c r="F2136" s="93" t="s">
        <v>422</v>
      </c>
      <c r="G2136" s="93" t="s">
        <v>347</v>
      </c>
      <c r="H2136" s="93" t="s">
        <v>343</v>
      </c>
      <c r="I2136" s="94">
        <v>0.42</v>
      </c>
      <c r="J2136" s="95">
        <v>31.5</v>
      </c>
    </row>
    <row r="2137" spans="1:10" x14ac:dyDescent="0.25">
      <c r="A2137" s="92">
        <v>45919</v>
      </c>
      <c r="B2137" s="93" t="s">
        <v>325</v>
      </c>
      <c r="C2137" s="89" t="s">
        <v>40</v>
      </c>
      <c r="D2137" s="93" t="s">
        <v>170</v>
      </c>
      <c r="E2137" s="93" t="s">
        <v>34</v>
      </c>
      <c r="F2137" s="93" t="s">
        <v>424</v>
      </c>
      <c r="G2137" s="93" t="s">
        <v>347</v>
      </c>
      <c r="H2137" s="93" t="s">
        <v>343</v>
      </c>
      <c r="I2137" s="94">
        <v>0.25</v>
      </c>
      <c r="J2137" s="95">
        <v>18.75</v>
      </c>
    </row>
    <row r="2138" spans="1:10" x14ac:dyDescent="0.25">
      <c r="A2138" s="92">
        <v>45919</v>
      </c>
      <c r="B2138" s="93" t="s">
        <v>329</v>
      </c>
      <c r="C2138" s="89" t="s">
        <v>40</v>
      </c>
      <c r="D2138" s="93" t="s">
        <v>206</v>
      </c>
      <c r="E2138" s="93" t="s">
        <v>34</v>
      </c>
      <c r="F2138" s="93" t="s">
        <v>367</v>
      </c>
      <c r="G2138" s="93" t="s">
        <v>347</v>
      </c>
      <c r="H2138" s="93" t="s">
        <v>343</v>
      </c>
      <c r="I2138" s="94">
        <v>0.17</v>
      </c>
      <c r="J2138" s="95">
        <v>12.750000000000002</v>
      </c>
    </row>
    <row r="2139" spans="1:10" x14ac:dyDescent="0.25">
      <c r="A2139" s="92">
        <v>45919</v>
      </c>
      <c r="B2139" s="93" t="s">
        <v>325</v>
      </c>
      <c r="C2139" s="89" t="s">
        <v>40</v>
      </c>
      <c r="D2139" s="93" t="s">
        <v>304</v>
      </c>
      <c r="E2139" s="93" t="s">
        <v>34</v>
      </c>
      <c r="F2139" s="93" t="s">
        <v>372</v>
      </c>
      <c r="G2139" s="93" t="s">
        <v>347</v>
      </c>
      <c r="H2139" s="93" t="s">
        <v>343</v>
      </c>
      <c r="I2139" s="94">
        <v>0.25</v>
      </c>
      <c r="J2139" s="95">
        <v>18.75</v>
      </c>
    </row>
    <row r="2140" spans="1:10" x14ac:dyDescent="0.25">
      <c r="A2140" s="92">
        <v>45919</v>
      </c>
      <c r="B2140" s="93" t="s">
        <v>329</v>
      </c>
      <c r="C2140" s="89" t="s">
        <v>40</v>
      </c>
      <c r="D2140" s="93" t="s">
        <v>241</v>
      </c>
      <c r="E2140" s="93" t="s">
        <v>34</v>
      </c>
      <c r="F2140" s="93" t="s">
        <v>403</v>
      </c>
      <c r="G2140" s="93" t="s">
        <v>347</v>
      </c>
      <c r="H2140" s="93" t="s">
        <v>343</v>
      </c>
      <c r="I2140" s="94">
        <v>0.17</v>
      </c>
      <c r="J2140" s="95">
        <v>12.750000000000002</v>
      </c>
    </row>
    <row r="2141" spans="1:10" x14ac:dyDescent="0.25">
      <c r="A2141" s="92">
        <v>45919</v>
      </c>
      <c r="B2141" s="93" t="s">
        <v>329</v>
      </c>
      <c r="C2141" s="89" t="s">
        <v>40</v>
      </c>
      <c r="D2141" s="93" t="s">
        <v>242</v>
      </c>
      <c r="E2141" s="93" t="s">
        <v>34</v>
      </c>
      <c r="F2141" s="93" t="s">
        <v>404</v>
      </c>
      <c r="G2141" s="93" t="s">
        <v>347</v>
      </c>
      <c r="H2141" s="93" t="s">
        <v>343</v>
      </c>
      <c r="I2141" s="94">
        <v>0.17</v>
      </c>
      <c r="J2141" s="95">
        <v>12.750000000000002</v>
      </c>
    </row>
    <row r="2142" spans="1:10" x14ac:dyDescent="0.25">
      <c r="A2142" s="92">
        <v>45919</v>
      </c>
      <c r="B2142" s="93" t="s">
        <v>325</v>
      </c>
      <c r="C2142" s="89" t="s">
        <v>40</v>
      </c>
      <c r="D2142" s="93" t="s">
        <v>271</v>
      </c>
      <c r="E2142" s="93" t="s">
        <v>34</v>
      </c>
      <c r="F2142" s="93" t="s">
        <v>363</v>
      </c>
      <c r="G2142" s="93" t="s">
        <v>347</v>
      </c>
      <c r="H2142" s="93" t="s">
        <v>343</v>
      </c>
      <c r="I2142" s="94">
        <v>0.17</v>
      </c>
      <c r="J2142" s="95">
        <v>12.750000000000002</v>
      </c>
    </row>
    <row r="2143" spans="1:10" x14ac:dyDescent="0.25">
      <c r="A2143" s="92">
        <v>45919</v>
      </c>
      <c r="B2143" s="93" t="s">
        <v>325</v>
      </c>
      <c r="C2143" s="89" t="s">
        <v>40</v>
      </c>
      <c r="D2143" s="93" t="s">
        <v>287</v>
      </c>
      <c r="E2143" s="93" t="s">
        <v>34</v>
      </c>
      <c r="F2143" s="93" t="s">
        <v>378</v>
      </c>
      <c r="G2143" s="93" t="s">
        <v>347</v>
      </c>
      <c r="H2143" s="93" t="s">
        <v>343</v>
      </c>
      <c r="I2143" s="94">
        <v>0.25</v>
      </c>
      <c r="J2143" s="95">
        <v>18.75</v>
      </c>
    </row>
    <row r="2144" spans="1:10" x14ac:dyDescent="0.25">
      <c r="A2144" s="92">
        <v>45919</v>
      </c>
      <c r="B2144" s="93" t="s">
        <v>329</v>
      </c>
      <c r="C2144" s="89" t="s">
        <v>40</v>
      </c>
      <c r="D2144" s="93" t="s">
        <v>295</v>
      </c>
      <c r="E2144" s="93" t="s">
        <v>34</v>
      </c>
      <c r="F2144" s="93" t="s">
        <v>379</v>
      </c>
      <c r="G2144" s="93" t="s">
        <v>347</v>
      </c>
      <c r="H2144" s="93" t="s">
        <v>343</v>
      </c>
      <c r="I2144" s="94">
        <v>0.17</v>
      </c>
      <c r="J2144" s="95">
        <v>12.750000000000002</v>
      </c>
    </row>
    <row r="2145" spans="1:10" x14ac:dyDescent="0.25">
      <c r="A2145" s="92">
        <v>45919</v>
      </c>
      <c r="B2145" s="93" t="s">
        <v>329</v>
      </c>
      <c r="C2145" s="89" t="s">
        <v>40</v>
      </c>
      <c r="D2145" s="93" t="s">
        <v>248</v>
      </c>
      <c r="E2145" s="93" t="s">
        <v>34</v>
      </c>
      <c r="F2145" s="93" t="s">
        <v>385</v>
      </c>
      <c r="G2145" s="93" t="s">
        <v>347</v>
      </c>
      <c r="H2145" s="93" t="s">
        <v>343</v>
      </c>
      <c r="I2145" s="94">
        <v>0.33</v>
      </c>
      <c r="J2145" s="95">
        <v>24.75</v>
      </c>
    </row>
    <row r="2146" spans="1:10" x14ac:dyDescent="0.25">
      <c r="A2146" s="92">
        <v>45919</v>
      </c>
      <c r="B2146" s="93" t="s">
        <v>329</v>
      </c>
      <c r="C2146" s="89" t="s">
        <v>40</v>
      </c>
      <c r="D2146" s="93" t="s">
        <v>230</v>
      </c>
      <c r="E2146" s="93" t="s">
        <v>34</v>
      </c>
      <c r="F2146" s="93" t="s">
        <v>410</v>
      </c>
      <c r="G2146" s="93" t="s">
        <v>347</v>
      </c>
      <c r="H2146" s="93" t="s">
        <v>343</v>
      </c>
      <c r="I2146" s="94">
        <v>0.33</v>
      </c>
      <c r="J2146" s="95">
        <v>24.75</v>
      </c>
    </row>
    <row r="2147" spans="1:10" x14ac:dyDescent="0.25">
      <c r="A2147" s="92">
        <v>45919</v>
      </c>
      <c r="B2147" s="93" t="s">
        <v>326</v>
      </c>
      <c r="C2147" s="89" t="s">
        <v>40</v>
      </c>
      <c r="D2147" s="93" t="s">
        <v>188</v>
      </c>
      <c r="E2147" s="93" t="s">
        <v>36</v>
      </c>
      <c r="F2147" s="93" t="s">
        <v>356</v>
      </c>
      <c r="G2147" s="93" t="s">
        <v>348</v>
      </c>
      <c r="H2147" s="93" t="s">
        <v>342</v>
      </c>
      <c r="I2147" s="94">
        <v>0.5</v>
      </c>
      <c r="J2147" s="95">
        <v>30</v>
      </c>
    </row>
    <row r="2148" spans="1:10" x14ac:dyDescent="0.25">
      <c r="A2148" s="92">
        <v>45919</v>
      </c>
      <c r="B2148" s="93" t="s">
        <v>326</v>
      </c>
      <c r="C2148" s="89" t="s">
        <v>40</v>
      </c>
      <c r="D2148" s="93" t="s">
        <v>227</v>
      </c>
      <c r="E2148" s="93" t="s">
        <v>36</v>
      </c>
      <c r="F2148" s="93" t="s">
        <v>453</v>
      </c>
      <c r="G2148" s="93" t="s">
        <v>348</v>
      </c>
      <c r="H2148" s="93" t="s">
        <v>342</v>
      </c>
      <c r="I2148" s="94">
        <v>0.83</v>
      </c>
      <c r="J2148" s="95">
        <v>49.8</v>
      </c>
    </row>
    <row r="2149" spans="1:10" x14ac:dyDescent="0.25">
      <c r="A2149" s="92">
        <v>45919</v>
      </c>
      <c r="B2149" s="93" t="s">
        <v>326</v>
      </c>
      <c r="C2149" s="89" t="s">
        <v>40</v>
      </c>
      <c r="D2149" s="93" t="s">
        <v>309</v>
      </c>
      <c r="E2149" s="93" t="s">
        <v>34</v>
      </c>
      <c r="F2149" s="93" t="s">
        <v>454</v>
      </c>
      <c r="G2149" s="93" t="s">
        <v>348</v>
      </c>
      <c r="H2149" s="93" t="s">
        <v>343</v>
      </c>
      <c r="I2149" s="94">
        <v>1</v>
      </c>
      <c r="J2149" s="95">
        <v>60</v>
      </c>
    </row>
    <row r="2150" spans="1:10" x14ac:dyDescent="0.25">
      <c r="A2150" s="92">
        <v>45919</v>
      </c>
      <c r="B2150" s="93" t="s">
        <v>332</v>
      </c>
      <c r="C2150" s="89" t="s">
        <v>40</v>
      </c>
      <c r="D2150" s="93" t="s">
        <v>314</v>
      </c>
      <c r="E2150" s="93" t="s">
        <v>35</v>
      </c>
      <c r="F2150" s="93" t="s">
        <v>359</v>
      </c>
      <c r="G2150" s="93" t="s">
        <v>339</v>
      </c>
      <c r="H2150" s="93" t="s">
        <v>352</v>
      </c>
      <c r="I2150" s="94">
        <v>9.33</v>
      </c>
      <c r="J2150" s="95">
        <v>373.2</v>
      </c>
    </row>
    <row r="2151" spans="1:10" x14ac:dyDescent="0.25">
      <c r="A2151" s="92">
        <v>45919</v>
      </c>
      <c r="B2151" s="93" t="s">
        <v>324</v>
      </c>
      <c r="C2151" s="89" t="s">
        <v>40</v>
      </c>
      <c r="D2151" s="93" t="s">
        <v>314</v>
      </c>
      <c r="E2151" s="93" t="s">
        <v>35</v>
      </c>
      <c r="F2151" s="93" t="s">
        <v>359</v>
      </c>
      <c r="G2151" s="93" t="s">
        <v>339</v>
      </c>
      <c r="H2151" s="93" t="s">
        <v>352</v>
      </c>
      <c r="I2151" s="94">
        <v>6</v>
      </c>
      <c r="J2151" s="95">
        <v>450</v>
      </c>
    </row>
    <row r="2152" spans="1:10" x14ac:dyDescent="0.25">
      <c r="A2152" s="92">
        <v>45920</v>
      </c>
      <c r="B2152" s="93" t="s">
        <v>332</v>
      </c>
      <c r="C2152" s="89" t="s">
        <v>40</v>
      </c>
      <c r="D2152" s="93" t="s">
        <v>314</v>
      </c>
      <c r="E2152" s="93" t="s">
        <v>35</v>
      </c>
      <c r="F2152" s="93" t="s">
        <v>359</v>
      </c>
      <c r="G2152" s="93" t="s">
        <v>339</v>
      </c>
      <c r="H2152" s="93" t="s">
        <v>352</v>
      </c>
      <c r="I2152" s="94">
        <v>3</v>
      </c>
      <c r="J2152" s="95">
        <v>120</v>
      </c>
    </row>
    <row r="2153" spans="1:10" x14ac:dyDescent="0.25">
      <c r="A2153" s="92">
        <v>45922</v>
      </c>
      <c r="B2153" s="93" t="s">
        <v>323</v>
      </c>
      <c r="C2153" s="89" t="s">
        <v>40</v>
      </c>
      <c r="D2153" s="93" t="s">
        <v>169</v>
      </c>
      <c r="E2153" s="93" t="s">
        <v>36</v>
      </c>
      <c r="F2153" s="93" t="s">
        <v>433</v>
      </c>
      <c r="G2153" s="93" t="s">
        <v>346</v>
      </c>
      <c r="H2153" s="93" t="s">
        <v>342</v>
      </c>
      <c r="I2153" s="94">
        <v>0.33</v>
      </c>
      <c r="J2153" s="95">
        <v>19.8</v>
      </c>
    </row>
    <row r="2154" spans="1:10" x14ac:dyDescent="0.25">
      <c r="A2154" s="92">
        <v>45922</v>
      </c>
      <c r="B2154" s="93" t="s">
        <v>323</v>
      </c>
      <c r="C2154" s="89" t="s">
        <v>40</v>
      </c>
      <c r="D2154" s="93" t="s">
        <v>208</v>
      </c>
      <c r="E2154" s="93" t="s">
        <v>36</v>
      </c>
      <c r="F2154" s="93" t="s">
        <v>456</v>
      </c>
      <c r="G2154" s="93" t="s">
        <v>346</v>
      </c>
      <c r="H2154" s="93" t="s">
        <v>342</v>
      </c>
      <c r="I2154" s="94">
        <v>0.25</v>
      </c>
      <c r="J2154" s="95">
        <v>15</v>
      </c>
    </row>
    <row r="2155" spans="1:10" x14ac:dyDescent="0.25">
      <c r="A2155" s="92">
        <v>45922</v>
      </c>
      <c r="B2155" s="93" t="s">
        <v>333</v>
      </c>
      <c r="C2155" s="89" t="s">
        <v>40</v>
      </c>
      <c r="D2155" s="93" t="s">
        <v>320</v>
      </c>
      <c r="E2155" s="93" t="s">
        <v>35</v>
      </c>
      <c r="F2155" s="93" t="s">
        <v>322</v>
      </c>
      <c r="G2155" s="93" t="s">
        <v>319</v>
      </c>
      <c r="H2155" s="93" t="s">
        <v>352</v>
      </c>
      <c r="I2155" s="94">
        <v>9.1300000000000008</v>
      </c>
      <c r="J2155" s="95">
        <v>292.16000000000003</v>
      </c>
    </row>
    <row r="2156" spans="1:10" x14ac:dyDescent="0.25">
      <c r="A2156" s="92">
        <v>45922</v>
      </c>
      <c r="B2156" s="93" t="s">
        <v>323</v>
      </c>
      <c r="C2156" s="89" t="s">
        <v>40</v>
      </c>
      <c r="D2156" s="93" t="s">
        <v>231</v>
      </c>
      <c r="E2156" s="93" t="s">
        <v>36</v>
      </c>
      <c r="F2156" s="93" t="s">
        <v>420</v>
      </c>
      <c r="G2156" s="93" t="s">
        <v>346</v>
      </c>
      <c r="H2156" s="93" t="s">
        <v>342</v>
      </c>
      <c r="I2156" s="94">
        <v>0.25</v>
      </c>
      <c r="J2156" s="95">
        <v>15</v>
      </c>
    </row>
    <row r="2157" spans="1:10" x14ac:dyDescent="0.25">
      <c r="A2157" s="92">
        <v>45922</v>
      </c>
      <c r="B2157" s="93" t="s">
        <v>325</v>
      </c>
      <c r="C2157" s="89" t="s">
        <v>40</v>
      </c>
      <c r="D2157" s="93" t="s">
        <v>198</v>
      </c>
      <c r="E2157" s="93" t="s">
        <v>34</v>
      </c>
      <c r="F2157" s="93" t="s">
        <v>413</v>
      </c>
      <c r="G2157" s="93" t="s">
        <v>347</v>
      </c>
      <c r="H2157" s="93" t="s">
        <v>343</v>
      </c>
      <c r="I2157" s="94">
        <v>0.25</v>
      </c>
      <c r="J2157" s="95">
        <v>18.75</v>
      </c>
    </row>
    <row r="2158" spans="1:10" x14ac:dyDescent="0.25">
      <c r="A2158" s="92">
        <v>45922</v>
      </c>
      <c r="B2158" s="93" t="s">
        <v>325</v>
      </c>
      <c r="C2158" s="89" t="s">
        <v>40</v>
      </c>
      <c r="D2158" s="93" t="s">
        <v>179</v>
      </c>
      <c r="E2158" s="93" t="s">
        <v>34</v>
      </c>
      <c r="F2158" s="93" t="s">
        <v>422</v>
      </c>
      <c r="G2158" s="93" t="s">
        <v>347</v>
      </c>
      <c r="H2158" s="93" t="s">
        <v>343</v>
      </c>
      <c r="I2158" s="94">
        <v>0.17</v>
      </c>
      <c r="J2158" s="95">
        <v>12.750000000000002</v>
      </c>
    </row>
    <row r="2159" spans="1:10" x14ac:dyDescent="0.25">
      <c r="A2159" s="92">
        <v>45922</v>
      </c>
      <c r="B2159" s="93" t="s">
        <v>325</v>
      </c>
      <c r="C2159" s="89" t="s">
        <v>40</v>
      </c>
      <c r="D2159" s="93" t="s">
        <v>262</v>
      </c>
      <c r="E2159" s="93" t="s">
        <v>34</v>
      </c>
      <c r="F2159" s="93" t="s">
        <v>442</v>
      </c>
      <c r="G2159" s="93" t="s">
        <v>347</v>
      </c>
      <c r="H2159" s="93" t="s">
        <v>343</v>
      </c>
      <c r="I2159" s="94">
        <v>0.42</v>
      </c>
      <c r="J2159" s="95">
        <v>31.5</v>
      </c>
    </row>
    <row r="2160" spans="1:10" x14ac:dyDescent="0.25">
      <c r="A2160" s="92">
        <v>45922</v>
      </c>
      <c r="B2160" s="93" t="s">
        <v>325</v>
      </c>
      <c r="C2160" s="89" t="s">
        <v>40</v>
      </c>
      <c r="D2160" s="93" t="s">
        <v>262</v>
      </c>
      <c r="E2160" s="93" t="s">
        <v>341</v>
      </c>
      <c r="F2160" s="93" t="s">
        <v>442</v>
      </c>
      <c r="G2160" s="93" t="s">
        <v>347</v>
      </c>
      <c r="H2160" s="93" t="s">
        <v>344</v>
      </c>
      <c r="I2160" s="94">
        <v>1.67</v>
      </c>
      <c r="J2160" s="95">
        <v>125.25</v>
      </c>
    </row>
    <row r="2161" spans="1:10" x14ac:dyDescent="0.25">
      <c r="A2161" s="92">
        <v>45922</v>
      </c>
      <c r="B2161" s="93" t="s">
        <v>332</v>
      </c>
      <c r="C2161" s="89" t="s">
        <v>40</v>
      </c>
      <c r="D2161" s="93" t="s">
        <v>314</v>
      </c>
      <c r="E2161" s="93" t="s">
        <v>35</v>
      </c>
      <c r="F2161" s="93" t="s">
        <v>359</v>
      </c>
      <c r="G2161" s="93" t="s">
        <v>339</v>
      </c>
      <c r="H2161" s="93" t="s">
        <v>352</v>
      </c>
      <c r="I2161" s="94">
        <v>9.08</v>
      </c>
      <c r="J2161" s="95">
        <v>363.2</v>
      </c>
    </row>
    <row r="2162" spans="1:10" x14ac:dyDescent="0.25">
      <c r="A2162" s="92">
        <v>45922</v>
      </c>
      <c r="B2162" s="93" t="s">
        <v>324</v>
      </c>
      <c r="C2162" s="89" t="s">
        <v>40</v>
      </c>
      <c r="D2162" s="93" t="s">
        <v>314</v>
      </c>
      <c r="E2162" s="93" t="s">
        <v>35</v>
      </c>
      <c r="F2162" s="93" t="s">
        <v>359</v>
      </c>
      <c r="G2162" s="93" t="s">
        <v>339</v>
      </c>
      <c r="H2162" s="93" t="s">
        <v>352</v>
      </c>
      <c r="I2162" s="94">
        <v>5.58</v>
      </c>
      <c r="J2162" s="95">
        <v>418.5</v>
      </c>
    </row>
    <row r="2163" spans="1:10" x14ac:dyDescent="0.25">
      <c r="A2163" s="92">
        <v>45923</v>
      </c>
      <c r="B2163" s="93" t="s">
        <v>329</v>
      </c>
      <c r="C2163" s="89" t="s">
        <v>40</v>
      </c>
      <c r="D2163" s="93" t="s">
        <v>316</v>
      </c>
      <c r="E2163" s="93" t="s">
        <v>35</v>
      </c>
      <c r="F2163" s="93" t="s">
        <v>338</v>
      </c>
      <c r="G2163" s="93" t="s">
        <v>337</v>
      </c>
      <c r="H2163" s="93" t="s">
        <v>352</v>
      </c>
      <c r="I2163" s="94">
        <v>1.25</v>
      </c>
      <c r="J2163" s="95">
        <v>93.75</v>
      </c>
    </row>
    <row r="2164" spans="1:10" x14ac:dyDescent="0.25">
      <c r="A2164" s="92">
        <v>45923</v>
      </c>
      <c r="B2164" s="93" t="s">
        <v>329</v>
      </c>
      <c r="C2164" s="89" t="s">
        <v>40</v>
      </c>
      <c r="D2164" s="93" t="s">
        <v>269</v>
      </c>
      <c r="E2164" s="93" t="s">
        <v>34</v>
      </c>
      <c r="F2164" s="93" t="s">
        <v>361</v>
      </c>
      <c r="G2164" s="93" t="s">
        <v>347</v>
      </c>
      <c r="H2164" s="93" t="s">
        <v>343</v>
      </c>
      <c r="I2164" s="94">
        <v>0.5</v>
      </c>
      <c r="J2164" s="95">
        <v>37.5</v>
      </c>
    </row>
    <row r="2165" spans="1:10" x14ac:dyDescent="0.25">
      <c r="A2165" s="92">
        <v>45923</v>
      </c>
      <c r="B2165" s="93" t="s">
        <v>323</v>
      </c>
      <c r="C2165" s="89" t="s">
        <v>40</v>
      </c>
      <c r="D2165" s="93" t="s">
        <v>168</v>
      </c>
      <c r="E2165" s="93" t="s">
        <v>36</v>
      </c>
      <c r="F2165" s="93" t="s">
        <v>419</v>
      </c>
      <c r="G2165" s="93" t="s">
        <v>346</v>
      </c>
      <c r="H2165" s="93" t="s">
        <v>342</v>
      </c>
      <c r="I2165" s="94">
        <v>0.25</v>
      </c>
      <c r="J2165" s="95">
        <v>15</v>
      </c>
    </row>
    <row r="2166" spans="1:10" x14ac:dyDescent="0.25">
      <c r="A2166" s="92">
        <v>45923</v>
      </c>
      <c r="B2166" s="93" t="s">
        <v>323</v>
      </c>
      <c r="C2166" s="89" t="s">
        <v>40</v>
      </c>
      <c r="D2166" s="93" t="s">
        <v>169</v>
      </c>
      <c r="E2166" s="93" t="s">
        <v>36</v>
      </c>
      <c r="F2166" s="93" t="s">
        <v>433</v>
      </c>
      <c r="G2166" s="93" t="s">
        <v>346</v>
      </c>
      <c r="H2166" s="93" t="s">
        <v>342</v>
      </c>
      <c r="I2166" s="94">
        <v>0.17</v>
      </c>
      <c r="J2166" s="95">
        <v>10.200000000000001</v>
      </c>
    </row>
    <row r="2167" spans="1:10" x14ac:dyDescent="0.25">
      <c r="A2167" s="92">
        <v>45923</v>
      </c>
      <c r="B2167" s="93" t="s">
        <v>333</v>
      </c>
      <c r="C2167" s="89" t="s">
        <v>40</v>
      </c>
      <c r="D2167" s="93" t="s">
        <v>320</v>
      </c>
      <c r="E2167" s="93" t="s">
        <v>35</v>
      </c>
      <c r="F2167" s="93" t="s">
        <v>322</v>
      </c>
      <c r="G2167" s="93" t="s">
        <v>319</v>
      </c>
      <c r="H2167" s="93" t="s">
        <v>352</v>
      </c>
      <c r="I2167" s="94">
        <v>8.8800000000000008</v>
      </c>
      <c r="J2167" s="95">
        <v>284.16000000000003</v>
      </c>
    </row>
    <row r="2168" spans="1:10" x14ac:dyDescent="0.25">
      <c r="A2168" s="92">
        <v>45923</v>
      </c>
      <c r="B2168" s="93" t="s">
        <v>323</v>
      </c>
      <c r="C2168" s="89" t="s">
        <v>40</v>
      </c>
      <c r="D2168" s="93" t="s">
        <v>231</v>
      </c>
      <c r="E2168" s="93" t="s">
        <v>36</v>
      </c>
      <c r="F2168" s="93" t="s">
        <v>420</v>
      </c>
      <c r="G2168" s="93" t="s">
        <v>346</v>
      </c>
      <c r="H2168" s="93" t="s">
        <v>342</v>
      </c>
      <c r="I2168" s="94">
        <v>0.25</v>
      </c>
      <c r="J2168" s="95">
        <v>15</v>
      </c>
    </row>
    <row r="2169" spans="1:10" x14ac:dyDescent="0.25">
      <c r="A2169" s="92">
        <v>45923</v>
      </c>
      <c r="B2169" s="93" t="s">
        <v>323</v>
      </c>
      <c r="C2169" s="89" t="s">
        <v>40</v>
      </c>
      <c r="D2169" s="93" t="s">
        <v>231</v>
      </c>
      <c r="E2169" s="93" t="s">
        <v>34</v>
      </c>
      <c r="F2169" s="93" t="s">
        <v>420</v>
      </c>
      <c r="G2169" s="93" t="s">
        <v>346</v>
      </c>
      <c r="H2169" s="93" t="s">
        <v>343</v>
      </c>
      <c r="I2169" s="94">
        <v>0.33</v>
      </c>
      <c r="J2169" s="95">
        <v>19.8</v>
      </c>
    </row>
    <row r="2170" spans="1:10" x14ac:dyDescent="0.25">
      <c r="A2170" s="92">
        <v>45923</v>
      </c>
      <c r="B2170" s="93" t="s">
        <v>323</v>
      </c>
      <c r="C2170" s="89" t="s">
        <v>40</v>
      </c>
      <c r="D2170" s="93" t="s">
        <v>286</v>
      </c>
      <c r="E2170" s="93" t="s">
        <v>34</v>
      </c>
      <c r="F2170" s="93" t="s">
        <v>434</v>
      </c>
      <c r="G2170" s="93" t="s">
        <v>346</v>
      </c>
      <c r="H2170" s="93" t="s">
        <v>343</v>
      </c>
      <c r="I2170" s="94">
        <v>0.33</v>
      </c>
      <c r="J2170" s="95">
        <v>19.8</v>
      </c>
    </row>
    <row r="2171" spans="1:10" x14ac:dyDescent="0.25">
      <c r="A2171" s="92">
        <v>45923</v>
      </c>
      <c r="B2171" s="93" t="s">
        <v>323</v>
      </c>
      <c r="C2171" s="89" t="s">
        <v>40</v>
      </c>
      <c r="D2171" s="93" t="s">
        <v>232</v>
      </c>
      <c r="E2171" s="93" t="s">
        <v>341</v>
      </c>
      <c r="F2171" s="93" t="s">
        <v>393</v>
      </c>
      <c r="G2171" s="93" t="s">
        <v>346</v>
      </c>
      <c r="H2171" s="93" t="s">
        <v>344</v>
      </c>
      <c r="I2171" s="94">
        <v>1</v>
      </c>
      <c r="J2171" s="95">
        <v>60</v>
      </c>
    </row>
    <row r="2172" spans="1:10" x14ac:dyDescent="0.25">
      <c r="A2172" s="92">
        <v>45923</v>
      </c>
      <c r="B2172" s="93" t="s">
        <v>325</v>
      </c>
      <c r="C2172" s="89" t="s">
        <v>40</v>
      </c>
      <c r="D2172" s="93" t="s">
        <v>271</v>
      </c>
      <c r="E2172" s="93" t="s">
        <v>36</v>
      </c>
      <c r="F2172" s="93" t="s">
        <v>363</v>
      </c>
      <c r="G2172" s="93" t="s">
        <v>347</v>
      </c>
      <c r="H2172" s="93" t="s">
        <v>342</v>
      </c>
      <c r="I2172" s="94">
        <v>0.17</v>
      </c>
      <c r="J2172" s="95">
        <v>12.750000000000002</v>
      </c>
    </row>
    <row r="2173" spans="1:10" x14ac:dyDescent="0.25">
      <c r="A2173" s="92">
        <v>45923</v>
      </c>
      <c r="B2173" s="93" t="s">
        <v>329</v>
      </c>
      <c r="C2173" s="89" t="s">
        <v>40</v>
      </c>
      <c r="D2173" s="93" t="s">
        <v>302</v>
      </c>
      <c r="E2173" s="93" t="s">
        <v>34</v>
      </c>
      <c r="F2173" s="93" t="s">
        <v>398</v>
      </c>
      <c r="G2173" s="93" t="s">
        <v>347</v>
      </c>
      <c r="H2173" s="93" t="s">
        <v>343</v>
      </c>
      <c r="I2173" s="94">
        <v>0.5</v>
      </c>
      <c r="J2173" s="95">
        <v>37.5</v>
      </c>
    </row>
    <row r="2174" spans="1:10" x14ac:dyDescent="0.25">
      <c r="A2174" s="92">
        <v>45923</v>
      </c>
      <c r="B2174" s="93" t="s">
        <v>325</v>
      </c>
      <c r="C2174" s="89" t="s">
        <v>40</v>
      </c>
      <c r="D2174" s="93" t="s">
        <v>210</v>
      </c>
      <c r="E2174" s="93" t="s">
        <v>34</v>
      </c>
      <c r="F2174" s="93" t="s">
        <v>399</v>
      </c>
      <c r="G2174" s="93" t="s">
        <v>347</v>
      </c>
      <c r="H2174" s="93" t="s">
        <v>343</v>
      </c>
      <c r="I2174" s="94">
        <v>0.17</v>
      </c>
      <c r="J2174" s="95">
        <v>12.750000000000002</v>
      </c>
    </row>
    <row r="2175" spans="1:10" x14ac:dyDescent="0.25">
      <c r="A2175" s="92">
        <v>45923</v>
      </c>
      <c r="B2175" s="93" t="s">
        <v>329</v>
      </c>
      <c r="C2175" s="89" t="s">
        <v>40</v>
      </c>
      <c r="D2175" s="93" t="s">
        <v>301</v>
      </c>
      <c r="E2175" s="93" t="s">
        <v>34</v>
      </c>
      <c r="F2175" s="93" t="s">
        <v>371</v>
      </c>
      <c r="G2175" s="93" t="s">
        <v>347</v>
      </c>
      <c r="H2175" s="93" t="s">
        <v>343</v>
      </c>
      <c r="I2175" s="94">
        <v>0.25</v>
      </c>
      <c r="J2175" s="95">
        <v>18.75</v>
      </c>
    </row>
    <row r="2176" spans="1:10" x14ac:dyDescent="0.25">
      <c r="A2176" s="92">
        <v>45923</v>
      </c>
      <c r="B2176" s="93" t="s">
        <v>329</v>
      </c>
      <c r="C2176" s="89" t="s">
        <v>40</v>
      </c>
      <c r="D2176" s="93" t="s">
        <v>229</v>
      </c>
      <c r="E2176" s="93" t="s">
        <v>34</v>
      </c>
      <c r="F2176" s="93" t="s">
        <v>373</v>
      </c>
      <c r="G2176" s="93" t="s">
        <v>347</v>
      </c>
      <c r="H2176" s="93" t="s">
        <v>343</v>
      </c>
      <c r="I2176" s="94">
        <v>0.5</v>
      </c>
      <c r="J2176" s="95">
        <v>37.5</v>
      </c>
    </row>
    <row r="2177" spans="1:10" x14ac:dyDescent="0.25">
      <c r="A2177" s="92">
        <v>45923</v>
      </c>
      <c r="B2177" s="93" t="s">
        <v>329</v>
      </c>
      <c r="C2177" s="89" t="s">
        <v>40</v>
      </c>
      <c r="D2177" s="93" t="s">
        <v>242</v>
      </c>
      <c r="E2177" s="93" t="s">
        <v>34</v>
      </c>
      <c r="F2177" s="93" t="s">
        <v>404</v>
      </c>
      <c r="G2177" s="93" t="s">
        <v>347</v>
      </c>
      <c r="H2177" s="93" t="s">
        <v>343</v>
      </c>
      <c r="I2177" s="94">
        <v>0.08</v>
      </c>
      <c r="J2177" s="95">
        <v>6</v>
      </c>
    </row>
    <row r="2178" spans="1:10" x14ac:dyDescent="0.25">
      <c r="A2178" s="92">
        <v>45923</v>
      </c>
      <c r="B2178" s="93" t="s">
        <v>329</v>
      </c>
      <c r="C2178" s="89" t="s">
        <v>40</v>
      </c>
      <c r="D2178" s="93" t="s">
        <v>294</v>
      </c>
      <c r="E2178" s="93" t="s">
        <v>34</v>
      </c>
      <c r="F2178" s="93" t="s">
        <v>377</v>
      </c>
      <c r="G2178" s="93" t="s">
        <v>347</v>
      </c>
      <c r="H2178" s="93" t="s">
        <v>343</v>
      </c>
      <c r="I2178" s="94">
        <v>0.5</v>
      </c>
      <c r="J2178" s="95">
        <v>37.5</v>
      </c>
    </row>
    <row r="2179" spans="1:10" x14ac:dyDescent="0.25">
      <c r="A2179" s="92">
        <v>45923</v>
      </c>
      <c r="B2179" s="93" t="s">
        <v>329</v>
      </c>
      <c r="C2179" s="89" t="s">
        <v>40</v>
      </c>
      <c r="D2179" s="93" t="s">
        <v>295</v>
      </c>
      <c r="E2179" s="93" t="s">
        <v>34</v>
      </c>
      <c r="F2179" s="93" t="s">
        <v>379</v>
      </c>
      <c r="G2179" s="93" t="s">
        <v>347</v>
      </c>
      <c r="H2179" s="93" t="s">
        <v>343</v>
      </c>
      <c r="I2179" s="94">
        <v>0.5</v>
      </c>
      <c r="J2179" s="95">
        <v>37.5</v>
      </c>
    </row>
    <row r="2180" spans="1:10" x14ac:dyDescent="0.25">
      <c r="A2180" s="92">
        <v>45923</v>
      </c>
      <c r="B2180" s="93" t="s">
        <v>329</v>
      </c>
      <c r="C2180" s="89" t="s">
        <v>40</v>
      </c>
      <c r="D2180" s="93" t="s">
        <v>296</v>
      </c>
      <c r="E2180" s="93" t="s">
        <v>34</v>
      </c>
      <c r="F2180" s="93" t="s">
        <v>411</v>
      </c>
      <c r="G2180" s="93" t="s">
        <v>347</v>
      </c>
      <c r="H2180" s="93" t="s">
        <v>343</v>
      </c>
      <c r="I2180" s="94">
        <v>0.08</v>
      </c>
      <c r="J2180" s="95">
        <v>6</v>
      </c>
    </row>
    <row r="2181" spans="1:10" x14ac:dyDescent="0.25">
      <c r="A2181" s="92">
        <v>45923</v>
      </c>
      <c r="B2181" s="93" t="s">
        <v>329</v>
      </c>
      <c r="C2181" s="89" t="s">
        <v>40</v>
      </c>
      <c r="D2181" s="93" t="s">
        <v>297</v>
      </c>
      <c r="E2181" s="93" t="s">
        <v>34</v>
      </c>
      <c r="F2181" s="93" t="s">
        <v>380</v>
      </c>
      <c r="G2181" s="93" t="s">
        <v>347</v>
      </c>
      <c r="H2181" s="93" t="s">
        <v>343</v>
      </c>
      <c r="I2181" s="94">
        <v>0.25</v>
      </c>
      <c r="J2181" s="95">
        <v>18.75</v>
      </c>
    </row>
    <row r="2182" spans="1:10" x14ac:dyDescent="0.25">
      <c r="A2182" s="92">
        <v>45923</v>
      </c>
      <c r="B2182" s="93" t="s">
        <v>329</v>
      </c>
      <c r="C2182" s="89" t="s">
        <v>40</v>
      </c>
      <c r="D2182" s="93" t="s">
        <v>247</v>
      </c>
      <c r="E2182" s="93" t="s">
        <v>34</v>
      </c>
      <c r="F2182" s="93" t="s">
        <v>375</v>
      </c>
      <c r="G2182" s="93" t="s">
        <v>347</v>
      </c>
      <c r="H2182" s="93" t="s">
        <v>343</v>
      </c>
      <c r="I2182" s="94">
        <v>0.17</v>
      </c>
      <c r="J2182" s="95">
        <v>12.750000000000002</v>
      </c>
    </row>
    <row r="2183" spans="1:10" x14ac:dyDescent="0.25">
      <c r="A2183" s="92">
        <v>45923</v>
      </c>
      <c r="B2183" s="93" t="s">
        <v>329</v>
      </c>
      <c r="C2183" s="89" t="s">
        <v>40</v>
      </c>
      <c r="D2183" s="93" t="s">
        <v>268</v>
      </c>
      <c r="E2183" s="93" t="s">
        <v>34</v>
      </c>
      <c r="F2183" s="93" t="s">
        <v>386</v>
      </c>
      <c r="G2183" s="93" t="s">
        <v>347</v>
      </c>
      <c r="H2183" s="93" t="s">
        <v>343</v>
      </c>
      <c r="I2183" s="94">
        <v>0.5</v>
      </c>
      <c r="J2183" s="95">
        <v>37.5</v>
      </c>
    </row>
    <row r="2184" spans="1:10" x14ac:dyDescent="0.25">
      <c r="A2184" s="92">
        <v>45923</v>
      </c>
      <c r="B2184" s="93" t="s">
        <v>329</v>
      </c>
      <c r="C2184" s="89" t="s">
        <v>40</v>
      </c>
      <c r="D2184" s="93" t="s">
        <v>272</v>
      </c>
      <c r="E2184" s="93" t="s">
        <v>34</v>
      </c>
      <c r="F2184" s="93" t="s">
        <v>362</v>
      </c>
      <c r="G2184" s="93" t="s">
        <v>347</v>
      </c>
      <c r="H2184" s="93" t="s">
        <v>343</v>
      </c>
      <c r="I2184" s="94">
        <v>0.5</v>
      </c>
      <c r="J2184" s="95">
        <v>37.5</v>
      </c>
    </row>
    <row r="2185" spans="1:10" x14ac:dyDescent="0.25">
      <c r="A2185" s="92">
        <v>45923</v>
      </c>
      <c r="B2185" s="93" t="s">
        <v>330</v>
      </c>
      <c r="C2185" s="89" t="s">
        <v>40</v>
      </c>
      <c r="D2185" s="93" t="s">
        <v>297</v>
      </c>
      <c r="E2185" s="93" t="s">
        <v>341</v>
      </c>
      <c r="F2185" s="93" t="s">
        <v>380</v>
      </c>
      <c r="G2185" s="93" t="s">
        <v>347</v>
      </c>
      <c r="H2185" s="93" t="s">
        <v>344</v>
      </c>
      <c r="I2185" s="94">
        <v>3.5</v>
      </c>
      <c r="J2185" s="95">
        <v>210</v>
      </c>
    </row>
    <row r="2186" spans="1:10" x14ac:dyDescent="0.25">
      <c r="A2186" s="92">
        <v>45923</v>
      </c>
      <c r="B2186" s="93" t="s">
        <v>326</v>
      </c>
      <c r="C2186" s="89" t="s">
        <v>40</v>
      </c>
      <c r="D2186" s="93" t="s">
        <v>265</v>
      </c>
      <c r="E2186" s="93" t="s">
        <v>34</v>
      </c>
      <c r="F2186" s="93" t="s">
        <v>358</v>
      </c>
      <c r="G2186" s="93" t="s">
        <v>348</v>
      </c>
      <c r="H2186" s="93" t="s">
        <v>343</v>
      </c>
      <c r="I2186" s="94">
        <v>1.33</v>
      </c>
      <c r="J2186" s="95">
        <v>79.800000000000011</v>
      </c>
    </row>
    <row r="2187" spans="1:10" x14ac:dyDescent="0.25">
      <c r="A2187" s="92">
        <v>45923</v>
      </c>
      <c r="B2187" s="93" t="s">
        <v>332</v>
      </c>
      <c r="C2187" s="89" t="s">
        <v>40</v>
      </c>
      <c r="D2187" s="93" t="s">
        <v>314</v>
      </c>
      <c r="E2187" s="93" t="s">
        <v>35</v>
      </c>
      <c r="F2187" s="93" t="s">
        <v>359</v>
      </c>
      <c r="G2187" s="93" t="s">
        <v>339</v>
      </c>
      <c r="H2187" s="93" t="s">
        <v>352</v>
      </c>
      <c r="I2187" s="94">
        <v>9</v>
      </c>
      <c r="J2187" s="95">
        <v>360</v>
      </c>
    </row>
    <row r="2188" spans="1:10" x14ac:dyDescent="0.25">
      <c r="A2188" s="92">
        <v>45923</v>
      </c>
      <c r="B2188" s="93" t="s">
        <v>324</v>
      </c>
      <c r="C2188" s="89" t="s">
        <v>40</v>
      </c>
      <c r="D2188" s="93" t="s">
        <v>314</v>
      </c>
      <c r="E2188" s="93" t="s">
        <v>35</v>
      </c>
      <c r="F2188" s="93" t="s">
        <v>359</v>
      </c>
      <c r="G2188" s="93" t="s">
        <v>339</v>
      </c>
      <c r="H2188" s="93" t="s">
        <v>352</v>
      </c>
      <c r="I2188" s="94">
        <v>6.25</v>
      </c>
      <c r="J2188" s="95">
        <v>468.75</v>
      </c>
    </row>
    <row r="2189" spans="1:10" x14ac:dyDescent="0.25">
      <c r="A2189" s="92">
        <v>45924</v>
      </c>
      <c r="B2189" s="93" t="s">
        <v>329</v>
      </c>
      <c r="C2189" s="89" t="s">
        <v>40</v>
      </c>
      <c r="D2189" s="93" t="s">
        <v>316</v>
      </c>
      <c r="E2189" s="93" t="s">
        <v>35</v>
      </c>
      <c r="F2189" s="93" t="s">
        <v>338</v>
      </c>
      <c r="G2189" s="93" t="s">
        <v>337</v>
      </c>
      <c r="H2189" s="93" t="s">
        <v>352</v>
      </c>
      <c r="I2189" s="94">
        <v>1.25</v>
      </c>
      <c r="J2189" s="95">
        <v>93.75</v>
      </c>
    </row>
    <row r="2190" spans="1:10" x14ac:dyDescent="0.25">
      <c r="A2190" s="92">
        <v>45924</v>
      </c>
      <c r="B2190" s="93" t="s">
        <v>329</v>
      </c>
      <c r="C2190" s="89" t="s">
        <v>40</v>
      </c>
      <c r="D2190" s="93" t="s">
        <v>272</v>
      </c>
      <c r="E2190" s="93" t="s">
        <v>34</v>
      </c>
      <c r="F2190" s="93" t="s">
        <v>362</v>
      </c>
      <c r="G2190" s="93" t="s">
        <v>347</v>
      </c>
      <c r="H2190" s="93" t="s">
        <v>343</v>
      </c>
      <c r="I2190" s="94">
        <v>0.25</v>
      </c>
      <c r="J2190" s="95">
        <v>18.75</v>
      </c>
    </row>
    <row r="2191" spans="1:10" x14ac:dyDescent="0.25">
      <c r="A2191" s="92">
        <v>45924</v>
      </c>
      <c r="B2191" s="93" t="s">
        <v>329</v>
      </c>
      <c r="C2191" s="89" t="s">
        <v>40</v>
      </c>
      <c r="D2191" s="93" t="s">
        <v>268</v>
      </c>
      <c r="E2191" s="93" t="s">
        <v>34</v>
      </c>
      <c r="F2191" s="93" t="s">
        <v>386</v>
      </c>
      <c r="G2191" s="93" t="s">
        <v>347</v>
      </c>
      <c r="H2191" s="93" t="s">
        <v>343</v>
      </c>
      <c r="I2191" s="94">
        <v>0.33</v>
      </c>
      <c r="J2191" s="95">
        <v>24.75</v>
      </c>
    </row>
    <row r="2192" spans="1:10" x14ac:dyDescent="0.25">
      <c r="A2192" s="92">
        <v>45924</v>
      </c>
      <c r="B2192" s="93" t="s">
        <v>329</v>
      </c>
      <c r="C2192" s="89" t="s">
        <v>40</v>
      </c>
      <c r="D2192" s="93" t="s">
        <v>269</v>
      </c>
      <c r="E2192" s="93" t="s">
        <v>341</v>
      </c>
      <c r="F2192" s="93" t="s">
        <v>361</v>
      </c>
      <c r="G2192" s="93" t="s">
        <v>347</v>
      </c>
      <c r="H2192" s="93" t="s">
        <v>344</v>
      </c>
      <c r="I2192" s="94">
        <v>1.5</v>
      </c>
      <c r="J2192" s="95">
        <v>112.5</v>
      </c>
    </row>
    <row r="2193" spans="1:10" x14ac:dyDescent="0.25">
      <c r="A2193" s="92">
        <v>45924</v>
      </c>
      <c r="B2193" s="93" t="s">
        <v>329</v>
      </c>
      <c r="C2193" s="89" t="s">
        <v>40</v>
      </c>
      <c r="D2193" s="93" t="s">
        <v>272</v>
      </c>
      <c r="E2193" s="93" t="s">
        <v>341</v>
      </c>
      <c r="F2193" s="93" t="s">
        <v>362</v>
      </c>
      <c r="G2193" s="93" t="s">
        <v>347</v>
      </c>
      <c r="H2193" s="93" t="s">
        <v>344</v>
      </c>
      <c r="I2193" s="94">
        <v>3.25</v>
      </c>
      <c r="J2193" s="95">
        <v>243.75</v>
      </c>
    </row>
    <row r="2194" spans="1:10" x14ac:dyDescent="0.25">
      <c r="A2194" s="92">
        <v>45924</v>
      </c>
      <c r="B2194" s="93" t="s">
        <v>329</v>
      </c>
      <c r="C2194" s="89" t="s">
        <v>40</v>
      </c>
      <c r="D2194" s="93" t="s">
        <v>268</v>
      </c>
      <c r="E2194" s="93" t="s">
        <v>341</v>
      </c>
      <c r="F2194" s="93" t="s">
        <v>386</v>
      </c>
      <c r="G2194" s="93" t="s">
        <v>347</v>
      </c>
      <c r="H2194" s="93" t="s">
        <v>344</v>
      </c>
      <c r="I2194" s="94">
        <v>1</v>
      </c>
      <c r="J2194" s="95">
        <v>75</v>
      </c>
    </row>
    <row r="2195" spans="1:10" x14ac:dyDescent="0.25">
      <c r="A2195" s="92">
        <v>45924</v>
      </c>
      <c r="B2195" s="93" t="s">
        <v>327</v>
      </c>
      <c r="C2195" s="89" t="s">
        <v>40</v>
      </c>
      <c r="D2195" s="93" t="s">
        <v>320</v>
      </c>
      <c r="E2195" s="93" t="s">
        <v>35</v>
      </c>
      <c r="F2195" s="93" t="s">
        <v>322</v>
      </c>
      <c r="G2195" s="93" t="s">
        <v>319</v>
      </c>
      <c r="H2195" s="93" t="s">
        <v>352</v>
      </c>
      <c r="I2195" s="94">
        <v>7.5</v>
      </c>
      <c r="J2195" s="95">
        <v>240</v>
      </c>
    </row>
    <row r="2196" spans="1:10" x14ac:dyDescent="0.25">
      <c r="A2196" s="92">
        <v>45924</v>
      </c>
      <c r="B2196" s="93" t="s">
        <v>323</v>
      </c>
      <c r="C2196" s="89" t="s">
        <v>40</v>
      </c>
      <c r="D2196" s="93" t="s">
        <v>245</v>
      </c>
      <c r="E2196" s="93" t="s">
        <v>34</v>
      </c>
      <c r="F2196" s="93" t="s">
        <v>435</v>
      </c>
      <c r="G2196" s="93" t="s">
        <v>346</v>
      </c>
      <c r="H2196" s="93" t="s">
        <v>343</v>
      </c>
      <c r="I2196" s="94">
        <v>1</v>
      </c>
      <c r="J2196" s="95">
        <v>60</v>
      </c>
    </row>
    <row r="2197" spans="1:10" x14ac:dyDescent="0.25">
      <c r="A2197" s="92">
        <v>45924</v>
      </c>
      <c r="B2197" s="93" t="s">
        <v>323</v>
      </c>
      <c r="C2197" s="89" t="s">
        <v>40</v>
      </c>
      <c r="D2197" s="93" t="s">
        <v>281</v>
      </c>
      <c r="E2197" s="93" t="s">
        <v>34</v>
      </c>
      <c r="F2197" s="93" t="s">
        <v>430</v>
      </c>
      <c r="G2197" s="93" t="s">
        <v>346</v>
      </c>
      <c r="H2197" s="93" t="s">
        <v>343</v>
      </c>
      <c r="I2197" s="94">
        <v>0.25</v>
      </c>
      <c r="J2197" s="95">
        <v>15</v>
      </c>
    </row>
    <row r="2198" spans="1:10" x14ac:dyDescent="0.25">
      <c r="A2198" s="92">
        <v>45924</v>
      </c>
      <c r="B2198" s="93" t="s">
        <v>323</v>
      </c>
      <c r="C2198" s="89" t="s">
        <v>40</v>
      </c>
      <c r="D2198" s="93" t="s">
        <v>286</v>
      </c>
      <c r="E2198" s="93" t="s">
        <v>34</v>
      </c>
      <c r="F2198" s="93" t="s">
        <v>434</v>
      </c>
      <c r="G2198" s="93" t="s">
        <v>346</v>
      </c>
      <c r="H2198" s="93" t="s">
        <v>343</v>
      </c>
      <c r="I2198" s="94">
        <v>0.5</v>
      </c>
      <c r="J2198" s="95">
        <v>30</v>
      </c>
    </row>
    <row r="2199" spans="1:10" x14ac:dyDescent="0.25">
      <c r="A2199" s="92">
        <v>45924</v>
      </c>
      <c r="B2199" s="93" t="s">
        <v>325</v>
      </c>
      <c r="C2199" s="89" t="s">
        <v>40</v>
      </c>
      <c r="D2199" s="93" t="s">
        <v>179</v>
      </c>
      <c r="E2199" s="93" t="s">
        <v>34</v>
      </c>
      <c r="F2199" s="93" t="s">
        <v>422</v>
      </c>
      <c r="G2199" s="93" t="s">
        <v>347</v>
      </c>
      <c r="H2199" s="93" t="s">
        <v>343</v>
      </c>
      <c r="I2199" s="94">
        <v>0.33</v>
      </c>
      <c r="J2199" s="95">
        <v>24.75</v>
      </c>
    </row>
    <row r="2200" spans="1:10" x14ac:dyDescent="0.25">
      <c r="A2200" s="92">
        <v>45924</v>
      </c>
      <c r="B2200" s="93" t="s">
        <v>329</v>
      </c>
      <c r="C2200" s="89" t="s">
        <v>40</v>
      </c>
      <c r="D2200" s="93" t="s">
        <v>206</v>
      </c>
      <c r="E2200" s="93" t="s">
        <v>34</v>
      </c>
      <c r="F2200" s="93" t="s">
        <v>367</v>
      </c>
      <c r="G2200" s="93" t="s">
        <v>347</v>
      </c>
      <c r="H2200" s="93" t="s">
        <v>343</v>
      </c>
      <c r="I2200" s="94">
        <v>0.33</v>
      </c>
      <c r="J2200" s="95">
        <v>24.75</v>
      </c>
    </row>
    <row r="2201" spans="1:10" x14ac:dyDescent="0.25">
      <c r="A2201" s="92">
        <v>45924</v>
      </c>
      <c r="B2201" s="93" t="s">
        <v>329</v>
      </c>
      <c r="C2201" s="89" t="s">
        <v>40</v>
      </c>
      <c r="D2201" s="93" t="s">
        <v>229</v>
      </c>
      <c r="E2201" s="93" t="s">
        <v>34</v>
      </c>
      <c r="F2201" s="93" t="s">
        <v>373</v>
      </c>
      <c r="G2201" s="93" t="s">
        <v>347</v>
      </c>
      <c r="H2201" s="93" t="s">
        <v>343</v>
      </c>
      <c r="I2201" s="94">
        <v>0.25</v>
      </c>
      <c r="J2201" s="95">
        <v>18.75</v>
      </c>
    </row>
    <row r="2202" spans="1:10" x14ac:dyDescent="0.25">
      <c r="A2202" s="92">
        <v>45924</v>
      </c>
      <c r="B2202" s="93" t="s">
        <v>325</v>
      </c>
      <c r="C2202" s="89" t="s">
        <v>40</v>
      </c>
      <c r="D2202" s="93" t="s">
        <v>271</v>
      </c>
      <c r="E2202" s="93" t="s">
        <v>34</v>
      </c>
      <c r="F2202" s="93" t="s">
        <v>363</v>
      </c>
      <c r="G2202" s="93" t="s">
        <v>347</v>
      </c>
      <c r="H2202" s="93" t="s">
        <v>343</v>
      </c>
      <c r="I2202" s="94">
        <v>0.33</v>
      </c>
      <c r="J2202" s="95">
        <v>24.75</v>
      </c>
    </row>
    <row r="2203" spans="1:10" x14ac:dyDescent="0.25">
      <c r="A2203" s="92">
        <v>45924</v>
      </c>
      <c r="B2203" s="93" t="s">
        <v>330</v>
      </c>
      <c r="C2203" s="89" t="s">
        <v>40</v>
      </c>
      <c r="D2203" s="93" t="s">
        <v>178</v>
      </c>
      <c r="E2203" s="93" t="s">
        <v>34</v>
      </c>
      <c r="F2203" s="93" t="s">
        <v>460</v>
      </c>
      <c r="G2203" s="93" t="s">
        <v>347</v>
      </c>
      <c r="H2203" s="93" t="s">
        <v>343</v>
      </c>
      <c r="I2203" s="94">
        <v>0.5</v>
      </c>
      <c r="J2203" s="95">
        <v>30</v>
      </c>
    </row>
    <row r="2204" spans="1:10" x14ac:dyDescent="0.25">
      <c r="A2204" s="92">
        <v>45924</v>
      </c>
      <c r="B2204" s="93" t="s">
        <v>329</v>
      </c>
      <c r="C2204" s="89" t="s">
        <v>40</v>
      </c>
      <c r="D2204" s="93" t="s">
        <v>293</v>
      </c>
      <c r="E2204" s="93" t="s">
        <v>34</v>
      </c>
      <c r="F2204" s="93" t="s">
        <v>376</v>
      </c>
      <c r="G2204" s="93" t="s">
        <v>347</v>
      </c>
      <c r="H2204" s="93" t="s">
        <v>343</v>
      </c>
      <c r="I2204" s="94">
        <v>0.25</v>
      </c>
      <c r="J2204" s="95">
        <v>18.75</v>
      </c>
    </row>
    <row r="2205" spans="1:10" x14ac:dyDescent="0.25">
      <c r="A2205" s="92">
        <v>45924</v>
      </c>
      <c r="B2205" s="93" t="s">
        <v>329</v>
      </c>
      <c r="C2205" s="89" t="s">
        <v>40</v>
      </c>
      <c r="D2205" s="93" t="s">
        <v>294</v>
      </c>
      <c r="E2205" s="93" t="s">
        <v>34</v>
      </c>
      <c r="F2205" s="93" t="s">
        <v>377</v>
      </c>
      <c r="G2205" s="93" t="s">
        <v>347</v>
      </c>
      <c r="H2205" s="93" t="s">
        <v>343</v>
      </c>
      <c r="I2205" s="94">
        <v>0.08</v>
      </c>
      <c r="J2205" s="95">
        <v>6</v>
      </c>
    </row>
    <row r="2206" spans="1:10" x14ac:dyDescent="0.25">
      <c r="A2206" s="92">
        <v>45924</v>
      </c>
      <c r="B2206" s="93" t="s">
        <v>325</v>
      </c>
      <c r="C2206" s="89" t="s">
        <v>40</v>
      </c>
      <c r="D2206" s="93" t="s">
        <v>262</v>
      </c>
      <c r="E2206" s="93" t="s">
        <v>34</v>
      </c>
      <c r="F2206" s="93" t="s">
        <v>442</v>
      </c>
      <c r="G2206" s="93" t="s">
        <v>347</v>
      </c>
      <c r="H2206" s="93" t="s">
        <v>343</v>
      </c>
      <c r="I2206" s="94">
        <v>0.17</v>
      </c>
      <c r="J2206" s="95">
        <v>12.750000000000002</v>
      </c>
    </row>
    <row r="2207" spans="1:10" x14ac:dyDescent="0.25">
      <c r="A2207" s="92">
        <v>45924</v>
      </c>
      <c r="B2207" s="93" t="s">
        <v>325</v>
      </c>
      <c r="C2207" s="89" t="s">
        <v>40</v>
      </c>
      <c r="D2207" s="93" t="s">
        <v>249</v>
      </c>
      <c r="E2207" s="93" t="s">
        <v>34</v>
      </c>
      <c r="F2207" s="93" t="s">
        <v>409</v>
      </c>
      <c r="G2207" s="93" t="s">
        <v>347</v>
      </c>
      <c r="H2207" s="93" t="s">
        <v>343</v>
      </c>
      <c r="I2207" s="94">
        <v>0.25</v>
      </c>
      <c r="J2207" s="95">
        <v>18.75</v>
      </c>
    </row>
    <row r="2208" spans="1:10" x14ac:dyDescent="0.25">
      <c r="A2208" s="92">
        <v>45924</v>
      </c>
      <c r="B2208" s="93" t="s">
        <v>329</v>
      </c>
      <c r="C2208" s="89" t="s">
        <v>40</v>
      </c>
      <c r="D2208" s="93" t="s">
        <v>247</v>
      </c>
      <c r="E2208" s="93" t="s">
        <v>34</v>
      </c>
      <c r="F2208" s="93" t="s">
        <v>375</v>
      </c>
      <c r="G2208" s="93" t="s">
        <v>347</v>
      </c>
      <c r="H2208" s="93" t="s">
        <v>343</v>
      </c>
      <c r="I2208" s="94">
        <v>0.08</v>
      </c>
      <c r="J2208" s="95">
        <v>6</v>
      </c>
    </row>
    <row r="2209" spans="1:10" x14ac:dyDescent="0.25">
      <c r="A2209" s="92">
        <v>45924</v>
      </c>
      <c r="B2209" s="93" t="s">
        <v>325</v>
      </c>
      <c r="C2209" s="89" t="s">
        <v>40</v>
      </c>
      <c r="D2209" s="93" t="s">
        <v>278</v>
      </c>
      <c r="E2209" s="93" t="s">
        <v>34</v>
      </c>
      <c r="F2209" s="93" t="s">
        <v>452</v>
      </c>
      <c r="G2209" s="93" t="s">
        <v>347</v>
      </c>
      <c r="H2209" s="93" t="s">
        <v>343</v>
      </c>
      <c r="I2209" s="94">
        <v>0.17</v>
      </c>
      <c r="J2209" s="95">
        <v>12.750000000000002</v>
      </c>
    </row>
    <row r="2210" spans="1:10" x14ac:dyDescent="0.25">
      <c r="A2210" s="92">
        <v>45924</v>
      </c>
      <c r="B2210" s="93" t="s">
        <v>329</v>
      </c>
      <c r="C2210" s="89" t="s">
        <v>40</v>
      </c>
      <c r="D2210" s="93" t="s">
        <v>230</v>
      </c>
      <c r="E2210" s="93" t="s">
        <v>34</v>
      </c>
      <c r="F2210" s="93" t="s">
        <v>410</v>
      </c>
      <c r="G2210" s="93" t="s">
        <v>347</v>
      </c>
      <c r="H2210" s="93" t="s">
        <v>343</v>
      </c>
      <c r="I2210" s="94">
        <v>0.5</v>
      </c>
      <c r="J2210" s="95">
        <v>37.5</v>
      </c>
    </row>
    <row r="2211" spans="1:10" x14ac:dyDescent="0.25">
      <c r="A2211" s="92">
        <v>45924</v>
      </c>
      <c r="B2211" s="93" t="s">
        <v>326</v>
      </c>
      <c r="C2211" s="89" t="s">
        <v>40</v>
      </c>
      <c r="D2211" s="93" t="s">
        <v>188</v>
      </c>
      <c r="E2211" s="93" t="s">
        <v>36</v>
      </c>
      <c r="F2211" s="93" t="s">
        <v>356</v>
      </c>
      <c r="G2211" s="93" t="s">
        <v>348</v>
      </c>
      <c r="H2211" s="93" t="s">
        <v>342</v>
      </c>
      <c r="I2211" s="94">
        <v>1</v>
      </c>
      <c r="J2211" s="95">
        <v>60</v>
      </c>
    </row>
    <row r="2212" spans="1:10" x14ac:dyDescent="0.25">
      <c r="A2212" s="92">
        <v>45924</v>
      </c>
      <c r="B2212" s="93" t="s">
        <v>326</v>
      </c>
      <c r="C2212" s="89" t="s">
        <v>40</v>
      </c>
      <c r="D2212" s="93" t="s">
        <v>235</v>
      </c>
      <c r="E2212" s="93" t="s">
        <v>34</v>
      </c>
      <c r="F2212" s="93" t="s">
        <v>355</v>
      </c>
      <c r="G2212" s="93" t="s">
        <v>348</v>
      </c>
      <c r="H2212" s="93" t="s">
        <v>343</v>
      </c>
      <c r="I2212" s="94">
        <v>0.67</v>
      </c>
      <c r="J2212" s="95">
        <v>40.200000000000003</v>
      </c>
    </row>
    <row r="2213" spans="1:10" x14ac:dyDescent="0.25">
      <c r="A2213" s="92">
        <v>45924</v>
      </c>
      <c r="B2213" s="93" t="s">
        <v>332</v>
      </c>
      <c r="C2213" s="89" t="s">
        <v>40</v>
      </c>
      <c r="D2213" s="93" t="s">
        <v>314</v>
      </c>
      <c r="E2213" s="93" t="s">
        <v>35</v>
      </c>
      <c r="F2213" s="93" t="s">
        <v>359</v>
      </c>
      <c r="G2213" s="93" t="s">
        <v>339</v>
      </c>
      <c r="H2213" s="93" t="s">
        <v>352</v>
      </c>
      <c r="I2213" s="94">
        <v>7.67</v>
      </c>
      <c r="J2213" s="95">
        <v>306.8</v>
      </c>
    </row>
    <row r="2214" spans="1:10" x14ac:dyDescent="0.25">
      <c r="A2214" s="92">
        <v>45924</v>
      </c>
      <c r="B2214" s="93" t="s">
        <v>324</v>
      </c>
      <c r="C2214" s="89" t="s">
        <v>40</v>
      </c>
      <c r="D2214" s="93" t="s">
        <v>314</v>
      </c>
      <c r="E2214" s="93" t="s">
        <v>35</v>
      </c>
      <c r="F2214" s="93" t="s">
        <v>359</v>
      </c>
      <c r="G2214" s="93" t="s">
        <v>339</v>
      </c>
      <c r="H2214" s="93" t="s">
        <v>352</v>
      </c>
      <c r="I2214" s="94">
        <v>8</v>
      </c>
      <c r="J2214" s="95">
        <v>600</v>
      </c>
    </row>
    <row r="2215" spans="1:10" x14ac:dyDescent="0.25">
      <c r="A2215" s="92">
        <v>45925</v>
      </c>
      <c r="B2215" s="93" t="s">
        <v>329</v>
      </c>
      <c r="C2215" s="89" t="s">
        <v>40</v>
      </c>
      <c r="D2215" s="93" t="s">
        <v>316</v>
      </c>
      <c r="E2215" s="93" t="s">
        <v>35</v>
      </c>
      <c r="F2215" s="93" t="s">
        <v>338</v>
      </c>
      <c r="G2215" s="93" t="s">
        <v>337</v>
      </c>
      <c r="H2215" s="93" t="s">
        <v>352</v>
      </c>
      <c r="I2215" s="94">
        <v>1.17</v>
      </c>
      <c r="J2215" s="95">
        <v>87.75</v>
      </c>
    </row>
    <row r="2216" spans="1:10" x14ac:dyDescent="0.25">
      <c r="A2216" s="92">
        <v>45925</v>
      </c>
      <c r="B2216" s="93" t="s">
        <v>328</v>
      </c>
      <c r="C2216" s="89" t="s">
        <v>40</v>
      </c>
      <c r="D2216" s="93" t="s">
        <v>290</v>
      </c>
      <c r="E2216" s="93" t="s">
        <v>313</v>
      </c>
      <c r="F2216" s="93" t="s">
        <v>471</v>
      </c>
      <c r="G2216" s="93" t="s">
        <v>345</v>
      </c>
      <c r="H2216" s="93" t="s">
        <v>351</v>
      </c>
      <c r="I2216" s="94">
        <v>0.5</v>
      </c>
      <c r="J2216" s="95">
        <v>45</v>
      </c>
    </row>
    <row r="2217" spans="1:10" x14ac:dyDescent="0.25">
      <c r="A2217" s="92">
        <v>45925</v>
      </c>
      <c r="B2217" s="93" t="s">
        <v>329</v>
      </c>
      <c r="C2217" s="89" t="s">
        <v>40</v>
      </c>
      <c r="D2217" s="93" t="s">
        <v>269</v>
      </c>
      <c r="E2217" s="93" t="s">
        <v>34</v>
      </c>
      <c r="F2217" s="93" t="s">
        <v>361</v>
      </c>
      <c r="G2217" s="93" t="s">
        <v>347</v>
      </c>
      <c r="H2217" s="93" t="s">
        <v>343</v>
      </c>
      <c r="I2217" s="94">
        <v>0.17</v>
      </c>
      <c r="J2217" s="95">
        <v>12.750000000000002</v>
      </c>
    </row>
    <row r="2218" spans="1:10" x14ac:dyDescent="0.25">
      <c r="A2218" s="92">
        <v>45925</v>
      </c>
      <c r="B2218" s="93" t="s">
        <v>329</v>
      </c>
      <c r="C2218" s="89" t="s">
        <v>40</v>
      </c>
      <c r="D2218" s="93" t="s">
        <v>268</v>
      </c>
      <c r="E2218" s="93" t="s">
        <v>34</v>
      </c>
      <c r="F2218" s="93" t="s">
        <v>386</v>
      </c>
      <c r="G2218" s="93" t="s">
        <v>347</v>
      </c>
      <c r="H2218" s="93" t="s">
        <v>343</v>
      </c>
      <c r="I2218" s="94">
        <v>0.17</v>
      </c>
      <c r="J2218" s="95">
        <v>12.750000000000002</v>
      </c>
    </row>
    <row r="2219" spans="1:10" x14ac:dyDescent="0.25">
      <c r="A2219" s="92">
        <v>45925</v>
      </c>
      <c r="B2219" s="93" t="s">
        <v>333</v>
      </c>
      <c r="C2219" s="89" t="s">
        <v>40</v>
      </c>
      <c r="D2219" s="93" t="s">
        <v>320</v>
      </c>
      <c r="E2219" s="93" t="s">
        <v>35</v>
      </c>
      <c r="F2219" s="93" t="s">
        <v>322</v>
      </c>
      <c r="G2219" s="93" t="s">
        <v>319</v>
      </c>
      <c r="H2219" s="93" t="s">
        <v>352</v>
      </c>
      <c r="I2219" s="94">
        <v>7.4</v>
      </c>
      <c r="J2219" s="95">
        <v>236.8</v>
      </c>
    </row>
    <row r="2220" spans="1:10" x14ac:dyDescent="0.25">
      <c r="A2220" s="92">
        <v>45925</v>
      </c>
      <c r="B2220" s="93" t="s">
        <v>327</v>
      </c>
      <c r="C2220" s="89" t="s">
        <v>40</v>
      </c>
      <c r="D2220" s="93" t="s">
        <v>320</v>
      </c>
      <c r="E2220" s="93" t="s">
        <v>35</v>
      </c>
      <c r="F2220" s="93" t="s">
        <v>322</v>
      </c>
      <c r="G2220" s="93" t="s">
        <v>319</v>
      </c>
      <c r="H2220" s="93" t="s">
        <v>352</v>
      </c>
      <c r="I2220" s="94">
        <v>7.42</v>
      </c>
      <c r="J2220" s="95">
        <v>237.44</v>
      </c>
    </row>
    <row r="2221" spans="1:10" x14ac:dyDescent="0.25">
      <c r="A2221" s="92">
        <v>45925</v>
      </c>
      <c r="B2221" s="93" t="s">
        <v>323</v>
      </c>
      <c r="C2221" s="89" t="s">
        <v>40</v>
      </c>
      <c r="D2221" s="93" t="s">
        <v>245</v>
      </c>
      <c r="E2221" s="93" t="s">
        <v>34</v>
      </c>
      <c r="F2221" s="93" t="s">
        <v>435</v>
      </c>
      <c r="G2221" s="93" t="s">
        <v>346</v>
      </c>
      <c r="H2221" s="93" t="s">
        <v>343</v>
      </c>
      <c r="I2221" s="94">
        <v>0.33</v>
      </c>
      <c r="J2221" s="95">
        <v>19.8</v>
      </c>
    </row>
    <row r="2222" spans="1:10" x14ac:dyDescent="0.25">
      <c r="A2222" s="92">
        <v>45925</v>
      </c>
      <c r="B2222" s="93" t="s">
        <v>323</v>
      </c>
      <c r="C2222" s="89" t="s">
        <v>40</v>
      </c>
      <c r="D2222" s="93" t="s">
        <v>285</v>
      </c>
      <c r="E2222" s="93" t="s">
        <v>34</v>
      </c>
      <c r="F2222" s="93" t="s">
        <v>448</v>
      </c>
      <c r="G2222" s="93" t="s">
        <v>346</v>
      </c>
      <c r="H2222" s="93" t="s">
        <v>343</v>
      </c>
      <c r="I2222" s="94">
        <v>0.25</v>
      </c>
      <c r="J2222" s="95">
        <v>15</v>
      </c>
    </row>
    <row r="2223" spans="1:10" x14ac:dyDescent="0.25">
      <c r="A2223" s="92">
        <v>45925</v>
      </c>
      <c r="B2223" s="93" t="s">
        <v>329</v>
      </c>
      <c r="C2223" s="89" t="s">
        <v>40</v>
      </c>
      <c r="D2223" s="93" t="s">
        <v>186</v>
      </c>
      <c r="E2223" s="93" t="s">
        <v>34</v>
      </c>
      <c r="F2223" s="93" t="s">
        <v>397</v>
      </c>
      <c r="G2223" s="93" t="s">
        <v>347</v>
      </c>
      <c r="H2223" s="93" t="s">
        <v>343</v>
      </c>
      <c r="I2223" s="94">
        <v>0.25</v>
      </c>
      <c r="J2223" s="95">
        <v>18.75</v>
      </c>
    </row>
    <row r="2224" spans="1:10" x14ac:dyDescent="0.25">
      <c r="A2224" s="92">
        <v>45925</v>
      </c>
      <c r="B2224" s="93" t="s">
        <v>325</v>
      </c>
      <c r="C2224" s="89" t="s">
        <v>40</v>
      </c>
      <c r="D2224" s="93" t="s">
        <v>205</v>
      </c>
      <c r="E2224" s="93" t="s">
        <v>34</v>
      </c>
      <c r="F2224" s="93" t="s">
        <v>470</v>
      </c>
      <c r="G2224" s="93" t="s">
        <v>347</v>
      </c>
      <c r="H2224" s="93" t="s">
        <v>343</v>
      </c>
      <c r="I2224" s="94">
        <v>0.17</v>
      </c>
      <c r="J2224" s="95">
        <v>12.750000000000002</v>
      </c>
    </row>
    <row r="2225" spans="1:10" x14ac:dyDescent="0.25">
      <c r="A2225" s="92">
        <v>45925</v>
      </c>
      <c r="B2225" s="93" t="s">
        <v>330</v>
      </c>
      <c r="C2225" s="89" t="s">
        <v>40</v>
      </c>
      <c r="D2225" s="93" t="s">
        <v>176</v>
      </c>
      <c r="E2225" s="93" t="s">
        <v>34</v>
      </c>
      <c r="F2225" s="93" t="s">
        <v>458</v>
      </c>
      <c r="G2225" s="93" t="s">
        <v>347</v>
      </c>
      <c r="H2225" s="93" t="s">
        <v>343</v>
      </c>
      <c r="I2225" s="94">
        <v>0.5</v>
      </c>
      <c r="J2225" s="95">
        <v>30</v>
      </c>
    </row>
    <row r="2226" spans="1:10" x14ac:dyDescent="0.25">
      <c r="A2226" s="92">
        <v>45925</v>
      </c>
      <c r="B2226" s="93" t="s">
        <v>329</v>
      </c>
      <c r="C2226" s="89" t="s">
        <v>40</v>
      </c>
      <c r="D2226" s="93" t="s">
        <v>183</v>
      </c>
      <c r="E2226" s="93" t="s">
        <v>34</v>
      </c>
      <c r="F2226" s="93" t="s">
        <v>368</v>
      </c>
      <c r="G2226" s="93" t="s">
        <v>347</v>
      </c>
      <c r="H2226" s="93" t="s">
        <v>343</v>
      </c>
      <c r="I2226" s="94">
        <v>0.42</v>
      </c>
      <c r="J2226" s="95">
        <v>31.5</v>
      </c>
    </row>
    <row r="2227" spans="1:10" x14ac:dyDescent="0.25">
      <c r="A2227" s="92">
        <v>45925</v>
      </c>
      <c r="B2227" s="93" t="s">
        <v>329</v>
      </c>
      <c r="C2227" s="89" t="s">
        <v>40</v>
      </c>
      <c r="D2227" s="93" t="s">
        <v>206</v>
      </c>
      <c r="E2227" s="93" t="s">
        <v>34</v>
      </c>
      <c r="F2227" s="93" t="s">
        <v>367</v>
      </c>
      <c r="G2227" s="93" t="s">
        <v>347</v>
      </c>
      <c r="H2227" s="93" t="s">
        <v>343</v>
      </c>
      <c r="I2227" s="94">
        <v>0.25</v>
      </c>
      <c r="J2227" s="95">
        <v>18.75</v>
      </c>
    </row>
    <row r="2228" spans="1:10" x14ac:dyDescent="0.25">
      <c r="A2228" s="92">
        <v>45925</v>
      </c>
      <c r="B2228" s="93" t="s">
        <v>329</v>
      </c>
      <c r="C2228" s="89" t="s">
        <v>40</v>
      </c>
      <c r="D2228" s="93" t="s">
        <v>301</v>
      </c>
      <c r="E2228" s="93" t="s">
        <v>34</v>
      </c>
      <c r="F2228" s="93" t="s">
        <v>371</v>
      </c>
      <c r="G2228" s="93" t="s">
        <v>347</v>
      </c>
      <c r="H2228" s="93" t="s">
        <v>343</v>
      </c>
      <c r="I2228" s="94">
        <v>0.33</v>
      </c>
      <c r="J2228" s="95">
        <v>24.75</v>
      </c>
    </row>
    <row r="2229" spans="1:10" x14ac:dyDescent="0.25">
      <c r="A2229" s="92">
        <v>45925</v>
      </c>
      <c r="B2229" s="93" t="s">
        <v>329</v>
      </c>
      <c r="C2229" s="89" t="s">
        <v>40</v>
      </c>
      <c r="D2229" s="93" t="s">
        <v>229</v>
      </c>
      <c r="E2229" s="93" t="s">
        <v>34</v>
      </c>
      <c r="F2229" s="93" t="s">
        <v>373</v>
      </c>
      <c r="G2229" s="93" t="s">
        <v>347</v>
      </c>
      <c r="H2229" s="93" t="s">
        <v>343</v>
      </c>
      <c r="I2229" s="94">
        <v>0.17</v>
      </c>
      <c r="J2229" s="95">
        <v>12.750000000000002</v>
      </c>
    </row>
    <row r="2230" spans="1:10" x14ac:dyDescent="0.25">
      <c r="A2230" s="92">
        <v>45925</v>
      </c>
      <c r="B2230" s="93" t="s">
        <v>325</v>
      </c>
      <c r="C2230" s="89" t="s">
        <v>40</v>
      </c>
      <c r="D2230" s="93" t="s">
        <v>224</v>
      </c>
      <c r="E2230" s="93" t="s">
        <v>34</v>
      </c>
      <c r="F2230" s="93" t="s">
        <v>423</v>
      </c>
      <c r="G2230" s="93" t="s">
        <v>347</v>
      </c>
      <c r="H2230" s="93" t="s">
        <v>343</v>
      </c>
      <c r="I2230" s="94">
        <v>0.17</v>
      </c>
      <c r="J2230" s="95">
        <v>12.750000000000002</v>
      </c>
    </row>
    <row r="2231" spans="1:10" x14ac:dyDescent="0.25">
      <c r="A2231" s="92">
        <v>45925</v>
      </c>
      <c r="B2231" s="93" t="s">
        <v>329</v>
      </c>
      <c r="C2231" s="89" t="s">
        <v>40</v>
      </c>
      <c r="D2231" s="93" t="s">
        <v>303</v>
      </c>
      <c r="E2231" s="93" t="s">
        <v>34</v>
      </c>
      <c r="F2231" s="93" t="s">
        <v>400</v>
      </c>
      <c r="G2231" s="93" t="s">
        <v>347</v>
      </c>
      <c r="H2231" s="93" t="s">
        <v>343</v>
      </c>
      <c r="I2231" s="94">
        <v>0.5</v>
      </c>
      <c r="J2231" s="95">
        <v>37.5</v>
      </c>
    </row>
    <row r="2232" spans="1:10" x14ac:dyDescent="0.25">
      <c r="A2232" s="92">
        <v>45925</v>
      </c>
      <c r="B2232" s="93" t="s">
        <v>329</v>
      </c>
      <c r="C2232" s="89" t="s">
        <v>40</v>
      </c>
      <c r="D2232" s="93" t="s">
        <v>240</v>
      </c>
      <c r="E2232" s="93" t="s">
        <v>34</v>
      </c>
      <c r="F2232" s="93" t="s">
        <v>402</v>
      </c>
      <c r="G2232" s="93" t="s">
        <v>347</v>
      </c>
      <c r="H2232" s="93" t="s">
        <v>343</v>
      </c>
      <c r="I2232" s="94">
        <v>0.08</v>
      </c>
      <c r="J2232" s="95">
        <v>6</v>
      </c>
    </row>
    <row r="2233" spans="1:10" x14ac:dyDescent="0.25">
      <c r="A2233" s="92">
        <v>45925</v>
      </c>
      <c r="B2233" s="93" t="s">
        <v>329</v>
      </c>
      <c r="C2233" s="89" t="s">
        <v>40</v>
      </c>
      <c r="D2233" s="93" t="s">
        <v>241</v>
      </c>
      <c r="E2233" s="93" t="s">
        <v>34</v>
      </c>
      <c r="F2233" s="93" t="s">
        <v>403</v>
      </c>
      <c r="G2233" s="93" t="s">
        <v>347</v>
      </c>
      <c r="H2233" s="93" t="s">
        <v>343</v>
      </c>
      <c r="I2233" s="94">
        <v>0.08</v>
      </c>
      <c r="J2233" s="95">
        <v>6</v>
      </c>
    </row>
    <row r="2234" spans="1:10" x14ac:dyDescent="0.25">
      <c r="A2234" s="92">
        <v>45925</v>
      </c>
      <c r="B2234" s="93" t="s">
        <v>330</v>
      </c>
      <c r="C2234" s="89" t="s">
        <v>40</v>
      </c>
      <c r="D2234" s="93" t="s">
        <v>178</v>
      </c>
      <c r="E2234" s="93" t="s">
        <v>34</v>
      </c>
      <c r="F2234" s="93" t="s">
        <v>460</v>
      </c>
      <c r="G2234" s="93" t="s">
        <v>347</v>
      </c>
      <c r="H2234" s="93" t="s">
        <v>343</v>
      </c>
      <c r="I2234" s="94">
        <v>1</v>
      </c>
      <c r="J2234" s="95">
        <v>60</v>
      </c>
    </row>
    <row r="2235" spans="1:10" x14ac:dyDescent="0.25">
      <c r="A2235" s="92">
        <v>45925</v>
      </c>
      <c r="B2235" s="93" t="s">
        <v>329</v>
      </c>
      <c r="C2235" s="89" t="s">
        <v>40</v>
      </c>
      <c r="D2235" s="93" t="s">
        <v>288</v>
      </c>
      <c r="E2235" s="93" t="s">
        <v>34</v>
      </c>
      <c r="F2235" s="93" t="s">
        <v>405</v>
      </c>
      <c r="G2235" s="93" t="s">
        <v>347</v>
      </c>
      <c r="H2235" s="93" t="s">
        <v>343</v>
      </c>
      <c r="I2235" s="94">
        <v>0.42</v>
      </c>
      <c r="J2235" s="95">
        <v>31.5</v>
      </c>
    </row>
    <row r="2236" spans="1:10" x14ac:dyDescent="0.25">
      <c r="A2236" s="92">
        <v>45925</v>
      </c>
      <c r="B2236" s="93" t="s">
        <v>329</v>
      </c>
      <c r="C2236" s="89" t="s">
        <v>40</v>
      </c>
      <c r="D2236" s="93" t="s">
        <v>293</v>
      </c>
      <c r="E2236" s="93" t="s">
        <v>34</v>
      </c>
      <c r="F2236" s="93" t="s">
        <v>376</v>
      </c>
      <c r="G2236" s="93" t="s">
        <v>347</v>
      </c>
      <c r="H2236" s="93" t="s">
        <v>343</v>
      </c>
      <c r="I2236" s="94">
        <v>0.17</v>
      </c>
      <c r="J2236" s="95">
        <v>12.750000000000002</v>
      </c>
    </row>
    <row r="2237" spans="1:10" x14ac:dyDescent="0.25">
      <c r="A2237" s="92">
        <v>45925</v>
      </c>
      <c r="B2237" s="93" t="s">
        <v>329</v>
      </c>
      <c r="C2237" s="89" t="s">
        <v>40</v>
      </c>
      <c r="D2237" s="93" t="s">
        <v>294</v>
      </c>
      <c r="E2237" s="93" t="s">
        <v>34</v>
      </c>
      <c r="F2237" s="93" t="s">
        <v>377</v>
      </c>
      <c r="G2237" s="93" t="s">
        <v>347</v>
      </c>
      <c r="H2237" s="93" t="s">
        <v>343</v>
      </c>
      <c r="I2237" s="94">
        <v>0.17</v>
      </c>
      <c r="J2237" s="95">
        <v>12.750000000000002</v>
      </c>
    </row>
    <row r="2238" spans="1:10" x14ac:dyDescent="0.25">
      <c r="A2238" s="92">
        <v>45925</v>
      </c>
      <c r="B2238" s="93" t="s">
        <v>329</v>
      </c>
      <c r="C2238" s="89" t="s">
        <v>40</v>
      </c>
      <c r="D2238" s="93" t="s">
        <v>295</v>
      </c>
      <c r="E2238" s="93" t="s">
        <v>34</v>
      </c>
      <c r="F2238" s="93" t="s">
        <v>379</v>
      </c>
      <c r="G2238" s="93" t="s">
        <v>347</v>
      </c>
      <c r="H2238" s="93" t="s">
        <v>343</v>
      </c>
      <c r="I2238" s="94">
        <v>0.17</v>
      </c>
      <c r="J2238" s="95">
        <v>12.750000000000002</v>
      </c>
    </row>
    <row r="2239" spans="1:10" x14ac:dyDescent="0.25">
      <c r="A2239" s="92">
        <v>45925</v>
      </c>
      <c r="B2239" s="93" t="s">
        <v>329</v>
      </c>
      <c r="C2239" s="89" t="s">
        <v>40</v>
      </c>
      <c r="D2239" s="93" t="s">
        <v>296</v>
      </c>
      <c r="E2239" s="93" t="s">
        <v>34</v>
      </c>
      <c r="F2239" s="93" t="s">
        <v>411</v>
      </c>
      <c r="G2239" s="93" t="s">
        <v>347</v>
      </c>
      <c r="H2239" s="93" t="s">
        <v>343</v>
      </c>
      <c r="I2239" s="94">
        <v>0.08</v>
      </c>
      <c r="J2239" s="95">
        <v>6</v>
      </c>
    </row>
    <row r="2240" spans="1:10" x14ac:dyDescent="0.25">
      <c r="A2240" s="92">
        <v>45925</v>
      </c>
      <c r="B2240" s="93" t="s">
        <v>325</v>
      </c>
      <c r="C2240" s="89" t="s">
        <v>40</v>
      </c>
      <c r="D2240" s="93" t="s">
        <v>253</v>
      </c>
      <c r="E2240" s="93" t="s">
        <v>34</v>
      </c>
      <c r="F2240" s="93" t="s">
        <v>408</v>
      </c>
      <c r="G2240" s="93" t="s">
        <v>347</v>
      </c>
      <c r="H2240" s="93" t="s">
        <v>343</v>
      </c>
      <c r="I2240" s="94">
        <v>0.17</v>
      </c>
      <c r="J2240" s="95">
        <v>12.750000000000002</v>
      </c>
    </row>
    <row r="2241" spans="1:10" x14ac:dyDescent="0.25">
      <c r="A2241" s="92">
        <v>45925</v>
      </c>
      <c r="B2241" s="93" t="s">
        <v>325</v>
      </c>
      <c r="C2241" s="89" t="s">
        <v>40</v>
      </c>
      <c r="D2241" s="93" t="s">
        <v>262</v>
      </c>
      <c r="E2241" s="93" t="s">
        <v>34</v>
      </c>
      <c r="F2241" s="93" t="s">
        <v>442</v>
      </c>
      <c r="G2241" s="93" t="s">
        <v>347</v>
      </c>
      <c r="H2241" s="93" t="s">
        <v>343</v>
      </c>
      <c r="I2241" s="94">
        <v>0.17</v>
      </c>
      <c r="J2241" s="95">
        <v>12.750000000000002</v>
      </c>
    </row>
    <row r="2242" spans="1:10" x14ac:dyDescent="0.25">
      <c r="A2242" s="92">
        <v>45925</v>
      </c>
      <c r="B2242" s="93" t="s">
        <v>329</v>
      </c>
      <c r="C2242" s="89" t="s">
        <v>40</v>
      </c>
      <c r="D2242" s="93" t="s">
        <v>248</v>
      </c>
      <c r="E2242" s="93" t="s">
        <v>34</v>
      </c>
      <c r="F2242" s="93" t="s">
        <v>385</v>
      </c>
      <c r="G2242" s="93" t="s">
        <v>347</v>
      </c>
      <c r="H2242" s="93" t="s">
        <v>343</v>
      </c>
      <c r="I2242" s="94">
        <v>0.5</v>
      </c>
      <c r="J2242" s="95">
        <v>37.5</v>
      </c>
    </row>
    <row r="2243" spans="1:10" x14ac:dyDescent="0.25">
      <c r="A2243" s="92">
        <v>45925</v>
      </c>
      <c r="B2243" s="93" t="s">
        <v>325</v>
      </c>
      <c r="C2243" s="89" t="s">
        <v>40</v>
      </c>
      <c r="D2243" s="93" t="s">
        <v>249</v>
      </c>
      <c r="E2243" s="93" t="s">
        <v>34</v>
      </c>
      <c r="F2243" s="93" t="s">
        <v>409</v>
      </c>
      <c r="G2243" s="93" t="s">
        <v>347</v>
      </c>
      <c r="H2243" s="93" t="s">
        <v>343</v>
      </c>
      <c r="I2243" s="94">
        <v>0.17</v>
      </c>
      <c r="J2243" s="95">
        <v>12.750000000000002</v>
      </c>
    </row>
    <row r="2244" spans="1:10" x14ac:dyDescent="0.25">
      <c r="A2244" s="92">
        <v>45925</v>
      </c>
      <c r="B2244" s="93" t="s">
        <v>325</v>
      </c>
      <c r="C2244" s="89" t="s">
        <v>40</v>
      </c>
      <c r="D2244" s="93" t="s">
        <v>277</v>
      </c>
      <c r="E2244" s="93" t="s">
        <v>34</v>
      </c>
      <c r="F2244" s="93" t="s">
        <v>353</v>
      </c>
      <c r="G2244" s="93" t="s">
        <v>347</v>
      </c>
      <c r="H2244" s="93" t="s">
        <v>343</v>
      </c>
      <c r="I2244" s="94">
        <v>0.25</v>
      </c>
      <c r="J2244" s="95">
        <v>18.75</v>
      </c>
    </row>
    <row r="2245" spans="1:10" x14ac:dyDescent="0.25">
      <c r="A2245" s="92">
        <v>45925</v>
      </c>
      <c r="B2245" s="93" t="s">
        <v>329</v>
      </c>
      <c r="C2245" s="89" t="s">
        <v>40</v>
      </c>
      <c r="D2245" s="93" t="s">
        <v>230</v>
      </c>
      <c r="E2245" s="93" t="s">
        <v>34</v>
      </c>
      <c r="F2245" s="93" t="s">
        <v>410</v>
      </c>
      <c r="G2245" s="93" t="s">
        <v>347</v>
      </c>
      <c r="H2245" s="93" t="s">
        <v>343</v>
      </c>
      <c r="I2245" s="94">
        <v>0.17</v>
      </c>
      <c r="J2245" s="95">
        <v>12.750000000000002</v>
      </c>
    </row>
    <row r="2246" spans="1:10" x14ac:dyDescent="0.25">
      <c r="A2246" s="92">
        <v>45925</v>
      </c>
      <c r="B2246" s="93" t="s">
        <v>325</v>
      </c>
      <c r="C2246" s="89" t="s">
        <v>40</v>
      </c>
      <c r="D2246" s="93" t="s">
        <v>249</v>
      </c>
      <c r="E2246" s="93" t="s">
        <v>341</v>
      </c>
      <c r="F2246" s="93" t="s">
        <v>409</v>
      </c>
      <c r="G2246" s="93" t="s">
        <v>347</v>
      </c>
      <c r="H2246" s="93" t="s">
        <v>344</v>
      </c>
      <c r="I2246" s="94">
        <v>1.25</v>
      </c>
      <c r="J2246" s="95">
        <v>93.75</v>
      </c>
    </row>
    <row r="2247" spans="1:10" x14ac:dyDescent="0.25">
      <c r="A2247" s="92">
        <v>45925</v>
      </c>
      <c r="B2247" s="93" t="s">
        <v>326</v>
      </c>
      <c r="C2247" s="89" t="s">
        <v>40</v>
      </c>
      <c r="D2247" s="93" t="s">
        <v>227</v>
      </c>
      <c r="E2247" s="93" t="s">
        <v>36</v>
      </c>
      <c r="F2247" s="93" t="s">
        <v>453</v>
      </c>
      <c r="G2247" s="93" t="s">
        <v>348</v>
      </c>
      <c r="H2247" s="93" t="s">
        <v>342</v>
      </c>
      <c r="I2247" s="94">
        <v>0.83</v>
      </c>
      <c r="J2247" s="95">
        <v>49.8</v>
      </c>
    </row>
    <row r="2248" spans="1:10" x14ac:dyDescent="0.25">
      <c r="A2248" s="92">
        <v>45925</v>
      </c>
      <c r="B2248" s="93" t="s">
        <v>326</v>
      </c>
      <c r="C2248" s="89" t="s">
        <v>40</v>
      </c>
      <c r="D2248" s="93" t="s">
        <v>265</v>
      </c>
      <c r="E2248" s="93" t="s">
        <v>34</v>
      </c>
      <c r="F2248" s="93" t="s">
        <v>358</v>
      </c>
      <c r="G2248" s="93" t="s">
        <v>348</v>
      </c>
      <c r="H2248" s="93" t="s">
        <v>343</v>
      </c>
      <c r="I2248" s="94">
        <v>1.17</v>
      </c>
      <c r="J2248" s="95">
        <v>70.199999999999989</v>
      </c>
    </row>
    <row r="2249" spans="1:10" x14ac:dyDescent="0.25">
      <c r="A2249" s="92">
        <v>45925</v>
      </c>
      <c r="B2249" s="93" t="s">
        <v>332</v>
      </c>
      <c r="C2249" s="89" t="s">
        <v>40</v>
      </c>
      <c r="D2249" s="93" t="s">
        <v>314</v>
      </c>
      <c r="E2249" s="93" t="s">
        <v>35</v>
      </c>
      <c r="F2249" s="93" t="s">
        <v>359</v>
      </c>
      <c r="G2249" s="93" t="s">
        <v>339</v>
      </c>
      <c r="H2249" s="93" t="s">
        <v>352</v>
      </c>
      <c r="I2249" s="94">
        <v>9.33</v>
      </c>
      <c r="J2249" s="95">
        <v>373.2</v>
      </c>
    </row>
    <row r="2250" spans="1:10" x14ac:dyDescent="0.25">
      <c r="A2250" s="92">
        <v>45925</v>
      </c>
      <c r="B2250" s="93" t="s">
        <v>324</v>
      </c>
      <c r="C2250" s="89" t="s">
        <v>40</v>
      </c>
      <c r="D2250" s="93" t="s">
        <v>314</v>
      </c>
      <c r="E2250" s="93" t="s">
        <v>35</v>
      </c>
      <c r="F2250" s="93" t="s">
        <v>359</v>
      </c>
      <c r="G2250" s="93" t="s">
        <v>339</v>
      </c>
      <c r="H2250" s="93" t="s">
        <v>352</v>
      </c>
      <c r="I2250" s="94">
        <v>4.42</v>
      </c>
      <c r="J2250" s="95">
        <v>331.5</v>
      </c>
    </row>
    <row r="2251" spans="1:10" x14ac:dyDescent="0.25">
      <c r="A2251" s="92">
        <v>45926</v>
      </c>
      <c r="B2251" s="93" t="s">
        <v>329</v>
      </c>
      <c r="C2251" s="89" t="s">
        <v>40</v>
      </c>
      <c r="D2251" s="93" t="s">
        <v>316</v>
      </c>
      <c r="E2251" s="93" t="s">
        <v>35</v>
      </c>
      <c r="F2251" s="93" t="s">
        <v>338</v>
      </c>
      <c r="G2251" s="93" t="s">
        <v>337</v>
      </c>
      <c r="H2251" s="93" t="s">
        <v>352</v>
      </c>
      <c r="I2251" s="94">
        <v>0.42</v>
      </c>
      <c r="J2251" s="95">
        <v>31.5</v>
      </c>
    </row>
    <row r="2252" spans="1:10" x14ac:dyDescent="0.25">
      <c r="A2252" s="92">
        <v>45926</v>
      </c>
      <c r="B2252" s="93" t="s">
        <v>328</v>
      </c>
      <c r="C2252" s="89" t="s">
        <v>40</v>
      </c>
      <c r="D2252" s="93" t="s">
        <v>290</v>
      </c>
      <c r="E2252" s="93" t="s">
        <v>313</v>
      </c>
      <c r="F2252" s="93" t="s">
        <v>471</v>
      </c>
      <c r="G2252" s="93" t="s">
        <v>345</v>
      </c>
      <c r="H2252" s="93" t="s">
        <v>351</v>
      </c>
      <c r="I2252" s="94">
        <v>2.5</v>
      </c>
      <c r="J2252" s="95">
        <v>225</v>
      </c>
    </row>
    <row r="2253" spans="1:10" x14ac:dyDescent="0.25">
      <c r="A2253" s="92">
        <v>45926</v>
      </c>
      <c r="B2253" s="93" t="s">
        <v>333</v>
      </c>
      <c r="C2253" s="89" t="s">
        <v>40</v>
      </c>
      <c r="D2253" s="93" t="s">
        <v>320</v>
      </c>
      <c r="E2253" s="93" t="s">
        <v>35</v>
      </c>
      <c r="F2253" s="93" t="s">
        <v>322</v>
      </c>
      <c r="G2253" s="93" t="s">
        <v>319</v>
      </c>
      <c r="H2253" s="93" t="s">
        <v>352</v>
      </c>
      <c r="I2253" s="94">
        <v>8.8699999999999992</v>
      </c>
      <c r="J2253" s="95">
        <v>283.83999999999997</v>
      </c>
    </row>
    <row r="2254" spans="1:10" x14ac:dyDescent="0.25">
      <c r="A2254" s="92">
        <v>45926</v>
      </c>
      <c r="B2254" s="93" t="s">
        <v>323</v>
      </c>
      <c r="C2254" s="89" t="s">
        <v>40</v>
      </c>
      <c r="D2254" s="93" t="s">
        <v>245</v>
      </c>
      <c r="E2254" s="93" t="s">
        <v>34</v>
      </c>
      <c r="F2254" s="93" t="s">
        <v>435</v>
      </c>
      <c r="G2254" s="93" t="s">
        <v>346</v>
      </c>
      <c r="H2254" s="93" t="s">
        <v>343</v>
      </c>
      <c r="I2254" s="94">
        <v>0.33</v>
      </c>
      <c r="J2254" s="95">
        <v>19.8</v>
      </c>
    </row>
    <row r="2255" spans="1:10" x14ac:dyDescent="0.25">
      <c r="A2255" s="92">
        <v>45926</v>
      </c>
      <c r="B2255" s="93" t="s">
        <v>323</v>
      </c>
      <c r="C2255" s="89" t="s">
        <v>40</v>
      </c>
      <c r="D2255" s="93" t="s">
        <v>231</v>
      </c>
      <c r="E2255" s="93" t="s">
        <v>34</v>
      </c>
      <c r="F2255" s="93" t="s">
        <v>420</v>
      </c>
      <c r="G2255" s="93" t="s">
        <v>346</v>
      </c>
      <c r="H2255" s="93" t="s">
        <v>343</v>
      </c>
      <c r="I2255" s="94">
        <v>1</v>
      </c>
      <c r="J2255" s="95">
        <v>60</v>
      </c>
    </row>
    <row r="2256" spans="1:10" x14ac:dyDescent="0.25">
      <c r="A2256" s="92">
        <v>45926</v>
      </c>
      <c r="B2256" s="93" t="s">
        <v>325</v>
      </c>
      <c r="C2256" s="89" t="s">
        <v>40</v>
      </c>
      <c r="D2256" s="93" t="s">
        <v>170</v>
      </c>
      <c r="E2256" s="93" t="s">
        <v>34</v>
      </c>
      <c r="F2256" s="93" t="s">
        <v>424</v>
      </c>
      <c r="G2256" s="93" t="s">
        <v>347</v>
      </c>
      <c r="H2256" s="93" t="s">
        <v>343</v>
      </c>
      <c r="I2256" s="94">
        <v>0.33</v>
      </c>
      <c r="J2256" s="95">
        <v>24.75</v>
      </c>
    </row>
    <row r="2257" spans="1:10" x14ac:dyDescent="0.25">
      <c r="A2257" s="92">
        <v>45926</v>
      </c>
      <c r="B2257" s="93" t="s">
        <v>325</v>
      </c>
      <c r="C2257" s="89" t="s">
        <v>40</v>
      </c>
      <c r="D2257" s="93" t="s">
        <v>226</v>
      </c>
      <c r="E2257" s="93" t="s">
        <v>34</v>
      </c>
      <c r="F2257" s="93" t="s">
        <v>401</v>
      </c>
      <c r="G2257" s="93" t="s">
        <v>347</v>
      </c>
      <c r="H2257" s="93" t="s">
        <v>343</v>
      </c>
      <c r="I2257" s="94">
        <v>0.25</v>
      </c>
      <c r="J2257" s="95">
        <v>18.75</v>
      </c>
    </row>
    <row r="2258" spans="1:10" x14ac:dyDescent="0.25">
      <c r="A2258" s="92">
        <v>45926</v>
      </c>
      <c r="B2258" s="93" t="s">
        <v>325</v>
      </c>
      <c r="C2258" s="89" t="s">
        <v>40</v>
      </c>
      <c r="D2258" s="93" t="s">
        <v>271</v>
      </c>
      <c r="E2258" s="93" t="s">
        <v>34</v>
      </c>
      <c r="F2258" s="93" t="s">
        <v>363</v>
      </c>
      <c r="G2258" s="93" t="s">
        <v>347</v>
      </c>
      <c r="H2258" s="93" t="s">
        <v>343</v>
      </c>
      <c r="I2258" s="94">
        <v>0.17</v>
      </c>
      <c r="J2258" s="95">
        <v>12.750000000000002</v>
      </c>
    </row>
    <row r="2259" spans="1:10" x14ac:dyDescent="0.25">
      <c r="A2259" s="92">
        <v>45926</v>
      </c>
      <c r="B2259" s="93" t="s">
        <v>329</v>
      </c>
      <c r="C2259" s="89" t="s">
        <v>40</v>
      </c>
      <c r="D2259" s="93" t="s">
        <v>296</v>
      </c>
      <c r="E2259" s="93" t="s">
        <v>34</v>
      </c>
      <c r="F2259" s="93" t="s">
        <v>411</v>
      </c>
      <c r="G2259" s="93" t="s">
        <v>347</v>
      </c>
      <c r="H2259" s="93" t="s">
        <v>343</v>
      </c>
      <c r="I2259" s="94">
        <v>1.5</v>
      </c>
      <c r="J2259" s="95">
        <v>112.5</v>
      </c>
    </row>
    <row r="2260" spans="1:10" x14ac:dyDescent="0.25">
      <c r="A2260" s="92">
        <v>45926</v>
      </c>
      <c r="B2260" s="93" t="s">
        <v>329</v>
      </c>
      <c r="C2260" s="89" t="s">
        <v>40</v>
      </c>
      <c r="D2260" s="93" t="s">
        <v>248</v>
      </c>
      <c r="E2260" s="93" t="s">
        <v>34</v>
      </c>
      <c r="F2260" s="93" t="s">
        <v>385</v>
      </c>
      <c r="G2260" s="93" t="s">
        <v>347</v>
      </c>
      <c r="H2260" s="93" t="s">
        <v>343</v>
      </c>
      <c r="I2260" s="94">
        <v>0.33</v>
      </c>
      <c r="J2260" s="95">
        <v>24.75</v>
      </c>
    </row>
    <row r="2261" spans="1:10" x14ac:dyDescent="0.25">
      <c r="A2261" s="92">
        <v>45926</v>
      </c>
      <c r="B2261" s="93" t="s">
        <v>325</v>
      </c>
      <c r="C2261" s="89" t="s">
        <v>40</v>
      </c>
      <c r="D2261" s="93" t="s">
        <v>249</v>
      </c>
      <c r="E2261" s="93" t="s">
        <v>34</v>
      </c>
      <c r="F2261" s="93" t="s">
        <v>409</v>
      </c>
      <c r="G2261" s="93" t="s">
        <v>347</v>
      </c>
      <c r="H2261" s="93" t="s">
        <v>343</v>
      </c>
      <c r="I2261" s="94">
        <v>0.25</v>
      </c>
      <c r="J2261" s="95">
        <v>18.75</v>
      </c>
    </row>
    <row r="2262" spans="1:10" x14ac:dyDescent="0.25">
      <c r="A2262" s="92">
        <v>45926</v>
      </c>
      <c r="B2262" s="93" t="s">
        <v>329</v>
      </c>
      <c r="C2262" s="89" t="s">
        <v>40</v>
      </c>
      <c r="D2262" s="93" t="s">
        <v>247</v>
      </c>
      <c r="E2262" s="93" t="s">
        <v>34</v>
      </c>
      <c r="F2262" s="93" t="s">
        <v>375</v>
      </c>
      <c r="G2262" s="93" t="s">
        <v>347</v>
      </c>
      <c r="H2262" s="93" t="s">
        <v>343</v>
      </c>
      <c r="I2262" s="94">
        <v>0.17</v>
      </c>
      <c r="J2262" s="95">
        <v>12.750000000000002</v>
      </c>
    </row>
    <row r="2263" spans="1:10" x14ac:dyDescent="0.25">
      <c r="A2263" s="92">
        <v>45926</v>
      </c>
      <c r="B2263" s="93" t="s">
        <v>325</v>
      </c>
      <c r="C2263" s="89" t="s">
        <v>40</v>
      </c>
      <c r="D2263" s="93" t="s">
        <v>278</v>
      </c>
      <c r="E2263" s="93" t="s">
        <v>34</v>
      </c>
      <c r="F2263" s="93" t="s">
        <v>452</v>
      </c>
      <c r="G2263" s="93" t="s">
        <v>347</v>
      </c>
      <c r="H2263" s="93" t="s">
        <v>343</v>
      </c>
      <c r="I2263" s="94">
        <v>0.25</v>
      </c>
      <c r="J2263" s="95">
        <v>18.75</v>
      </c>
    </row>
    <row r="2264" spans="1:10" x14ac:dyDescent="0.25">
      <c r="A2264" s="92">
        <v>45926</v>
      </c>
      <c r="B2264" s="93" t="s">
        <v>329</v>
      </c>
      <c r="C2264" s="89" t="s">
        <v>40</v>
      </c>
      <c r="D2264" s="93" t="s">
        <v>247</v>
      </c>
      <c r="E2264" s="93" t="s">
        <v>341</v>
      </c>
      <c r="F2264" s="93" t="s">
        <v>375</v>
      </c>
      <c r="G2264" s="93" t="s">
        <v>347</v>
      </c>
      <c r="H2264" s="93" t="s">
        <v>344</v>
      </c>
      <c r="I2264" s="94">
        <v>2</v>
      </c>
      <c r="J2264" s="95">
        <v>150</v>
      </c>
    </row>
    <row r="2265" spans="1:10" x14ac:dyDescent="0.25">
      <c r="A2265" s="92">
        <v>45926</v>
      </c>
      <c r="B2265" s="93" t="s">
        <v>330</v>
      </c>
      <c r="C2265" s="89" t="s">
        <v>40</v>
      </c>
      <c r="D2265" s="93" t="s">
        <v>252</v>
      </c>
      <c r="E2265" s="93" t="s">
        <v>341</v>
      </c>
      <c r="F2265" s="93" t="s">
        <v>416</v>
      </c>
      <c r="G2265" s="93" t="s">
        <v>347</v>
      </c>
      <c r="H2265" s="93" t="s">
        <v>344</v>
      </c>
      <c r="I2265" s="94">
        <v>2.5</v>
      </c>
      <c r="J2265" s="95">
        <v>150</v>
      </c>
    </row>
    <row r="2266" spans="1:10" x14ac:dyDescent="0.25">
      <c r="A2266" s="92">
        <v>45926</v>
      </c>
      <c r="B2266" s="93" t="s">
        <v>326</v>
      </c>
      <c r="C2266" s="89" t="s">
        <v>40</v>
      </c>
      <c r="D2266" s="93" t="s">
        <v>188</v>
      </c>
      <c r="E2266" s="93" t="s">
        <v>36</v>
      </c>
      <c r="F2266" s="93" t="s">
        <v>356</v>
      </c>
      <c r="G2266" s="93" t="s">
        <v>348</v>
      </c>
      <c r="H2266" s="93" t="s">
        <v>342</v>
      </c>
      <c r="I2266" s="94">
        <v>0.33</v>
      </c>
      <c r="J2266" s="95">
        <v>19.8</v>
      </c>
    </row>
    <row r="2267" spans="1:10" x14ac:dyDescent="0.25">
      <c r="A2267" s="92">
        <v>45926</v>
      </c>
      <c r="B2267" s="93" t="s">
        <v>332</v>
      </c>
      <c r="C2267" s="89" t="s">
        <v>40</v>
      </c>
      <c r="D2267" s="93" t="s">
        <v>314</v>
      </c>
      <c r="E2267" s="93" t="s">
        <v>35</v>
      </c>
      <c r="F2267" s="93" t="s">
        <v>359</v>
      </c>
      <c r="G2267" s="93" t="s">
        <v>339</v>
      </c>
      <c r="H2267" s="93" t="s">
        <v>352</v>
      </c>
      <c r="I2267" s="94">
        <v>6</v>
      </c>
      <c r="J2267" s="95">
        <v>240</v>
      </c>
    </row>
    <row r="2268" spans="1:10" x14ac:dyDescent="0.25">
      <c r="A2268" s="92">
        <v>45926</v>
      </c>
      <c r="B2268" s="93" t="s">
        <v>324</v>
      </c>
      <c r="C2268" s="89" t="s">
        <v>40</v>
      </c>
      <c r="D2268" s="93" t="s">
        <v>314</v>
      </c>
      <c r="E2268" s="93" t="s">
        <v>35</v>
      </c>
      <c r="F2268" s="93" t="s">
        <v>359</v>
      </c>
      <c r="G2268" s="93" t="s">
        <v>339</v>
      </c>
      <c r="H2268" s="93" t="s">
        <v>352</v>
      </c>
      <c r="I2268" s="94">
        <v>3.67</v>
      </c>
      <c r="J2268" s="95">
        <v>275.25</v>
      </c>
    </row>
    <row r="2269" spans="1:10" x14ac:dyDescent="0.25">
      <c r="A2269" s="92">
        <v>45927</v>
      </c>
      <c r="B2269" s="93" t="s">
        <v>332</v>
      </c>
      <c r="C2269" s="89" t="s">
        <v>40</v>
      </c>
      <c r="D2269" s="93" t="s">
        <v>314</v>
      </c>
      <c r="E2269" s="93" t="s">
        <v>35</v>
      </c>
      <c r="F2269" s="93" t="s">
        <v>359</v>
      </c>
      <c r="G2269" s="93" t="s">
        <v>339</v>
      </c>
      <c r="H2269" s="93" t="s">
        <v>352</v>
      </c>
      <c r="I2269" s="94">
        <v>4</v>
      </c>
      <c r="J2269" s="95">
        <v>160</v>
      </c>
    </row>
    <row r="2270" spans="1:10" x14ac:dyDescent="0.25">
      <c r="A2270" s="92">
        <v>45929</v>
      </c>
      <c r="B2270" s="93" t="s">
        <v>329</v>
      </c>
      <c r="C2270" s="89" t="s">
        <v>40</v>
      </c>
      <c r="D2270" s="93" t="s">
        <v>316</v>
      </c>
      <c r="E2270" s="93" t="s">
        <v>35</v>
      </c>
      <c r="F2270" s="93" t="s">
        <v>338</v>
      </c>
      <c r="G2270" s="93" t="s">
        <v>337</v>
      </c>
      <c r="H2270" s="93" t="s">
        <v>352</v>
      </c>
      <c r="I2270" s="94">
        <v>0.25</v>
      </c>
      <c r="J2270" s="95">
        <v>18.75</v>
      </c>
    </row>
    <row r="2271" spans="1:10" x14ac:dyDescent="0.25">
      <c r="A2271" s="92">
        <v>45929</v>
      </c>
      <c r="B2271" s="93" t="s">
        <v>329</v>
      </c>
      <c r="C2271" s="89" t="s">
        <v>40</v>
      </c>
      <c r="D2271" s="93" t="s">
        <v>269</v>
      </c>
      <c r="E2271" s="93" t="s">
        <v>34</v>
      </c>
      <c r="F2271" s="93" t="s">
        <v>361</v>
      </c>
      <c r="G2271" s="93" t="s">
        <v>347</v>
      </c>
      <c r="H2271" s="93" t="s">
        <v>343</v>
      </c>
      <c r="I2271" s="94">
        <v>0.33</v>
      </c>
      <c r="J2271" s="95">
        <v>24.75</v>
      </c>
    </row>
    <row r="2272" spans="1:10" x14ac:dyDescent="0.25">
      <c r="A2272" s="92">
        <v>45929</v>
      </c>
      <c r="B2272" s="93" t="s">
        <v>329</v>
      </c>
      <c r="C2272" s="89" t="s">
        <v>40</v>
      </c>
      <c r="D2272" s="93" t="s">
        <v>268</v>
      </c>
      <c r="E2272" s="93" t="s">
        <v>34</v>
      </c>
      <c r="F2272" s="93" t="s">
        <v>386</v>
      </c>
      <c r="G2272" s="93" t="s">
        <v>347</v>
      </c>
      <c r="H2272" s="93" t="s">
        <v>343</v>
      </c>
      <c r="I2272" s="94">
        <v>0.33</v>
      </c>
      <c r="J2272" s="95">
        <v>24.75</v>
      </c>
    </row>
    <row r="2273" spans="1:10" x14ac:dyDescent="0.25">
      <c r="A2273" s="92">
        <v>45929</v>
      </c>
      <c r="B2273" s="93" t="s">
        <v>330</v>
      </c>
      <c r="C2273" s="89" t="s">
        <v>40</v>
      </c>
      <c r="D2273" s="93" t="s">
        <v>178</v>
      </c>
      <c r="E2273" s="93" t="s">
        <v>341</v>
      </c>
      <c r="F2273" s="93" t="s">
        <v>460</v>
      </c>
      <c r="G2273" s="93" t="s">
        <v>347</v>
      </c>
      <c r="H2273" s="93" t="s">
        <v>344</v>
      </c>
      <c r="I2273" s="94">
        <v>1.5</v>
      </c>
      <c r="J2273" s="95">
        <v>90</v>
      </c>
    </row>
    <row r="2274" spans="1:10" x14ac:dyDescent="0.25">
      <c r="A2274" s="92">
        <v>45929</v>
      </c>
      <c r="B2274" s="93" t="s">
        <v>333</v>
      </c>
      <c r="C2274" s="89" t="s">
        <v>40</v>
      </c>
      <c r="D2274" s="93" t="s">
        <v>320</v>
      </c>
      <c r="E2274" s="93" t="s">
        <v>35</v>
      </c>
      <c r="F2274" s="93" t="s">
        <v>322</v>
      </c>
      <c r="G2274" s="93" t="s">
        <v>319</v>
      </c>
      <c r="H2274" s="93" t="s">
        <v>352</v>
      </c>
      <c r="I2274" s="94">
        <v>7.65</v>
      </c>
      <c r="J2274" s="95">
        <v>244.8</v>
      </c>
    </row>
    <row r="2275" spans="1:10" x14ac:dyDescent="0.25">
      <c r="A2275" s="92">
        <v>45929</v>
      </c>
      <c r="B2275" s="93" t="s">
        <v>327</v>
      </c>
      <c r="C2275" s="89" t="s">
        <v>40</v>
      </c>
      <c r="D2275" s="93" t="s">
        <v>320</v>
      </c>
      <c r="E2275" s="93" t="s">
        <v>35</v>
      </c>
      <c r="F2275" s="93" t="s">
        <v>322</v>
      </c>
      <c r="G2275" s="93" t="s">
        <v>319</v>
      </c>
      <c r="H2275" s="93" t="s">
        <v>352</v>
      </c>
      <c r="I2275" s="94">
        <v>7.42</v>
      </c>
      <c r="J2275" s="95">
        <v>237.44</v>
      </c>
    </row>
    <row r="2276" spans="1:10" x14ac:dyDescent="0.25">
      <c r="A2276" s="92">
        <v>45929</v>
      </c>
      <c r="B2276" s="93" t="s">
        <v>323</v>
      </c>
      <c r="C2276" s="89" t="s">
        <v>40</v>
      </c>
      <c r="D2276" s="93" t="s">
        <v>231</v>
      </c>
      <c r="E2276" s="93" t="s">
        <v>36</v>
      </c>
      <c r="F2276" s="93" t="s">
        <v>420</v>
      </c>
      <c r="G2276" s="93" t="s">
        <v>346</v>
      </c>
      <c r="H2276" s="93" t="s">
        <v>342</v>
      </c>
      <c r="I2276" s="94">
        <v>0.5</v>
      </c>
      <c r="J2276" s="95">
        <v>30</v>
      </c>
    </row>
    <row r="2277" spans="1:10" x14ac:dyDescent="0.25">
      <c r="A2277" s="92">
        <v>45929</v>
      </c>
      <c r="B2277" s="93" t="s">
        <v>323</v>
      </c>
      <c r="C2277" s="89" t="s">
        <v>40</v>
      </c>
      <c r="D2277" s="93" t="s">
        <v>231</v>
      </c>
      <c r="E2277" s="93" t="s">
        <v>341</v>
      </c>
      <c r="F2277" s="93" t="s">
        <v>420</v>
      </c>
      <c r="G2277" s="93" t="s">
        <v>346</v>
      </c>
      <c r="H2277" s="93" t="s">
        <v>344</v>
      </c>
      <c r="I2277" s="94">
        <v>1.5</v>
      </c>
      <c r="J2277" s="95">
        <v>90</v>
      </c>
    </row>
    <row r="2278" spans="1:10" x14ac:dyDescent="0.25">
      <c r="A2278" s="92">
        <v>45929</v>
      </c>
      <c r="B2278" s="93" t="s">
        <v>323</v>
      </c>
      <c r="C2278" s="89" t="s">
        <v>40</v>
      </c>
      <c r="D2278" s="93" t="s">
        <v>283</v>
      </c>
      <c r="E2278" s="93" t="s">
        <v>341</v>
      </c>
      <c r="F2278" s="93" t="s">
        <v>429</v>
      </c>
      <c r="G2278" s="93" t="s">
        <v>346</v>
      </c>
      <c r="H2278" s="93" t="s">
        <v>344</v>
      </c>
      <c r="I2278" s="94">
        <v>2.5</v>
      </c>
      <c r="J2278" s="95">
        <v>150</v>
      </c>
    </row>
    <row r="2279" spans="1:10" x14ac:dyDescent="0.25">
      <c r="A2279" s="92">
        <v>45929</v>
      </c>
      <c r="B2279" s="93" t="s">
        <v>323</v>
      </c>
      <c r="C2279" s="89" t="s">
        <v>40</v>
      </c>
      <c r="D2279" s="93" t="s">
        <v>282</v>
      </c>
      <c r="E2279" s="93" t="s">
        <v>341</v>
      </c>
      <c r="F2279" s="93" t="s">
        <v>451</v>
      </c>
      <c r="G2279" s="93" t="s">
        <v>346</v>
      </c>
      <c r="H2279" s="93" t="s">
        <v>344</v>
      </c>
      <c r="I2279" s="94">
        <v>1</v>
      </c>
      <c r="J2279" s="95">
        <v>60</v>
      </c>
    </row>
    <row r="2280" spans="1:10" x14ac:dyDescent="0.25">
      <c r="A2280" s="92">
        <v>45929</v>
      </c>
      <c r="B2280" s="93" t="s">
        <v>329</v>
      </c>
      <c r="C2280" s="89" t="s">
        <v>40</v>
      </c>
      <c r="D2280" s="93" t="s">
        <v>186</v>
      </c>
      <c r="E2280" s="93" t="s">
        <v>34</v>
      </c>
      <c r="F2280" s="93" t="s">
        <v>397</v>
      </c>
      <c r="G2280" s="93" t="s">
        <v>347</v>
      </c>
      <c r="H2280" s="93" t="s">
        <v>343</v>
      </c>
      <c r="I2280" s="94">
        <v>0.25</v>
      </c>
      <c r="J2280" s="95">
        <v>18.75</v>
      </c>
    </row>
    <row r="2281" spans="1:10" x14ac:dyDescent="0.25">
      <c r="A2281" s="92">
        <v>45929</v>
      </c>
      <c r="B2281" s="93" t="s">
        <v>329</v>
      </c>
      <c r="C2281" s="89" t="s">
        <v>40</v>
      </c>
      <c r="D2281" s="93" t="s">
        <v>197</v>
      </c>
      <c r="E2281" s="93" t="s">
        <v>34</v>
      </c>
      <c r="F2281" s="93" t="s">
        <v>366</v>
      </c>
      <c r="G2281" s="93" t="s">
        <v>347</v>
      </c>
      <c r="H2281" s="93" t="s">
        <v>343</v>
      </c>
      <c r="I2281" s="94">
        <v>0.33</v>
      </c>
      <c r="J2281" s="95">
        <v>24.75</v>
      </c>
    </row>
    <row r="2282" spans="1:10" x14ac:dyDescent="0.25">
      <c r="A2282" s="92">
        <v>45929</v>
      </c>
      <c r="B2282" s="93" t="s">
        <v>325</v>
      </c>
      <c r="C2282" s="89" t="s">
        <v>40</v>
      </c>
      <c r="D2282" s="93" t="s">
        <v>179</v>
      </c>
      <c r="E2282" s="93" t="s">
        <v>34</v>
      </c>
      <c r="F2282" s="93" t="s">
        <v>422</v>
      </c>
      <c r="G2282" s="93" t="s">
        <v>347</v>
      </c>
      <c r="H2282" s="93" t="s">
        <v>343</v>
      </c>
      <c r="I2282" s="94">
        <v>0.17</v>
      </c>
      <c r="J2282" s="95">
        <v>12.750000000000002</v>
      </c>
    </row>
    <row r="2283" spans="1:10" x14ac:dyDescent="0.25">
      <c r="A2283" s="92">
        <v>45929</v>
      </c>
      <c r="B2283" s="93" t="s">
        <v>330</v>
      </c>
      <c r="C2283" s="89" t="s">
        <v>40</v>
      </c>
      <c r="D2283" s="93" t="s">
        <v>209</v>
      </c>
      <c r="E2283" s="93" t="s">
        <v>34</v>
      </c>
      <c r="F2283" s="93" t="s">
        <v>370</v>
      </c>
      <c r="G2283" s="93" t="s">
        <v>347</v>
      </c>
      <c r="H2283" s="93" t="s">
        <v>343</v>
      </c>
      <c r="I2283" s="94">
        <v>0.25</v>
      </c>
      <c r="J2283" s="95">
        <v>15</v>
      </c>
    </row>
    <row r="2284" spans="1:10" x14ac:dyDescent="0.25">
      <c r="A2284" s="92">
        <v>45929</v>
      </c>
      <c r="B2284" s="93" t="s">
        <v>329</v>
      </c>
      <c r="C2284" s="89" t="s">
        <v>40</v>
      </c>
      <c r="D2284" s="93" t="s">
        <v>301</v>
      </c>
      <c r="E2284" s="93" t="s">
        <v>34</v>
      </c>
      <c r="F2284" s="93" t="s">
        <v>371</v>
      </c>
      <c r="G2284" s="93" t="s">
        <v>347</v>
      </c>
      <c r="H2284" s="93" t="s">
        <v>343</v>
      </c>
      <c r="I2284" s="94">
        <v>0.33</v>
      </c>
      <c r="J2284" s="95">
        <v>24.75</v>
      </c>
    </row>
    <row r="2285" spans="1:10" x14ac:dyDescent="0.25">
      <c r="A2285" s="92">
        <v>45929</v>
      </c>
      <c r="B2285" s="93" t="s">
        <v>329</v>
      </c>
      <c r="C2285" s="89" t="s">
        <v>40</v>
      </c>
      <c r="D2285" s="93" t="s">
        <v>229</v>
      </c>
      <c r="E2285" s="93" t="s">
        <v>34</v>
      </c>
      <c r="F2285" s="93" t="s">
        <v>373</v>
      </c>
      <c r="G2285" s="93" t="s">
        <v>347</v>
      </c>
      <c r="H2285" s="93" t="s">
        <v>343</v>
      </c>
      <c r="I2285" s="94">
        <v>0.33</v>
      </c>
      <c r="J2285" s="95">
        <v>24.75</v>
      </c>
    </row>
    <row r="2286" spans="1:10" x14ac:dyDescent="0.25">
      <c r="A2286" s="92">
        <v>45929</v>
      </c>
      <c r="B2286" s="93" t="s">
        <v>329</v>
      </c>
      <c r="C2286" s="89" t="s">
        <v>40</v>
      </c>
      <c r="D2286" s="93" t="s">
        <v>221</v>
      </c>
      <c r="E2286" s="93" t="s">
        <v>34</v>
      </c>
      <c r="F2286" s="93" t="s">
        <v>369</v>
      </c>
      <c r="G2286" s="93" t="s">
        <v>347</v>
      </c>
      <c r="H2286" s="93" t="s">
        <v>343</v>
      </c>
      <c r="I2286" s="94">
        <v>0.33</v>
      </c>
      <c r="J2286" s="95">
        <v>24.75</v>
      </c>
    </row>
    <row r="2287" spans="1:10" x14ac:dyDescent="0.25">
      <c r="A2287" s="92">
        <v>45929</v>
      </c>
      <c r="B2287" s="93" t="s">
        <v>329</v>
      </c>
      <c r="C2287" s="89" t="s">
        <v>40</v>
      </c>
      <c r="D2287" s="93" t="s">
        <v>238</v>
      </c>
      <c r="E2287" s="93" t="s">
        <v>34</v>
      </c>
      <c r="F2287" s="93" t="s">
        <v>374</v>
      </c>
      <c r="G2287" s="93" t="s">
        <v>347</v>
      </c>
      <c r="H2287" s="93" t="s">
        <v>343</v>
      </c>
      <c r="I2287" s="94">
        <v>0.33</v>
      </c>
      <c r="J2287" s="95">
        <v>24.75</v>
      </c>
    </row>
    <row r="2288" spans="1:10" x14ac:dyDescent="0.25">
      <c r="A2288" s="92">
        <v>45929</v>
      </c>
      <c r="B2288" s="93" t="s">
        <v>330</v>
      </c>
      <c r="C2288" s="89" t="s">
        <v>40</v>
      </c>
      <c r="D2288" s="93" t="s">
        <v>178</v>
      </c>
      <c r="E2288" s="93" t="s">
        <v>34</v>
      </c>
      <c r="F2288" s="93" t="s">
        <v>460</v>
      </c>
      <c r="G2288" s="93" t="s">
        <v>347</v>
      </c>
      <c r="H2288" s="93" t="s">
        <v>343</v>
      </c>
      <c r="I2288" s="94">
        <v>1.5</v>
      </c>
      <c r="J2288" s="95">
        <v>90</v>
      </c>
    </row>
    <row r="2289" spans="1:10" x14ac:dyDescent="0.25">
      <c r="A2289" s="92">
        <v>45929</v>
      </c>
      <c r="B2289" s="93" t="s">
        <v>330</v>
      </c>
      <c r="C2289" s="89" t="s">
        <v>40</v>
      </c>
      <c r="D2289" s="93" t="s">
        <v>244</v>
      </c>
      <c r="E2289" s="93" t="s">
        <v>34</v>
      </c>
      <c r="F2289" s="93" t="s">
        <v>457</v>
      </c>
      <c r="G2289" s="93" t="s">
        <v>347</v>
      </c>
      <c r="H2289" s="93" t="s">
        <v>343</v>
      </c>
      <c r="I2289" s="94">
        <v>0.25</v>
      </c>
      <c r="J2289" s="95">
        <v>15</v>
      </c>
    </row>
    <row r="2290" spans="1:10" x14ac:dyDescent="0.25">
      <c r="A2290" s="92">
        <v>45929</v>
      </c>
      <c r="B2290" s="93" t="s">
        <v>329</v>
      </c>
      <c r="C2290" s="89" t="s">
        <v>40</v>
      </c>
      <c r="D2290" s="93" t="s">
        <v>293</v>
      </c>
      <c r="E2290" s="93" t="s">
        <v>34</v>
      </c>
      <c r="F2290" s="93" t="s">
        <v>376</v>
      </c>
      <c r="G2290" s="93" t="s">
        <v>347</v>
      </c>
      <c r="H2290" s="93" t="s">
        <v>343</v>
      </c>
      <c r="I2290" s="94">
        <v>0.08</v>
      </c>
      <c r="J2290" s="95">
        <v>6</v>
      </c>
    </row>
    <row r="2291" spans="1:10" x14ac:dyDescent="0.25">
      <c r="A2291" s="92">
        <v>45929</v>
      </c>
      <c r="B2291" s="93" t="s">
        <v>329</v>
      </c>
      <c r="C2291" s="89" t="s">
        <v>40</v>
      </c>
      <c r="D2291" s="93" t="s">
        <v>295</v>
      </c>
      <c r="E2291" s="93" t="s">
        <v>34</v>
      </c>
      <c r="F2291" s="93" t="s">
        <v>379</v>
      </c>
      <c r="G2291" s="93" t="s">
        <v>347</v>
      </c>
      <c r="H2291" s="93" t="s">
        <v>343</v>
      </c>
      <c r="I2291" s="94">
        <v>0.5</v>
      </c>
      <c r="J2291" s="95">
        <v>37.5</v>
      </c>
    </row>
    <row r="2292" spans="1:10" x14ac:dyDescent="0.25">
      <c r="A2292" s="92">
        <v>45929</v>
      </c>
      <c r="B2292" s="93" t="s">
        <v>329</v>
      </c>
      <c r="C2292" s="89" t="s">
        <v>40</v>
      </c>
      <c r="D2292" s="93" t="s">
        <v>296</v>
      </c>
      <c r="E2292" s="93" t="s">
        <v>34</v>
      </c>
      <c r="F2292" s="93" t="s">
        <v>411</v>
      </c>
      <c r="G2292" s="93" t="s">
        <v>347</v>
      </c>
      <c r="H2292" s="93" t="s">
        <v>343</v>
      </c>
      <c r="I2292" s="94">
        <v>0.25</v>
      </c>
      <c r="J2292" s="95">
        <v>18.75</v>
      </c>
    </row>
    <row r="2293" spans="1:10" x14ac:dyDescent="0.25">
      <c r="A2293" s="92">
        <v>45929</v>
      </c>
      <c r="B2293" s="93" t="s">
        <v>325</v>
      </c>
      <c r="C2293" s="89" t="s">
        <v>40</v>
      </c>
      <c r="D2293" s="93" t="s">
        <v>249</v>
      </c>
      <c r="E2293" s="93" t="s">
        <v>34</v>
      </c>
      <c r="F2293" s="93" t="s">
        <v>409</v>
      </c>
      <c r="G2293" s="93" t="s">
        <v>347</v>
      </c>
      <c r="H2293" s="93" t="s">
        <v>343</v>
      </c>
      <c r="I2293" s="94">
        <v>0.17</v>
      </c>
      <c r="J2293" s="95">
        <v>12.750000000000002</v>
      </c>
    </row>
    <row r="2294" spans="1:10" x14ac:dyDescent="0.25">
      <c r="A2294" s="92">
        <v>45929</v>
      </c>
      <c r="B2294" s="93" t="s">
        <v>329</v>
      </c>
      <c r="C2294" s="89" t="s">
        <v>40</v>
      </c>
      <c r="D2294" s="93" t="s">
        <v>247</v>
      </c>
      <c r="E2294" s="93" t="s">
        <v>34</v>
      </c>
      <c r="F2294" s="93" t="s">
        <v>375</v>
      </c>
      <c r="G2294" s="93" t="s">
        <v>347</v>
      </c>
      <c r="H2294" s="93" t="s">
        <v>343</v>
      </c>
      <c r="I2294" s="94">
        <v>0.33</v>
      </c>
      <c r="J2294" s="95">
        <v>24.75</v>
      </c>
    </row>
    <row r="2295" spans="1:10" x14ac:dyDescent="0.25">
      <c r="A2295" s="92">
        <v>45929</v>
      </c>
      <c r="B2295" s="93" t="s">
        <v>325</v>
      </c>
      <c r="C2295" s="89" t="s">
        <v>40</v>
      </c>
      <c r="D2295" s="93" t="s">
        <v>278</v>
      </c>
      <c r="E2295" s="93" t="s">
        <v>34</v>
      </c>
      <c r="F2295" s="93" t="s">
        <v>452</v>
      </c>
      <c r="G2295" s="93" t="s">
        <v>347</v>
      </c>
      <c r="H2295" s="93" t="s">
        <v>343</v>
      </c>
      <c r="I2295" s="94">
        <v>0.17</v>
      </c>
      <c r="J2295" s="95">
        <v>12.750000000000002</v>
      </c>
    </row>
    <row r="2296" spans="1:10" x14ac:dyDescent="0.25">
      <c r="A2296" s="92">
        <v>45929</v>
      </c>
      <c r="B2296" s="93" t="s">
        <v>329</v>
      </c>
      <c r="C2296" s="89" t="s">
        <v>40</v>
      </c>
      <c r="D2296" s="93" t="s">
        <v>230</v>
      </c>
      <c r="E2296" s="93" t="s">
        <v>34</v>
      </c>
      <c r="F2296" s="93" t="s">
        <v>410</v>
      </c>
      <c r="G2296" s="93" t="s">
        <v>347</v>
      </c>
      <c r="H2296" s="93" t="s">
        <v>343</v>
      </c>
      <c r="I2296" s="94">
        <v>0.33</v>
      </c>
      <c r="J2296" s="95">
        <v>24.75</v>
      </c>
    </row>
    <row r="2297" spans="1:10" x14ac:dyDescent="0.25">
      <c r="A2297" s="92">
        <v>45929</v>
      </c>
      <c r="B2297" s="93" t="s">
        <v>329</v>
      </c>
      <c r="C2297" s="89" t="s">
        <v>40</v>
      </c>
      <c r="D2297" s="93" t="s">
        <v>272</v>
      </c>
      <c r="E2297" s="93" t="s">
        <v>34</v>
      </c>
      <c r="F2297" s="93" t="s">
        <v>362</v>
      </c>
      <c r="G2297" s="93" t="s">
        <v>347</v>
      </c>
      <c r="H2297" s="93" t="s">
        <v>343</v>
      </c>
      <c r="I2297" s="94">
        <v>0.33</v>
      </c>
      <c r="J2297" s="95">
        <v>24.75</v>
      </c>
    </row>
    <row r="2298" spans="1:10" x14ac:dyDescent="0.25">
      <c r="A2298" s="92">
        <v>45929</v>
      </c>
      <c r="B2298" s="93" t="s">
        <v>325</v>
      </c>
      <c r="C2298" s="89" t="s">
        <v>40</v>
      </c>
      <c r="D2298" s="93" t="s">
        <v>278</v>
      </c>
      <c r="E2298" s="93" t="s">
        <v>341</v>
      </c>
      <c r="F2298" s="93" t="s">
        <v>452</v>
      </c>
      <c r="G2298" s="93" t="s">
        <v>347</v>
      </c>
      <c r="H2298" s="93" t="s">
        <v>344</v>
      </c>
      <c r="I2298" s="94">
        <v>2.92</v>
      </c>
      <c r="J2298" s="95">
        <v>219</v>
      </c>
    </row>
    <row r="2299" spans="1:10" x14ac:dyDescent="0.25">
      <c r="A2299" s="92">
        <v>45929</v>
      </c>
      <c r="B2299" s="93" t="s">
        <v>329</v>
      </c>
      <c r="C2299" s="89" t="s">
        <v>40</v>
      </c>
      <c r="D2299" s="93" t="s">
        <v>248</v>
      </c>
      <c r="E2299" s="93" t="s">
        <v>341</v>
      </c>
      <c r="F2299" s="93" t="s">
        <v>385</v>
      </c>
      <c r="G2299" s="93" t="s">
        <v>347</v>
      </c>
      <c r="H2299" s="93" t="s">
        <v>344</v>
      </c>
      <c r="I2299" s="94">
        <v>0.33</v>
      </c>
      <c r="J2299" s="95">
        <v>24.75</v>
      </c>
    </row>
    <row r="2300" spans="1:10" x14ac:dyDescent="0.25">
      <c r="A2300" s="92">
        <v>45929</v>
      </c>
      <c r="B2300" s="93" t="s">
        <v>329</v>
      </c>
      <c r="C2300" s="89" t="s">
        <v>40</v>
      </c>
      <c r="D2300" s="93" t="s">
        <v>299</v>
      </c>
      <c r="E2300" s="93" t="s">
        <v>312</v>
      </c>
      <c r="F2300" s="93" t="s">
        <v>455</v>
      </c>
      <c r="G2300" s="93" t="s">
        <v>347</v>
      </c>
      <c r="H2300" s="93" t="s">
        <v>350</v>
      </c>
      <c r="I2300" s="94">
        <v>0.5</v>
      </c>
      <c r="J2300" s="95">
        <v>37.5</v>
      </c>
    </row>
    <row r="2301" spans="1:10" x14ac:dyDescent="0.25">
      <c r="A2301" s="92">
        <v>45929</v>
      </c>
      <c r="B2301" s="93" t="s">
        <v>326</v>
      </c>
      <c r="C2301" s="89" t="s">
        <v>40</v>
      </c>
      <c r="D2301" s="93" t="s">
        <v>265</v>
      </c>
      <c r="E2301" s="93" t="s">
        <v>34</v>
      </c>
      <c r="F2301" s="93" t="s">
        <v>358</v>
      </c>
      <c r="G2301" s="93" t="s">
        <v>348</v>
      </c>
      <c r="H2301" s="93" t="s">
        <v>343</v>
      </c>
      <c r="I2301" s="94">
        <v>1.33</v>
      </c>
      <c r="J2301" s="95">
        <v>79.800000000000011</v>
      </c>
    </row>
    <row r="2302" spans="1:10" x14ac:dyDescent="0.25">
      <c r="A2302" s="92">
        <v>45929</v>
      </c>
      <c r="B2302" s="93" t="s">
        <v>332</v>
      </c>
      <c r="C2302" s="89" t="s">
        <v>40</v>
      </c>
      <c r="D2302" s="93" t="s">
        <v>314</v>
      </c>
      <c r="E2302" s="93" t="s">
        <v>35</v>
      </c>
      <c r="F2302" s="93" t="s">
        <v>359</v>
      </c>
      <c r="G2302" s="93" t="s">
        <v>339</v>
      </c>
      <c r="H2302" s="93" t="s">
        <v>352</v>
      </c>
      <c r="I2302" s="94">
        <v>7.5</v>
      </c>
      <c r="J2302" s="95">
        <v>300</v>
      </c>
    </row>
    <row r="2303" spans="1:10" x14ac:dyDescent="0.25">
      <c r="A2303" s="92">
        <v>45929</v>
      </c>
      <c r="B2303" s="93" t="s">
        <v>324</v>
      </c>
      <c r="C2303" s="89" t="s">
        <v>40</v>
      </c>
      <c r="D2303" s="93" t="s">
        <v>314</v>
      </c>
      <c r="E2303" s="93" t="s">
        <v>35</v>
      </c>
      <c r="F2303" s="93" t="s">
        <v>359</v>
      </c>
      <c r="G2303" s="93" t="s">
        <v>339</v>
      </c>
      <c r="H2303" s="93" t="s">
        <v>352</v>
      </c>
      <c r="I2303" s="94">
        <v>4.5</v>
      </c>
      <c r="J2303" s="95">
        <v>337.5</v>
      </c>
    </row>
    <row r="2304" spans="1:10" x14ac:dyDescent="0.25">
      <c r="A2304" s="92">
        <v>45930</v>
      </c>
      <c r="B2304" s="93" t="s">
        <v>329</v>
      </c>
      <c r="C2304" s="89" t="s">
        <v>40</v>
      </c>
      <c r="D2304" s="93" t="s">
        <v>316</v>
      </c>
      <c r="E2304" s="93" t="s">
        <v>35</v>
      </c>
      <c r="F2304" s="93" t="s">
        <v>338</v>
      </c>
      <c r="G2304" s="93" t="s">
        <v>337</v>
      </c>
      <c r="H2304" s="93" t="s">
        <v>352</v>
      </c>
      <c r="I2304" s="94">
        <v>1.17</v>
      </c>
      <c r="J2304" s="95">
        <v>87.75</v>
      </c>
    </row>
    <row r="2305" spans="1:10" x14ac:dyDescent="0.25">
      <c r="A2305" s="92">
        <v>45930</v>
      </c>
      <c r="B2305" s="93" t="s">
        <v>323</v>
      </c>
      <c r="C2305" s="89" t="s">
        <v>40</v>
      </c>
      <c r="D2305" s="93" t="s">
        <v>169</v>
      </c>
      <c r="E2305" s="93" t="s">
        <v>36</v>
      </c>
      <c r="F2305" s="93" t="s">
        <v>433</v>
      </c>
      <c r="G2305" s="93" t="s">
        <v>346</v>
      </c>
      <c r="H2305" s="93" t="s">
        <v>342</v>
      </c>
      <c r="I2305" s="94">
        <v>0.25</v>
      </c>
      <c r="J2305" s="95">
        <v>15</v>
      </c>
    </row>
    <row r="2306" spans="1:10" x14ac:dyDescent="0.25">
      <c r="A2306" s="92">
        <v>45930</v>
      </c>
      <c r="B2306" s="93" t="s">
        <v>323</v>
      </c>
      <c r="C2306" s="89" t="s">
        <v>40</v>
      </c>
      <c r="D2306" s="93" t="s">
        <v>172</v>
      </c>
      <c r="E2306" s="93" t="s">
        <v>36</v>
      </c>
      <c r="F2306" s="93" t="s">
        <v>426</v>
      </c>
      <c r="G2306" s="93" t="s">
        <v>346</v>
      </c>
      <c r="H2306" s="93" t="s">
        <v>342</v>
      </c>
      <c r="I2306" s="94">
        <v>0.25</v>
      </c>
      <c r="J2306" s="95">
        <v>15</v>
      </c>
    </row>
    <row r="2307" spans="1:10" x14ac:dyDescent="0.25">
      <c r="A2307" s="92">
        <v>45930</v>
      </c>
      <c r="B2307" s="93" t="s">
        <v>333</v>
      </c>
      <c r="C2307" s="89" t="s">
        <v>40</v>
      </c>
      <c r="D2307" s="93" t="s">
        <v>320</v>
      </c>
      <c r="E2307" s="93" t="s">
        <v>35</v>
      </c>
      <c r="F2307" s="93" t="s">
        <v>322</v>
      </c>
      <c r="G2307" s="93" t="s">
        <v>319</v>
      </c>
      <c r="H2307" s="93" t="s">
        <v>352</v>
      </c>
      <c r="I2307" s="94">
        <v>7.55</v>
      </c>
      <c r="J2307" s="95">
        <v>241.6</v>
      </c>
    </row>
    <row r="2308" spans="1:10" x14ac:dyDescent="0.25">
      <c r="A2308" s="92">
        <v>45930</v>
      </c>
      <c r="B2308" s="93" t="s">
        <v>327</v>
      </c>
      <c r="C2308" s="89" t="s">
        <v>40</v>
      </c>
      <c r="D2308" s="93" t="s">
        <v>320</v>
      </c>
      <c r="E2308" s="93" t="s">
        <v>35</v>
      </c>
      <c r="F2308" s="93" t="s">
        <v>322</v>
      </c>
      <c r="G2308" s="93" t="s">
        <v>319</v>
      </c>
      <c r="H2308" s="93" t="s">
        <v>352</v>
      </c>
      <c r="I2308" s="94">
        <v>7.33</v>
      </c>
      <c r="J2308" s="95">
        <v>234.56</v>
      </c>
    </row>
    <row r="2309" spans="1:10" x14ac:dyDescent="0.25">
      <c r="A2309" s="92">
        <v>45930</v>
      </c>
      <c r="B2309" s="93" t="s">
        <v>323</v>
      </c>
      <c r="C2309" s="89" t="s">
        <v>40</v>
      </c>
      <c r="D2309" s="93" t="s">
        <v>231</v>
      </c>
      <c r="E2309" s="93" t="s">
        <v>34</v>
      </c>
      <c r="F2309" s="93" t="s">
        <v>420</v>
      </c>
      <c r="G2309" s="93" t="s">
        <v>346</v>
      </c>
      <c r="H2309" s="93" t="s">
        <v>343</v>
      </c>
      <c r="I2309" s="94">
        <v>0.25</v>
      </c>
      <c r="J2309" s="95">
        <v>15</v>
      </c>
    </row>
    <row r="2310" spans="1:10" x14ac:dyDescent="0.25">
      <c r="A2310" s="92">
        <v>45930</v>
      </c>
      <c r="B2310" s="93" t="s">
        <v>323</v>
      </c>
      <c r="C2310" s="89" t="s">
        <v>40</v>
      </c>
      <c r="D2310" s="93" t="s">
        <v>283</v>
      </c>
      <c r="E2310" s="93" t="s">
        <v>34</v>
      </c>
      <c r="F2310" s="93" t="s">
        <v>429</v>
      </c>
      <c r="G2310" s="93" t="s">
        <v>346</v>
      </c>
      <c r="H2310" s="93" t="s">
        <v>343</v>
      </c>
      <c r="I2310" s="94">
        <v>0.5</v>
      </c>
      <c r="J2310" s="95">
        <v>30</v>
      </c>
    </row>
    <row r="2311" spans="1:10" x14ac:dyDescent="0.25">
      <c r="A2311" s="92">
        <v>45930</v>
      </c>
      <c r="B2311" s="93" t="s">
        <v>329</v>
      </c>
      <c r="C2311" s="89" t="s">
        <v>40</v>
      </c>
      <c r="D2311" s="93" t="s">
        <v>197</v>
      </c>
      <c r="E2311" s="93" t="s">
        <v>34</v>
      </c>
      <c r="F2311" s="93" t="s">
        <v>366</v>
      </c>
      <c r="G2311" s="93" t="s">
        <v>347</v>
      </c>
      <c r="H2311" s="93" t="s">
        <v>343</v>
      </c>
      <c r="I2311" s="94">
        <v>0.17</v>
      </c>
      <c r="J2311" s="95">
        <v>12.750000000000002</v>
      </c>
    </row>
    <row r="2312" spans="1:10" x14ac:dyDescent="0.25">
      <c r="A2312" s="92">
        <v>45930</v>
      </c>
      <c r="B2312" s="93" t="s">
        <v>329</v>
      </c>
      <c r="C2312" s="89" t="s">
        <v>40</v>
      </c>
      <c r="D2312" s="93" t="s">
        <v>301</v>
      </c>
      <c r="E2312" s="93" t="s">
        <v>34</v>
      </c>
      <c r="F2312" s="93" t="s">
        <v>371</v>
      </c>
      <c r="G2312" s="93" t="s">
        <v>347</v>
      </c>
      <c r="H2312" s="93" t="s">
        <v>343</v>
      </c>
      <c r="I2312" s="94">
        <v>0.57999999999999996</v>
      </c>
      <c r="J2312" s="95">
        <v>43.5</v>
      </c>
    </row>
    <row r="2313" spans="1:10" x14ac:dyDescent="0.25">
      <c r="A2313" s="92">
        <v>45930</v>
      </c>
      <c r="B2313" s="93" t="s">
        <v>325</v>
      </c>
      <c r="C2313" s="89" t="s">
        <v>40</v>
      </c>
      <c r="D2313" s="93" t="s">
        <v>224</v>
      </c>
      <c r="E2313" s="93" t="s">
        <v>34</v>
      </c>
      <c r="F2313" s="93" t="s">
        <v>423</v>
      </c>
      <c r="G2313" s="93" t="s">
        <v>347</v>
      </c>
      <c r="H2313" s="93" t="s">
        <v>343</v>
      </c>
      <c r="I2313" s="94">
        <v>0.17</v>
      </c>
      <c r="J2313" s="95">
        <v>12.750000000000002</v>
      </c>
    </row>
    <row r="2314" spans="1:10" x14ac:dyDescent="0.25">
      <c r="A2314" s="92">
        <v>45930</v>
      </c>
      <c r="B2314" s="93" t="s">
        <v>329</v>
      </c>
      <c r="C2314" s="89" t="s">
        <v>40</v>
      </c>
      <c r="D2314" s="93" t="s">
        <v>240</v>
      </c>
      <c r="E2314" s="93" t="s">
        <v>34</v>
      </c>
      <c r="F2314" s="93" t="s">
        <v>402</v>
      </c>
      <c r="G2314" s="93" t="s">
        <v>347</v>
      </c>
      <c r="H2314" s="93" t="s">
        <v>343</v>
      </c>
      <c r="I2314" s="94">
        <v>0.17</v>
      </c>
      <c r="J2314" s="95">
        <v>12.750000000000002</v>
      </c>
    </row>
    <row r="2315" spans="1:10" x14ac:dyDescent="0.25">
      <c r="A2315" s="92">
        <v>45930</v>
      </c>
      <c r="B2315" s="93" t="s">
        <v>329</v>
      </c>
      <c r="C2315" s="89" t="s">
        <v>40</v>
      </c>
      <c r="D2315" s="93" t="s">
        <v>241</v>
      </c>
      <c r="E2315" s="93" t="s">
        <v>34</v>
      </c>
      <c r="F2315" s="93" t="s">
        <v>403</v>
      </c>
      <c r="G2315" s="93" t="s">
        <v>347</v>
      </c>
      <c r="H2315" s="93" t="s">
        <v>343</v>
      </c>
      <c r="I2315" s="94">
        <v>0.17</v>
      </c>
      <c r="J2315" s="95">
        <v>12.750000000000002</v>
      </c>
    </row>
    <row r="2316" spans="1:10" x14ac:dyDescent="0.25">
      <c r="A2316" s="92">
        <v>45930</v>
      </c>
      <c r="B2316" s="93" t="s">
        <v>329</v>
      </c>
      <c r="C2316" s="89" t="s">
        <v>40</v>
      </c>
      <c r="D2316" s="93" t="s">
        <v>242</v>
      </c>
      <c r="E2316" s="93" t="s">
        <v>34</v>
      </c>
      <c r="F2316" s="93" t="s">
        <v>404</v>
      </c>
      <c r="G2316" s="93" t="s">
        <v>347</v>
      </c>
      <c r="H2316" s="93" t="s">
        <v>343</v>
      </c>
      <c r="I2316" s="94">
        <v>0.5</v>
      </c>
      <c r="J2316" s="95">
        <v>37.5</v>
      </c>
    </row>
    <row r="2317" spans="1:10" x14ac:dyDescent="0.25">
      <c r="A2317" s="92">
        <v>45930</v>
      </c>
      <c r="B2317" s="93" t="s">
        <v>330</v>
      </c>
      <c r="C2317" s="89" t="s">
        <v>40</v>
      </c>
      <c r="D2317" s="93" t="s">
        <v>178</v>
      </c>
      <c r="E2317" s="93" t="s">
        <v>34</v>
      </c>
      <c r="F2317" s="93" t="s">
        <v>460</v>
      </c>
      <c r="G2317" s="93" t="s">
        <v>347</v>
      </c>
      <c r="H2317" s="93" t="s">
        <v>343</v>
      </c>
      <c r="I2317" s="94">
        <v>0.5</v>
      </c>
      <c r="J2317" s="95">
        <v>30</v>
      </c>
    </row>
    <row r="2318" spans="1:10" x14ac:dyDescent="0.25">
      <c r="A2318" s="92">
        <v>45930</v>
      </c>
      <c r="B2318" s="93" t="s">
        <v>329</v>
      </c>
      <c r="C2318" s="89" t="s">
        <v>40</v>
      </c>
      <c r="D2318" s="93" t="s">
        <v>288</v>
      </c>
      <c r="E2318" s="93" t="s">
        <v>34</v>
      </c>
      <c r="F2318" s="93" t="s">
        <v>405</v>
      </c>
      <c r="G2318" s="93" t="s">
        <v>347</v>
      </c>
      <c r="H2318" s="93" t="s">
        <v>343</v>
      </c>
      <c r="I2318" s="94">
        <v>0.5</v>
      </c>
      <c r="J2318" s="95">
        <v>37.5</v>
      </c>
    </row>
    <row r="2319" spans="1:10" x14ac:dyDescent="0.25">
      <c r="A2319" s="92">
        <v>45930</v>
      </c>
      <c r="B2319" s="93" t="s">
        <v>325</v>
      </c>
      <c r="C2319" s="89" t="s">
        <v>40</v>
      </c>
      <c r="D2319" s="93" t="s">
        <v>287</v>
      </c>
      <c r="E2319" s="93" t="s">
        <v>34</v>
      </c>
      <c r="F2319" s="93" t="s">
        <v>378</v>
      </c>
      <c r="G2319" s="93" t="s">
        <v>347</v>
      </c>
      <c r="H2319" s="93" t="s">
        <v>343</v>
      </c>
      <c r="I2319" s="94">
        <v>0.25</v>
      </c>
      <c r="J2319" s="95">
        <v>18.75</v>
      </c>
    </row>
    <row r="2320" spans="1:10" x14ac:dyDescent="0.25">
      <c r="A2320" s="92">
        <v>45930</v>
      </c>
      <c r="B2320" s="93" t="s">
        <v>329</v>
      </c>
      <c r="C2320" s="89" t="s">
        <v>40</v>
      </c>
      <c r="D2320" s="93" t="s">
        <v>295</v>
      </c>
      <c r="E2320" s="93" t="s">
        <v>34</v>
      </c>
      <c r="F2320" s="93" t="s">
        <v>379</v>
      </c>
      <c r="G2320" s="93" t="s">
        <v>347</v>
      </c>
      <c r="H2320" s="93" t="s">
        <v>343</v>
      </c>
      <c r="I2320" s="94">
        <v>0.08</v>
      </c>
      <c r="J2320" s="95">
        <v>6</v>
      </c>
    </row>
    <row r="2321" spans="1:10" x14ac:dyDescent="0.25">
      <c r="A2321" s="92">
        <v>45930</v>
      </c>
      <c r="B2321" s="93" t="s">
        <v>325</v>
      </c>
      <c r="C2321" s="89" t="s">
        <v>40</v>
      </c>
      <c r="D2321" s="93" t="s">
        <v>253</v>
      </c>
      <c r="E2321" s="93" t="s">
        <v>34</v>
      </c>
      <c r="F2321" s="93" t="s">
        <v>408</v>
      </c>
      <c r="G2321" s="93" t="s">
        <v>347</v>
      </c>
      <c r="H2321" s="93" t="s">
        <v>343</v>
      </c>
      <c r="I2321" s="94">
        <v>0.25</v>
      </c>
      <c r="J2321" s="95">
        <v>18.75</v>
      </c>
    </row>
    <row r="2322" spans="1:10" x14ac:dyDescent="0.25">
      <c r="A2322" s="92">
        <v>45930</v>
      </c>
      <c r="B2322" s="93" t="s">
        <v>329</v>
      </c>
      <c r="C2322" s="89" t="s">
        <v>40</v>
      </c>
      <c r="D2322" s="93" t="s">
        <v>259</v>
      </c>
      <c r="E2322" s="93" t="s">
        <v>34</v>
      </c>
      <c r="F2322" s="93" t="s">
        <v>407</v>
      </c>
      <c r="G2322" s="93" t="s">
        <v>347</v>
      </c>
      <c r="H2322" s="93" t="s">
        <v>343</v>
      </c>
      <c r="I2322" s="94">
        <v>0.33</v>
      </c>
      <c r="J2322" s="95">
        <v>24.75</v>
      </c>
    </row>
    <row r="2323" spans="1:10" x14ac:dyDescent="0.25">
      <c r="A2323" s="92">
        <v>45930</v>
      </c>
      <c r="B2323" s="93" t="s">
        <v>325</v>
      </c>
      <c r="C2323" s="89" t="s">
        <v>40</v>
      </c>
      <c r="D2323" s="93" t="s">
        <v>305</v>
      </c>
      <c r="E2323" s="93" t="s">
        <v>34</v>
      </c>
      <c r="F2323" s="93" t="s">
        <v>382</v>
      </c>
      <c r="G2323" s="93" t="s">
        <v>347</v>
      </c>
      <c r="H2323" s="93" t="s">
        <v>343</v>
      </c>
      <c r="I2323" s="94">
        <v>0.17</v>
      </c>
      <c r="J2323" s="95">
        <v>12.750000000000002</v>
      </c>
    </row>
    <row r="2324" spans="1:10" x14ac:dyDescent="0.25">
      <c r="A2324" s="92">
        <v>45930</v>
      </c>
      <c r="B2324" s="93" t="s">
        <v>325</v>
      </c>
      <c r="C2324" s="89" t="s">
        <v>40</v>
      </c>
      <c r="D2324" s="93" t="s">
        <v>249</v>
      </c>
      <c r="E2324" s="93" t="s">
        <v>34</v>
      </c>
      <c r="F2324" s="93" t="s">
        <v>409</v>
      </c>
      <c r="G2324" s="93" t="s">
        <v>347</v>
      </c>
      <c r="H2324" s="93" t="s">
        <v>343</v>
      </c>
      <c r="I2324" s="94">
        <v>0.17</v>
      </c>
      <c r="J2324" s="95">
        <v>12.750000000000002</v>
      </c>
    </row>
    <row r="2325" spans="1:10" x14ac:dyDescent="0.25">
      <c r="A2325" s="92">
        <v>45930</v>
      </c>
      <c r="B2325" s="93" t="s">
        <v>329</v>
      </c>
      <c r="C2325" s="89" t="s">
        <v>40</v>
      </c>
      <c r="D2325" s="93" t="s">
        <v>247</v>
      </c>
      <c r="E2325" s="93" t="s">
        <v>34</v>
      </c>
      <c r="F2325" s="93" t="s">
        <v>375</v>
      </c>
      <c r="G2325" s="93" t="s">
        <v>347</v>
      </c>
      <c r="H2325" s="93" t="s">
        <v>343</v>
      </c>
      <c r="I2325" s="94">
        <v>0.5</v>
      </c>
      <c r="J2325" s="95">
        <v>37.5</v>
      </c>
    </row>
    <row r="2326" spans="1:10" x14ac:dyDescent="0.25">
      <c r="A2326" s="92">
        <v>45930</v>
      </c>
      <c r="B2326" s="93" t="s">
        <v>329</v>
      </c>
      <c r="C2326" s="89" t="s">
        <v>40</v>
      </c>
      <c r="D2326" s="93" t="s">
        <v>272</v>
      </c>
      <c r="E2326" s="93" t="s">
        <v>34</v>
      </c>
      <c r="F2326" s="93" t="s">
        <v>362</v>
      </c>
      <c r="G2326" s="93" t="s">
        <v>347</v>
      </c>
      <c r="H2326" s="93" t="s">
        <v>343</v>
      </c>
      <c r="I2326" s="94">
        <v>0.17</v>
      </c>
      <c r="J2326" s="95">
        <v>12.750000000000002</v>
      </c>
    </row>
    <row r="2327" spans="1:10" x14ac:dyDescent="0.25">
      <c r="A2327" s="92">
        <v>45930</v>
      </c>
      <c r="B2327" s="93" t="s">
        <v>329</v>
      </c>
      <c r="C2327" s="89" t="s">
        <v>40</v>
      </c>
      <c r="D2327" s="93" t="s">
        <v>248</v>
      </c>
      <c r="E2327" s="93" t="s">
        <v>341</v>
      </c>
      <c r="F2327" s="93" t="s">
        <v>385</v>
      </c>
      <c r="G2327" s="93" t="s">
        <v>347</v>
      </c>
      <c r="H2327" s="93" t="s">
        <v>344</v>
      </c>
      <c r="I2327" s="94">
        <v>0.17</v>
      </c>
      <c r="J2327" s="95">
        <v>12.750000000000002</v>
      </c>
    </row>
    <row r="2328" spans="1:10" x14ac:dyDescent="0.25">
      <c r="A2328" s="92">
        <v>45930</v>
      </c>
      <c r="B2328" s="93" t="s">
        <v>326</v>
      </c>
      <c r="C2328" s="89" t="s">
        <v>40</v>
      </c>
      <c r="D2328" s="93" t="s">
        <v>265</v>
      </c>
      <c r="E2328" s="93" t="s">
        <v>34</v>
      </c>
      <c r="F2328" s="93" t="s">
        <v>358</v>
      </c>
      <c r="G2328" s="93" t="s">
        <v>348</v>
      </c>
      <c r="H2328" s="93" t="s">
        <v>343</v>
      </c>
      <c r="I2328" s="94">
        <v>2.17</v>
      </c>
      <c r="J2328" s="95">
        <v>130.19999999999999</v>
      </c>
    </row>
    <row r="2329" spans="1:10" x14ac:dyDescent="0.25">
      <c r="A2329" s="92">
        <v>45930</v>
      </c>
      <c r="B2329" s="93" t="s">
        <v>332</v>
      </c>
      <c r="C2329" s="89" t="s">
        <v>40</v>
      </c>
      <c r="D2329" s="93" t="s">
        <v>314</v>
      </c>
      <c r="E2329" s="93" t="s">
        <v>35</v>
      </c>
      <c r="F2329" s="93" t="s">
        <v>359</v>
      </c>
      <c r="G2329" s="93" t="s">
        <v>339</v>
      </c>
      <c r="H2329" s="93" t="s">
        <v>352</v>
      </c>
      <c r="I2329" s="94">
        <v>8.5</v>
      </c>
      <c r="J2329" s="95">
        <v>340</v>
      </c>
    </row>
    <row r="2330" spans="1:10" x14ac:dyDescent="0.25">
      <c r="A2330" s="92">
        <v>45930</v>
      </c>
      <c r="B2330" s="93" t="s">
        <v>324</v>
      </c>
      <c r="C2330" s="89" t="s">
        <v>40</v>
      </c>
      <c r="D2330" s="93" t="s">
        <v>314</v>
      </c>
      <c r="E2330" s="93" t="s">
        <v>35</v>
      </c>
      <c r="F2330" s="93" t="s">
        <v>359</v>
      </c>
      <c r="G2330" s="93" t="s">
        <v>339</v>
      </c>
      <c r="H2330" s="93" t="s">
        <v>352</v>
      </c>
      <c r="I2330" s="94">
        <v>3.75</v>
      </c>
      <c r="J2330" s="95">
        <v>281.25</v>
      </c>
    </row>
    <row r="2331" spans="1:10" x14ac:dyDescent="0.25">
      <c r="A2331" s="92">
        <v>45931</v>
      </c>
      <c r="B2331" s="93" t="s">
        <v>329</v>
      </c>
      <c r="C2331" s="89" t="s">
        <v>40</v>
      </c>
      <c r="D2331" s="93" t="s">
        <v>316</v>
      </c>
      <c r="E2331" s="93" t="s">
        <v>35</v>
      </c>
      <c r="F2331" s="93" t="s">
        <v>338</v>
      </c>
      <c r="G2331" s="93" t="s">
        <v>337</v>
      </c>
      <c r="H2331" s="93" t="s">
        <v>352</v>
      </c>
      <c r="I2331" s="94">
        <v>1</v>
      </c>
      <c r="J2331" s="95">
        <v>75</v>
      </c>
    </row>
    <row r="2332" spans="1:10" x14ac:dyDescent="0.25">
      <c r="A2332" s="92">
        <v>45931</v>
      </c>
      <c r="B2332" s="93" t="s">
        <v>328</v>
      </c>
      <c r="C2332" s="89" t="s">
        <v>40</v>
      </c>
      <c r="D2332" s="93" t="s">
        <v>290</v>
      </c>
      <c r="E2332" s="93" t="s">
        <v>313</v>
      </c>
      <c r="F2332" s="93" t="s">
        <v>471</v>
      </c>
      <c r="G2332" s="93" t="s">
        <v>345</v>
      </c>
      <c r="H2332" s="93" t="s">
        <v>351</v>
      </c>
      <c r="I2332" s="94">
        <v>4</v>
      </c>
      <c r="J2332" s="95">
        <v>360</v>
      </c>
    </row>
    <row r="2333" spans="1:10" x14ac:dyDescent="0.25">
      <c r="A2333" s="92">
        <v>45931</v>
      </c>
      <c r="B2333" s="93" t="s">
        <v>333</v>
      </c>
      <c r="C2333" s="89" t="s">
        <v>40</v>
      </c>
      <c r="D2333" s="93" t="s">
        <v>320</v>
      </c>
      <c r="E2333" s="93" t="s">
        <v>35</v>
      </c>
      <c r="F2333" s="93" t="s">
        <v>322</v>
      </c>
      <c r="G2333" s="93" t="s">
        <v>319</v>
      </c>
      <c r="H2333" s="93" t="s">
        <v>352</v>
      </c>
      <c r="I2333" s="94">
        <v>7.68</v>
      </c>
      <c r="J2333" s="95">
        <v>245.76</v>
      </c>
    </row>
    <row r="2334" spans="1:10" x14ac:dyDescent="0.25">
      <c r="A2334" s="92">
        <v>45931</v>
      </c>
      <c r="B2334" s="93" t="s">
        <v>327</v>
      </c>
      <c r="C2334" s="89" t="s">
        <v>40</v>
      </c>
      <c r="D2334" s="93" t="s">
        <v>320</v>
      </c>
      <c r="E2334" s="93" t="s">
        <v>35</v>
      </c>
      <c r="F2334" s="93" t="s">
        <v>322</v>
      </c>
      <c r="G2334" s="93" t="s">
        <v>319</v>
      </c>
      <c r="H2334" s="93" t="s">
        <v>352</v>
      </c>
      <c r="I2334" s="94">
        <v>7.5</v>
      </c>
      <c r="J2334" s="95">
        <v>240</v>
      </c>
    </row>
    <row r="2335" spans="1:10" x14ac:dyDescent="0.25">
      <c r="A2335" s="92">
        <v>45931</v>
      </c>
      <c r="B2335" s="93" t="s">
        <v>323</v>
      </c>
      <c r="C2335" s="89" t="s">
        <v>40</v>
      </c>
      <c r="D2335" s="93" t="s">
        <v>285</v>
      </c>
      <c r="E2335" s="93" t="s">
        <v>36</v>
      </c>
      <c r="F2335" s="93" t="s">
        <v>448</v>
      </c>
      <c r="G2335" s="93" t="s">
        <v>346</v>
      </c>
      <c r="H2335" s="93" t="s">
        <v>342</v>
      </c>
      <c r="I2335" s="94">
        <v>0.25</v>
      </c>
      <c r="J2335" s="95">
        <v>15</v>
      </c>
    </row>
    <row r="2336" spans="1:10" x14ac:dyDescent="0.25">
      <c r="A2336" s="92">
        <v>45931</v>
      </c>
      <c r="B2336" s="93" t="s">
        <v>323</v>
      </c>
      <c r="C2336" s="89" t="s">
        <v>40</v>
      </c>
      <c r="D2336" s="93" t="s">
        <v>280</v>
      </c>
      <c r="E2336" s="93" t="s">
        <v>36</v>
      </c>
      <c r="F2336" s="93" t="s">
        <v>445</v>
      </c>
      <c r="G2336" s="93" t="s">
        <v>346</v>
      </c>
      <c r="H2336" s="93" t="s">
        <v>342</v>
      </c>
      <c r="I2336" s="94">
        <v>0.25</v>
      </c>
      <c r="J2336" s="95">
        <v>15</v>
      </c>
    </row>
    <row r="2337" spans="1:10" x14ac:dyDescent="0.25">
      <c r="A2337" s="92">
        <v>45931</v>
      </c>
      <c r="B2337" s="93" t="s">
        <v>325</v>
      </c>
      <c r="C2337" s="89" t="s">
        <v>40</v>
      </c>
      <c r="D2337" s="93" t="s">
        <v>271</v>
      </c>
      <c r="E2337" s="93" t="s">
        <v>36</v>
      </c>
      <c r="F2337" s="93" t="s">
        <v>363</v>
      </c>
      <c r="G2337" s="93" t="s">
        <v>347</v>
      </c>
      <c r="H2337" s="93" t="s">
        <v>342</v>
      </c>
      <c r="I2337" s="94">
        <v>0.25</v>
      </c>
      <c r="J2337" s="95">
        <v>18.75</v>
      </c>
    </row>
    <row r="2338" spans="1:10" x14ac:dyDescent="0.25">
      <c r="A2338" s="92">
        <v>45931</v>
      </c>
      <c r="B2338" s="93" t="s">
        <v>329</v>
      </c>
      <c r="C2338" s="89" t="s">
        <v>40</v>
      </c>
      <c r="D2338" s="93" t="s">
        <v>197</v>
      </c>
      <c r="E2338" s="93" t="s">
        <v>34</v>
      </c>
      <c r="F2338" s="93" t="s">
        <v>366</v>
      </c>
      <c r="G2338" s="93" t="s">
        <v>347</v>
      </c>
      <c r="H2338" s="93" t="s">
        <v>343</v>
      </c>
      <c r="I2338" s="94">
        <v>0.33</v>
      </c>
      <c r="J2338" s="95">
        <v>24.75</v>
      </c>
    </row>
    <row r="2339" spans="1:10" x14ac:dyDescent="0.25">
      <c r="A2339" s="92">
        <v>45931</v>
      </c>
      <c r="B2339" s="93" t="s">
        <v>330</v>
      </c>
      <c r="C2339" s="89" t="s">
        <v>40</v>
      </c>
      <c r="D2339" s="93" t="s">
        <v>215</v>
      </c>
      <c r="E2339" s="93" t="s">
        <v>34</v>
      </c>
      <c r="F2339" s="93" t="s">
        <v>450</v>
      </c>
      <c r="G2339" s="93" t="s">
        <v>347</v>
      </c>
      <c r="H2339" s="93" t="s">
        <v>343</v>
      </c>
      <c r="I2339" s="94">
        <v>1</v>
      </c>
      <c r="J2339" s="95">
        <v>60</v>
      </c>
    </row>
    <row r="2340" spans="1:10" x14ac:dyDescent="0.25">
      <c r="A2340" s="92">
        <v>45931</v>
      </c>
      <c r="B2340" s="93" t="s">
        <v>329</v>
      </c>
      <c r="C2340" s="89" t="s">
        <v>40</v>
      </c>
      <c r="D2340" s="93" t="s">
        <v>301</v>
      </c>
      <c r="E2340" s="93" t="s">
        <v>34</v>
      </c>
      <c r="F2340" s="93" t="s">
        <v>371</v>
      </c>
      <c r="G2340" s="93" t="s">
        <v>347</v>
      </c>
      <c r="H2340" s="93" t="s">
        <v>343</v>
      </c>
      <c r="I2340" s="94">
        <v>0.08</v>
      </c>
      <c r="J2340" s="95">
        <v>6</v>
      </c>
    </row>
    <row r="2341" spans="1:10" x14ac:dyDescent="0.25">
      <c r="A2341" s="92">
        <v>45931</v>
      </c>
      <c r="B2341" s="93" t="s">
        <v>329</v>
      </c>
      <c r="C2341" s="89" t="s">
        <v>40</v>
      </c>
      <c r="D2341" s="93" t="s">
        <v>229</v>
      </c>
      <c r="E2341" s="93" t="s">
        <v>34</v>
      </c>
      <c r="F2341" s="93" t="s">
        <v>373</v>
      </c>
      <c r="G2341" s="93" t="s">
        <v>347</v>
      </c>
      <c r="H2341" s="93" t="s">
        <v>343</v>
      </c>
      <c r="I2341" s="94">
        <v>0.17</v>
      </c>
      <c r="J2341" s="95">
        <v>12.750000000000002</v>
      </c>
    </row>
    <row r="2342" spans="1:10" x14ac:dyDescent="0.25">
      <c r="A2342" s="92">
        <v>45931</v>
      </c>
      <c r="B2342" s="93" t="s">
        <v>325</v>
      </c>
      <c r="C2342" s="89" t="s">
        <v>40</v>
      </c>
      <c r="D2342" s="93" t="s">
        <v>226</v>
      </c>
      <c r="E2342" s="93" t="s">
        <v>34</v>
      </c>
      <c r="F2342" s="93" t="s">
        <v>401</v>
      </c>
      <c r="G2342" s="93" t="s">
        <v>347</v>
      </c>
      <c r="H2342" s="93" t="s">
        <v>343</v>
      </c>
      <c r="I2342" s="94">
        <v>0.17</v>
      </c>
      <c r="J2342" s="95">
        <v>12.750000000000002</v>
      </c>
    </row>
    <row r="2343" spans="1:10" x14ac:dyDescent="0.25">
      <c r="A2343" s="92">
        <v>45931</v>
      </c>
      <c r="B2343" s="93" t="s">
        <v>329</v>
      </c>
      <c r="C2343" s="89" t="s">
        <v>40</v>
      </c>
      <c r="D2343" s="93" t="s">
        <v>221</v>
      </c>
      <c r="E2343" s="93" t="s">
        <v>34</v>
      </c>
      <c r="F2343" s="93" t="s">
        <v>369</v>
      </c>
      <c r="G2343" s="93" t="s">
        <v>347</v>
      </c>
      <c r="H2343" s="93" t="s">
        <v>343</v>
      </c>
      <c r="I2343" s="94">
        <v>0.08</v>
      </c>
      <c r="J2343" s="95">
        <v>6</v>
      </c>
    </row>
    <row r="2344" spans="1:10" x14ac:dyDescent="0.25">
      <c r="A2344" s="92">
        <v>45931</v>
      </c>
      <c r="B2344" s="93" t="s">
        <v>329</v>
      </c>
      <c r="C2344" s="89" t="s">
        <v>40</v>
      </c>
      <c r="D2344" s="93" t="s">
        <v>242</v>
      </c>
      <c r="E2344" s="93" t="s">
        <v>34</v>
      </c>
      <c r="F2344" s="93" t="s">
        <v>404</v>
      </c>
      <c r="G2344" s="93" t="s">
        <v>347</v>
      </c>
      <c r="H2344" s="93" t="s">
        <v>343</v>
      </c>
      <c r="I2344" s="94">
        <v>0.08</v>
      </c>
      <c r="J2344" s="95">
        <v>6</v>
      </c>
    </row>
    <row r="2345" spans="1:10" x14ac:dyDescent="0.25">
      <c r="A2345" s="92">
        <v>45931</v>
      </c>
      <c r="B2345" s="93" t="s">
        <v>325</v>
      </c>
      <c r="C2345" s="89" t="s">
        <v>40</v>
      </c>
      <c r="D2345" s="93" t="s">
        <v>290</v>
      </c>
      <c r="E2345" s="93" t="s">
        <v>34</v>
      </c>
      <c r="F2345" s="93" t="s">
        <v>428</v>
      </c>
      <c r="G2345" s="93" t="s">
        <v>347</v>
      </c>
      <c r="H2345" s="93" t="s">
        <v>343</v>
      </c>
      <c r="I2345" s="94">
        <v>0.33</v>
      </c>
      <c r="J2345" s="95">
        <v>24.75</v>
      </c>
    </row>
    <row r="2346" spans="1:10" x14ac:dyDescent="0.25">
      <c r="A2346" s="92">
        <v>45931</v>
      </c>
      <c r="B2346" s="93" t="s">
        <v>329</v>
      </c>
      <c r="C2346" s="89" t="s">
        <v>40</v>
      </c>
      <c r="D2346" s="93" t="s">
        <v>288</v>
      </c>
      <c r="E2346" s="93" t="s">
        <v>34</v>
      </c>
      <c r="F2346" s="93" t="s">
        <v>405</v>
      </c>
      <c r="G2346" s="93" t="s">
        <v>347</v>
      </c>
      <c r="H2346" s="93" t="s">
        <v>343</v>
      </c>
      <c r="I2346" s="94">
        <v>0.08</v>
      </c>
      <c r="J2346" s="95">
        <v>6</v>
      </c>
    </row>
    <row r="2347" spans="1:10" x14ac:dyDescent="0.25">
      <c r="A2347" s="92">
        <v>45931</v>
      </c>
      <c r="B2347" s="93" t="s">
        <v>329</v>
      </c>
      <c r="C2347" s="89" t="s">
        <v>40</v>
      </c>
      <c r="D2347" s="93" t="s">
        <v>295</v>
      </c>
      <c r="E2347" s="93" t="s">
        <v>34</v>
      </c>
      <c r="F2347" s="93" t="s">
        <v>379</v>
      </c>
      <c r="G2347" s="93" t="s">
        <v>347</v>
      </c>
      <c r="H2347" s="93" t="s">
        <v>343</v>
      </c>
      <c r="I2347" s="94">
        <v>0.33</v>
      </c>
      <c r="J2347" s="95">
        <v>24.75</v>
      </c>
    </row>
    <row r="2348" spans="1:10" x14ac:dyDescent="0.25">
      <c r="A2348" s="92">
        <v>45931</v>
      </c>
      <c r="B2348" s="93" t="s">
        <v>325</v>
      </c>
      <c r="C2348" s="89" t="s">
        <v>40</v>
      </c>
      <c r="D2348" s="93" t="s">
        <v>262</v>
      </c>
      <c r="E2348" s="93" t="s">
        <v>34</v>
      </c>
      <c r="F2348" s="93" t="s">
        <v>442</v>
      </c>
      <c r="G2348" s="93" t="s">
        <v>347</v>
      </c>
      <c r="H2348" s="93" t="s">
        <v>343</v>
      </c>
      <c r="I2348" s="94">
        <v>0.25</v>
      </c>
      <c r="J2348" s="95">
        <v>18.75</v>
      </c>
    </row>
    <row r="2349" spans="1:10" x14ac:dyDescent="0.25">
      <c r="A2349" s="92">
        <v>45931</v>
      </c>
      <c r="B2349" s="93" t="s">
        <v>325</v>
      </c>
      <c r="C2349" s="89" t="s">
        <v>40</v>
      </c>
      <c r="D2349" s="93" t="s">
        <v>264</v>
      </c>
      <c r="E2349" s="93" t="s">
        <v>34</v>
      </c>
      <c r="F2349" s="93" t="s">
        <v>384</v>
      </c>
      <c r="G2349" s="93" t="s">
        <v>347</v>
      </c>
      <c r="H2349" s="93" t="s">
        <v>343</v>
      </c>
      <c r="I2349" s="94">
        <v>0.25</v>
      </c>
      <c r="J2349" s="95">
        <v>18.75</v>
      </c>
    </row>
    <row r="2350" spans="1:10" x14ac:dyDescent="0.25">
      <c r="A2350" s="92">
        <v>45931</v>
      </c>
      <c r="B2350" s="93" t="s">
        <v>329</v>
      </c>
      <c r="C2350" s="89" t="s">
        <v>40</v>
      </c>
      <c r="D2350" s="93" t="s">
        <v>247</v>
      </c>
      <c r="E2350" s="93" t="s">
        <v>34</v>
      </c>
      <c r="F2350" s="93" t="s">
        <v>375</v>
      </c>
      <c r="G2350" s="93" t="s">
        <v>347</v>
      </c>
      <c r="H2350" s="93" t="s">
        <v>343</v>
      </c>
      <c r="I2350" s="94">
        <v>0.17</v>
      </c>
      <c r="J2350" s="95">
        <v>12.750000000000002</v>
      </c>
    </row>
    <row r="2351" spans="1:10" x14ac:dyDescent="0.25">
      <c r="A2351" s="92">
        <v>45931</v>
      </c>
      <c r="B2351" s="93" t="s">
        <v>326</v>
      </c>
      <c r="C2351" s="89" t="s">
        <v>40</v>
      </c>
      <c r="D2351" s="93" t="s">
        <v>233</v>
      </c>
      <c r="E2351" s="93" t="s">
        <v>36</v>
      </c>
      <c r="F2351" s="93" t="s">
        <v>387</v>
      </c>
      <c r="G2351" s="93" t="s">
        <v>348</v>
      </c>
      <c r="H2351" s="93" t="s">
        <v>342</v>
      </c>
      <c r="I2351" s="94">
        <v>0.25</v>
      </c>
      <c r="J2351" s="95">
        <v>15</v>
      </c>
    </row>
    <row r="2352" spans="1:10" x14ac:dyDescent="0.25">
      <c r="A2352" s="92">
        <v>45931</v>
      </c>
      <c r="B2352" s="93" t="s">
        <v>326</v>
      </c>
      <c r="C2352" s="89" t="s">
        <v>40</v>
      </c>
      <c r="D2352" s="93" t="s">
        <v>235</v>
      </c>
      <c r="E2352" s="93" t="s">
        <v>36</v>
      </c>
      <c r="F2352" s="93" t="s">
        <v>355</v>
      </c>
      <c r="G2352" s="93" t="s">
        <v>348</v>
      </c>
      <c r="H2352" s="93" t="s">
        <v>342</v>
      </c>
      <c r="I2352" s="94">
        <v>0.25</v>
      </c>
      <c r="J2352" s="95">
        <v>15</v>
      </c>
    </row>
    <row r="2353" spans="1:10" x14ac:dyDescent="0.25">
      <c r="A2353" s="92">
        <v>45931</v>
      </c>
      <c r="B2353" s="93" t="s">
        <v>326</v>
      </c>
      <c r="C2353" s="89" t="s">
        <v>40</v>
      </c>
      <c r="D2353" s="93" t="s">
        <v>236</v>
      </c>
      <c r="E2353" s="93" t="s">
        <v>36</v>
      </c>
      <c r="F2353" s="93" t="s">
        <v>357</v>
      </c>
      <c r="G2353" s="93" t="s">
        <v>348</v>
      </c>
      <c r="H2353" s="93" t="s">
        <v>342</v>
      </c>
      <c r="I2353" s="94">
        <v>0.25</v>
      </c>
      <c r="J2353" s="95">
        <v>15</v>
      </c>
    </row>
    <row r="2354" spans="1:10" x14ac:dyDescent="0.25">
      <c r="A2354" s="92">
        <v>45931</v>
      </c>
      <c r="B2354" s="93" t="s">
        <v>326</v>
      </c>
      <c r="C2354" s="89" t="s">
        <v>40</v>
      </c>
      <c r="D2354" s="93" t="s">
        <v>227</v>
      </c>
      <c r="E2354" s="93" t="s">
        <v>34</v>
      </c>
      <c r="F2354" s="93" t="s">
        <v>453</v>
      </c>
      <c r="G2354" s="93" t="s">
        <v>348</v>
      </c>
      <c r="H2354" s="93" t="s">
        <v>343</v>
      </c>
      <c r="I2354" s="94">
        <v>1</v>
      </c>
      <c r="J2354" s="95">
        <v>60</v>
      </c>
    </row>
    <row r="2355" spans="1:10" x14ac:dyDescent="0.25">
      <c r="A2355" s="92">
        <v>45931</v>
      </c>
      <c r="B2355" s="93" t="s">
        <v>326</v>
      </c>
      <c r="C2355" s="89" t="s">
        <v>40</v>
      </c>
      <c r="D2355" s="93" t="s">
        <v>265</v>
      </c>
      <c r="E2355" s="93" t="s">
        <v>34</v>
      </c>
      <c r="F2355" s="93" t="s">
        <v>358</v>
      </c>
      <c r="G2355" s="93" t="s">
        <v>348</v>
      </c>
      <c r="H2355" s="93" t="s">
        <v>343</v>
      </c>
      <c r="I2355" s="94">
        <v>1.5</v>
      </c>
      <c r="J2355" s="95">
        <v>90</v>
      </c>
    </row>
    <row r="2356" spans="1:10" x14ac:dyDescent="0.25">
      <c r="A2356" s="92">
        <v>45931</v>
      </c>
      <c r="B2356" s="93" t="s">
        <v>332</v>
      </c>
      <c r="C2356" s="89" t="s">
        <v>40</v>
      </c>
      <c r="D2356" s="93" t="s">
        <v>314</v>
      </c>
      <c r="E2356" s="93" t="s">
        <v>35</v>
      </c>
      <c r="F2356" s="93" t="s">
        <v>359</v>
      </c>
      <c r="G2356" s="93" t="s">
        <v>339</v>
      </c>
      <c r="H2356" s="93" t="s">
        <v>352</v>
      </c>
      <c r="I2356" s="94">
        <v>8.83</v>
      </c>
      <c r="J2356" s="95">
        <v>353.2</v>
      </c>
    </row>
    <row r="2357" spans="1:10" x14ac:dyDescent="0.25">
      <c r="A2357" s="92">
        <v>45931</v>
      </c>
      <c r="B2357" s="93" t="s">
        <v>324</v>
      </c>
      <c r="C2357" s="89" t="s">
        <v>40</v>
      </c>
      <c r="D2357" s="93" t="s">
        <v>314</v>
      </c>
      <c r="E2357" s="93" t="s">
        <v>35</v>
      </c>
      <c r="F2357" s="93" t="s">
        <v>359</v>
      </c>
      <c r="G2357" s="93" t="s">
        <v>339</v>
      </c>
      <c r="H2357" s="93" t="s">
        <v>352</v>
      </c>
      <c r="I2357" s="94">
        <v>5.25</v>
      </c>
      <c r="J2357" s="95">
        <v>393.75</v>
      </c>
    </row>
    <row r="2358" spans="1:10" x14ac:dyDescent="0.25">
      <c r="A2358" s="92">
        <v>45932</v>
      </c>
      <c r="B2358" s="93" t="s">
        <v>329</v>
      </c>
      <c r="C2358" s="89" t="s">
        <v>40</v>
      </c>
      <c r="D2358" s="93" t="s">
        <v>316</v>
      </c>
      <c r="E2358" s="93" t="s">
        <v>35</v>
      </c>
      <c r="F2358" s="93" t="s">
        <v>338</v>
      </c>
      <c r="G2358" s="93" t="s">
        <v>337</v>
      </c>
      <c r="H2358" s="93" t="s">
        <v>352</v>
      </c>
      <c r="I2358" s="94">
        <v>2</v>
      </c>
      <c r="J2358" s="95">
        <v>150</v>
      </c>
    </row>
    <row r="2359" spans="1:10" x14ac:dyDescent="0.25">
      <c r="A2359" s="92">
        <v>45932</v>
      </c>
      <c r="B2359" s="93" t="s">
        <v>329</v>
      </c>
      <c r="C2359" s="89" t="s">
        <v>40</v>
      </c>
      <c r="D2359" s="93" t="s">
        <v>269</v>
      </c>
      <c r="E2359" s="93" t="s">
        <v>34</v>
      </c>
      <c r="F2359" s="93" t="s">
        <v>361</v>
      </c>
      <c r="G2359" s="93" t="s">
        <v>347</v>
      </c>
      <c r="H2359" s="93" t="s">
        <v>343</v>
      </c>
      <c r="I2359" s="94">
        <v>0.17</v>
      </c>
      <c r="J2359" s="95">
        <v>12.750000000000002</v>
      </c>
    </row>
    <row r="2360" spans="1:10" x14ac:dyDescent="0.25">
      <c r="A2360" s="92">
        <v>45932</v>
      </c>
      <c r="B2360" s="93" t="s">
        <v>329</v>
      </c>
      <c r="C2360" s="89" t="s">
        <v>40</v>
      </c>
      <c r="D2360" s="93" t="s">
        <v>268</v>
      </c>
      <c r="E2360" s="93" t="s">
        <v>34</v>
      </c>
      <c r="F2360" s="93" t="s">
        <v>386</v>
      </c>
      <c r="G2360" s="93" t="s">
        <v>347</v>
      </c>
      <c r="H2360" s="93" t="s">
        <v>343</v>
      </c>
      <c r="I2360" s="94">
        <v>0.17</v>
      </c>
      <c r="J2360" s="95">
        <v>12.750000000000002</v>
      </c>
    </row>
    <row r="2361" spans="1:10" x14ac:dyDescent="0.25">
      <c r="A2361" s="92">
        <v>45932</v>
      </c>
      <c r="B2361" s="93" t="s">
        <v>329</v>
      </c>
      <c r="C2361" s="89" t="s">
        <v>40</v>
      </c>
      <c r="D2361" s="93" t="s">
        <v>270</v>
      </c>
      <c r="E2361" s="93" t="s">
        <v>34</v>
      </c>
      <c r="F2361" s="93" t="s">
        <v>360</v>
      </c>
      <c r="G2361" s="93" t="s">
        <v>347</v>
      </c>
      <c r="H2361" s="93" t="s">
        <v>343</v>
      </c>
      <c r="I2361" s="94">
        <v>0.33</v>
      </c>
      <c r="J2361" s="95">
        <v>24.75</v>
      </c>
    </row>
    <row r="2362" spans="1:10" x14ac:dyDescent="0.25">
      <c r="A2362" s="92">
        <v>45932</v>
      </c>
      <c r="B2362" s="93" t="s">
        <v>324</v>
      </c>
      <c r="C2362" s="89" t="s">
        <v>40</v>
      </c>
      <c r="D2362" s="93" t="s">
        <v>314</v>
      </c>
      <c r="E2362" s="93" t="s">
        <v>35</v>
      </c>
      <c r="F2362" s="93" t="s">
        <v>359</v>
      </c>
      <c r="G2362" s="93" t="s">
        <v>339</v>
      </c>
      <c r="H2362" s="93" t="s">
        <v>352</v>
      </c>
      <c r="I2362" s="94">
        <v>4.25</v>
      </c>
      <c r="J2362" s="95">
        <v>318.75</v>
      </c>
    </row>
    <row r="2363" spans="1:10" x14ac:dyDescent="0.25">
      <c r="A2363" s="92">
        <v>45932</v>
      </c>
      <c r="B2363" s="93" t="s">
        <v>333</v>
      </c>
      <c r="C2363" s="89" t="s">
        <v>40</v>
      </c>
      <c r="D2363" s="93" t="s">
        <v>320</v>
      </c>
      <c r="E2363" s="93" t="s">
        <v>35</v>
      </c>
      <c r="F2363" s="93" t="s">
        <v>322</v>
      </c>
      <c r="G2363" s="93" t="s">
        <v>319</v>
      </c>
      <c r="H2363" s="93" t="s">
        <v>352</v>
      </c>
      <c r="I2363" s="94">
        <v>7.75</v>
      </c>
      <c r="J2363" s="95">
        <v>248</v>
      </c>
    </row>
    <row r="2364" spans="1:10" x14ac:dyDescent="0.25">
      <c r="A2364" s="92">
        <v>45932</v>
      </c>
      <c r="B2364" s="93" t="s">
        <v>327</v>
      </c>
      <c r="C2364" s="89" t="s">
        <v>40</v>
      </c>
      <c r="D2364" s="93" t="s">
        <v>320</v>
      </c>
      <c r="E2364" s="93" t="s">
        <v>35</v>
      </c>
      <c r="F2364" s="93" t="s">
        <v>322</v>
      </c>
      <c r="G2364" s="93" t="s">
        <v>319</v>
      </c>
      <c r="H2364" s="93" t="s">
        <v>352</v>
      </c>
      <c r="I2364" s="94">
        <v>7.25</v>
      </c>
      <c r="J2364" s="95">
        <v>232</v>
      </c>
    </row>
    <row r="2365" spans="1:10" x14ac:dyDescent="0.25">
      <c r="A2365" s="92">
        <v>45932</v>
      </c>
      <c r="B2365" s="93" t="s">
        <v>323</v>
      </c>
      <c r="C2365" s="89" t="s">
        <v>40</v>
      </c>
      <c r="D2365" s="93" t="s">
        <v>283</v>
      </c>
      <c r="E2365" s="93" t="s">
        <v>341</v>
      </c>
      <c r="F2365" s="93" t="s">
        <v>429</v>
      </c>
      <c r="G2365" s="93" t="s">
        <v>346</v>
      </c>
      <c r="H2365" s="93" t="s">
        <v>344</v>
      </c>
      <c r="I2365" s="94">
        <v>1</v>
      </c>
      <c r="J2365" s="95">
        <v>60</v>
      </c>
    </row>
    <row r="2366" spans="1:10" x14ac:dyDescent="0.25">
      <c r="A2366" s="92">
        <v>45932</v>
      </c>
      <c r="B2366" s="93" t="s">
        <v>323</v>
      </c>
      <c r="C2366" s="89" t="s">
        <v>40</v>
      </c>
      <c r="D2366" s="93" t="s">
        <v>281</v>
      </c>
      <c r="E2366" s="93" t="s">
        <v>341</v>
      </c>
      <c r="F2366" s="93" t="s">
        <v>430</v>
      </c>
      <c r="G2366" s="93" t="s">
        <v>346</v>
      </c>
      <c r="H2366" s="93" t="s">
        <v>344</v>
      </c>
      <c r="I2366" s="94">
        <v>3.5</v>
      </c>
      <c r="J2366" s="95">
        <v>210</v>
      </c>
    </row>
    <row r="2367" spans="1:10" x14ac:dyDescent="0.25">
      <c r="A2367" s="92">
        <v>45932</v>
      </c>
      <c r="B2367" s="93" t="s">
        <v>330</v>
      </c>
      <c r="C2367" s="89" t="s">
        <v>40</v>
      </c>
      <c r="D2367" s="93" t="s">
        <v>196</v>
      </c>
      <c r="E2367" s="93" t="s">
        <v>34</v>
      </c>
      <c r="F2367" s="93" t="s">
        <v>446</v>
      </c>
      <c r="G2367" s="93" t="s">
        <v>347</v>
      </c>
      <c r="H2367" s="93" t="s">
        <v>343</v>
      </c>
      <c r="I2367" s="94">
        <v>0.5</v>
      </c>
      <c r="J2367" s="95">
        <v>30</v>
      </c>
    </row>
    <row r="2368" spans="1:10" x14ac:dyDescent="0.25">
      <c r="A2368" s="92">
        <v>45932</v>
      </c>
      <c r="B2368" s="93" t="s">
        <v>329</v>
      </c>
      <c r="C2368" s="89" t="s">
        <v>40</v>
      </c>
      <c r="D2368" s="93" t="s">
        <v>197</v>
      </c>
      <c r="E2368" s="93" t="s">
        <v>34</v>
      </c>
      <c r="F2368" s="93" t="s">
        <v>366</v>
      </c>
      <c r="G2368" s="93" t="s">
        <v>347</v>
      </c>
      <c r="H2368" s="93" t="s">
        <v>343</v>
      </c>
      <c r="I2368" s="94">
        <v>0.17</v>
      </c>
      <c r="J2368" s="95">
        <v>12.750000000000002</v>
      </c>
    </row>
    <row r="2369" spans="1:10" x14ac:dyDescent="0.25">
      <c r="A2369" s="92">
        <v>45932</v>
      </c>
      <c r="B2369" s="93" t="s">
        <v>330</v>
      </c>
      <c r="C2369" s="89" t="s">
        <v>40</v>
      </c>
      <c r="D2369" s="93" t="s">
        <v>215</v>
      </c>
      <c r="E2369" s="93" t="s">
        <v>34</v>
      </c>
      <c r="F2369" s="93" t="s">
        <v>450</v>
      </c>
      <c r="G2369" s="93" t="s">
        <v>347</v>
      </c>
      <c r="H2369" s="93" t="s">
        <v>343</v>
      </c>
      <c r="I2369" s="94">
        <v>0.5</v>
      </c>
      <c r="J2369" s="95">
        <v>30</v>
      </c>
    </row>
    <row r="2370" spans="1:10" x14ac:dyDescent="0.25">
      <c r="A2370" s="92">
        <v>45932</v>
      </c>
      <c r="B2370" s="93" t="s">
        <v>329</v>
      </c>
      <c r="C2370" s="89" t="s">
        <v>40</v>
      </c>
      <c r="D2370" s="93" t="s">
        <v>301</v>
      </c>
      <c r="E2370" s="93" t="s">
        <v>34</v>
      </c>
      <c r="F2370" s="93" t="s">
        <v>371</v>
      </c>
      <c r="G2370" s="93" t="s">
        <v>347</v>
      </c>
      <c r="H2370" s="93" t="s">
        <v>343</v>
      </c>
      <c r="I2370" s="94">
        <v>0.17</v>
      </c>
      <c r="J2370" s="95">
        <v>12.750000000000002</v>
      </c>
    </row>
    <row r="2371" spans="1:10" x14ac:dyDescent="0.25">
      <c r="A2371" s="92">
        <v>45932</v>
      </c>
      <c r="B2371" s="93" t="s">
        <v>329</v>
      </c>
      <c r="C2371" s="89" t="s">
        <v>40</v>
      </c>
      <c r="D2371" s="93" t="s">
        <v>238</v>
      </c>
      <c r="E2371" s="93" t="s">
        <v>34</v>
      </c>
      <c r="F2371" s="93" t="s">
        <v>374</v>
      </c>
      <c r="G2371" s="93" t="s">
        <v>347</v>
      </c>
      <c r="H2371" s="93" t="s">
        <v>343</v>
      </c>
      <c r="I2371" s="94">
        <v>0.17</v>
      </c>
      <c r="J2371" s="95">
        <v>12.750000000000002</v>
      </c>
    </row>
    <row r="2372" spans="1:10" x14ac:dyDescent="0.25">
      <c r="A2372" s="92">
        <v>45932</v>
      </c>
      <c r="B2372" s="93" t="s">
        <v>329</v>
      </c>
      <c r="C2372" s="89" t="s">
        <v>40</v>
      </c>
      <c r="D2372" s="93" t="s">
        <v>240</v>
      </c>
      <c r="E2372" s="93" t="s">
        <v>34</v>
      </c>
      <c r="F2372" s="93" t="s">
        <v>402</v>
      </c>
      <c r="G2372" s="93" t="s">
        <v>347</v>
      </c>
      <c r="H2372" s="93" t="s">
        <v>343</v>
      </c>
      <c r="I2372" s="94">
        <v>0.08</v>
      </c>
      <c r="J2372" s="95">
        <v>6</v>
      </c>
    </row>
    <row r="2373" spans="1:10" x14ac:dyDescent="0.25">
      <c r="A2373" s="92">
        <v>45932</v>
      </c>
      <c r="B2373" s="93" t="s">
        <v>329</v>
      </c>
      <c r="C2373" s="89" t="s">
        <v>40</v>
      </c>
      <c r="D2373" s="93" t="s">
        <v>241</v>
      </c>
      <c r="E2373" s="93" t="s">
        <v>34</v>
      </c>
      <c r="F2373" s="93" t="s">
        <v>403</v>
      </c>
      <c r="G2373" s="93" t="s">
        <v>347</v>
      </c>
      <c r="H2373" s="93" t="s">
        <v>343</v>
      </c>
      <c r="I2373" s="94">
        <v>0.08</v>
      </c>
      <c r="J2373" s="95">
        <v>6</v>
      </c>
    </row>
    <row r="2374" spans="1:10" x14ac:dyDescent="0.25">
      <c r="A2374" s="92">
        <v>45932</v>
      </c>
      <c r="B2374" s="93" t="s">
        <v>329</v>
      </c>
      <c r="C2374" s="89" t="s">
        <v>40</v>
      </c>
      <c r="D2374" s="93" t="s">
        <v>242</v>
      </c>
      <c r="E2374" s="93" t="s">
        <v>34</v>
      </c>
      <c r="F2374" s="93" t="s">
        <v>404</v>
      </c>
      <c r="G2374" s="93" t="s">
        <v>347</v>
      </c>
      <c r="H2374" s="93" t="s">
        <v>343</v>
      </c>
      <c r="I2374" s="94">
        <v>0.17</v>
      </c>
      <c r="J2374" s="95">
        <v>12.750000000000002</v>
      </c>
    </row>
    <row r="2375" spans="1:10" x14ac:dyDescent="0.25">
      <c r="A2375" s="92">
        <v>45932</v>
      </c>
      <c r="B2375" s="93" t="s">
        <v>330</v>
      </c>
      <c r="C2375" s="89" t="s">
        <v>40</v>
      </c>
      <c r="D2375" s="93" t="s">
        <v>178</v>
      </c>
      <c r="E2375" s="93" t="s">
        <v>34</v>
      </c>
      <c r="F2375" s="93" t="s">
        <v>460</v>
      </c>
      <c r="G2375" s="93" t="s">
        <v>347</v>
      </c>
      <c r="H2375" s="93" t="s">
        <v>343</v>
      </c>
      <c r="I2375" s="94">
        <v>0.5</v>
      </c>
      <c r="J2375" s="95">
        <v>30</v>
      </c>
    </row>
    <row r="2376" spans="1:10" x14ac:dyDescent="0.25">
      <c r="A2376" s="92">
        <v>45932</v>
      </c>
      <c r="B2376" s="93" t="s">
        <v>325</v>
      </c>
      <c r="C2376" s="89" t="s">
        <v>40</v>
      </c>
      <c r="D2376" s="93" t="s">
        <v>290</v>
      </c>
      <c r="E2376" s="93" t="s">
        <v>34</v>
      </c>
      <c r="F2376" s="93" t="s">
        <v>428</v>
      </c>
      <c r="G2376" s="93" t="s">
        <v>347</v>
      </c>
      <c r="H2376" s="93" t="s">
        <v>343</v>
      </c>
      <c r="I2376" s="94">
        <v>0.25</v>
      </c>
      <c r="J2376" s="95">
        <v>18.75</v>
      </c>
    </row>
    <row r="2377" spans="1:10" x14ac:dyDescent="0.25">
      <c r="A2377" s="92">
        <v>45932</v>
      </c>
      <c r="B2377" s="93" t="s">
        <v>329</v>
      </c>
      <c r="C2377" s="89" t="s">
        <v>40</v>
      </c>
      <c r="D2377" s="93" t="s">
        <v>294</v>
      </c>
      <c r="E2377" s="93" t="s">
        <v>34</v>
      </c>
      <c r="F2377" s="93" t="s">
        <v>377</v>
      </c>
      <c r="G2377" s="93" t="s">
        <v>347</v>
      </c>
      <c r="H2377" s="93" t="s">
        <v>343</v>
      </c>
      <c r="I2377" s="94">
        <v>0.17</v>
      </c>
      <c r="J2377" s="95">
        <v>12.750000000000002</v>
      </c>
    </row>
    <row r="2378" spans="1:10" x14ac:dyDescent="0.25">
      <c r="A2378" s="92">
        <v>45932</v>
      </c>
      <c r="B2378" s="93" t="s">
        <v>329</v>
      </c>
      <c r="C2378" s="89" t="s">
        <v>40</v>
      </c>
      <c r="D2378" s="93" t="s">
        <v>295</v>
      </c>
      <c r="E2378" s="93" t="s">
        <v>34</v>
      </c>
      <c r="F2378" s="93" t="s">
        <v>379</v>
      </c>
      <c r="G2378" s="93" t="s">
        <v>347</v>
      </c>
      <c r="H2378" s="93" t="s">
        <v>343</v>
      </c>
      <c r="I2378" s="94">
        <v>0.42</v>
      </c>
      <c r="J2378" s="95">
        <v>31.5</v>
      </c>
    </row>
    <row r="2379" spans="1:10" x14ac:dyDescent="0.25">
      <c r="A2379" s="92">
        <v>45932</v>
      </c>
      <c r="B2379" s="93" t="s">
        <v>329</v>
      </c>
      <c r="C2379" s="89" t="s">
        <v>40</v>
      </c>
      <c r="D2379" s="93" t="s">
        <v>296</v>
      </c>
      <c r="E2379" s="93" t="s">
        <v>34</v>
      </c>
      <c r="F2379" s="93" t="s">
        <v>411</v>
      </c>
      <c r="G2379" s="93" t="s">
        <v>347</v>
      </c>
      <c r="H2379" s="93" t="s">
        <v>343</v>
      </c>
      <c r="I2379" s="94">
        <v>0.33</v>
      </c>
      <c r="J2379" s="95">
        <v>24.75</v>
      </c>
    </row>
    <row r="2380" spans="1:10" x14ac:dyDescent="0.25">
      <c r="A2380" s="92">
        <v>45932</v>
      </c>
      <c r="B2380" s="93" t="s">
        <v>325</v>
      </c>
      <c r="C2380" s="89" t="s">
        <v>40</v>
      </c>
      <c r="D2380" s="93" t="s">
        <v>253</v>
      </c>
      <c r="E2380" s="93" t="s">
        <v>34</v>
      </c>
      <c r="F2380" s="93" t="s">
        <v>408</v>
      </c>
      <c r="G2380" s="93" t="s">
        <v>347</v>
      </c>
      <c r="H2380" s="93" t="s">
        <v>343</v>
      </c>
      <c r="I2380" s="94">
        <v>0.17</v>
      </c>
      <c r="J2380" s="95">
        <v>12.750000000000002</v>
      </c>
    </row>
    <row r="2381" spans="1:10" x14ac:dyDescent="0.25">
      <c r="A2381" s="92">
        <v>45932</v>
      </c>
      <c r="B2381" s="93" t="s">
        <v>325</v>
      </c>
      <c r="C2381" s="89" t="s">
        <v>40</v>
      </c>
      <c r="D2381" s="93" t="s">
        <v>262</v>
      </c>
      <c r="E2381" s="93" t="s">
        <v>34</v>
      </c>
      <c r="F2381" s="93" t="s">
        <v>442</v>
      </c>
      <c r="G2381" s="93" t="s">
        <v>347</v>
      </c>
      <c r="H2381" s="93" t="s">
        <v>343</v>
      </c>
      <c r="I2381" s="94">
        <v>0.25</v>
      </c>
      <c r="J2381" s="95">
        <v>18.75</v>
      </c>
    </row>
    <row r="2382" spans="1:10" x14ac:dyDescent="0.25">
      <c r="A2382" s="92">
        <v>45932</v>
      </c>
      <c r="B2382" s="93" t="s">
        <v>329</v>
      </c>
      <c r="C2382" s="89" t="s">
        <v>40</v>
      </c>
      <c r="D2382" s="93" t="s">
        <v>248</v>
      </c>
      <c r="E2382" s="93" t="s">
        <v>34</v>
      </c>
      <c r="F2382" s="93" t="s">
        <v>385</v>
      </c>
      <c r="G2382" s="93" t="s">
        <v>347</v>
      </c>
      <c r="H2382" s="93" t="s">
        <v>343</v>
      </c>
      <c r="I2382" s="94">
        <v>0.25</v>
      </c>
      <c r="J2382" s="95">
        <v>18.75</v>
      </c>
    </row>
    <row r="2383" spans="1:10" x14ac:dyDescent="0.25">
      <c r="A2383" s="92">
        <v>45932</v>
      </c>
      <c r="B2383" s="93" t="s">
        <v>329</v>
      </c>
      <c r="C2383" s="89" t="s">
        <v>40</v>
      </c>
      <c r="D2383" s="93" t="s">
        <v>247</v>
      </c>
      <c r="E2383" s="93" t="s">
        <v>34</v>
      </c>
      <c r="F2383" s="93" t="s">
        <v>375</v>
      </c>
      <c r="G2383" s="93" t="s">
        <v>347</v>
      </c>
      <c r="H2383" s="93" t="s">
        <v>343</v>
      </c>
      <c r="I2383" s="94">
        <v>0.33</v>
      </c>
      <c r="J2383" s="95">
        <v>24.75</v>
      </c>
    </row>
    <row r="2384" spans="1:10" x14ac:dyDescent="0.25">
      <c r="A2384" s="92">
        <v>45932</v>
      </c>
      <c r="B2384" s="93" t="s">
        <v>325</v>
      </c>
      <c r="C2384" s="89" t="s">
        <v>40</v>
      </c>
      <c r="D2384" s="93" t="s">
        <v>278</v>
      </c>
      <c r="E2384" s="93" t="s">
        <v>34</v>
      </c>
      <c r="F2384" s="93" t="s">
        <v>452</v>
      </c>
      <c r="G2384" s="93" t="s">
        <v>347</v>
      </c>
      <c r="H2384" s="93" t="s">
        <v>343</v>
      </c>
      <c r="I2384" s="94">
        <v>0.17</v>
      </c>
      <c r="J2384" s="95">
        <v>12.750000000000002</v>
      </c>
    </row>
    <row r="2385" spans="1:10" x14ac:dyDescent="0.25">
      <c r="A2385" s="92">
        <v>45932</v>
      </c>
      <c r="B2385" s="93" t="s">
        <v>329</v>
      </c>
      <c r="C2385" s="89" t="s">
        <v>40</v>
      </c>
      <c r="D2385" s="93" t="s">
        <v>230</v>
      </c>
      <c r="E2385" s="93" t="s">
        <v>34</v>
      </c>
      <c r="F2385" s="93" t="s">
        <v>410</v>
      </c>
      <c r="G2385" s="93" t="s">
        <v>347</v>
      </c>
      <c r="H2385" s="93" t="s">
        <v>343</v>
      </c>
      <c r="I2385" s="94">
        <v>0.17</v>
      </c>
      <c r="J2385" s="95">
        <v>12.750000000000002</v>
      </c>
    </row>
    <row r="2386" spans="1:10" x14ac:dyDescent="0.25">
      <c r="A2386" s="92">
        <v>45932</v>
      </c>
      <c r="B2386" s="93" t="s">
        <v>329</v>
      </c>
      <c r="C2386" s="89" t="s">
        <v>40</v>
      </c>
      <c r="D2386" s="93" t="s">
        <v>272</v>
      </c>
      <c r="E2386" s="93" t="s">
        <v>34</v>
      </c>
      <c r="F2386" s="93" t="s">
        <v>362</v>
      </c>
      <c r="G2386" s="93" t="s">
        <v>347</v>
      </c>
      <c r="H2386" s="93" t="s">
        <v>343</v>
      </c>
      <c r="I2386" s="94">
        <v>2.5</v>
      </c>
      <c r="J2386" s="95">
        <v>187.5</v>
      </c>
    </row>
    <row r="2387" spans="1:10" x14ac:dyDescent="0.25">
      <c r="A2387" s="92">
        <v>45932</v>
      </c>
      <c r="B2387" s="93" t="s">
        <v>325</v>
      </c>
      <c r="C2387" s="89" t="s">
        <v>40</v>
      </c>
      <c r="D2387" s="93" t="s">
        <v>305</v>
      </c>
      <c r="E2387" s="93" t="s">
        <v>341</v>
      </c>
      <c r="F2387" s="93" t="s">
        <v>382</v>
      </c>
      <c r="G2387" s="93" t="s">
        <v>347</v>
      </c>
      <c r="H2387" s="93" t="s">
        <v>344</v>
      </c>
      <c r="I2387" s="94">
        <v>1.42</v>
      </c>
      <c r="J2387" s="95">
        <v>106.5</v>
      </c>
    </row>
    <row r="2388" spans="1:10" x14ac:dyDescent="0.25">
      <c r="A2388" s="92">
        <v>45932</v>
      </c>
      <c r="B2388" s="93" t="s">
        <v>326</v>
      </c>
      <c r="C2388" s="89" t="s">
        <v>40</v>
      </c>
      <c r="D2388" s="93" t="s">
        <v>227</v>
      </c>
      <c r="E2388" s="93" t="s">
        <v>34</v>
      </c>
      <c r="F2388" s="93" t="s">
        <v>453</v>
      </c>
      <c r="G2388" s="93" t="s">
        <v>348</v>
      </c>
      <c r="H2388" s="93" t="s">
        <v>343</v>
      </c>
      <c r="I2388" s="94">
        <v>1.17</v>
      </c>
      <c r="J2388" s="95">
        <v>70.199999999999989</v>
      </c>
    </row>
    <row r="2389" spans="1:10" x14ac:dyDescent="0.25">
      <c r="A2389" s="92">
        <v>45932</v>
      </c>
      <c r="B2389" s="93" t="s">
        <v>326</v>
      </c>
      <c r="C2389" s="89" t="s">
        <v>40</v>
      </c>
      <c r="D2389" s="93" t="s">
        <v>175</v>
      </c>
      <c r="E2389" s="93" t="s">
        <v>34</v>
      </c>
      <c r="F2389" s="93" t="s">
        <v>388</v>
      </c>
      <c r="G2389" s="93" t="s">
        <v>348</v>
      </c>
      <c r="H2389" s="93" t="s">
        <v>343</v>
      </c>
      <c r="I2389" s="94">
        <v>0.25</v>
      </c>
      <c r="J2389" s="95">
        <v>15</v>
      </c>
    </row>
    <row r="2390" spans="1:10" x14ac:dyDescent="0.25">
      <c r="A2390" s="92">
        <v>45932</v>
      </c>
      <c r="B2390" s="93" t="s">
        <v>326</v>
      </c>
      <c r="C2390" s="89" t="s">
        <v>40</v>
      </c>
      <c r="D2390" s="93" t="s">
        <v>265</v>
      </c>
      <c r="E2390" s="93" t="s">
        <v>34</v>
      </c>
      <c r="F2390" s="93" t="s">
        <v>358</v>
      </c>
      <c r="G2390" s="93" t="s">
        <v>348</v>
      </c>
      <c r="H2390" s="93" t="s">
        <v>343</v>
      </c>
      <c r="I2390" s="94">
        <v>0.83</v>
      </c>
      <c r="J2390" s="95">
        <v>49.8</v>
      </c>
    </row>
    <row r="2391" spans="1:10" x14ac:dyDescent="0.25">
      <c r="A2391" s="92">
        <v>45932</v>
      </c>
      <c r="B2391" s="93" t="s">
        <v>326</v>
      </c>
      <c r="C2391" s="89" t="s">
        <v>40</v>
      </c>
      <c r="D2391" s="93" t="s">
        <v>300</v>
      </c>
      <c r="E2391" s="93" t="s">
        <v>34</v>
      </c>
      <c r="F2391" s="93" t="s">
        <v>464</v>
      </c>
      <c r="G2391" s="93" t="s">
        <v>348</v>
      </c>
      <c r="H2391" s="93" t="s">
        <v>343</v>
      </c>
      <c r="I2391" s="94">
        <v>0.5</v>
      </c>
      <c r="J2391" s="95">
        <v>30</v>
      </c>
    </row>
    <row r="2392" spans="1:10" x14ac:dyDescent="0.25">
      <c r="A2392" s="92">
        <v>45932</v>
      </c>
      <c r="B2392" s="93" t="s">
        <v>326</v>
      </c>
      <c r="C2392" s="89" t="s">
        <v>40</v>
      </c>
      <c r="D2392" s="93" t="s">
        <v>207</v>
      </c>
      <c r="E2392" s="93" t="s">
        <v>341</v>
      </c>
      <c r="F2392" s="93" t="s">
        <v>417</v>
      </c>
      <c r="G2392" s="93" t="s">
        <v>348</v>
      </c>
      <c r="H2392" s="93" t="s">
        <v>344</v>
      </c>
      <c r="I2392" s="94">
        <v>1.92</v>
      </c>
      <c r="J2392" s="95">
        <v>115.19999999999999</v>
      </c>
    </row>
    <row r="2393" spans="1:10" x14ac:dyDescent="0.25">
      <c r="A2393" s="92">
        <v>45932</v>
      </c>
      <c r="B2393" s="93" t="s">
        <v>332</v>
      </c>
      <c r="C2393" s="89" t="s">
        <v>40</v>
      </c>
      <c r="D2393" s="93" t="s">
        <v>314</v>
      </c>
      <c r="E2393" s="93" t="s">
        <v>35</v>
      </c>
      <c r="F2393" s="93" t="s">
        <v>359</v>
      </c>
      <c r="G2393" s="93" t="s">
        <v>339</v>
      </c>
      <c r="H2393" s="93" t="s">
        <v>352</v>
      </c>
      <c r="I2393" s="94">
        <v>8.67</v>
      </c>
      <c r="J2393" s="95">
        <v>346.8</v>
      </c>
    </row>
    <row r="2394" spans="1:10" x14ac:dyDescent="0.25">
      <c r="A2394" s="92">
        <v>45933</v>
      </c>
      <c r="B2394" s="93" t="s">
        <v>331</v>
      </c>
      <c r="C2394" s="89" t="s">
        <v>40</v>
      </c>
      <c r="D2394" s="93" t="s">
        <v>316</v>
      </c>
      <c r="E2394" s="93" t="s">
        <v>35</v>
      </c>
      <c r="F2394" s="93" t="s">
        <v>338</v>
      </c>
      <c r="G2394" s="93" t="s">
        <v>337</v>
      </c>
      <c r="H2394" s="93" t="s">
        <v>352</v>
      </c>
      <c r="I2394" s="94">
        <v>0.5</v>
      </c>
      <c r="J2394" s="95">
        <v>16</v>
      </c>
    </row>
    <row r="2395" spans="1:10" x14ac:dyDescent="0.25">
      <c r="A2395" s="92">
        <v>45933</v>
      </c>
      <c r="B2395" s="93" t="s">
        <v>329</v>
      </c>
      <c r="C2395" s="89" t="s">
        <v>40</v>
      </c>
      <c r="D2395" s="93" t="s">
        <v>316</v>
      </c>
      <c r="E2395" s="93" t="s">
        <v>35</v>
      </c>
      <c r="F2395" s="93" t="s">
        <v>338</v>
      </c>
      <c r="G2395" s="93" t="s">
        <v>337</v>
      </c>
      <c r="H2395" s="93" t="s">
        <v>352</v>
      </c>
      <c r="I2395" s="94">
        <v>1.5</v>
      </c>
      <c r="J2395" s="95">
        <v>112.5</v>
      </c>
    </row>
    <row r="2396" spans="1:10" x14ac:dyDescent="0.25">
      <c r="A2396" s="92">
        <v>45933</v>
      </c>
      <c r="B2396" s="93" t="s">
        <v>330</v>
      </c>
      <c r="C2396" s="89" t="s">
        <v>40</v>
      </c>
      <c r="D2396" s="93" t="s">
        <v>222</v>
      </c>
      <c r="E2396" s="93" t="s">
        <v>341</v>
      </c>
      <c r="F2396" s="93" t="s">
        <v>447</v>
      </c>
      <c r="G2396" s="93" t="s">
        <v>347</v>
      </c>
      <c r="H2396" s="93" t="s">
        <v>344</v>
      </c>
      <c r="I2396" s="94">
        <v>0.25</v>
      </c>
      <c r="J2396" s="95">
        <v>15</v>
      </c>
    </row>
    <row r="2397" spans="1:10" x14ac:dyDescent="0.25">
      <c r="A2397" s="92">
        <v>45933</v>
      </c>
      <c r="B2397" s="93" t="s">
        <v>332</v>
      </c>
      <c r="C2397" s="89" t="s">
        <v>40</v>
      </c>
      <c r="D2397" s="93" t="s">
        <v>314</v>
      </c>
      <c r="E2397" s="93" t="s">
        <v>35</v>
      </c>
      <c r="F2397" s="93" t="s">
        <v>359</v>
      </c>
      <c r="G2397" s="93" t="s">
        <v>339</v>
      </c>
      <c r="H2397" s="93" t="s">
        <v>352</v>
      </c>
      <c r="I2397" s="94">
        <v>7.5</v>
      </c>
      <c r="J2397" s="95">
        <v>300</v>
      </c>
    </row>
    <row r="2398" spans="1:10" x14ac:dyDescent="0.25">
      <c r="A2398" s="92">
        <v>45933</v>
      </c>
      <c r="B2398" s="93" t="s">
        <v>324</v>
      </c>
      <c r="C2398" s="89" t="s">
        <v>40</v>
      </c>
      <c r="D2398" s="93" t="s">
        <v>314</v>
      </c>
      <c r="E2398" s="93" t="s">
        <v>35</v>
      </c>
      <c r="F2398" s="93" t="s">
        <v>359</v>
      </c>
      <c r="G2398" s="93" t="s">
        <v>339</v>
      </c>
      <c r="H2398" s="93" t="s">
        <v>352</v>
      </c>
      <c r="I2398" s="94">
        <v>5.5</v>
      </c>
      <c r="J2398" s="95">
        <v>412.5</v>
      </c>
    </row>
    <row r="2399" spans="1:10" x14ac:dyDescent="0.25">
      <c r="A2399" s="92">
        <v>45933</v>
      </c>
      <c r="B2399" s="93" t="s">
        <v>333</v>
      </c>
      <c r="C2399" s="89" t="s">
        <v>40</v>
      </c>
      <c r="D2399" s="93" t="s">
        <v>320</v>
      </c>
      <c r="E2399" s="93" t="s">
        <v>35</v>
      </c>
      <c r="F2399" s="93" t="s">
        <v>322</v>
      </c>
      <c r="G2399" s="93" t="s">
        <v>319</v>
      </c>
      <c r="H2399" s="93" t="s">
        <v>352</v>
      </c>
      <c r="I2399" s="94">
        <v>6.88</v>
      </c>
      <c r="J2399" s="95">
        <v>220.16</v>
      </c>
    </row>
    <row r="2400" spans="1:10" x14ac:dyDescent="0.25">
      <c r="A2400" s="92">
        <v>45933</v>
      </c>
      <c r="B2400" s="93" t="s">
        <v>327</v>
      </c>
      <c r="C2400" s="89" t="s">
        <v>40</v>
      </c>
      <c r="D2400" s="93" t="s">
        <v>320</v>
      </c>
      <c r="E2400" s="93" t="s">
        <v>35</v>
      </c>
      <c r="F2400" s="93" t="s">
        <v>322</v>
      </c>
      <c r="G2400" s="93" t="s">
        <v>319</v>
      </c>
      <c r="H2400" s="93" t="s">
        <v>352</v>
      </c>
      <c r="I2400" s="94">
        <v>7.42</v>
      </c>
      <c r="J2400" s="95">
        <v>237.44</v>
      </c>
    </row>
    <row r="2401" spans="1:10" x14ac:dyDescent="0.25">
      <c r="A2401" s="92">
        <v>45933</v>
      </c>
      <c r="B2401" s="93" t="s">
        <v>325</v>
      </c>
      <c r="C2401" s="89" t="s">
        <v>40</v>
      </c>
      <c r="D2401" s="93" t="s">
        <v>271</v>
      </c>
      <c r="E2401" s="93" t="s">
        <v>36</v>
      </c>
      <c r="F2401" s="93" t="s">
        <v>363</v>
      </c>
      <c r="G2401" s="93" t="s">
        <v>347</v>
      </c>
      <c r="H2401" s="93" t="s">
        <v>342</v>
      </c>
      <c r="I2401" s="94">
        <v>0.33</v>
      </c>
      <c r="J2401" s="95">
        <v>24.75</v>
      </c>
    </row>
    <row r="2402" spans="1:10" x14ac:dyDescent="0.25">
      <c r="A2402" s="92">
        <v>45933</v>
      </c>
      <c r="B2402" s="93" t="s">
        <v>325</v>
      </c>
      <c r="C2402" s="89" t="s">
        <v>40</v>
      </c>
      <c r="D2402" s="93" t="s">
        <v>198</v>
      </c>
      <c r="E2402" s="93" t="s">
        <v>34</v>
      </c>
      <c r="F2402" s="93" t="s">
        <v>413</v>
      </c>
      <c r="G2402" s="93" t="s">
        <v>347</v>
      </c>
      <c r="H2402" s="93" t="s">
        <v>343</v>
      </c>
      <c r="I2402" s="94">
        <v>0.25</v>
      </c>
      <c r="J2402" s="95">
        <v>18.75</v>
      </c>
    </row>
    <row r="2403" spans="1:10" x14ac:dyDescent="0.25">
      <c r="A2403" s="92">
        <v>45933</v>
      </c>
      <c r="B2403" s="93" t="s">
        <v>330</v>
      </c>
      <c r="C2403" s="89" t="s">
        <v>40</v>
      </c>
      <c r="D2403" s="93" t="s">
        <v>252</v>
      </c>
      <c r="E2403" s="93" t="s">
        <v>36</v>
      </c>
      <c r="F2403" s="93" t="s">
        <v>416</v>
      </c>
      <c r="G2403" s="93" t="s">
        <v>347</v>
      </c>
      <c r="H2403" s="93" t="s">
        <v>342</v>
      </c>
      <c r="I2403" s="94">
        <v>1</v>
      </c>
      <c r="J2403" s="95">
        <v>60</v>
      </c>
    </row>
    <row r="2404" spans="1:10" x14ac:dyDescent="0.25">
      <c r="A2404" s="92">
        <v>45933</v>
      </c>
      <c r="B2404" s="93" t="s">
        <v>330</v>
      </c>
      <c r="C2404" s="89" t="s">
        <v>40</v>
      </c>
      <c r="D2404" s="93" t="s">
        <v>184</v>
      </c>
      <c r="E2404" s="93" t="s">
        <v>34</v>
      </c>
      <c r="F2404" s="93" t="s">
        <v>459</v>
      </c>
      <c r="G2404" s="93" t="s">
        <v>347</v>
      </c>
      <c r="H2404" s="93" t="s">
        <v>343</v>
      </c>
      <c r="I2404" s="94">
        <v>0.25</v>
      </c>
      <c r="J2404" s="95">
        <v>15</v>
      </c>
    </row>
    <row r="2405" spans="1:10" x14ac:dyDescent="0.25">
      <c r="A2405" s="92">
        <v>45933</v>
      </c>
      <c r="B2405" s="93" t="s">
        <v>329</v>
      </c>
      <c r="C2405" s="89" t="s">
        <v>40</v>
      </c>
      <c r="D2405" s="93" t="s">
        <v>206</v>
      </c>
      <c r="E2405" s="93" t="s">
        <v>34</v>
      </c>
      <c r="F2405" s="93" t="s">
        <v>367</v>
      </c>
      <c r="G2405" s="93" t="s">
        <v>347</v>
      </c>
      <c r="H2405" s="93" t="s">
        <v>343</v>
      </c>
      <c r="I2405" s="94">
        <v>0.5</v>
      </c>
      <c r="J2405" s="95">
        <v>37.5</v>
      </c>
    </row>
    <row r="2406" spans="1:10" x14ac:dyDescent="0.25">
      <c r="A2406" s="92">
        <v>45933</v>
      </c>
      <c r="B2406" s="93" t="s">
        <v>329</v>
      </c>
      <c r="C2406" s="89" t="s">
        <v>40</v>
      </c>
      <c r="D2406" s="93" t="s">
        <v>301</v>
      </c>
      <c r="E2406" s="93" t="s">
        <v>34</v>
      </c>
      <c r="F2406" s="93" t="s">
        <v>371</v>
      </c>
      <c r="G2406" s="93" t="s">
        <v>347</v>
      </c>
      <c r="H2406" s="93" t="s">
        <v>343</v>
      </c>
      <c r="I2406" s="94">
        <v>0.17</v>
      </c>
      <c r="J2406" s="95">
        <v>12.750000000000002</v>
      </c>
    </row>
    <row r="2407" spans="1:10" x14ac:dyDescent="0.25">
      <c r="A2407" s="92">
        <v>45933</v>
      </c>
      <c r="B2407" s="93" t="s">
        <v>329</v>
      </c>
      <c r="C2407" s="89" t="s">
        <v>40</v>
      </c>
      <c r="D2407" s="93" t="s">
        <v>229</v>
      </c>
      <c r="E2407" s="93" t="s">
        <v>34</v>
      </c>
      <c r="F2407" s="93" t="s">
        <v>373</v>
      </c>
      <c r="G2407" s="93" t="s">
        <v>347</v>
      </c>
      <c r="H2407" s="93" t="s">
        <v>343</v>
      </c>
      <c r="I2407" s="94">
        <v>0.5</v>
      </c>
      <c r="J2407" s="95">
        <v>37.5</v>
      </c>
    </row>
    <row r="2408" spans="1:10" x14ac:dyDescent="0.25">
      <c r="A2408" s="92">
        <v>45933</v>
      </c>
      <c r="B2408" s="93" t="s">
        <v>329</v>
      </c>
      <c r="C2408" s="89" t="s">
        <v>40</v>
      </c>
      <c r="D2408" s="93" t="s">
        <v>288</v>
      </c>
      <c r="E2408" s="93" t="s">
        <v>34</v>
      </c>
      <c r="F2408" s="93" t="s">
        <v>405</v>
      </c>
      <c r="G2408" s="93" t="s">
        <v>347</v>
      </c>
      <c r="H2408" s="93" t="s">
        <v>343</v>
      </c>
      <c r="I2408" s="94">
        <v>0.33</v>
      </c>
      <c r="J2408" s="95">
        <v>24.75</v>
      </c>
    </row>
    <row r="2409" spans="1:10" x14ac:dyDescent="0.25">
      <c r="A2409" s="92">
        <v>45933</v>
      </c>
      <c r="B2409" s="93" t="s">
        <v>325</v>
      </c>
      <c r="C2409" s="89" t="s">
        <v>40</v>
      </c>
      <c r="D2409" s="93" t="s">
        <v>287</v>
      </c>
      <c r="E2409" s="93" t="s">
        <v>34</v>
      </c>
      <c r="F2409" s="93" t="s">
        <v>378</v>
      </c>
      <c r="G2409" s="93" t="s">
        <v>347</v>
      </c>
      <c r="H2409" s="93" t="s">
        <v>343</v>
      </c>
      <c r="I2409" s="94">
        <v>0.25</v>
      </c>
      <c r="J2409" s="95">
        <v>18.75</v>
      </c>
    </row>
    <row r="2410" spans="1:10" x14ac:dyDescent="0.25">
      <c r="A2410" s="92">
        <v>45933</v>
      </c>
      <c r="B2410" s="93" t="s">
        <v>329</v>
      </c>
      <c r="C2410" s="89" t="s">
        <v>40</v>
      </c>
      <c r="D2410" s="93" t="s">
        <v>296</v>
      </c>
      <c r="E2410" s="93" t="s">
        <v>34</v>
      </c>
      <c r="F2410" s="93" t="s">
        <v>411</v>
      </c>
      <c r="G2410" s="93" t="s">
        <v>347</v>
      </c>
      <c r="H2410" s="93" t="s">
        <v>343</v>
      </c>
      <c r="I2410" s="94">
        <v>0.08</v>
      </c>
      <c r="J2410" s="95">
        <v>6</v>
      </c>
    </row>
    <row r="2411" spans="1:10" x14ac:dyDescent="0.25">
      <c r="A2411" s="92">
        <v>45933</v>
      </c>
      <c r="B2411" s="93" t="s">
        <v>325</v>
      </c>
      <c r="C2411" s="89" t="s">
        <v>40</v>
      </c>
      <c r="D2411" s="93" t="s">
        <v>254</v>
      </c>
      <c r="E2411" s="93" t="s">
        <v>34</v>
      </c>
      <c r="F2411" s="93" t="s">
        <v>441</v>
      </c>
      <c r="G2411" s="93" t="s">
        <v>347</v>
      </c>
      <c r="H2411" s="93" t="s">
        <v>343</v>
      </c>
      <c r="I2411" s="94">
        <v>0.42</v>
      </c>
      <c r="J2411" s="95">
        <v>31.5</v>
      </c>
    </row>
    <row r="2412" spans="1:10" x14ac:dyDescent="0.25">
      <c r="A2412" s="92">
        <v>45933</v>
      </c>
      <c r="B2412" s="93" t="s">
        <v>329</v>
      </c>
      <c r="C2412" s="89" t="s">
        <v>40</v>
      </c>
      <c r="D2412" s="93" t="s">
        <v>259</v>
      </c>
      <c r="E2412" s="93" t="s">
        <v>34</v>
      </c>
      <c r="F2412" s="93" t="s">
        <v>407</v>
      </c>
      <c r="G2412" s="93" t="s">
        <v>347</v>
      </c>
      <c r="H2412" s="93" t="s">
        <v>343</v>
      </c>
      <c r="I2412" s="94">
        <v>0.5</v>
      </c>
      <c r="J2412" s="95">
        <v>37.5</v>
      </c>
    </row>
    <row r="2413" spans="1:10" x14ac:dyDescent="0.25">
      <c r="A2413" s="92">
        <v>45933</v>
      </c>
      <c r="B2413" s="93" t="s">
        <v>325</v>
      </c>
      <c r="C2413" s="89" t="s">
        <v>40</v>
      </c>
      <c r="D2413" s="93" t="s">
        <v>305</v>
      </c>
      <c r="E2413" s="93" t="s">
        <v>34</v>
      </c>
      <c r="F2413" s="93" t="s">
        <v>382</v>
      </c>
      <c r="G2413" s="93" t="s">
        <v>347</v>
      </c>
      <c r="H2413" s="93" t="s">
        <v>343</v>
      </c>
      <c r="I2413" s="94">
        <v>0.33</v>
      </c>
      <c r="J2413" s="95">
        <v>24.75</v>
      </c>
    </row>
    <row r="2414" spans="1:10" x14ac:dyDescent="0.25">
      <c r="A2414" s="92">
        <v>45933</v>
      </c>
      <c r="B2414" s="93" t="s">
        <v>325</v>
      </c>
      <c r="C2414" s="89" t="s">
        <v>40</v>
      </c>
      <c r="D2414" s="93" t="s">
        <v>264</v>
      </c>
      <c r="E2414" s="93" t="s">
        <v>34</v>
      </c>
      <c r="F2414" s="93" t="s">
        <v>384</v>
      </c>
      <c r="G2414" s="93" t="s">
        <v>347</v>
      </c>
      <c r="H2414" s="93" t="s">
        <v>343</v>
      </c>
      <c r="I2414" s="94">
        <v>0.17</v>
      </c>
      <c r="J2414" s="95">
        <v>12.750000000000002</v>
      </c>
    </row>
    <row r="2415" spans="1:10" x14ac:dyDescent="0.25">
      <c r="A2415" s="92">
        <v>45933</v>
      </c>
      <c r="B2415" s="93" t="s">
        <v>325</v>
      </c>
      <c r="C2415" s="89" t="s">
        <v>40</v>
      </c>
      <c r="D2415" s="93" t="s">
        <v>277</v>
      </c>
      <c r="E2415" s="93" t="s">
        <v>34</v>
      </c>
      <c r="F2415" s="93" t="s">
        <v>353</v>
      </c>
      <c r="G2415" s="93" t="s">
        <v>347</v>
      </c>
      <c r="H2415" s="93" t="s">
        <v>343</v>
      </c>
      <c r="I2415" s="94">
        <v>0.25</v>
      </c>
      <c r="J2415" s="95">
        <v>18.75</v>
      </c>
    </row>
    <row r="2416" spans="1:10" x14ac:dyDescent="0.25">
      <c r="A2416" s="92">
        <v>45933</v>
      </c>
      <c r="B2416" s="93" t="s">
        <v>326</v>
      </c>
      <c r="C2416" s="89" t="s">
        <v>40</v>
      </c>
      <c r="D2416" s="93" t="s">
        <v>207</v>
      </c>
      <c r="E2416" s="93" t="s">
        <v>36</v>
      </c>
      <c r="F2416" s="93" t="s">
        <v>417</v>
      </c>
      <c r="G2416" s="93" t="s">
        <v>348</v>
      </c>
      <c r="H2416" s="93" t="s">
        <v>342</v>
      </c>
      <c r="I2416" s="94">
        <v>1</v>
      </c>
      <c r="J2416" s="95">
        <v>60</v>
      </c>
    </row>
    <row r="2417" spans="1:10" x14ac:dyDescent="0.25">
      <c r="A2417" s="92">
        <v>45934</v>
      </c>
      <c r="B2417" s="93" t="s">
        <v>332</v>
      </c>
      <c r="C2417" s="89" t="s">
        <v>40</v>
      </c>
      <c r="D2417" s="93" t="s">
        <v>314</v>
      </c>
      <c r="E2417" s="93" t="s">
        <v>35</v>
      </c>
      <c r="F2417" s="93" t="s">
        <v>359</v>
      </c>
      <c r="G2417" s="93" t="s">
        <v>339</v>
      </c>
      <c r="H2417" s="93" t="s">
        <v>352</v>
      </c>
      <c r="I2417" s="94">
        <v>4</v>
      </c>
      <c r="J2417" s="95">
        <v>160</v>
      </c>
    </row>
    <row r="2418" spans="1:10" x14ac:dyDescent="0.25">
      <c r="A2418" s="92">
        <v>45936</v>
      </c>
      <c r="B2418" s="93" t="s">
        <v>329</v>
      </c>
      <c r="C2418" s="89" t="s">
        <v>40</v>
      </c>
      <c r="D2418" s="93" t="s">
        <v>316</v>
      </c>
      <c r="E2418" s="93" t="s">
        <v>35</v>
      </c>
      <c r="F2418" s="93" t="s">
        <v>338</v>
      </c>
      <c r="G2418" s="93" t="s">
        <v>337</v>
      </c>
      <c r="H2418" s="93" t="s">
        <v>352</v>
      </c>
      <c r="I2418" s="94">
        <v>1.17</v>
      </c>
      <c r="J2418" s="95">
        <v>87.75</v>
      </c>
    </row>
    <row r="2419" spans="1:10" x14ac:dyDescent="0.25">
      <c r="A2419" s="92">
        <v>45936</v>
      </c>
      <c r="B2419" s="93" t="s">
        <v>331</v>
      </c>
      <c r="C2419" s="89" t="s">
        <v>40</v>
      </c>
      <c r="D2419" s="93" t="s">
        <v>316</v>
      </c>
      <c r="E2419" s="93" t="s">
        <v>35</v>
      </c>
      <c r="F2419" s="93" t="s">
        <v>338</v>
      </c>
      <c r="G2419" s="93" t="s">
        <v>337</v>
      </c>
      <c r="H2419" s="93" t="s">
        <v>352</v>
      </c>
      <c r="I2419" s="94">
        <v>1.17</v>
      </c>
      <c r="J2419" s="95">
        <v>37.44</v>
      </c>
    </row>
    <row r="2420" spans="1:10" x14ac:dyDescent="0.25">
      <c r="A2420" s="92">
        <v>45936</v>
      </c>
      <c r="B2420" s="93" t="s">
        <v>330</v>
      </c>
      <c r="C2420" s="89" t="s">
        <v>40</v>
      </c>
      <c r="D2420" s="93" t="s">
        <v>178</v>
      </c>
      <c r="E2420" s="93" t="s">
        <v>341</v>
      </c>
      <c r="F2420" s="93" t="s">
        <v>460</v>
      </c>
      <c r="G2420" s="93" t="s">
        <v>347</v>
      </c>
      <c r="H2420" s="93" t="s">
        <v>344</v>
      </c>
      <c r="I2420" s="94">
        <v>1.5</v>
      </c>
      <c r="J2420" s="95">
        <v>90</v>
      </c>
    </row>
    <row r="2421" spans="1:10" x14ac:dyDescent="0.25">
      <c r="A2421" s="92">
        <v>45936</v>
      </c>
      <c r="B2421" s="93" t="s">
        <v>329</v>
      </c>
      <c r="C2421" s="89" t="s">
        <v>40</v>
      </c>
      <c r="D2421" s="93" t="s">
        <v>303</v>
      </c>
      <c r="E2421" s="93" t="s">
        <v>341</v>
      </c>
      <c r="F2421" s="93" t="s">
        <v>400</v>
      </c>
      <c r="G2421" s="93" t="s">
        <v>347</v>
      </c>
      <c r="H2421" s="93" t="s">
        <v>344</v>
      </c>
      <c r="I2421" s="94">
        <v>1.75</v>
      </c>
      <c r="J2421" s="95">
        <v>131.25</v>
      </c>
    </row>
    <row r="2422" spans="1:10" x14ac:dyDescent="0.25">
      <c r="A2422" s="92">
        <v>45936</v>
      </c>
      <c r="B2422" s="93" t="s">
        <v>323</v>
      </c>
      <c r="C2422" s="89" t="s">
        <v>40</v>
      </c>
      <c r="D2422" s="93" t="s">
        <v>169</v>
      </c>
      <c r="E2422" s="93" t="s">
        <v>36</v>
      </c>
      <c r="F2422" s="93" t="s">
        <v>433</v>
      </c>
      <c r="G2422" s="93" t="s">
        <v>346</v>
      </c>
      <c r="H2422" s="93" t="s">
        <v>342</v>
      </c>
      <c r="I2422" s="94">
        <v>0.25</v>
      </c>
      <c r="J2422" s="95">
        <v>15</v>
      </c>
    </row>
    <row r="2423" spans="1:10" x14ac:dyDescent="0.25">
      <c r="A2423" s="92">
        <v>45936</v>
      </c>
      <c r="B2423" s="93" t="s">
        <v>332</v>
      </c>
      <c r="C2423" s="89" t="s">
        <v>40</v>
      </c>
      <c r="D2423" s="93" t="s">
        <v>314</v>
      </c>
      <c r="E2423" s="93" t="s">
        <v>35</v>
      </c>
      <c r="F2423" s="93" t="s">
        <v>359</v>
      </c>
      <c r="G2423" s="93" t="s">
        <v>339</v>
      </c>
      <c r="H2423" s="93" t="s">
        <v>352</v>
      </c>
      <c r="I2423" s="94">
        <v>9.33</v>
      </c>
      <c r="J2423" s="95">
        <v>373.2</v>
      </c>
    </row>
    <row r="2424" spans="1:10" x14ac:dyDescent="0.25">
      <c r="A2424" s="92">
        <v>45936</v>
      </c>
      <c r="B2424" s="93" t="s">
        <v>324</v>
      </c>
      <c r="C2424" s="89" t="s">
        <v>40</v>
      </c>
      <c r="D2424" s="93" t="s">
        <v>314</v>
      </c>
      <c r="E2424" s="93" t="s">
        <v>35</v>
      </c>
      <c r="F2424" s="93" t="s">
        <v>359</v>
      </c>
      <c r="G2424" s="93" t="s">
        <v>339</v>
      </c>
      <c r="H2424" s="93" t="s">
        <v>352</v>
      </c>
      <c r="I2424" s="94">
        <v>5.5</v>
      </c>
      <c r="J2424" s="95">
        <v>412.5</v>
      </c>
    </row>
    <row r="2425" spans="1:10" x14ac:dyDescent="0.25">
      <c r="A2425" s="92">
        <v>45936</v>
      </c>
      <c r="B2425" s="93" t="s">
        <v>333</v>
      </c>
      <c r="C2425" s="89" t="s">
        <v>40</v>
      </c>
      <c r="D2425" s="93" t="s">
        <v>320</v>
      </c>
      <c r="E2425" s="93" t="s">
        <v>35</v>
      </c>
      <c r="F2425" s="93" t="s">
        <v>322</v>
      </c>
      <c r="G2425" s="93" t="s">
        <v>319</v>
      </c>
      <c r="H2425" s="93" t="s">
        <v>352</v>
      </c>
      <c r="I2425" s="94">
        <v>7.75</v>
      </c>
      <c r="J2425" s="95">
        <v>248</v>
      </c>
    </row>
    <row r="2426" spans="1:10" x14ac:dyDescent="0.25">
      <c r="A2426" s="92">
        <v>45936</v>
      </c>
      <c r="B2426" s="93" t="s">
        <v>327</v>
      </c>
      <c r="C2426" s="89" t="s">
        <v>40</v>
      </c>
      <c r="D2426" s="93" t="s">
        <v>320</v>
      </c>
      <c r="E2426" s="93" t="s">
        <v>35</v>
      </c>
      <c r="F2426" s="93" t="s">
        <v>322</v>
      </c>
      <c r="G2426" s="93" t="s">
        <v>319</v>
      </c>
      <c r="H2426" s="93" t="s">
        <v>352</v>
      </c>
      <c r="I2426" s="94">
        <v>7.5</v>
      </c>
      <c r="J2426" s="95">
        <v>240</v>
      </c>
    </row>
    <row r="2427" spans="1:10" x14ac:dyDescent="0.25">
      <c r="A2427" s="92">
        <v>45936</v>
      </c>
      <c r="B2427" s="93" t="s">
        <v>323</v>
      </c>
      <c r="C2427" s="89" t="s">
        <v>40</v>
      </c>
      <c r="D2427" s="93" t="s">
        <v>231</v>
      </c>
      <c r="E2427" s="93" t="s">
        <v>36</v>
      </c>
      <c r="F2427" s="93" t="s">
        <v>420</v>
      </c>
      <c r="G2427" s="93" t="s">
        <v>346</v>
      </c>
      <c r="H2427" s="93" t="s">
        <v>342</v>
      </c>
      <c r="I2427" s="94">
        <v>0.25</v>
      </c>
      <c r="J2427" s="95">
        <v>15</v>
      </c>
    </row>
    <row r="2428" spans="1:10" x14ac:dyDescent="0.25">
      <c r="A2428" s="92">
        <v>45936</v>
      </c>
      <c r="B2428" s="93" t="s">
        <v>323</v>
      </c>
      <c r="C2428" s="89" t="s">
        <v>40</v>
      </c>
      <c r="D2428" s="93" t="s">
        <v>285</v>
      </c>
      <c r="E2428" s="93" t="s">
        <v>36</v>
      </c>
      <c r="F2428" s="93" t="s">
        <v>448</v>
      </c>
      <c r="G2428" s="93" t="s">
        <v>346</v>
      </c>
      <c r="H2428" s="93" t="s">
        <v>342</v>
      </c>
      <c r="I2428" s="94">
        <v>0.25</v>
      </c>
      <c r="J2428" s="95">
        <v>15</v>
      </c>
    </row>
    <row r="2429" spans="1:10" x14ac:dyDescent="0.25">
      <c r="A2429" s="92">
        <v>45936</v>
      </c>
      <c r="B2429" s="93" t="s">
        <v>323</v>
      </c>
      <c r="C2429" s="89" t="s">
        <v>40</v>
      </c>
      <c r="D2429" s="93" t="s">
        <v>267</v>
      </c>
      <c r="E2429" s="93" t="s">
        <v>34</v>
      </c>
      <c r="F2429" s="93" t="s">
        <v>436</v>
      </c>
      <c r="G2429" s="93" t="s">
        <v>346</v>
      </c>
      <c r="H2429" s="93" t="s">
        <v>343</v>
      </c>
      <c r="I2429" s="94">
        <v>0.25</v>
      </c>
      <c r="J2429" s="95">
        <v>15</v>
      </c>
    </row>
    <row r="2430" spans="1:10" x14ac:dyDescent="0.25">
      <c r="A2430" s="92">
        <v>45936</v>
      </c>
      <c r="B2430" s="93" t="s">
        <v>323</v>
      </c>
      <c r="C2430" s="89" t="s">
        <v>40</v>
      </c>
      <c r="D2430" s="93" t="s">
        <v>169</v>
      </c>
      <c r="E2430" s="93" t="s">
        <v>341</v>
      </c>
      <c r="F2430" s="93" t="s">
        <v>433</v>
      </c>
      <c r="G2430" s="93" t="s">
        <v>346</v>
      </c>
      <c r="H2430" s="93" t="s">
        <v>344</v>
      </c>
      <c r="I2430" s="94">
        <v>1</v>
      </c>
      <c r="J2430" s="95">
        <v>60</v>
      </c>
    </row>
    <row r="2431" spans="1:10" x14ac:dyDescent="0.25">
      <c r="A2431" s="92">
        <v>45936</v>
      </c>
      <c r="B2431" s="93" t="s">
        <v>323</v>
      </c>
      <c r="C2431" s="89" t="s">
        <v>40</v>
      </c>
      <c r="D2431" s="93" t="s">
        <v>219</v>
      </c>
      <c r="E2431" s="93" t="s">
        <v>341</v>
      </c>
      <c r="F2431" s="93" t="s">
        <v>432</v>
      </c>
      <c r="G2431" s="93" t="s">
        <v>346</v>
      </c>
      <c r="H2431" s="93" t="s">
        <v>344</v>
      </c>
      <c r="I2431" s="94">
        <v>0.5</v>
      </c>
      <c r="J2431" s="95">
        <v>30</v>
      </c>
    </row>
    <row r="2432" spans="1:10" x14ac:dyDescent="0.25">
      <c r="A2432" s="92">
        <v>45936</v>
      </c>
      <c r="B2432" s="93" t="s">
        <v>329</v>
      </c>
      <c r="C2432" s="89" t="s">
        <v>40</v>
      </c>
      <c r="D2432" s="93" t="s">
        <v>197</v>
      </c>
      <c r="E2432" s="93" t="s">
        <v>34</v>
      </c>
      <c r="F2432" s="93" t="s">
        <v>366</v>
      </c>
      <c r="G2432" s="93" t="s">
        <v>347</v>
      </c>
      <c r="H2432" s="93" t="s">
        <v>343</v>
      </c>
      <c r="I2432" s="94">
        <v>0.33</v>
      </c>
      <c r="J2432" s="95">
        <v>24.75</v>
      </c>
    </row>
    <row r="2433" spans="1:10" x14ac:dyDescent="0.25">
      <c r="A2433" s="92">
        <v>45936</v>
      </c>
      <c r="B2433" s="93" t="s">
        <v>330</v>
      </c>
      <c r="C2433" s="89" t="s">
        <v>40</v>
      </c>
      <c r="D2433" s="93" t="s">
        <v>215</v>
      </c>
      <c r="E2433" s="93" t="s">
        <v>34</v>
      </c>
      <c r="F2433" s="93" t="s">
        <v>450</v>
      </c>
      <c r="G2433" s="93" t="s">
        <v>347</v>
      </c>
      <c r="H2433" s="93" t="s">
        <v>343</v>
      </c>
      <c r="I2433" s="94">
        <v>0.5</v>
      </c>
      <c r="J2433" s="95">
        <v>30</v>
      </c>
    </row>
    <row r="2434" spans="1:10" x14ac:dyDescent="0.25">
      <c r="A2434" s="92">
        <v>45936</v>
      </c>
      <c r="B2434" s="93" t="s">
        <v>329</v>
      </c>
      <c r="C2434" s="89" t="s">
        <v>40</v>
      </c>
      <c r="D2434" s="93" t="s">
        <v>303</v>
      </c>
      <c r="E2434" s="93" t="s">
        <v>34</v>
      </c>
      <c r="F2434" s="93" t="s">
        <v>400</v>
      </c>
      <c r="G2434" s="93" t="s">
        <v>347</v>
      </c>
      <c r="H2434" s="93" t="s">
        <v>343</v>
      </c>
      <c r="I2434" s="94">
        <v>0.33</v>
      </c>
      <c r="J2434" s="95">
        <v>24.75</v>
      </c>
    </row>
    <row r="2435" spans="1:10" x14ac:dyDescent="0.25">
      <c r="A2435" s="92">
        <v>45936</v>
      </c>
      <c r="B2435" s="93" t="s">
        <v>329</v>
      </c>
      <c r="C2435" s="89" t="s">
        <v>40</v>
      </c>
      <c r="D2435" s="93" t="s">
        <v>229</v>
      </c>
      <c r="E2435" s="93" t="s">
        <v>34</v>
      </c>
      <c r="F2435" s="93" t="s">
        <v>373</v>
      </c>
      <c r="G2435" s="93" t="s">
        <v>347</v>
      </c>
      <c r="H2435" s="93" t="s">
        <v>343</v>
      </c>
      <c r="I2435" s="94">
        <v>0.33</v>
      </c>
      <c r="J2435" s="95">
        <v>24.75</v>
      </c>
    </row>
    <row r="2436" spans="1:10" x14ac:dyDescent="0.25">
      <c r="A2436" s="92">
        <v>45936</v>
      </c>
      <c r="B2436" s="93" t="s">
        <v>329</v>
      </c>
      <c r="C2436" s="89" t="s">
        <v>40</v>
      </c>
      <c r="D2436" s="93" t="s">
        <v>247</v>
      </c>
      <c r="E2436" s="93" t="s">
        <v>34</v>
      </c>
      <c r="F2436" s="93" t="s">
        <v>375</v>
      </c>
      <c r="G2436" s="93" t="s">
        <v>347</v>
      </c>
      <c r="H2436" s="93" t="s">
        <v>343</v>
      </c>
      <c r="I2436" s="94">
        <v>0.17</v>
      </c>
      <c r="J2436" s="95">
        <v>12.750000000000002</v>
      </c>
    </row>
    <row r="2437" spans="1:10" x14ac:dyDescent="0.25">
      <c r="A2437" s="92">
        <v>45936</v>
      </c>
      <c r="B2437" s="93" t="s">
        <v>329</v>
      </c>
      <c r="C2437" s="89" t="s">
        <v>40</v>
      </c>
      <c r="D2437" s="93" t="s">
        <v>247</v>
      </c>
      <c r="E2437" s="93" t="s">
        <v>341</v>
      </c>
      <c r="F2437" s="93" t="s">
        <v>375</v>
      </c>
      <c r="G2437" s="93" t="s">
        <v>347</v>
      </c>
      <c r="H2437" s="93" t="s">
        <v>344</v>
      </c>
      <c r="I2437" s="94">
        <v>0.42</v>
      </c>
      <c r="J2437" s="95">
        <v>31.5</v>
      </c>
    </row>
    <row r="2438" spans="1:10" x14ac:dyDescent="0.25">
      <c r="A2438" s="92">
        <v>45936</v>
      </c>
      <c r="B2438" s="93" t="s">
        <v>329</v>
      </c>
      <c r="C2438" s="89" t="s">
        <v>40</v>
      </c>
      <c r="D2438" s="93" t="s">
        <v>248</v>
      </c>
      <c r="E2438" s="93" t="s">
        <v>341</v>
      </c>
      <c r="F2438" s="93" t="s">
        <v>385</v>
      </c>
      <c r="G2438" s="93" t="s">
        <v>347</v>
      </c>
      <c r="H2438" s="93" t="s">
        <v>344</v>
      </c>
      <c r="I2438" s="94">
        <v>0.42</v>
      </c>
      <c r="J2438" s="95">
        <v>31.5</v>
      </c>
    </row>
    <row r="2439" spans="1:10" x14ac:dyDescent="0.25">
      <c r="A2439" s="92">
        <v>45936</v>
      </c>
      <c r="B2439" s="93" t="s">
        <v>329</v>
      </c>
      <c r="C2439" s="89" t="s">
        <v>40</v>
      </c>
      <c r="D2439" s="93" t="s">
        <v>295</v>
      </c>
      <c r="E2439" s="93" t="s">
        <v>341</v>
      </c>
      <c r="F2439" s="93" t="s">
        <v>379</v>
      </c>
      <c r="G2439" s="93" t="s">
        <v>347</v>
      </c>
      <c r="H2439" s="93" t="s">
        <v>344</v>
      </c>
      <c r="I2439" s="94">
        <v>0.42</v>
      </c>
      <c r="J2439" s="95">
        <v>31.5</v>
      </c>
    </row>
    <row r="2440" spans="1:10" x14ac:dyDescent="0.25">
      <c r="A2440" s="92">
        <v>45937</v>
      </c>
      <c r="B2440" s="93" t="s">
        <v>329</v>
      </c>
      <c r="C2440" s="89" t="s">
        <v>40</v>
      </c>
      <c r="D2440" s="93" t="s">
        <v>316</v>
      </c>
      <c r="E2440" s="93" t="s">
        <v>35</v>
      </c>
      <c r="F2440" s="93" t="s">
        <v>338</v>
      </c>
      <c r="G2440" s="93" t="s">
        <v>337</v>
      </c>
      <c r="H2440" s="93" t="s">
        <v>352</v>
      </c>
      <c r="I2440" s="94">
        <v>1.75</v>
      </c>
      <c r="J2440" s="95">
        <v>131.25</v>
      </c>
    </row>
    <row r="2441" spans="1:10" x14ac:dyDescent="0.25">
      <c r="A2441" s="92">
        <v>45937</v>
      </c>
      <c r="B2441" s="93" t="s">
        <v>331</v>
      </c>
      <c r="C2441" s="89" t="s">
        <v>40</v>
      </c>
      <c r="D2441" s="93" t="s">
        <v>316</v>
      </c>
      <c r="E2441" s="93" t="s">
        <v>35</v>
      </c>
      <c r="F2441" s="93" t="s">
        <v>338</v>
      </c>
      <c r="G2441" s="93" t="s">
        <v>337</v>
      </c>
      <c r="H2441" s="93" t="s">
        <v>352</v>
      </c>
      <c r="I2441" s="94">
        <v>1.5</v>
      </c>
      <c r="J2441" s="95">
        <v>48</v>
      </c>
    </row>
    <row r="2442" spans="1:10" x14ac:dyDescent="0.25">
      <c r="A2442" s="92">
        <v>45937</v>
      </c>
      <c r="B2442" s="93" t="s">
        <v>329</v>
      </c>
      <c r="C2442" s="89" t="s">
        <v>40</v>
      </c>
      <c r="D2442" s="93" t="s">
        <v>270</v>
      </c>
      <c r="E2442" s="93" t="s">
        <v>34</v>
      </c>
      <c r="F2442" s="93" t="s">
        <v>360</v>
      </c>
      <c r="G2442" s="93" t="s">
        <v>347</v>
      </c>
      <c r="H2442" s="93" t="s">
        <v>343</v>
      </c>
      <c r="I2442" s="94">
        <v>0.17</v>
      </c>
      <c r="J2442" s="95">
        <v>12.750000000000002</v>
      </c>
    </row>
    <row r="2443" spans="1:10" x14ac:dyDescent="0.25">
      <c r="A2443" s="92">
        <v>45937</v>
      </c>
      <c r="B2443" s="93" t="s">
        <v>330</v>
      </c>
      <c r="C2443" s="89" t="s">
        <v>40</v>
      </c>
      <c r="D2443" s="93" t="s">
        <v>215</v>
      </c>
      <c r="E2443" s="93" t="s">
        <v>341</v>
      </c>
      <c r="F2443" s="93" t="s">
        <v>450</v>
      </c>
      <c r="G2443" s="93" t="s">
        <v>347</v>
      </c>
      <c r="H2443" s="93" t="s">
        <v>344</v>
      </c>
      <c r="I2443" s="94">
        <v>4</v>
      </c>
      <c r="J2443" s="95">
        <v>240</v>
      </c>
    </row>
    <row r="2444" spans="1:10" x14ac:dyDescent="0.25">
      <c r="A2444" s="92">
        <v>45937</v>
      </c>
      <c r="B2444" s="93" t="s">
        <v>330</v>
      </c>
      <c r="C2444" s="89" t="s">
        <v>40</v>
      </c>
      <c r="D2444" s="93" t="s">
        <v>171</v>
      </c>
      <c r="E2444" s="93" t="s">
        <v>341</v>
      </c>
      <c r="F2444" s="93" t="s">
        <v>390</v>
      </c>
      <c r="G2444" s="93" t="s">
        <v>347</v>
      </c>
      <c r="H2444" s="93" t="s">
        <v>344</v>
      </c>
      <c r="I2444" s="94">
        <v>3</v>
      </c>
      <c r="J2444" s="95">
        <v>180</v>
      </c>
    </row>
    <row r="2445" spans="1:10" x14ac:dyDescent="0.25">
      <c r="A2445" s="92">
        <v>45937</v>
      </c>
      <c r="B2445" s="93" t="s">
        <v>332</v>
      </c>
      <c r="C2445" s="89" t="s">
        <v>40</v>
      </c>
      <c r="D2445" s="93" t="s">
        <v>314</v>
      </c>
      <c r="E2445" s="93" t="s">
        <v>35</v>
      </c>
      <c r="F2445" s="93" t="s">
        <v>359</v>
      </c>
      <c r="G2445" s="93" t="s">
        <v>339</v>
      </c>
      <c r="H2445" s="93" t="s">
        <v>352</v>
      </c>
      <c r="I2445" s="94">
        <v>8.83</v>
      </c>
      <c r="J2445" s="95">
        <v>353.2</v>
      </c>
    </row>
    <row r="2446" spans="1:10" x14ac:dyDescent="0.25">
      <c r="A2446" s="92">
        <v>45937</v>
      </c>
      <c r="B2446" s="93" t="s">
        <v>324</v>
      </c>
      <c r="C2446" s="89" t="s">
        <v>40</v>
      </c>
      <c r="D2446" s="93" t="s">
        <v>314</v>
      </c>
      <c r="E2446" s="93" t="s">
        <v>35</v>
      </c>
      <c r="F2446" s="93" t="s">
        <v>359</v>
      </c>
      <c r="G2446" s="93" t="s">
        <v>339</v>
      </c>
      <c r="H2446" s="93" t="s">
        <v>352</v>
      </c>
      <c r="I2446" s="94">
        <v>5</v>
      </c>
      <c r="J2446" s="95">
        <v>375</v>
      </c>
    </row>
    <row r="2447" spans="1:10" x14ac:dyDescent="0.25">
      <c r="A2447" s="92">
        <v>45937</v>
      </c>
      <c r="B2447" s="93" t="s">
        <v>327</v>
      </c>
      <c r="C2447" s="89" t="s">
        <v>40</v>
      </c>
      <c r="D2447" s="93" t="s">
        <v>320</v>
      </c>
      <c r="E2447" s="93" t="s">
        <v>35</v>
      </c>
      <c r="F2447" s="93" t="s">
        <v>322</v>
      </c>
      <c r="G2447" s="93" t="s">
        <v>319</v>
      </c>
      <c r="H2447" s="93" t="s">
        <v>352</v>
      </c>
      <c r="I2447" s="94">
        <v>7.25</v>
      </c>
      <c r="J2447" s="95">
        <v>232</v>
      </c>
    </row>
    <row r="2448" spans="1:10" x14ac:dyDescent="0.25">
      <c r="A2448" s="92">
        <v>45937</v>
      </c>
      <c r="B2448" s="93" t="s">
        <v>323</v>
      </c>
      <c r="C2448" s="89" t="s">
        <v>40</v>
      </c>
      <c r="D2448" s="93" t="s">
        <v>232</v>
      </c>
      <c r="E2448" s="93" t="s">
        <v>36</v>
      </c>
      <c r="F2448" s="93" t="s">
        <v>393</v>
      </c>
      <c r="G2448" s="93" t="s">
        <v>346</v>
      </c>
      <c r="H2448" s="93" t="s">
        <v>342</v>
      </c>
      <c r="I2448" s="94">
        <v>0.33</v>
      </c>
      <c r="J2448" s="95">
        <v>19.8</v>
      </c>
    </row>
    <row r="2449" spans="1:10" x14ac:dyDescent="0.25">
      <c r="A2449" s="92">
        <v>45937</v>
      </c>
      <c r="B2449" s="93" t="s">
        <v>325</v>
      </c>
      <c r="C2449" s="89" t="s">
        <v>40</v>
      </c>
      <c r="D2449" s="93" t="s">
        <v>179</v>
      </c>
      <c r="E2449" s="93" t="s">
        <v>34</v>
      </c>
      <c r="F2449" s="93" t="s">
        <v>422</v>
      </c>
      <c r="G2449" s="93" t="s">
        <v>347</v>
      </c>
      <c r="H2449" s="93" t="s">
        <v>343</v>
      </c>
      <c r="I2449" s="94">
        <v>0.42</v>
      </c>
      <c r="J2449" s="95">
        <v>31.5</v>
      </c>
    </row>
    <row r="2450" spans="1:10" x14ac:dyDescent="0.25">
      <c r="A2450" s="92">
        <v>45937</v>
      </c>
      <c r="B2450" s="93" t="s">
        <v>329</v>
      </c>
      <c r="C2450" s="89" t="s">
        <v>40</v>
      </c>
      <c r="D2450" s="93" t="s">
        <v>301</v>
      </c>
      <c r="E2450" s="93" t="s">
        <v>34</v>
      </c>
      <c r="F2450" s="93" t="s">
        <v>371</v>
      </c>
      <c r="G2450" s="93" t="s">
        <v>347</v>
      </c>
      <c r="H2450" s="93" t="s">
        <v>343</v>
      </c>
      <c r="I2450" s="94">
        <v>0.33</v>
      </c>
      <c r="J2450" s="95">
        <v>24.75</v>
      </c>
    </row>
    <row r="2451" spans="1:10" x14ac:dyDescent="0.25">
      <c r="A2451" s="92">
        <v>45937</v>
      </c>
      <c r="B2451" s="93" t="s">
        <v>329</v>
      </c>
      <c r="C2451" s="89" t="s">
        <v>40</v>
      </c>
      <c r="D2451" s="93" t="s">
        <v>303</v>
      </c>
      <c r="E2451" s="93" t="s">
        <v>34</v>
      </c>
      <c r="F2451" s="93" t="s">
        <v>400</v>
      </c>
      <c r="G2451" s="93" t="s">
        <v>347</v>
      </c>
      <c r="H2451" s="93" t="s">
        <v>343</v>
      </c>
      <c r="I2451" s="94">
        <v>0.57999999999999996</v>
      </c>
      <c r="J2451" s="95">
        <v>43.5</v>
      </c>
    </row>
    <row r="2452" spans="1:10" x14ac:dyDescent="0.25">
      <c r="A2452" s="92">
        <v>45937</v>
      </c>
      <c r="B2452" s="93" t="s">
        <v>329</v>
      </c>
      <c r="C2452" s="89" t="s">
        <v>40</v>
      </c>
      <c r="D2452" s="93" t="s">
        <v>229</v>
      </c>
      <c r="E2452" s="93" t="s">
        <v>34</v>
      </c>
      <c r="F2452" s="93" t="s">
        <v>373</v>
      </c>
      <c r="G2452" s="93" t="s">
        <v>347</v>
      </c>
      <c r="H2452" s="93" t="s">
        <v>343</v>
      </c>
      <c r="I2452" s="94">
        <v>0.08</v>
      </c>
      <c r="J2452" s="95">
        <v>6</v>
      </c>
    </row>
    <row r="2453" spans="1:10" x14ac:dyDescent="0.25">
      <c r="A2453" s="92">
        <v>45937</v>
      </c>
      <c r="B2453" s="93" t="s">
        <v>325</v>
      </c>
      <c r="C2453" s="89" t="s">
        <v>40</v>
      </c>
      <c r="D2453" s="93" t="s">
        <v>226</v>
      </c>
      <c r="E2453" s="93" t="s">
        <v>34</v>
      </c>
      <c r="F2453" s="93" t="s">
        <v>401</v>
      </c>
      <c r="G2453" s="93" t="s">
        <v>347</v>
      </c>
      <c r="H2453" s="93" t="s">
        <v>343</v>
      </c>
      <c r="I2453" s="94">
        <v>0.17</v>
      </c>
      <c r="J2453" s="95">
        <v>12.750000000000002</v>
      </c>
    </row>
    <row r="2454" spans="1:10" x14ac:dyDescent="0.25">
      <c r="A2454" s="92">
        <v>45937</v>
      </c>
      <c r="B2454" s="93" t="s">
        <v>325</v>
      </c>
      <c r="C2454" s="89" t="s">
        <v>40</v>
      </c>
      <c r="D2454" s="93" t="s">
        <v>226</v>
      </c>
      <c r="E2454" s="93" t="s">
        <v>34</v>
      </c>
      <c r="F2454" s="93" t="s">
        <v>401</v>
      </c>
      <c r="G2454" s="93" t="s">
        <v>347</v>
      </c>
      <c r="H2454" s="93" t="s">
        <v>343</v>
      </c>
      <c r="I2454" s="94">
        <v>0.17</v>
      </c>
      <c r="J2454" s="95">
        <v>12.750000000000002</v>
      </c>
    </row>
    <row r="2455" spans="1:10" x14ac:dyDescent="0.25">
      <c r="A2455" s="92">
        <v>45937</v>
      </c>
      <c r="B2455" s="93" t="s">
        <v>329</v>
      </c>
      <c r="C2455" s="89" t="s">
        <v>40</v>
      </c>
      <c r="D2455" s="93" t="s">
        <v>221</v>
      </c>
      <c r="E2455" s="93" t="s">
        <v>34</v>
      </c>
      <c r="F2455" s="93" t="s">
        <v>369</v>
      </c>
      <c r="G2455" s="93" t="s">
        <v>347</v>
      </c>
      <c r="H2455" s="93" t="s">
        <v>343</v>
      </c>
      <c r="I2455" s="94">
        <v>0.17</v>
      </c>
      <c r="J2455" s="95">
        <v>12.750000000000002</v>
      </c>
    </row>
    <row r="2456" spans="1:10" x14ac:dyDescent="0.25">
      <c r="A2456" s="92">
        <v>45937</v>
      </c>
      <c r="B2456" s="93" t="s">
        <v>329</v>
      </c>
      <c r="C2456" s="89" t="s">
        <v>40</v>
      </c>
      <c r="D2456" s="93" t="s">
        <v>238</v>
      </c>
      <c r="E2456" s="93" t="s">
        <v>34</v>
      </c>
      <c r="F2456" s="93" t="s">
        <v>374</v>
      </c>
      <c r="G2456" s="93" t="s">
        <v>347</v>
      </c>
      <c r="H2456" s="93" t="s">
        <v>343</v>
      </c>
      <c r="I2456" s="94">
        <v>0.25</v>
      </c>
      <c r="J2456" s="95">
        <v>18.75</v>
      </c>
    </row>
    <row r="2457" spans="1:10" x14ac:dyDescent="0.25">
      <c r="A2457" s="92">
        <v>45937</v>
      </c>
      <c r="B2457" s="93" t="s">
        <v>329</v>
      </c>
      <c r="C2457" s="89" t="s">
        <v>40</v>
      </c>
      <c r="D2457" s="93" t="s">
        <v>240</v>
      </c>
      <c r="E2457" s="93" t="s">
        <v>34</v>
      </c>
      <c r="F2457" s="93" t="s">
        <v>402</v>
      </c>
      <c r="G2457" s="93" t="s">
        <v>347</v>
      </c>
      <c r="H2457" s="93" t="s">
        <v>343</v>
      </c>
      <c r="I2457" s="94">
        <v>0.67</v>
      </c>
      <c r="J2457" s="95">
        <v>50.25</v>
      </c>
    </row>
    <row r="2458" spans="1:10" x14ac:dyDescent="0.25">
      <c r="A2458" s="92">
        <v>45937</v>
      </c>
      <c r="B2458" s="93" t="s">
        <v>329</v>
      </c>
      <c r="C2458" s="89" t="s">
        <v>40</v>
      </c>
      <c r="D2458" s="93" t="s">
        <v>241</v>
      </c>
      <c r="E2458" s="93" t="s">
        <v>34</v>
      </c>
      <c r="F2458" s="93" t="s">
        <v>403</v>
      </c>
      <c r="G2458" s="93" t="s">
        <v>347</v>
      </c>
      <c r="H2458" s="93" t="s">
        <v>343</v>
      </c>
      <c r="I2458" s="94">
        <v>0.17</v>
      </c>
      <c r="J2458" s="95">
        <v>12.750000000000002</v>
      </c>
    </row>
    <row r="2459" spans="1:10" x14ac:dyDescent="0.25">
      <c r="A2459" s="92">
        <v>45937</v>
      </c>
      <c r="B2459" s="93" t="s">
        <v>329</v>
      </c>
      <c r="C2459" s="89" t="s">
        <v>40</v>
      </c>
      <c r="D2459" s="93" t="s">
        <v>293</v>
      </c>
      <c r="E2459" s="93" t="s">
        <v>34</v>
      </c>
      <c r="F2459" s="93" t="s">
        <v>376</v>
      </c>
      <c r="G2459" s="93" t="s">
        <v>347</v>
      </c>
      <c r="H2459" s="93" t="s">
        <v>343</v>
      </c>
      <c r="I2459" s="94">
        <v>0.17</v>
      </c>
      <c r="J2459" s="95">
        <v>12.750000000000002</v>
      </c>
    </row>
    <row r="2460" spans="1:10" x14ac:dyDescent="0.25">
      <c r="A2460" s="92">
        <v>45937</v>
      </c>
      <c r="B2460" s="93" t="s">
        <v>325</v>
      </c>
      <c r="C2460" s="89" t="s">
        <v>40</v>
      </c>
      <c r="D2460" s="93" t="s">
        <v>254</v>
      </c>
      <c r="E2460" s="93" t="s">
        <v>34</v>
      </c>
      <c r="F2460" s="93" t="s">
        <v>441</v>
      </c>
      <c r="G2460" s="93" t="s">
        <v>347</v>
      </c>
      <c r="H2460" s="93" t="s">
        <v>343</v>
      </c>
      <c r="I2460" s="94">
        <v>0.17</v>
      </c>
      <c r="J2460" s="95">
        <v>12.750000000000002</v>
      </c>
    </row>
    <row r="2461" spans="1:10" x14ac:dyDescent="0.25">
      <c r="A2461" s="92">
        <v>45937</v>
      </c>
      <c r="B2461" s="93" t="s">
        <v>325</v>
      </c>
      <c r="C2461" s="89" t="s">
        <v>40</v>
      </c>
      <c r="D2461" s="93" t="s">
        <v>262</v>
      </c>
      <c r="E2461" s="93" t="s">
        <v>34</v>
      </c>
      <c r="F2461" s="93" t="s">
        <v>442</v>
      </c>
      <c r="G2461" s="93" t="s">
        <v>347</v>
      </c>
      <c r="H2461" s="93" t="s">
        <v>343</v>
      </c>
      <c r="I2461" s="94">
        <v>0.17</v>
      </c>
      <c r="J2461" s="95">
        <v>12.750000000000002</v>
      </c>
    </row>
    <row r="2462" spans="1:10" x14ac:dyDescent="0.25">
      <c r="A2462" s="92">
        <v>45937</v>
      </c>
      <c r="B2462" s="93" t="s">
        <v>329</v>
      </c>
      <c r="C2462" s="89" t="s">
        <v>40</v>
      </c>
      <c r="D2462" s="93" t="s">
        <v>247</v>
      </c>
      <c r="E2462" s="93" t="s">
        <v>34</v>
      </c>
      <c r="F2462" s="93" t="s">
        <v>375</v>
      </c>
      <c r="G2462" s="93" t="s">
        <v>347</v>
      </c>
      <c r="H2462" s="93" t="s">
        <v>343</v>
      </c>
      <c r="I2462" s="94">
        <v>0.17</v>
      </c>
      <c r="J2462" s="95">
        <v>12.750000000000002</v>
      </c>
    </row>
    <row r="2463" spans="1:10" x14ac:dyDescent="0.25">
      <c r="A2463" s="92">
        <v>45937</v>
      </c>
      <c r="B2463" s="93" t="s">
        <v>329</v>
      </c>
      <c r="C2463" s="89" t="s">
        <v>40</v>
      </c>
      <c r="D2463" s="93" t="s">
        <v>272</v>
      </c>
      <c r="E2463" s="93" t="s">
        <v>34</v>
      </c>
      <c r="F2463" s="93" t="s">
        <v>362</v>
      </c>
      <c r="G2463" s="93" t="s">
        <v>347</v>
      </c>
      <c r="H2463" s="93" t="s">
        <v>343</v>
      </c>
      <c r="I2463" s="94">
        <v>0.33</v>
      </c>
      <c r="J2463" s="95">
        <v>24.75</v>
      </c>
    </row>
    <row r="2464" spans="1:10" x14ac:dyDescent="0.25">
      <c r="A2464" s="92">
        <v>45937</v>
      </c>
      <c r="B2464" s="93" t="s">
        <v>325</v>
      </c>
      <c r="C2464" s="89" t="s">
        <v>40</v>
      </c>
      <c r="D2464" s="93" t="s">
        <v>307</v>
      </c>
      <c r="E2464" s="93" t="s">
        <v>341</v>
      </c>
      <c r="F2464" s="93" t="s">
        <v>472</v>
      </c>
      <c r="G2464" s="93" t="s">
        <v>347</v>
      </c>
      <c r="H2464" s="93" t="s">
        <v>344</v>
      </c>
      <c r="I2464" s="94">
        <v>1.58</v>
      </c>
      <c r="J2464" s="95">
        <v>118.5</v>
      </c>
    </row>
    <row r="2465" spans="1:10" x14ac:dyDescent="0.25">
      <c r="A2465" s="92">
        <v>45937</v>
      </c>
      <c r="B2465" s="93" t="s">
        <v>329</v>
      </c>
      <c r="C2465" s="89" t="s">
        <v>40</v>
      </c>
      <c r="D2465" s="93" t="s">
        <v>299</v>
      </c>
      <c r="E2465" s="93" t="s">
        <v>312</v>
      </c>
      <c r="F2465" s="93" t="s">
        <v>455</v>
      </c>
      <c r="G2465" s="93" t="s">
        <v>347</v>
      </c>
      <c r="H2465" s="93" t="s">
        <v>350</v>
      </c>
      <c r="I2465" s="94">
        <v>0.25</v>
      </c>
      <c r="J2465" s="95">
        <v>18.75</v>
      </c>
    </row>
    <row r="2466" spans="1:10" x14ac:dyDescent="0.25">
      <c r="A2466" s="92">
        <v>45937</v>
      </c>
      <c r="B2466" s="93" t="s">
        <v>326</v>
      </c>
      <c r="C2466" s="89" t="s">
        <v>40</v>
      </c>
      <c r="D2466" s="93" t="s">
        <v>207</v>
      </c>
      <c r="E2466" s="93" t="s">
        <v>34</v>
      </c>
      <c r="F2466" s="93" t="s">
        <v>417</v>
      </c>
      <c r="G2466" s="93" t="s">
        <v>348</v>
      </c>
      <c r="H2466" s="93" t="s">
        <v>343</v>
      </c>
      <c r="I2466" s="94">
        <v>0.5</v>
      </c>
      <c r="J2466" s="95">
        <v>30</v>
      </c>
    </row>
    <row r="2467" spans="1:10" x14ac:dyDescent="0.25">
      <c r="A2467" s="92">
        <v>45937</v>
      </c>
      <c r="B2467" s="93" t="s">
        <v>326</v>
      </c>
      <c r="C2467" s="89" t="s">
        <v>40</v>
      </c>
      <c r="D2467" s="93" t="s">
        <v>188</v>
      </c>
      <c r="E2467" s="93" t="s">
        <v>34</v>
      </c>
      <c r="F2467" s="93" t="s">
        <v>356</v>
      </c>
      <c r="G2467" s="93" t="s">
        <v>348</v>
      </c>
      <c r="H2467" s="93" t="s">
        <v>343</v>
      </c>
      <c r="I2467" s="94">
        <v>1</v>
      </c>
      <c r="J2467" s="95">
        <v>60</v>
      </c>
    </row>
    <row r="2468" spans="1:10" x14ac:dyDescent="0.25">
      <c r="A2468" s="92">
        <v>45937</v>
      </c>
      <c r="B2468" s="93" t="s">
        <v>326</v>
      </c>
      <c r="C2468" s="89" t="s">
        <v>40</v>
      </c>
      <c r="D2468" s="93" t="s">
        <v>175</v>
      </c>
      <c r="E2468" s="93" t="s">
        <v>34</v>
      </c>
      <c r="F2468" s="93" t="s">
        <v>388</v>
      </c>
      <c r="G2468" s="93" t="s">
        <v>348</v>
      </c>
      <c r="H2468" s="93" t="s">
        <v>343</v>
      </c>
      <c r="I2468" s="94">
        <v>0.5</v>
      </c>
      <c r="J2468" s="95">
        <v>30</v>
      </c>
    </row>
    <row r="2469" spans="1:10" x14ac:dyDescent="0.25">
      <c r="A2469" s="92">
        <v>45937</v>
      </c>
      <c r="B2469" s="93" t="s">
        <v>326</v>
      </c>
      <c r="C2469" s="89" t="s">
        <v>40</v>
      </c>
      <c r="D2469" s="93" t="s">
        <v>300</v>
      </c>
      <c r="E2469" s="93" t="s">
        <v>34</v>
      </c>
      <c r="F2469" s="93" t="s">
        <v>464</v>
      </c>
      <c r="G2469" s="93" t="s">
        <v>348</v>
      </c>
      <c r="H2469" s="93" t="s">
        <v>343</v>
      </c>
      <c r="I2469" s="94">
        <v>0.5</v>
      </c>
      <c r="J2469" s="95">
        <v>30</v>
      </c>
    </row>
    <row r="2470" spans="1:10" x14ac:dyDescent="0.25">
      <c r="A2470" s="92">
        <v>45938</v>
      </c>
      <c r="B2470" s="93" t="s">
        <v>329</v>
      </c>
      <c r="C2470" s="89" t="s">
        <v>40</v>
      </c>
      <c r="D2470" s="93" t="s">
        <v>316</v>
      </c>
      <c r="E2470" s="93" t="s">
        <v>35</v>
      </c>
      <c r="F2470" s="93" t="s">
        <v>338</v>
      </c>
      <c r="G2470" s="93" t="s">
        <v>337</v>
      </c>
      <c r="H2470" s="93" t="s">
        <v>352</v>
      </c>
      <c r="I2470" s="94">
        <v>1.17</v>
      </c>
      <c r="J2470" s="95">
        <v>87.75</v>
      </c>
    </row>
    <row r="2471" spans="1:10" x14ac:dyDescent="0.25">
      <c r="A2471" s="92">
        <v>45938</v>
      </c>
      <c r="B2471" s="93" t="s">
        <v>330</v>
      </c>
      <c r="C2471" s="89" t="s">
        <v>40</v>
      </c>
      <c r="D2471" s="93" t="s">
        <v>215</v>
      </c>
      <c r="E2471" s="93" t="s">
        <v>341</v>
      </c>
      <c r="F2471" s="93" t="s">
        <v>450</v>
      </c>
      <c r="G2471" s="93" t="s">
        <v>347</v>
      </c>
      <c r="H2471" s="93" t="s">
        <v>344</v>
      </c>
      <c r="I2471" s="94">
        <v>2</v>
      </c>
      <c r="J2471" s="95">
        <v>120</v>
      </c>
    </row>
    <row r="2472" spans="1:10" x14ac:dyDescent="0.25">
      <c r="A2472" s="92">
        <v>45938</v>
      </c>
      <c r="B2472" s="93" t="s">
        <v>329</v>
      </c>
      <c r="C2472" s="89" t="s">
        <v>40</v>
      </c>
      <c r="D2472" s="93" t="s">
        <v>206</v>
      </c>
      <c r="E2472" s="93" t="s">
        <v>341</v>
      </c>
      <c r="F2472" s="93" t="s">
        <v>367</v>
      </c>
      <c r="G2472" s="93" t="s">
        <v>347</v>
      </c>
      <c r="H2472" s="93" t="s">
        <v>344</v>
      </c>
      <c r="I2472" s="94">
        <v>2</v>
      </c>
      <c r="J2472" s="95">
        <v>150</v>
      </c>
    </row>
    <row r="2473" spans="1:10" x14ac:dyDescent="0.25">
      <c r="A2473" s="92">
        <v>45938</v>
      </c>
      <c r="B2473" s="93" t="s">
        <v>323</v>
      </c>
      <c r="C2473" s="89" t="s">
        <v>40</v>
      </c>
      <c r="D2473" s="93" t="s">
        <v>169</v>
      </c>
      <c r="E2473" s="93" t="s">
        <v>36</v>
      </c>
      <c r="F2473" s="93" t="s">
        <v>433</v>
      </c>
      <c r="G2473" s="93" t="s">
        <v>346</v>
      </c>
      <c r="H2473" s="93" t="s">
        <v>342</v>
      </c>
      <c r="I2473" s="94">
        <v>0.33</v>
      </c>
      <c r="J2473" s="95">
        <v>19.8</v>
      </c>
    </row>
    <row r="2474" spans="1:10" x14ac:dyDescent="0.25">
      <c r="A2474" s="92">
        <v>45938</v>
      </c>
      <c r="B2474" s="93" t="s">
        <v>323</v>
      </c>
      <c r="C2474" s="89" t="s">
        <v>40</v>
      </c>
      <c r="D2474" s="93" t="s">
        <v>202</v>
      </c>
      <c r="E2474" s="93" t="s">
        <v>36</v>
      </c>
      <c r="F2474" s="93" t="s">
        <v>431</v>
      </c>
      <c r="G2474" s="93" t="s">
        <v>346</v>
      </c>
      <c r="H2474" s="93" t="s">
        <v>342</v>
      </c>
      <c r="I2474" s="94">
        <v>1</v>
      </c>
      <c r="J2474" s="95">
        <v>60</v>
      </c>
    </row>
    <row r="2475" spans="1:10" x14ac:dyDescent="0.25">
      <c r="A2475" s="92">
        <v>45938</v>
      </c>
      <c r="B2475" s="93" t="s">
        <v>323</v>
      </c>
      <c r="C2475" s="89" t="s">
        <v>40</v>
      </c>
      <c r="D2475" s="93" t="s">
        <v>216</v>
      </c>
      <c r="E2475" s="93" t="s">
        <v>36</v>
      </c>
      <c r="F2475" s="93" t="s">
        <v>473</v>
      </c>
      <c r="G2475" s="93" t="s">
        <v>346</v>
      </c>
      <c r="H2475" s="93" t="s">
        <v>342</v>
      </c>
      <c r="I2475" s="94">
        <v>0.5</v>
      </c>
      <c r="J2475" s="95">
        <v>30</v>
      </c>
    </row>
    <row r="2476" spans="1:10" x14ac:dyDescent="0.25">
      <c r="A2476" s="92">
        <v>45938</v>
      </c>
      <c r="B2476" s="93" t="s">
        <v>332</v>
      </c>
      <c r="C2476" s="89" t="s">
        <v>40</v>
      </c>
      <c r="D2476" s="93" t="s">
        <v>314</v>
      </c>
      <c r="E2476" s="93" t="s">
        <v>35</v>
      </c>
      <c r="F2476" s="93" t="s">
        <v>359</v>
      </c>
      <c r="G2476" s="93" t="s">
        <v>339</v>
      </c>
      <c r="H2476" s="93" t="s">
        <v>352</v>
      </c>
      <c r="I2476" s="94">
        <v>8.5</v>
      </c>
      <c r="J2476" s="95">
        <v>340</v>
      </c>
    </row>
    <row r="2477" spans="1:10" x14ac:dyDescent="0.25">
      <c r="A2477" s="92">
        <v>45938</v>
      </c>
      <c r="B2477" s="93" t="s">
        <v>324</v>
      </c>
      <c r="C2477" s="89" t="s">
        <v>40</v>
      </c>
      <c r="D2477" s="93" t="s">
        <v>314</v>
      </c>
      <c r="E2477" s="93" t="s">
        <v>35</v>
      </c>
      <c r="F2477" s="93" t="s">
        <v>359</v>
      </c>
      <c r="G2477" s="93" t="s">
        <v>339</v>
      </c>
      <c r="H2477" s="93" t="s">
        <v>352</v>
      </c>
      <c r="I2477" s="94">
        <v>8</v>
      </c>
      <c r="J2477" s="95">
        <v>600</v>
      </c>
    </row>
    <row r="2478" spans="1:10" x14ac:dyDescent="0.25">
      <c r="A2478" s="92">
        <v>45938</v>
      </c>
      <c r="B2478" s="93" t="s">
        <v>333</v>
      </c>
      <c r="C2478" s="89" t="s">
        <v>40</v>
      </c>
      <c r="D2478" s="93" t="s">
        <v>320</v>
      </c>
      <c r="E2478" s="93" t="s">
        <v>35</v>
      </c>
      <c r="F2478" s="93" t="s">
        <v>322</v>
      </c>
      <c r="G2478" s="93" t="s">
        <v>319</v>
      </c>
      <c r="H2478" s="93" t="s">
        <v>352</v>
      </c>
      <c r="I2478" s="94">
        <v>7.52</v>
      </c>
      <c r="J2478" s="95">
        <v>240.64</v>
      </c>
    </row>
    <row r="2479" spans="1:10" x14ac:dyDescent="0.25">
      <c r="A2479" s="92">
        <v>45938</v>
      </c>
      <c r="B2479" s="93" t="s">
        <v>327</v>
      </c>
      <c r="C2479" s="89" t="s">
        <v>40</v>
      </c>
      <c r="D2479" s="93" t="s">
        <v>320</v>
      </c>
      <c r="E2479" s="93" t="s">
        <v>35</v>
      </c>
      <c r="F2479" s="93" t="s">
        <v>322</v>
      </c>
      <c r="G2479" s="93" t="s">
        <v>319</v>
      </c>
      <c r="H2479" s="93" t="s">
        <v>352</v>
      </c>
      <c r="I2479" s="94">
        <v>7.5</v>
      </c>
      <c r="J2479" s="95">
        <v>240</v>
      </c>
    </row>
    <row r="2480" spans="1:10" x14ac:dyDescent="0.25">
      <c r="A2480" s="92">
        <v>45938</v>
      </c>
      <c r="B2480" s="93" t="s">
        <v>323</v>
      </c>
      <c r="C2480" s="89" t="s">
        <v>40</v>
      </c>
      <c r="D2480" s="93" t="s">
        <v>232</v>
      </c>
      <c r="E2480" s="93" t="s">
        <v>36</v>
      </c>
      <c r="F2480" s="93" t="s">
        <v>393</v>
      </c>
      <c r="G2480" s="93" t="s">
        <v>346</v>
      </c>
      <c r="H2480" s="93" t="s">
        <v>342</v>
      </c>
      <c r="I2480" s="94">
        <v>0.5</v>
      </c>
      <c r="J2480" s="95">
        <v>30</v>
      </c>
    </row>
    <row r="2481" spans="1:10" x14ac:dyDescent="0.25">
      <c r="A2481" s="92">
        <v>45938</v>
      </c>
      <c r="B2481" s="93" t="s">
        <v>323</v>
      </c>
      <c r="C2481" s="89" t="s">
        <v>40</v>
      </c>
      <c r="D2481" s="93" t="s">
        <v>245</v>
      </c>
      <c r="E2481" s="93" t="s">
        <v>36</v>
      </c>
      <c r="F2481" s="93" t="s">
        <v>435</v>
      </c>
      <c r="G2481" s="93" t="s">
        <v>346</v>
      </c>
      <c r="H2481" s="93" t="s">
        <v>342</v>
      </c>
      <c r="I2481" s="94">
        <v>0.5</v>
      </c>
      <c r="J2481" s="95">
        <v>30</v>
      </c>
    </row>
    <row r="2482" spans="1:10" x14ac:dyDescent="0.25">
      <c r="A2482" s="92">
        <v>45938</v>
      </c>
      <c r="B2482" s="93" t="s">
        <v>323</v>
      </c>
      <c r="C2482" s="89" t="s">
        <v>40</v>
      </c>
      <c r="D2482" s="93" t="s">
        <v>267</v>
      </c>
      <c r="E2482" s="93" t="s">
        <v>36</v>
      </c>
      <c r="F2482" s="93" t="s">
        <v>436</v>
      </c>
      <c r="G2482" s="93" t="s">
        <v>346</v>
      </c>
      <c r="H2482" s="93" t="s">
        <v>342</v>
      </c>
      <c r="I2482" s="94">
        <v>0.5</v>
      </c>
      <c r="J2482" s="95">
        <v>30</v>
      </c>
    </row>
    <row r="2483" spans="1:10" x14ac:dyDescent="0.25">
      <c r="A2483" s="92">
        <v>45938</v>
      </c>
      <c r="B2483" s="93" t="s">
        <v>323</v>
      </c>
      <c r="C2483" s="89" t="s">
        <v>40</v>
      </c>
      <c r="D2483" s="93" t="s">
        <v>280</v>
      </c>
      <c r="E2483" s="93" t="s">
        <v>34</v>
      </c>
      <c r="F2483" s="93" t="s">
        <v>445</v>
      </c>
      <c r="G2483" s="93" t="s">
        <v>346</v>
      </c>
      <c r="H2483" s="93" t="s">
        <v>343</v>
      </c>
      <c r="I2483" s="94">
        <v>0.25</v>
      </c>
      <c r="J2483" s="95">
        <v>15</v>
      </c>
    </row>
    <row r="2484" spans="1:10" x14ac:dyDescent="0.25">
      <c r="A2484" s="92">
        <v>45938</v>
      </c>
      <c r="B2484" s="93" t="s">
        <v>329</v>
      </c>
      <c r="C2484" s="89" t="s">
        <v>40</v>
      </c>
      <c r="D2484" s="93" t="s">
        <v>197</v>
      </c>
      <c r="E2484" s="93" t="s">
        <v>34</v>
      </c>
      <c r="F2484" s="93" t="s">
        <v>366</v>
      </c>
      <c r="G2484" s="93" t="s">
        <v>347</v>
      </c>
      <c r="H2484" s="93" t="s">
        <v>343</v>
      </c>
      <c r="I2484" s="94">
        <v>0.33</v>
      </c>
      <c r="J2484" s="95">
        <v>24.75</v>
      </c>
    </row>
    <row r="2485" spans="1:10" x14ac:dyDescent="0.25">
      <c r="A2485" s="92">
        <v>45938</v>
      </c>
      <c r="B2485" s="93" t="s">
        <v>329</v>
      </c>
      <c r="C2485" s="89" t="s">
        <v>40</v>
      </c>
      <c r="D2485" s="93" t="s">
        <v>206</v>
      </c>
      <c r="E2485" s="93" t="s">
        <v>34</v>
      </c>
      <c r="F2485" s="93" t="s">
        <v>367</v>
      </c>
      <c r="G2485" s="93" t="s">
        <v>347</v>
      </c>
      <c r="H2485" s="93" t="s">
        <v>343</v>
      </c>
      <c r="I2485" s="94">
        <v>0.25</v>
      </c>
      <c r="J2485" s="95">
        <v>18.75</v>
      </c>
    </row>
    <row r="2486" spans="1:10" x14ac:dyDescent="0.25">
      <c r="A2486" s="92">
        <v>45938</v>
      </c>
      <c r="B2486" s="93" t="s">
        <v>329</v>
      </c>
      <c r="C2486" s="89" t="s">
        <v>40</v>
      </c>
      <c r="D2486" s="93" t="s">
        <v>301</v>
      </c>
      <c r="E2486" s="93" t="s">
        <v>34</v>
      </c>
      <c r="F2486" s="93" t="s">
        <v>371</v>
      </c>
      <c r="G2486" s="93" t="s">
        <v>347</v>
      </c>
      <c r="H2486" s="93" t="s">
        <v>343</v>
      </c>
      <c r="I2486" s="94">
        <v>0.42</v>
      </c>
      <c r="J2486" s="95">
        <v>31.5</v>
      </c>
    </row>
    <row r="2487" spans="1:10" x14ac:dyDescent="0.25">
      <c r="A2487" s="92">
        <v>45938</v>
      </c>
      <c r="B2487" s="93" t="s">
        <v>325</v>
      </c>
      <c r="C2487" s="89" t="s">
        <v>40</v>
      </c>
      <c r="D2487" s="93" t="s">
        <v>226</v>
      </c>
      <c r="E2487" s="93" t="s">
        <v>34</v>
      </c>
      <c r="F2487" s="93" t="s">
        <v>401</v>
      </c>
      <c r="G2487" s="93" t="s">
        <v>347</v>
      </c>
      <c r="H2487" s="93" t="s">
        <v>343</v>
      </c>
      <c r="I2487" s="94">
        <v>0.33</v>
      </c>
      <c r="J2487" s="95">
        <v>24.75</v>
      </c>
    </row>
    <row r="2488" spans="1:10" x14ac:dyDescent="0.25">
      <c r="A2488" s="92">
        <v>45938</v>
      </c>
      <c r="B2488" s="93" t="s">
        <v>325</v>
      </c>
      <c r="C2488" s="89" t="s">
        <v>40</v>
      </c>
      <c r="D2488" s="93" t="s">
        <v>307</v>
      </c>
      <c r="E2488" s="93" t="s">
        <v>34</v>
      </c>
      <c r="F2488" s="93" t="s">
        <v>472</v>
      </c>
      <c r="G2488" s="93" t="s">
        <v>347</v>
      </c>
      <c r="H2488" s="93" t="s">
        <v>343</v>
      </c>
      <c r="I2488" s="94">
        <v>0.42</v>
      </c>
      <c r="J2488" s="95">
        <v>31.5</v>
      </c>
    </row>
    <row r="2489" spans="1:10" x14ac:dyDescent="0.25">
      <c r="A2489" s="92">
        <v>45938</v>
      </c>
      <c r="B2489" s="93" t="s">
        <v>325</v>
      </c>
      <c r="C2489" s="89" t="s">
        <v>40</v>
      </c>
      <c r="D2489" s="93" t="s">
        <v>287</v>
      </c>
      <c r="E2489" s="93" t="s">
        <v>34</v>
      </c>
      <c r="F2489" s="93" t="s">
        <v>378</v>
      </c>
      <c r="G2489" s="93" t="s">
        <v>347</v>
      </c>
      <c r="H2489" s="93" t="s">
        <v>343</v>
      </c>
      <c r="I2489" s="94">
        <v>0.57999999999999996</v>
      </c>
      <c r="J2489" s="95">
        <v>43.5</v>
      </c>
    </row>
    <row r="2490" spans="1:10" x14ac:dyDescent="0.25">
      <c r="A2490" s="92">
        <v>45938</v>
      </c>
      <c r="B2490" s="93" t="s">
        <v>329</v>
      </c>
      <c r="C2490" s="89" t="s">
        <v>40</v>
      </c>
      <c r="D2490" s="93" t="s">
        <v>252</v>
      </c>
      <c r="E2490" s="93" t="s">
        <v>34</v>
      </c>
      <c r="F2490" s="93" t="s">
        <v>416</v>
      </c>
      <c r="G2490" s="93" t="s">
        <v>347</v>
      </c>
      <c r="H2490" s="93" t="s">
        <v>343</v>
      </c>
      <c r="I2490" s="94">
        <v>0.33</v>
      </c>
      <c r="J2490" s="95">
        <v>24.75</v>
      </c>
    </row>
    <row r="2491" spans="1:10" x14ac:dyDescent="0.25">
      <c r="A2491" s="92">
        <v>45938</v>
      </c>
      <c r="B2491" s="93" t="s">
        <v>325</v>
      </c>
      <c r="C2491" s="89" t="s">
        <v>40</v>
      </c>
      <c r="D2491" s="93" t="s">
        <v>253</v>
      </c>
      <c r="E2491" s="93" t="s">
        <v>34</v>
      </c>
      <c r="F2491" s="93" t="s">
        <v>408</v>
      </c>
      <c r="G2491" s="93" t="s">
        <v>347</v>
      </c>
      <c r="H2491" s="93" t="s">
        <v>343</v>
      </c>
      <c r="I2491" s="94">
        <v>0.17</v>
      </c>
      <c r="J2491" s="95">
        <v>12.750000000000002</v>
      </c>
    </row>
    <row r="2492" spans="1:10" x14ac:dyDescent="0.25">
      <c r="A2492" s="92">
        <v>45938</v>
      </c>
      <c r="B2492" s="93" t="s">
        <v>325</v>
      </c>
      <c r="C2492" s="89" t="s">
        <v>40</v>
      </c>
      <c r="D2492" s="93" t="s">
        <v>305</v>
      </c>
      <c r="E2492" s="93" t="s">
        <v>34</v>
      </c>
      <c r="F2492" s="93" t="s">
        <v>382</v>
      </c>
      <c r="G2492" s="93" t="s">
        <v>347</v>
      </c>
      <c r="H2492" s="93" t="s">
        <v>343</v>
      </c>
      <c r="I2492" s="94">
        <v>0.42</v>
      </c>
      <c r="J2492" s="95">
        <v>31.5</v>
      </c>
    </row>
    <row r="2493" spans="1:10" x14ac:dyDescent="0.25">
      <c r="A2493" s="92">
        <v>45938</v>
      </c>
      <c r="B2493" s="93" t="s">
        <v>325</v>
      </c>
      <c r="C2493" s="89" t="s">
        <v>40</v>
      </c>
      <c r="D2493" s="93" t="s">
        <v>278</v>
      </c>
      <c r="E2493" s="93" t="s">
        <v>34</v>
      </c>
      <c r="F2493" s="93" t="s">
        <v>452</v>
      </c>
      <c r="G2493" s="93" t="s">
        <v>347</v>
      </c>
      <c r="H2493" s="93" t="s">
        <v>343</v>
      </c>
      <c r="I2493" s="94">
        <v>0.92</v>
      </c>
      <c r="J2493" s="95">
        <v>69</v>
      </c>
    </row>
    <row r="2494" spans="1:10" x14ac:dyDescent="0.25">
      <c r="A2494" s="92">
        <v>45938</v>
      </c>
      <c r="B2494" s="93" t="s">
        <v>326</v>
      </c>
      <c r="C2494" s="89" t="s">
        <v>40</v>
      </c>
      <c r="D2494" s="93" t="s">
        <v>188</v>
      </c>
      <c r="E2494" s="93" t="s">
        <v>34</v>
      </c>
      <c r="F2494" s="93" t="s">
        <v>356</v>
      </c>
      <c r="G2494" s="93" t="s">
        <v>348</v>
      </c>
      <c r="H2494" s="93" t="s">
        <v>343</v>
      </c>
      <c r="I2494" s="94">
        <v>1.17</v>
      </c>
      <c r="J2494" s="95">
        <v>70.199999999999989</v>
      </c>
    </row>
    <row r="2495" spans="1:10" x14ac:dyDescent="0.25">
      <c r="A2495" s="92">
        <v>45938</v>
      </c>
      <c r="B2495" s="93" t="s">
        <v>326</v>
      </c>
      <c r="C2495" s="89" t="s">
        <v>40</v>
      </c>
      <c r="D2495" s="93" t="s">
        <v>265</v>
      </c>
      <c r="E2495" s="93" t="s">
        <v>34</v>
      </c>
      <c r="F2495" s="93" t="s">
        <v>358</v>
      </c>
      <c r="G2495" s="93" t="s">
        <v>348</v>
      </c>
      <c r="H2495" s="93" t="s">
        <v>343</v>
      </c>
      <c r="I2495" s="94">
        <v>1.33</v>
      </c>
      <c r="J2495" s="95">
        <v>79.800000000000011</v>
      </c>
    </row>
    <row r="2496" spans="1:10" x14ac:dyDescent="0.25">
      <c r="A2496" s="92">
        <v>45939</v>
      </c>
      <c r="B2496" s="93" t="s">
        <v>329</v>
      </c>
      <c r="C2496" s="89" t="s">
        <v>40</v>
      </c>
      <c r="D2496" s="93" t="s">
        <v>316</v>
      </c>
      <c r="E2496" s="93" t="s">
        <v>35</v>
      </c>
      <c r="F2496" s="93" t="s">
        <v>338</v>
      </c>
      <c r="G2496" s="93" t="s">
        <v>337</v>
      </c>
      <c r="H2496" s="93" t="s">
        <v>352</v>
      </c>
      <c r="I2496" s="94">
        <v>1</v>
      </c>
      <c r="J2496" s="95">
        <v>75</v>
      </c>
    </row>
    <row r="2497" spans="1:10" x14ac:dyDescent="0.25">
      <c r="A2497" s="92">
        <v>45939</v>
      </c>
      <c r="B2497" s="93" t="s">
        <v>332</v>
      </c>
      <c r="C2497" s="89" t="s">
        <v>40</v>
      </c>
      <c r="D2497" s="93" t="s">
        <v>314</v>
      </c>
      <c r="E2497" s="93" t="s">
        <v>35</v>
      </c>
      <c r="F2497" s="93" t="s">
        <v>359</v>
      </c>
      <c r="G2497" s="93" t="s">
        <v>339</v>
      </c>
      <c r="H2497" s="93" t="s">
        <v>352</v>
      </c>
      <c r="I2497" s="94">
        <v>8.17</v>
      </c>
      <c r="J2497" s="95">
        <v>326.8</v>
      </c>
    </row>
    <row r="2498" spans="1:10" x14ac:dyDescent="0.25">
      <c r="A2498" s="92">
        <v>45939</v>
      </c>
      <c r="B2498" s="93" t="s">
        <v>324</v>
      </c>
      <c r="C2498" s="89" t="s">
        <v>40</v>
      </c>
      <c r="D2498" s="93" t="s">
        <v>314</v>
      </c>
      <c r="E2498" s="93" t="s">
        <v>35</v>
      </c>
      <c r="F2498" s="93" t="s">
        <v>359</v>
      </c>
      <c r="G2498" s="93" t="s">
        <v>339</v>
      </c>
      <c r="H2498" s="93" t="s">
        <v>352</v>
      </c>
      <c r="I2498" s="94">
        <v>6.25</v>
      </c>
      <c r="J2498" s="95">
        <v>468.75</v>
      </c>
    </row>
    <row r="2499" spans="1:10" x14ac:dyDescent="0.25">
      <c r="A2499" s="92">
        <v>45939</v>
      </c>
      <c r="B2499" s="93" t="s">
        <v>333</v>
      </c>
      <c r="C2499" s="89" t="s">
        <v>40</v>
      </c>
      <c r="D2499" s="93" t="s">
        <v>320</v>
      </c>
      <c r="E2499" s="93" t="s">
        <v>35</v>
      </c>
      <c r="F2499" s="93" t="s">
        <v>322</v>
      </c>
      <c r="G2499" s="93" t="s">
        <v>319</v>
      </c>
      <c r="H2499" s="93" t="s">
        <v>352</v>
      </c>
      <c r="I2499" s="94">
        <v>7.42</v>
      </c>
      <c r="J2499" s="95">
        <v>237.44</v>
      </c>
    </row>
    <row r="2500" spans="1:10" x14ac:dyDescent="0.25">
      <c r="A2500" s="92">
        <v>45939</v>
      </c>
      <c r="B2500" s="93" t="s">
        <v>327</v>
      </c>
      <c r="C2500" s="89" t="s">
        <v>40</v>
      </c>
      <c r="D2500" s="93" t="s">
        <v>320</v>
      </c>
      <c r="E2500" s="93" t="s">
        <v>35</v>
      </c>
      <c r="F2500" s="93" t="s">
        <v>322</v>
      </c>
      <c r="G2500" s="93" t="s">
        <v>319</v>
      </c>
      <c r="H2500" s="93" t="s">
        <v>352</v>
      </c>
      <c r="I2500" s="94">
        <v>7.42</v>
      </c>
      <c r="J2500" s="95">
        <v>237.44</v>
      </c>
    </row>
    <row r="2501" spans="1:10" x14ac:dyDescent="0.25">
      <c r="A2501" s="92">
        <v>45939</v>
      </c>
      <c r="B2501" s="93" t="s">
        <v>323</v>
      </c>
      <c r="C2501" s="89" t="s">
        <v>40</v>
      </c>
      <c r="D2501" s="93" t="s">
        <v>202</v>
      </c>
      <c r="E2501" s="93" t="s">
        <v>34</v>
      </c>
      <c r="F2501" s="93" t="s">
        <v>431</v>
      </c>
      <c r="G2501" s="93" t="s">
        <v>346</v>
      </c>
      <c r="H2501" s="93" t="s">
        <v>343</v>
      </c>
      <c r="I2501" s="94">
        <v>0.25</v>
      </c>
      <c r="J2501" s="95">
        <v>15</v>
      </c>
    </row>
    <row r="2502" spans="1:10" x14ac:dyDescent="0.25">
      <c r="A2502" s="92">
        <v>45939</v>
      </c>
      <c r="B2502" s="93" t="s">
        <v>329</v>
      </c>
      <c r="C2502" s="89" t="s">
        <v>40</v>
      </c>
      <c r="D2502" s="93" t="s">
        <v>186</v>
      </c>
      <c r="E2502" s="93" t="s">
        <v>34</v>
      </c>
      <c r="F2502" s="93" t="s">
        <v>397</v>
      </c>
      <c r="G2502" s="93" t="s">
        <v>347</v>
      </c>
      <c r="H2502" s="93" t="s">
        <v>343</v>
      </c>
      <c r="I2502" s="94">
        <v>0.5</v>
      </c>
      <c r="J2502" s="95">
        <v>37.5</v>
      </c>
    </row>
    <row r="2503" spans="1:10" x14ac:dyDescent="0.25">
      <c r="A2503" s="92">
        <v>45939</v>
      </c>
      <c r="B2503" s="93" t="s">
        <v>329</v>
      </c>
      <c r="C2503" s="89" t="s">
        <v>40</v>
      </c>
      <c r="D2503" s="93" t="s">
        <v>197</v>
      </c>
      <c r="E2503" s="93" t="s">
        <v>34</v>
      </c>
      <c r="F2503" s="93" t="s">
        <v>366</v>
      </c>
      <c r="G2503" s="93" t="s">
        <v>347</v>
      </c>
      <c r="H2503" s="93" t="s">
        <v>343</v>
      </c>
      <c r="I2503" s="94">
        <v>0.33</v>
      </c>
      <c r="J2503" s="95">
        <v>24.75</v>
      </c>
    </row>
    <row r="2504" spans="1:10" x14ac:dyDescent="0.25">
      <c r="A2504" s="92">
        <v>45939</v>
      </c>
      <c r="B2504" s="93" t="s">
        <v>329</v>
      </c>
      <c r="C2504" s="89" t="s">
        <v>40</v>
      </c>
      <c r="D2504" s="93" t="s">
        <v>206</v>
      </c>
      <c r="E2504" s="93" t="s">
        <v>34</v>
      </c>
      <c r="F2504" s="93" t="s">
        <v>367</v>
      </c>
      <c r="G2504" s="93" t="s">
        <v>347</v>
      </c>
      <c r="H2504" s="93" t="s">
        <v>343</v>
      </c>
      <c r="I2504" s="94">
        <v>0.17</v>
      </c>
      <c r="J2504" s="95">
        <v>12.750000000000002</v>
      </c>
    </row>
    <row r="2505" spans="1:10" x14ac:dyDescent="0.25">
      <c r="A2505" s="92">
        <v>45939</v>
      </c>
      <c r="B2505" s="93" t="s">
        <v>329</v>
      </c>
      <c r="C2505" s="89" t="s">
        <v>40</v>
      </c>
      <c r="D2505" s="93" t="s">
        <v>229</v>
      </c>
      <c r="E2505" s="93" t="s">
        <v>34</v>
      </c>
      <c r="F2505" s="93" t="s">
        <v>373</v>
      </c>
      <c r="G2505" s="93" t="s">
        <v>347</v>
      </c>
      <c r="H2505" s="93" t="s">
        <v>343</v>
      </c>
      <c r="I2505" s="94">
        <v>0.5</v>
      </c>
      <c r="J2505" s="95">
        <v>37.5</v>
      </c>
    </row>
    <row r="2506" spans="1:10" x14ac:dyDescent="0.25">
      <c r="A2506" s="92">
        <v>45939</v>
      </c>
      <c r="B2506" s="93" t="s">
        <v>325</v>
      </c>
      <c r="C2506" s="89" t="s">
        <v>40</v>
      </c>
      <c r="D2506" s="93" t="s">
        <v>224</v>
      </c>
      <c r="E2506" s="93" t="s">
        <v>34</v>
      </c>
      <c r="F2506" s="93" t="s">
        <v>423</v>
      </c>
      <c r="G2506" s="93" t="s">
        <v>347</v>
      </c>
      <c r="H2506" s="93" t="s">
        <v>343</v>
      </c>
      <c r="I2506" s="94">
        <v>0.25</v>
      </c>
      <c r="J2506" s="95">
        <v>18.75</v>
      </c>
    </row>
    <row r="2507" spans="1:10" x14ac:dyDescent="0.25">
      <c r="A2507" s="92">
        <v>45939</v>
      </c>
      <c r="B2507" s="93" t="s">
        <v>329</v>
      </c>
      <c r="C2507" s="89" t="s">
        <v>40</v>
      </c>
      <c r="D2507" s="93" t="s">
        <v>288</v>
      </c>
      <c r="E2507" s="93" t="s">
        <v>34</v>
      </c>
      <c r="F2507" s="93" t="s">
        <v>405</v>
      </c>
      <c r="G2507" s="93" t="s">
        <v>347</v>
      </c>
      <c r="H2507" s="93" t="s">
        <v>343</v>
      </c>
      <c r="I2507" s="94">
        <v>0.17</v>
      </c>
      <c r="J2507" s="95">
        <v>12.750000000000002</v>
      </c>
    </row>
    <row r="2508" spans="1:10" x14ac:dyDescent="0.25">
      <c r="A2508" s="92">
        <v>45939</v>
      </c>
      <c r="B2508" s="93" t="s">
        <v>325</v>
      </c>
      <c r="C2508" s="89" t="s">
        <v>40</v>
      </c>
      <c r="D2508" s="93" t="s">
        <v>287</v>
      </c>
      <c r="E2508" s="93" t="s">
        <v>34</v>
      </c>
      <c r="F2508" s="93" t="s">
        <v>378</v>
      </c>
      <c r="G2508" s="93" t="s">
        <v>347</v>
      </c>
      <c r="H2508" s="93" t="s">
        <v>343</v>
      </c>
      <c r="I2508" s="94">
        <v>0.42</v>
      </c>
      <c r="J2508" s="95">
        <v>31.5</v>
      </c>
    </row>
    <row r="2509" spans="1:10" x14ac:dyDescent="0.25">
      <c r="A2509" s="92">
        <v>45939</v>
      </c>
      <c r="B2509" s="93" t="s">
        <v>329</v>
      </c>
      <c r="C2509" s="89" t="s">
        <v>40</v>
      </c>
      <c r="D2509" s="93" t="s">
        <v>296</v>
      </c>
      <c r="E2509" s="93" t="s">
        <v>34</v>
      </c>
      <c r="F2509" s="93" t="s">
        <v>411</v>
      </c>
      <c r="G2509" s="93" t="s">
        <v>347</v>
      </c>
      <c r="H2509" s="93" t="s">
        <v>343</v>
      </c>
      <c r="I2509" s="94">
        <v>0.25</v>
      </c>
      <c r="J2509" s="95">
        <v>18.75</v>
      </c>
    </row>
    <row r="2510" spans="1:10" x14ac:dyDescent="0.25">
      <c r="A2510" s="92">
        <v>45939</v>
      </c>
      <c r="B2510" s="93" t="s">
        <v>329</v>
      </c>
      <c r="C2510" s="89" t="s">
        <v>40</v>
      </c>
      <c r="D2510" s="93" t="s">
        <v>259</v>
      </c>
      <c r="E2510" s="93" t="s">
        <v>34</v>
      </c>
      <c r="F2510" s="93" t="s">
        <v>407</v>
      </c>
      <c r="G2510" s="93" t="s">
        <v>347</v>
      </c>
      <c r="H2510" s="93" t="s">
        <v>343</v>
      </c>
      <c r="I2510" s="94">
        <v>0.17</v>
      </c>
      <c r="J2510" s="95">
        <v>12.750000000000002</v>
      </c>
    </row>
    <row r="2511" spans="1:10" x14ac:dyDescent="0.25">
      <c r="A2511" s="92">
        <v>45939</v>
      </c>
      <c r="B2511" s="93" t="s">
        <v>329</v>
      </c>
      <c r="C2511" s="89" t="s">
        <v>40</v>
      </c>
      <c r="D2511" s="93" t="s">
        <v>230</v>
      </c>
      <c r="E2511" s="93" t="s">
        <v>34</v>
      </c>
      <c r="F2511" s="93" t="s">
        <v>410</v>
      </c>
      <c r="G2511" s="93" t="s">
        <v>347</v>
      </c>
      <c r="H2511" s="93" t="s">
        <v>343</v>
      </c>
      <c r="I2511" s="94">
        <v>0.08</v>
      </c>
      <c r="J2511" s="95">
        <v>6</v>
      </c>
    </row>
    <row r="2512" spans="1:10" x14ac:dyDescent="0.25">
      <c r="A2512" s="92">
        <v>45939</v>
      </c>
      <c r="B2512" s="93" t="s">
        <v>329</v>
      </c>
      <c r="C2512" s="89" t="s">
        <v>40</v>
      </c>
      <c r="D2512" s="93" t="s">
        <v>272</v>
      </c>
      <c r="E2512" s="93" t="s">
        <v>34</v>
      </c>
      <c r="F2512" s="93" t="s">
        <v>362</v>
      </c>
      <c r="G2512" s="93" t="s">
        <v>347</v>
      </c>
      <c r="H2512" s="93" t="s">
        <v>343</v>
      </c>
      <c r="I2512" s="94">
        <v>0.25</v>
      </c>
      <c r="J2512" s="95">
        <v>18.75</v>
      </c>
    </row>
    <row r="2513" spans="1:10" x14ac:dyDescent="0.25">
      <c r="A2513" s="92">
        <v>45939</v>
      </c>
      <c r="B2513" s="93" t="s">
        <v>325</v>
      </c>
      <c r="C2513" s="89" t="s">
        <v>40</v>
      </c>
      <c r="D2513" s="93" t="s">
        <v>253</v>
      </c>
      <c r="E2513" s="93" t="s">
        <v>341</v>
      </c>
      <c r="F2513" s="93" t="s">
        <v>408</v>
      </c>
      <c r="G2513" s="93" t="s">
        <v>347</v>
      </c>
      <c r="H2513" s="93" t="s">
        <v>344</v>
      </c>
      <c r="I2513" s="94">
        <v>1.58</v>
      </c>
      <c r="J2513" s="95">
        <v>118.5</v>
      </c>
    </row>
    <row r="2514" spans="1:10" x14ac:dyDescent="0.25">
      <c r="A2514" s="92">
        <v>45939</v>
      </c>
      <c r="B2514" s="93" t="s">
        <v>326</v>
      </c>
      <c r="C2514" s="89" t="s">
        <v>40</v>
      </c>
      <c r="D2514" s="93" t="s">
        <v>237</v>
      </c>
      <c r="E2514" s="93" t="s">
        <v>36</v>
      </c>
      <c r="F2514" s="93" t="s">
        <v>427</v>
      </c>
      <c r="G2514" s="93" t="s">
        <v>348</v>
      </c>
      <c r="H2514" s="93" t="s">
        <v>342</v>
      </c>
      <c r="I2514" s="94">
        <v>1</v>
      </c>
      <c r="J2514" s="95">
        <v>60</v>
      </c>
    </row>
    <row r="2515" spans="1:10" x14ac:dyDescent="0.25">
      <c r="A2515" s="92">
        <v>45940</v>
      </c>
      <c r="B2515" s="93" t="s">
        <v>323</v>
      </c>
      <c r="C2515" s="89" t="s">
        <v>40</v>
      </c>
      <c r="D2515" s="93" t="s">
        <v>201</v>
      </c>
      <c r="E2515" s="93" t="s">
        <v>36</v>
      </c>
      <c r="F2515" s="93" t="s">
        <v>395</v>
      </c>
      <c r="G2515" s="93" t="s">
        <v>346</v>
      </c>
      <c r="H2515" s="93" t="s">
        <v>342</v>
      </c>
      <c r="I2515" s="94">
        <v>0.25</v>
      </c>
      <c r="J2515" s="95">
        <v>15</v>
      </c>
    </row>
    <row r="2516" spans="1:10" x14ac:dyDescent="0.25">
      <c r="A2516" s="92">
        <v>45940</v>
      </c>
      <c r="B2516" s="93" t="s">
        <v>332</v>
      </c>
      <c r="C2516" s="89" t="s">
        <v>40</v>
      </c>
      <c r="D2516" s="93" t="s">
        <v>314</v>
      </c>
      <c r="E2516" s="93" t="s">
        <v>35</v>
      </c>
      <c r="F2516" s="93" t="s">
        <v>359</v>
      </c>
      <c r="G2516" s="93" t="s">
        <v>339</v>
      </c>
      <c r="H2516" s="93" t="s">
        <v>352</v>
      </c>
      <c r="I2516" s="94">
        <v>4</v>
      </c>
      <c r="J2516" s="95">
        <v>160</v>
      </c>
    </row>
    <row r="2517" spans="1:10" x14ac:dyDescent="0.25">
      <c r="A2517" s="92">
        <v>45940</v>
      </c>
      <c r="B2517" s="93" t="s">
        <v>324</v>
      </c>
      <c r="C2517" s="89" t="s">
        <v>40</v>
      </c>
      <c r="D2517" s="93" t="s">
        <v>314</v>
      </c>
      <c r="E2517" s="93" t="s">
        <v>35</v>
      </c>
      <c r="F2517" s="93" t="s">
        <v>359</v>
      </c>
      <c r="G2517" s="93" t="s">
        <v>339</v>
      </c>
      <c r="H2517" s="93" t="s">
        <v>352</v>
      </c>
      <c r="I2517" s="94">
        <v>4.75</v>
      </c>
      <c r="J2517" s="95">
        <v>356.25</v>
      </c>
    </row>
    <row r="2518" spans="1:10" x14ac:dyDescent="0.25">
      <c r="A2518" s="92">
        <v>45940</v>
      </c>
      <c r="B2518" s="93" t="s">
        <v>333</v>
      </c>
      <c r="C2518" s="89" t="s">
        <v>40</v>
      </c>
      <c r="D2518" s="93" t="s">
        <v>320</v>
      </c>
      <c r="E2518" s="93" t="s">
        <v>35</v>
      </c>
      <c r="F2518" s="93" t="s">
        <v>322</v>
      </c>
      <c r="G2518" s="93" t="s">
        <v>319</v>
      </c>
      <c r="H2518" s="93" t="s">
        <v>352</v>
      </c>
      <c r="I2518" s="94">
        <v>8</v>
      </c>
      <c r="J2518" s="95">
        <v>256</v>
      </c>
    </row>
    <row r="2519" spans="1:10" x14ac:dyDescent="0.25">
      <c r="A2519" s="92">
        <v>45940</v>
      </c>
      <c r="B2519" s="93" t="s">
        <v>323</v>
      </c>
      <c r="C2519" s="89" t="s">
        <v>40</v>
      </c>
      <c r="D2519" s="93" t="s">
        <v>202</v>
      </c>
      <c r="E2519" s="93" t="s">
        <v>34</v>
      </c>
      <c r="F2519" s="93" t="s">
        <v>431</v>
      </c>
      <c r="G2519" s="93" t="s">
        <v>346</v>
      </c>
      <c r="H2519" s="93" t="s">
        <v>343</v>
      </c>
      <c r="I2519" s="94">
        <v>0.25</v>
      </c>
      <c r="J2519" s="95">
        <v>15</v>
      </c>
    </row>
    <row r="2520" spans="1:10" x14ac:dyDescent="0.25">
      <c r="A2520" s="92">
        <v>45940</v>
      </c>
      <c r="B2520" s="93" t="s">
        <v>323</v>
      </c>
      <c r="C2520" s="89" t="s">
        <v>40</v>
      </c>
      <c r="D2520" s="93" t="s">
        <v>200</v>
      </c>
      <c r="E2520" s="93" t="s">
        <v>34</v>
      </c>
      <c r="F2520" s="93" t="s">
        <v>391</v>
      </c>
      <c r="G2520" s="93" t="s">
        <v>346</v>
      </c>
      <c r="H2520" s="93" t="s">
        <v>343</v>
      </c>
      <c r="I2520" s="94">
        <v>0.25</v>
      </c>
      <c r="J2520" s="95">
        <v>15</v>
      </c>
    </row>
    <row r="2521" spans="1:10" x14ac:dyDescent="0.25">
      <c r="A2521" s="92">
        <v>45940</v>
      </c>
      <c r="B2521" s="93" t="s">
        <v>323</v>
      </c>
      <c r="C2521" s="89" t="s">
        <v>40</v>
      </c>
      <c r="D2521" s="93" t="s">
        <v>266</v>
      </c>
      <c r="E2521" s="93" t="s">
        <v>34</v>
      </c>
      <c r="F2521" s="93" t="s">
        <v>394</v>
      </c>
      <c r="G2521" s="93" t="s">
        <v>346</v>
      </c>
      <c r="H2521" s="93" t="s">
        <v>343</v>
      </c>
      <c r="I2521" s="94">
        <v>0.33</v>
      </c>
      <c r="J2521" s="95">
        <v>19.8</v>
      </c>
    </row>
    <row r="2522" spans="1:10" x14ac:dyDescent="0.25">
      <c r="A2522" s="92">
        <v>45940</v>
      </c>
      <c r="B2522" s="93" t="s">
        <v>330</v>
      </c>
      <c r="C2522" s="89" t="s">
        <v>40</v>
      </c>
      <c r="D2522" s="93" t="s">
        <v>252</v>
      </c>
      <c r="E2522" s="93" t="s">
        <v>36</v>
      </c>
      <c r="F2522" s="93" t="s">
        <v>416</v>
      </c>
      <c r="G2522" s="93" t="s">
        <v>347</v>
      </c>
      <c r="H2522" s="93" t="s">
        <v>342</v>
      </c>
      <c r="I2522" s="94">
        <v>1</v>
      </c>
      <c r="J2522" s="95">
        <v>60</v>
      </c>
    </row>
    <row r="2523" spans="1:10" x14ac:dyDescent="0.25">
      <c r="A2523" s="92">
        <v>45940</v>
      </c>
      <c r="B2523" s="93" t="s">
        <v>325</v>
      </c>
      <c r="C2523" s="89" t="s">
        <v>40</v>
      </c>
      <c r="D2523" s="93" t="s">
        <v>179</v>
      </c>
      <c r="E2523" s="93" t="s">
        <v>34</v>
      </c>
      <c r="F2523" s="93" t="s">
        <v>422</v>
      </c>
      <c r="G2523" s="93" t="s">
        <v>347</v>
      </c>
      <c r="H2523" s="93" t="s">
        <v>343</v>
      </c>
      <c r="I2523" s="94">
        <v>0.33</v>
      </c>
      <c r="J2523" s="95">
        <v>24.75</v>
      </c>
    </row>
    <row r="2524" spans="1:10" x14ac:dyDescent="0.25">
      <c r="A2524" s="92">
        <v>45940</v>
      </c>
      <c r="B2524" s="93" t="s">
        <v>330</v>
      </c>
      <c r="C2524" s="89" t="s">
        <v>40</v>
      </c>
      <c r="D2524" s="93" t="s">
        <v>190</v>
      </c>
      <c r="E2524" s="93" t="s">
        <v>34</v>
      </c>
      <c r="F2524" s="93" t="s">
        <v>438</v>
      </c>
      <c r="G2524" s="93" t="s">
        <v>347</v>
      </c>
      <c r="H2524" s="93" t="s">
        <v>343</v>
      </c>
      <c r="I2524" s="94">
        <v>0.25</v>
      </c>
      <c r="J2524" s="95">
        <v>15</v>
      </c>
    </row>
    <row r="2525" spans="1:10" x14ac:dyDescent="0.25">
      <c r="A2525" s="92">
        <v>45940</v>
      </c>
      <c r="B2525" s="93" t="s">
        <v>325</v>
      </c>
      <c r="C2525" s="89" t="s">
        <v>40</v>
      </c>
      <c r="D2525" s="93" t="s">
        <v>271</v>
      </c>
      <c r="E2525" s="93" t="s">
        <v>34</v>
      </c>
      <c r="F2525" s="93" t="s">
        <v>363</v>
      </c>
      <c r="G2525" s="93" t="s">
        <v>347</v>
      </c>
      <c r="H2525" s="93" t="s">
        <v>343</v>
      </c>
      <c r="I2525" s="94">
        <v>0.25</v>
      </c>
      <c r="J2525" s="95">
        <v>18.75</v>
      </c>
    </row>
    <row r="2526" spans="1:10" x14ac:dyDescent="0.25">
      <c r="A2526" s="92">
        <v>45940</v>
      </c>
      <c r="B2526" s="93" t="s">
        <v>330</v>
      </c>
      <c r="C2526" s="89" t="s">
        <v>40</v>
      </c>
      <c r="D2526" s="93" t="s">
        <v>178</v>
      </c>
      <c r="E2526" s="93" t="s">
        <v>34</v>
      </c>
      <c r="F2526" s="93" t="s">
        <v>460</v>
      </c>
      <c r="G2526" s="93" t="s">
        <v>347</v>
      </c>
      <c r="H2526" s="93" t="s">
        <v>343</v>
      </c>
      <c r="I2526" s="94">
        <v>0.25</v>
      </c>
      <c r="J2526" s="95">
        <v>15</v>
      </c>
    </row>
    <row r="2527" spans="1:10" x14ac:dyDescent="0.25">
      <c r="A2527" s="92">
        <v>45940</v>
      </c>
      <c r="B2527" s="93" t="s">
        <v>325</v>
      </c>
      <c r="C2527" s="89" t="s">
        <v>40</v>
      </c>
      <c r="D2527" s="93" t="s">
        <v>287</v>
      </c>
      <c r="E2527" s="93" t="s">
        <v>34</v>
      </c>
      <c r="F2527" s="93" t="s">
        <v>378</v>
      </c>
      <c r="G2527" s="93" t="s">
        <v>347</v>
      </c>
      <c r="H2527" s="93" t="s">
        <v>343</v>
      </c>
      <c r="I2527" s="94">
        <v>0.17</v>
      </c>
      <c r="J2527" s="95">
        <v>12.750000000000002</v>
      </c>
    </row>
    <row r="2528" spans="1:10" x14ac:dyDescent="0.25">
      <c r="A2528" s="92">
        <v>45940</v>
      </c>
      <c r="B2528" s="93" t="s">
        <v>325</v>
      </c>
      <c r="C2528" s="89" t="s">
        <v>40</v>
      </c>
      <c r="D2528" s="93" t="s">
        <v>253</v>
      </c>
      <c r="E2528" s="93" t="s">
        <v>34</v>
      </c>
      <c r="F2528" s="93" t="s">
        <v>408</v>
      </c>
      <c r="G2528" s="93" t="s">
        <v>347</v>
      </c>
      <c r="H2528" s="93" t="s">
        <v>343</v>
      </c>
      <c r="I2528" s="94">
        <v>0.25</v>
      </c>
      <c r="J2528" s="95">
        <v>18.75</v>
      </c>
    </row>
    <row r="2529" spans="1:10" x14ac:dyDescent="0.25">
      <c r="A2529" s="92">
        <v>45940</v>
      </c>
      <c r="B2529" s="93" t="s">
        <v>325</v>
      </c>
      <c r="C2529" s="89" t="s">
        <v>40</v>
      </c>
      <c r="D2529" s="93" t="s">
        <v>305</v>
      </c>
      <c r="E2529" s="93" t="s">
        <v>34</v>
      </c>
      <c r="F2529" s="93" t="s">
        <v>382</v>
      </c>
      <c r="G2529" s="93" t="s">
        <v>347</v>
      </c>
      <c r="H2529" s="93" t="s">
        <v>343</v>
      </c>
      <c r="I2529" s="94">
        <v>0.25</v>
      </c>
      <c r="J2529" s="95">
        <v>18.75</v>
      </c>
    </row>
    <row r="2530" spans="1:10" x14ac:dyDescent="0.25">
      <c r="A2530" s="92">
        <v>45940</v>
      </c>
      <c r="B2530" s="93" t="s">
        <v>325</v>
      </c>
      <c r="C2530" s="89" t="s">
        <v>40</v>
      </c>
      <c r="D2530" s="93" t="s">
        <v>262</v>
      </c>
      <c r="E2530" s="93" t="s">
        <v>34</v>
      </c>
      <c r="F2530" s="93" t="s">
        <v>442</v>
      </c>
      <c r="G2530" s="93" t="s">
        <v>347</v>
      </c>
      <c r="H2530" s="93" t="s">
        <v>343</v>
      </c>
      <c r="I2530" s="94">
        <v>0.17</v>
      </c>
      <c r="J2530" s="95">
        <v>12.750000000000002</v>
      </c>
    </row>
    <row r="2531" spans="1:10" x14ac:dyDescent="0.25">
      <c r="A2531" s="92">
        <v>45940</v>
      </c>
      <c r="B2531" s="93" t="s">
        <v>325</v>
      </c>
      <c r="C2531" s="89" t="s">
        <v>40</v>
      </c>
      <c r="D2531" s="93" t="s">
        <v>278</v>
      </c>
      <c r="E2531" s="93" t="s">
        <v>34</v>
      </c>
      <c r="F2531" s="93" t="s">
        <v>452</v>
      </c>
      <c r="G2531" s="93" t="s">
        <v>347</v>
      </c>
      <c r="H2531" s="93" t="s">
        <v>343</v>
      </c>
      <c r="I2531" s="94">
        <v>0.33</v>
      </c>
      <c r="J2531" s="95">
        <v>24.75</v>
      </c>
    </row>
    <row r="2532" spans="1:10" x14ac:dyDescent="0.25">
      <c r="A2532" s="92">
        <v>45940</v>
      </c>
      <c r="B2532" s="93" t="s">
        <v>326</v>
      </c>
      <c r="C2532" s="89" t="s">
        <v>40</v>
      </c>
      <c r="D2532" s="93" t="s">
        <v>237</v>
      </c>
      <c r="E2532" s="93" t="s">
        <v>36</v>
      </c>
      <c r="F2532" s="93" t="s">
        <v>427</v>
      </c>
      <c r="G2532" s="93" t="s">
        <v>348</v>
      </c>
      <c r="H2532" s="93" t="s">
        <v>342</v>
      </c>
      <c r="I2532" s="94">
        <v>1</v>
      </c>
      <c r="J2532" s="95">
        <v>60</v>
      </c>
    </row>
    <row r="2533" spans="1:10" x14ac:dyDescent="0.25">
      <c r="A2533" s="92">
        <v>45940</v>
      </c>
      <c r="B2533" s="93" t="s">
        <v>326</v>
      </c>
      <c r="C2533" s="89" t="s">
        <v>40</v>
      </c>
      <c r="D2533" s="93" t="s">
        <v>236</v>
      </c>
      <c r="E2533" s="93" t="s">
        <v>36</v>
      </c>
      <c r="F2533" s="93" t="s">
        <v>357</v>
      </c>
      <c r="G2533" s="93" t="s">
        <v>348</v>
      </c>
      <c r="H2533" s="93" t="s">
        <v>342</v>
      </c>
      <c r="I2533" s="94">
        <v>1</v>
      </c>
      <c r="J2533" s="95">
        <v>60</v>
      </c>
    </row>
    <row r="2534" spans="1:10" x14ac:dyDescent="0.25">
      <c r="A2534" s="92">
        <v>45940</v>
      </c>
      <c r="B2534" s="93" t="s">
        <v>326</v>
      </c>
      <c r="C2534" s="89" t="s">
        <v>40</v>
      </c>
      <c r="D2534" s="93" t="s">
        <v>207</v>
      </c>
      <c r="E2534" s="93" t="s">
        <v>34</v>
      </c>
      <c r="F2534" s="93" t="s">
        <v>417</v>
      </c>
      <c r="G2534" s="93" t="s">
        <v>348</v>
      </c>
      <c r="H2534" s="93" t="s">
        <v>343</v>
      </c>
      <c r="I2534" s="94">
        <v>1.42</v>
      </c>
      <c r="J2534" s="95">
        <v>85.199999999999989</v>
      </c>
    </row>
    <row r="2535" spans="1:10" x14ac:dyDescent="0.25">
      <c r="A2535" s="92">
        <v>45940</v>
      </c>
      <c r="B2535" s="93" t="s">
        <v>326</v>
      </c>
      <c r="C2535" s="89" t="s">
        <v>40</v>
      </c>
      <c r="D2535" s="93" t="s">
        <v>227</v>
      </c>
      <c r="E2535" s="93" t="s">
        <v>34</v>
      </c>
      <c r="F2535" s="93" t="s">
        <v>453</v>
      </c>
      <c r="G2535" s="93" t="s">
        <v>348</v>
      </c>
      <c r="H2535" s="93" t="s">
        <v>343</v>
      </c>
      <c r="I2535" s="94">
        <v>2.5</v>
      </c>
      <c r="J2535" s="95">
        <v>150</v>
      </c>
    </row>
    <row r="2536" spans="1:10" x14ac:dyDescent="0.25">
      <c r="A2536" s="92">
        <v>45941</v>
      </c>
      <c r="B2536" s="93" t="s">
        <v>332</v>
      </c>
      <c r="C2536" s="89" t="s">
        <v>40</v>
      </c>
      <c r="D2536" s="93" t="s">
        <v>314</v>
      </c>
      <c r="E2536" s="93" t="s">
        <v>35</v>
      </c>
      <c r="F2536" s="93" t="s">
        <v>359</v>
      </c>
      <c r="G2536" s="93" t="s">
        <v>339</v>
      </c>
      <c r="H2536" s="93" t="s">
        <v>352</v>
      </c>
      <c r="I2536" s="94">
        <v>4</v>
      </c>
      <c r="J2536" s="95">
        <v>160</v>
      </c>
    </row>
    <row r="2537" spans="1:10" x14ac:dyDescent="0.25">
      <c r="A2537" s="92">
        <v>45943</v>
      </c>
      <c r="B2537" s="93" t="s">
        <v>331</v>
      </c>
      <c r="C2537" s="89" t="s">
        <v>40</v>
      </c>
      <c r="D2537" s="93" t="s">
        <v>316</v>
      </c>
      <c r="E2537" s="93" t="s">
        <v>35</v>
      </c>
      <c r="F2537" s="93" t="s">
        <v>338</v>
      </c>
      <c r="G2537" s="93" t="s">
        <v>337</v>
      </c>
      <c r="H2537" s="93" t="s">
        <v>352</v>
      </c>
      <c r="I2537" s="94">
        <v>0.33</v>
      </c>
      <c r="J2537" s="95">
        <v>10.56</v>
      </c>
    </row>
    <row r="2538" spans="1:10" x14ac:dyDescent="0.25">
      <c r="A2538" s="92">
        <v>45943</v>
      </c>
      <c r="B2538" s="93" t="s">
        <v>329</v>
      </c>
      <c r="C2538" s="89" t="s">
        <v>40</v>
      </c>
      <c r="D2538" s="93" t="s">
        <v>316</v>
      </c>
      <c r="E2538" s="93" t="s">
        <v>35</v>
      </c>
      <c r="F2538" s="93" t="s">
        <v>338</v>
      </c>
      <c r="G2538" s="93" t="s">
        <v>337</v>
      </c>
      <c r="H2538" s="93" t="s">
        <v>352</v>
      </c>
      <c r="I2538" s="94">
        <v>1.25</v>
      </c>
      <c r="J2538" s="95">
        <v>93.75</v>
      </c>
    </row>
    <row r="2539" spans="1:10" x14ac:dyDescent="0.25">
      <c r="A2539" s="92">
        <v>45943</v>
      </c>
      <c r="B2539" s="93" t="s">
        <v>329</v>
      </c>
      <c r="C2539" s="89" t="s">
        <v>40</v>
      </c>
      <c r="D2539" s="93" t="s">
        <v>269</v>
      </c>
      <c r="E2539" s="93" t="s">
        <v>34</v>
      </c>
      <c r="F2539" s="93" t="s">
        <v>361</v>
      </c>
      <c r="G2539" s="93" t="s">
        <v>347</v>
      </c>
      <c r="H2539" s="93" t="s">
        <v>343</v>
      </c>
      <c r="I2539" s="94">
        <v>0.17</v>
      </c>
      <c r="J2539" s="95">
        <v>12.750000000000002</v>
      </c>
    </row>
    <row r="2540" spans="1:10" x14ac:dyDescent="0.25">
      <c r="A2540" s="92">
        <v>45943</v>
      </c>
      <c r="B2540" s="93" t="s">
        <v>329</v>
      </c>
      <c r="C2540" s="89" t="s">
        <v>40</v>
      </c>
      <c r="D2540" s="93" t="s">
        <v>268</v>
      </c>
      <c r="E2540" s="93" t="s">
        <v>34</v>
      </c>
      <c r="F2540" s="93" t="s">
        <v>386</v>
      </c>
      <c r="G2540" s="93" t="s">
        <v>347</v>
      </c>
      <c r="H2540" s="93" t="s">
        <v>343</v>
      </c>
      <c r="I2540" s="94">
        <v>0.17</v>
      </c>
      <c r="J2540" s="95">
        <v>12.750000000000002</v>
      </c>
    </row>
    <row r="2541" spans="1:10" x14ac:dyDescent="0.25">
      <c r="A2541" s="92">
        <v>45943</v>
      </c>
      <c r="B2541" s="93" t="s">
        <v>323</v>
      </c>
      <c r="C2541" s="89" t="s">
        <v>40</v>
      </c>
      <c r="D2541" s="93" t="s">
        <v>168</v>
      </c>
      <c r="E2541" s="93" t="s">
        <v>36</v>
      </c>
      <c r="F2541" s="93" t="s">
        <v>419</v>
      </c>
      <c r="G2541" s="93" t="s">
        <v>346</v>
      </c>
      <c r="H2541" s="93" t="s">
        <v>342</v>
      </c>
      <c r="I2541" s="94">
        <v>0.25</v>
      </c>
      <c r="J2541" s="95">
        <v>15</v>
      </c>
    </row>
    <row r="2542" spans="1:10" x14ac:dyDescent="0.25">
      <c r="A2542" s="92">
        <v>45943</v>
      </c>
      <c r="B2542" s="93" t="s">
        <v>323</v>
      </c>
      <c r="C2542" s="89" t="s">
        <v>40</v>
      </c>
      <c r="D2542" s="93" t="s">
        <v>169</v>
      </c>
      <c r="E2542" s="93" t="s">
        <v>36</v>
      </c>
      <c r="F2542" s="93" t="s">
        <v>433</v>
      </c>
      <c r="G2542" s="93" t="s">
        <v>346</v>
      </c>
      <c r="H2542" s="93" t="s">
        <v>342</v>
      </c>
      <c r="I2542" s="94">
        <v>0.25</v>
      </c>
      <c r="J2542" s="95">
        <v>15</v>
      </c>
    </row>
    <row r="2543" spans="1:10" x14ac:dyDescent="0.25">
      <c r="A2543" s="92">
        <v>45943</v>
      </c>
      <c r="B2543" s="93" t="s">
        <v>323</v>
      </c>
      <c r="C2543" s="89" t="s">
        <v>40</v>
      </c>
      <c r="D2543" s="93" t="s">
        <v>172</v>
      </c>
      <c r="E2543" s="93" t="s">
        <v>36</v>
      </c>
      <c r="F2543" s="93" t="s">
        <v>426</v>
      </c>
      <c r="G2543" s="93" t="s">
        <v>346</v>
      </c>
      <c r="H2543" s="93" t="s">
        <v>342</v>
      </c>
      <c r="I2543" s="94">
        <v>0.25</v>
      </c>
      <c r="J2543" s="95">
        <v>15</v>
      </c>
    </row>
    <row r="2544" spans="1:10" x14ac:dyDescent="0.25">
      <c r="A2544" s="92">
        <v>45943</v>
      </c>
      <c r="B2544" s="93" t="s">
        <v>323</v>
      </c>
      <c r="C2544" s="89" t="s">
        <v>40</v>
      </c>
      <c r="D2544" s="93" t="s">
        <v>200</v>
      </c>
      <c r="E2544" s="93" t="s">
        <v>36</v>
      </c>
      <c r="F2544" s="93" t="s">
        <v>391</v>
      </c>
      <c r="G2544" s="93" t="s">
        <v>346</v>
      </c>
      <c r="H2544" s="93" t="s">
        <v>342</v>
      </c>
      <c r="I2544" s="94">
        <v>0.25</v>
      </c>
      <c r="J2544" s="95">
        <v>15</v>
      </c>
    </row>
    <row r="2545" spans="1:10" x14ac:dyDescent="0.25">
      <c r="A2545" s="92">
        <v>45943</v>
      </c>
      <c r="B2545" s="93" t="s">
        <v>323</v>
      </c>
      <c r="C2545" s="89" t="s">
        <v>40</v>
      </c>
      <c r="D2545" s="93" t="s">
        <v>212</v>
      </c>
      <c r="E2545" s="93" t="s">
        <v>36</v>
      </c>
      <c r="F2545" s="93" t="s">
        <v>392</v>
      </c>
      <c r="G2545" s="93" t="s">
        <v>346</v>
      </c>
      <c r="H2545" s="93" t="s">
        <v>342</v>
      </c>
      <c r="I2545" s="94">
        <v>0.25</v>
      </c>
      <c r="J2545" s="95">
        <v>15</v>
      </c>
    </row>
    <row r="2546" spans="1:10" x14ac:dyDescent="0.25">
      <c r="A2546" s="92">
        <v>45943</v>
      </c>
      <c r="B2546" s="93" t="s">
        <v>323</v>
      </c>
      <c r="C2546" s="89" t="s">
        <v>40</v>
      </c>
      <c r="D2546" s="93" t="s">
        <v>219</v>
      </c>
      <c r="E2546" s="93" t="s">
        <v>36</v>
      </c>
      <c r="F2546" s="93" t="s">
        <v>432</v>
      </c>
      <c r="G2546" s="93" t="s">
        <v>346</v>
      </c>
      <c r="H2546" s="93" t="s">
        <v>342</v>
      </c>
      <c r="I2546" s="94">
        <v>0.25</v>
      </c>
      <c r="J2546" s="95">
        <v>15</v>
      </c>
    </row>
    <row r="2547" spans="1:10" x14ac:dyDescent="0.25">
      <c r="A2547" s="92">
        <v>45943</v>
      </c>
      <c r="B2547" s="93" t="s">
        <v>332</v>
      </c>
      <c r="C2547" s="89" t="s">
        <v>40</v>
      </c>
      <c r="D2547" s="93" t="s">
        <v>314</v>
      </c>
      <c r="E2547" s="93" t="s">
        <v>35</v>
      </c>
      <c r="F2547" s="93" t="s">
        <v>359</v>
      </c>
      <c r="G2547" s="93" t="s">
        <v>339</v>
      </c>
      <c r="H2547" s="93" t="s">
        <v>352</v>
      </c>
      <c r="I2547" s="94">
        <v>9.33</v>
      </c>
      <c r="J2547" s="95">
        <v>373.2</v>
      </c>
    </row>
    <row r="2548" spans="1:10" x14ac:dyDescent="0.25">
      <c r="A2548" s="92">
        <v>45943</v>
      </c>
      <c r="B2548" s="93" t="s">
        <v>324</v>
      </c>
      <c r="C2548" s="89" t="s">
        <v>40</v>
      </c>
      <c r="D2548" s="93" t="s">
        <v>314</v>
      </c>
      <c r="E2548" s="93" t="s">
        <v>35</v>
      </c>
      <c r="F2548" s="93" t="s">
        <v>359</v>
      </c>
      <c r="G2548" s="93" t="s">
        <v>339</v>
      </c>
      <c r="H2548" s="93" t="s">
        <v>352</v>
      </c>
      <c r="I2548" s="94">
        <v>5.58</v>
      </c>
      <c r="J2548" s="95">
        <v>418.5</v>
      </c>
    </row>
    <row r="2549" spans="1:10" x14ac:dyDescent="0.25">
      <c r="A2549" s="92">
        <v>45943</v>
      </c>
      <c r="B2549" s="93" t="s">
        <v>333</v>
      </c>
      <c r="C2549" s="89" t="s">
        <v>40</v>
      </c>
      <c r="D2549" s="93" t="s">
        <v>320</v>
      </c>
      <c r="E2549" s="93" t="s">
        <v>35</v>
      </c>
      <c r="F2549" s="93" t="s">
        <v>322</v>
      </c>
      <c r="G2549" s="93" t="s">
        <v>319</v>
      </c>
      <c r="H2549" s="93" t="s">
        <v>352</v>
      </c>
      <c r="I2549" s="94">
        <v>6.92</v>
      </c>
      <c r="J2549" s="95">
        <v>221.44</v>
      </c>
    </row>
    <row r="2550" spans="1:10" x14ac:dyDescent="0.25">
      <c r="A2550" s="92">
        <v>45943</v>
      </c>
      <c r="B2550" s="93" t="s">
        <v>327</v>
      </c>
      <c r="C2550" s="89" t="s">
        <v>40</v>
      </c>
      <c r="D2550" s="93" t="s">
        <v>320</v>
      </c>
      <c r="E2550" s="93" t="s">
        <v>35</v>
      </c>
      <c r="F2550" s="93" t="s">
        <v>322</v>
      </c>
      <c r="G2550" s="93" t="s">
        <v>319</v>
      </c>
      <c r="H2550" s="93" t="s">
        <v>352</v>
      </c>
      <c r="I2550" s="94">
        <v>7.33</v>
      </c>
      <c r="J2550" s="95">
        <v>234.56</v>
      </c>
    </row>
    <row r="2551" spans="1:10" x14ac:dyDescent="0.25">
      <c r="A2551" s="92">
        <v>45943</v>
      </c>
      <c r="B2551" s="93" t="s">
        <v>323</v>
      </c>
      <c r="C2551" s="89" t="s">
        <v>40</v>
      </c>
      <c r="D2551" s="93" t="s">
        <v>245</v>
      </c>
      <c r="E2551" s="93" t="s">
        <v>36</v>
      </c>
      <c r="F2551" s="93" t="s">
        <v>435</v>
      </c>
      <c r="G2551" s="93" t="s">
        <v>346</v>
      </c>
      <c r="H2551" s="93" t="s">
        <v>342</v>
      </c>
      <c r="I2551" s="94">
        <v>0.25</v>
      </c>
      <c r="J2551" s="95">
        <v>15</v>
      </c>
    </row>
    <row r="2552" spans="1:10" x14ac:dyDescent="0.25">
      <c r="A2552" s="92">
        <v>45943</v>
      </c>
      <c r="B2552" s="93" t="s">
        <v>323</v>
      </c>
      <c r="C2552" s="89" t="s">
        <v>40</v>
      </c>
      <c r="D2552" s="93" t="s">
        <v>266</v>
      </c>
      <c r="E2552" s="93" t="s">
        <v>36</v>
      </c>
      <c r="F2552" s="93" t="s">
        <v>394</v>
      </c>
      <c r="G2552" s="93" t="s">
        <v>346</v>
      </c>
      <c r="H2552" s="93" t="s">
        <v>342</v>
      </c>
      <c r="I2552" s="94">
        <v>0.25</v>
      </c>
      <c r="J2552" s="95">
        <v>15</v>
      </c>
    </row>
    <row r="2553" spans="1:10" x14ac:dyDescent="0.25">
      <c r="A2553" s="92">
        <v>45943</v>
      </c>
      <c r="B2553" s="93" t="s">
        <v>323</v>
      </c>
      <c r="C2553" s="89" t="s">
        <v>40</v>
      </c>
      <c r="D2553" s="93" t="s">
        <v>267</v>
      </c>
      <c r="E2553" s="93" t="s">
        <v>36</v>
      </c>
      <c r="F2553" s="93" t="s">
        <v>436</v>
      </c>
      <c r="G2553" s="93" t="s">
        <v>346</v>
      </c>
      <c r="H2553" s="93" t="s">
        <v>342</v>
      </c>
      <c r="I2553" s="94">
        <v>0.33</v>
      </c>
      <c r="J2553" s="95">
        <v>19.8</v>
      </c>
    </row>
    <row r="2554" spans="1:10" x14ac:dyDescent="0.25">
      <c r="A2554" s="92">
        <v>45943</v>
      </c>
      <c r="B2554" s="93" t="s">
        <v>325</v>
      </c>
      <c r="C2554" s="89" t="s">
        <v>40</v>
      </c>
      <c r="D2554" s="93" t="s">
        <v>224</v>
      </c>
      <c r="E2554" s="93" t="s">
        <v>36</v>
      </c>
      <c r="F2554" s="93" t="s">
        <v>423</v>
      </c>
      <c r="G2554" s="93" t="s">
        <v>347</v>
      </c>
      <c r="H2554" s="93" t="s">
        <v>342</v>
      </c>
      <c r="I2554" s="94">
        <v>0.5</v>
      </c>
      <c r="J2554" s="95">
        <v>37.5</v>
      </c>
    </row>
    <row r="2555" spans="1:10" x14ac:dyDescent="0.25">
      <c r="A2555" s="92">
        <v>45943</v>
      </c>
      <c r="B2555" s="93" t="s">
        <v>329</v>
      </c>
      <c r="C2555" s="89" t="s">
        <v>40</v>
      </c>
      <c r="D2555" s="93" t="s">
        <v>197</v>
      </c>
      <c r="E2555" s="93" t="s">
        <v>34</v>
      </c>
      <c r="F2555" s="93" t="s">
        <v>366</v>
      </c>
      <c r="G2555" s="93" t="s">
        <v>347</v>
      </c>
      <c r="H2555" s="93" t="s">
        <v>343</v>
      </c>
      <c r="I2555" s="94">
        <v>0.17</v>
      </c>
      <c r="J2555" s="95">
        <v>12.750000000000002</v>
      </c>
    </row>
    <row r="2556" spans="1:10" x14ac:dyDescent="0.25">
      <c r="A2556" s="92">
        <v>45943</v>
      </c>
      <c r="B2556" s="93" t="s">
        <v>325</v>
      </c>
      <c r="C2556" s="89" t="s">
        <v>40</v>
      </c>
      <c r="D2556" s="93" t="s">
        <v>205</v>
      </c>
      <c r="E2556" s="93" t="s">
        <v>34</v>
      </c>
      <c r="F2556" s="93" t="s">
        <v>470</v>
      </c>
      <c r="G2556" s="93" t="s">
        <v>347</v>
      </c>
      <c r="H2556" s="93" t="s">
        <v>343</v>
      </c>
      <c r="I2556" s="94">
        <v>0.17</v>
      </c>
      <c r="J2556" s="95">
        <v>12.750000000000002</v>
      </c>
    </row>
    <row r="2557" spans="1:10" x14ac:dyDescent="0.25">
      <c r="A2557" s="92">
        <v>45943</v>
      </c>
      <c r="B2557" s="93" t="s">
        <v>330</v>
      </c>
      <c r="C2557" s="89" t="s">
        <v>40</v>
      </c>
      <c r="D2557" s="93" t="s">
        <v>252</v>
      </c>
      <c r="E2557" s="93" t="s">
        <v>36</v>
      </c>
      <c r="F2557" s="93" t="s">
        <v>416</v>
      </c>
      <c r="G2557" s="93" t="s">
        <v>347</v>
      </c>
      <c r="H2557" s="93" t="s">
        <v>342</v>
      </c>
      <c r="I2557" s="94">
        <v>2.5</v>
      </c>
      <c r="J2557" s="95">
        <v>150</v>
      </c>
    </row>
    <row r="2558" spans="1:10" x14ac:dyDescent="0.25">
      <c r="A2558" s="92">
        <v>45943</v>
      </c>
      <c r="B2558" s="93" t="s">
        <v>330</v>
      </c>
      <c r="C2558" s="89" t="s">
        <v>40</v>
      </c>
      <c r="D2558" s="93" t="s">
        <v>176</v>
      </c>
      <c r="E2558" s="93" t="s">
        <v>34</v>
      </c>
      <c r="F2558" s="93" t="s">
        <v>458</v>
      </c>
      <c r="G2558" s="93" t="s">
        <v>347</v>
      </c>
      <c r="H2558" s="93" t="s">
        <v>343</v>
      </c>
      <c r="I2558" s="94">
        <v>0.17</v>
      </c>
      <c r="J2558" s="95">
        <v>10.200000000000001</v>
      </c>
    </row>
    <row r="2559" spans="1:10" x14ac:dyDescent="0.25">
      <c r="A2559" s="92">
        <v>45943</v>
      </c>
      <c r="B2559" s="93" t="s">
        <v>329</v>
      </c>
      <c r="C2559" s="89" t="s">
        <v>40</v>
      </c>
      <c r="D2559" s="93" t="s">
        <v>206</v>
      </c>
      <c r="E2559" s="93" t="s">
        <v>34</v>
      </c>
      <c r="F2559" s="93" t="s">
        <v>367</v>
      </c>
      <c r="G2559" s="93" t="s">
        <v>347</v>
      </c>
      <c r="H2559" s="93" t="s">
        <v>343</v>
      </c>
      <c r="I2559" s="94">
        <v>0.25</v>
      </c>
      <c r="J2559" s="95">
        <v>18.75</v>
      </c>
    </row>
    <row r="2560" spans="1:10" x14ac:dyDescent="0.25">
      <c r="A2560" s="92">
        <v>45943</v>
      </c>
      <c r="B2560" s="93" t="s">
        <v>329</v>
      </c>
      <c r="C2560" s="89" t="s">
        <v>40</v>
      </c>
      <c r="D2560" s="93" t="s">
        <v>301</v>
      </c>
      <c r="E2560" s="93" t="s">
        <v>34</v>
      </c>
      <c r="F2560" s="93" t="s">
        <v>371</v>
      </c>
      <c r="G2560" s="93" t="s">
        <v>347</v>
      </c>
      <c r="H2560" s="93" t="s">
        <v>343</v>
      </c>
      <c r="I2560" s="94">
        <v>0.42</v>
      </c>
      <c r="J2560" s="95">
        <v>31.5</v>
      </c>
    </row>
    <row r="2561" spans="1:10" x14ac:dyDescent="0.25">
      <c r="A2561" s="92">
        <v>45943</v>
      </c>
      <c r="B2561" s="93" t="s">
        <v>329</v>
      </c>
      <c r="C2561" s="89" t="s">
        <v>40</v>
      </c>
      <c r="D2561" s="93" t="s">
        <v>303</v>
      </c>
      <c r="E2561" s="93" t="s">
        <v>34</v>
      </c>
      <c r="F2561" s="93" t="s">
        <v>400</v>
      </c>
      <c r="G2561" s="93" t="s">
        <v>347</v>
      </c>
      <c r="H2561" s="93" t="s">
        <v>343</v>
      </c>
      <c r="I2561" s="94">
        <v>0.17</v>
      </c>
      <c r="J2561" s="95">
        <v>12.750000000000002</v>
      </c>
    </row>
    <row r="2562" spans="1:10" x14ac:dyDescent="0.25">
      <c r="A2562" s="92">
        <v>45943</v>
      </c>
      <c r="B2562" s="93" t="s">
        <v>329</v>
      </c>
      <c r="C2562" s="89" t="s">
        <v>40</v>
      </c>
      <c r="D2562" s="93" t="s">
        <v>241</v>
      </c>
      <c r="E2562" s="93" t="s">
        <v>34</v>
      </c>
      <c r="F2562" s="93" t="s">
        <v>403</v>
      </c>
      <c r="G2562" s="93" t="s">
        <v>347</v>
      </c>
      <c r="H2562" s="93" t="s">
        <v>343</v>
      </c>
      <c r="I2562" s="94">
        <v>0.25</v>
      </c>
      <c r="J2562" s="95">
        <v>18.75</v>
      </c>
    </row>
    <row r="2563" spans="1:10" x14ac:dyDescent="0.25">
      <c r="A2563" s="92">
        <v>45943</v>
      </c>
      <c r="B2563" s="93" t="s">
        <v>329</v>
      </c>
      <c r="C2563" s="89" t="s">
        <v>40</v>
      </c>
      <c r="D2563" s="93" t="s">
        <v>242</v>
      </c>
      <c r="E2563" s="93" t="s">
        <v>34</v>
      </c>
      <c r="F2563" s="93" t="s">
        <v>404</v>
      </c>
      <c r="G2563" s="93" t="s">
        <v>347</v>
      </c>
      <c r="H2563" s="93" t="s">
        <v>343</v>
      </c>
      <c r="I2563" s="94">
        <v>0.17</v>
      </c>
      <c r="J2563" s="95">
        <v>12.750000000000002</v>
      </c>
    </row>
    <row r="2564" spans="1:10" x14ac:dyDescent="0.25">
      <c r="A2564" s="92">
        <v>45943</v>
      </c>
      <c r="B2564" s="93" t="s">
        <v>329</v>
      </c>
      <c r="C2564" s="89" t="s">
        <v>40</v>
      </c>
      <c r="D2564" s="93" t="s">
        <v>288</v>
      </c>
      <c r="E2564" s="93" t="s">
        <v>34</v>
      </c>
      <c r="F2564" s="93" t="s">
        <v>405</v>
      </c>
      <c r="G2564" s="93" t="s">
        <v>347</v>
      </c>
      <c r="H2564" s="93" t="s">
        <v>343</v>
      </c>
      <c r="I2564" s="94">
        <v>0.17</v>
      </c>
      <c r="J2564" s="95">
        <v>12.750000000000002</v>
      </c>
    </row>
    <row r="2565" spans="1:10" x14ac:dyDescent="0.25">
      <c r="A2565" s="92">
        <v>45943</v>
      </c>
      <c r="B2565" s="93" t="s">
        <v>329</v>
      </c>
      <c r="C2565" s="89" t="s">
        <v>40</v>
      </c>
      <c r="D2565" s="93" t="s">
        <v>294</v>
      </c>
      <c r="E2565" s="93" t="s">
        <v>34</v>
      </c>
      <c r="F2565" s="93" t="s">
        <v>377</v>
      </c>
      <c r="G2565" s="93" t="s">
        <v>347</v>
      </c>
      <c r="H2565" s="93" t="s">
        <v>343</v>
      </c>
      <c r="I2565" s="94">
        <v>0.17</v>
      </c>
      <c r="J2565" s="95">
        <v>12.750000000000002</v>
      </c>
    </row>
    <row r="2566" spans="1:10" x14ac:dyDescent="0.25">
      <c r="A2566" s="92">
        <v>45943</v>
      </c>
      <c r="B2566" s="93" t="s">
        <v>329</v>
      </c>
      <c r="C2566" s="89" t="s">
        <v>40</v>
      </c>
      <c r="D2566" s="93" t="s">
        <v>295</v>
      </c>
      <c r="E2566" s="93" t="s">
        <v>34</v>
      </c>
      <c r="F2566" s="93" t="s">
        <v>379</v>
      </c>
      <c r="G2566" s="93" t="s">
        <v>347</v>
      </c>
      <c r="H2566" s="93" t="s">
        <v>343</v>
      </c>
      <c r="I2566" s="94">
        <v>0.5</v>
      </c>
      <c r="J2566" s="95">
        <v>37.5</v>
      </c>
    </row>
    <row r="2567" spans="1:10" x14ac:dyDescent="0.25">
      <c r="A2567" s="92">
        <v>45943</v>
      </c>
      <c r="B2567" s="93" t="s">
        <v>325</v>
      </c>
      <c r="C2567" s="89" t="s">
        <v>40</v>
      </c>
      <c r="D2567" s="93" t="s">
        <v>298</v>
      </c>
      <c r="E2567" s="93" t="s">
        <v>34</v>
      </c>
      <c r="F2567" s="93" t="s">
        <v>406</v>
      </c>
      <c r="G2567" s="93" t="s">
        <v>347</v>
      </c>
      <c r="H2567" s="93" t="s">
        <v>343</v>
      </c>
      <c r="I2567" s="94">
        <v>0.25</v>
      </c>
      <c r="J2567" s="95">
        <v>18.75</v>
      </c>
    </row>
    <row r="2568" spans="1:10" x14ac:dyDescent="0.25">
      <c r="A2568" s="92">
        <v>45943</v>
      </c>
      <c r="B2568" s="93" t="s">
        <v>329</v>
      </c>
      <c r="C2568" s="89" t="s">
        <v>40</v>
      </c>
      <c r="D2568" s="93" t="s">
        <v>259</v>
      </c>
      <c r="E2568" s="93" t="s">
        <v>34</v>
      </c>
      <c r="F2568" s="93" t="s">
        <v>407</v>
      </c>
      <c r="G2568" s="93" t="s">
        <v>347</v>
      </c>
      <c r="H2568" s="93" t="s">
        <v>343</v>
      </c>
      <c r="I2568" s="94">
        <v>0.17</v>
      </c>
      <c r="J2568" s="95">
        <v>12.750000000000002</v>
      </c>
    </row>
    <row r="2569" spans="1:10" x14ac:dyDescent="0.25">
      <c r="A2569" s="92">
        <v>45943</v>
      </c>
      <c r="B2569" s="93" t="s">
        <v>330</v>
      </c>
      <c r="C2569" s="89" t="s">
        <v>40</v>
      </c>
      <c r="D2569" s="93" t="s">
        <v>255</v>
      </c>
      <c r="E2569" s="93" t="s">
        <v>34</v>
      </c>
      <c r="F2569" s="93" t="s">
        <v>462</v>
      </c>
      <c r="G2569" s="93" t="s">
        <v>347</v>
      </c>
      <c r="H2569" s="93" t="s">
        <v>343</v>
      </c>
      <c r="I2569" s="94">
        <v>0.17</v>
      </c>
      <c r="J2569" s="95">
        <v>10.200000000000001</v>
      </c>
    </row>
    <row r="2570" spans="1:10" x14ac:dyDescent="0.25">
      <c r="A2570" s="92">
        <v>45943</v>
      </c>
      <c r="B2570" s="93" t="s">
        <v>325</v>
      </c>
      <c r="C2570" s="89" t="s">
        <v>40</v>
      </c>
      <c r="D2570" s="93" t="s">
        <v>262</v>
      </c>
      <c r="E2570" s="93" t="s">
        <v>34</v>
      </c>
      <c r="F2570" s="93" t="s">
        <v>442</v>
      </c>
      <c r="G2570" s="93" t="s">
        <v>347</v>
      </c>
      <c r="H2570" s="93" t="s">
        <v>343</v>
      </c>
      <c r="I2570" s="94">
        <v>0.17</v>
      </c>
      <c r="J2570" s="95">
        <v>12.750000000000002</v>
      </c>
    </row>
    <row r="2571" spans="1:10" x14ac:dyDescent="0.25">
      <c r="A2571" s="92">
        <v>45943</v>
      </c>
      <c r="B2571" s="93" t="s">
        <v>329</v>
      </c>
      <c r="C2571" s="89" t="s">
        <v>40</v>
      </c>
      <c r="D2571" s="93" t="s">
        <v>272</v>
      </c>
      <c r="E2571" s="93" t="s">
        <v>34</v>
      </c>
      <c r="F2571" s="93" t="s">
        <v>362</v>
      </c>
      <c r="G2571" s="93" t="s">
        <v>347</v>
      </c>
      <c r="H2571" s="93" t="s">
        <v>343</v>
      </c>
      <c r="I2571" s="94">
        <v>0.25</v>
      </c>
      <c r="J2571" s="95">
        <v>18.75</v>
      </c>
    </row>
    <row r="2572" spans="1:10" x14ac:dyDescent="0.25">
      <c r="A2572" s="92">
        <v>45943</v>
      </c>
      <c r="B2572" s="93" t="s">
        <v>326</v>
      </c>
      <c r="C2572" s="89" t="s">
        <v>40</v>
      </c>
      <c r="D2572" s="93" t="s">
        <v>207</v>
      </c>
      <c r="E2572" s="93" t="s">
        <v>34</v>
      </c>
      <c r="F2572" s="93" t="s">
        <v>417</v>
      </c>
      <c r="G2572" s="93" t="s">
        <v>348</v>
      </c>
      <c r="H2572" s="93" t="s">
        <v>343</v>
      </c>
      <c r="I2572" s="94">
        <v>0.83</v>
      </c>
      <c r="J2572" s="95">
        <v>49.8</v>
      </c>
    </row>
    <row r="2573" spans="1:10" x14ac:dyDescent="0.25">
      <c r="A2573" s="92">
        <v>45943</v>
      </c>
      <c r="B2573" s="93" t="s">
        <v>326</v>
      </c>
      <c r="C2573" s="89" t="s">
        <v>40</v>
      </c>
      <c r="D2573" s="93" t="s">
        <v>188</v>
      </c>
      <c r="E2573" s="93" t="s">
        <v>34</v>
      </c>
      <c r="F2573" s="93" t="s">
        <v>356</v>
      </c>
      <c r="G2573" s="93" t="s">
        <v>348</v>
      </c>
      <c r="H2573" s="93" t="s">
        <v>343</v>
      </c>
      <c r="I2573" s="94">
        <v>1.33</v>
      </c>
      <c r="J2573" s="95">
        <v>79.800000000000011</v>
      </c>
    </row>
    <row r="2574" spans="1:10" x14ac:dyDescent="0.25">
      <c r="A2574" s="92">
        <v>45943</v>
      </c>
      <c r="B2574" s="93" t="s">
        <v>326</v>
      </c>
      <c r="C2574" s="89" t="s">
        <v>40</v>
      </c>
      <c r="D2574" s="93" t="s">
        <v>265</v>
      </c>
      <c r="E2574" s="93" t="s">
        <v>34</v>
      </c>
      <c r="F2574" s="93" t="s">
        <v>358</v>
      </c>
      <c r="G2574" s="93" t="s">
        <v>348</v>
      </c>
      <c r="H2574" s="93" t="s">
        <v>343</v>
      </c>
      <c r="I2574" s="94">
        <v>1</v>
      </c>
      <c r="J2574" s="95">
        <v>60</v>
      </c>
    </row>
    <row r="2575" spans="1:10" x14ac:dyDescent="0.25">
      <c r="A2575" s="92">
        <v>45943</v>
      </c>
      <c r="B2575" s="93" t="s">
        <v>326</v>
      </c>
      <c r="C2575" s="89" t="s">
        <v>40</v>
      </c>
      <c r="D2575" s="93" t="s">
        <v>236</v>
      </c>
      <c r="E2575" s="93" t="s">
        <v>34</v>
      </c>
      <c r="F2575" s="93" t="s">
        <v>357</v>
      </c>
      <c r="G2575" s="93" t="s">
        <v>348</v>
      </c>
      <c r="H2575" s="93" t="s">
        <v>343</v>
      </c>
      <c r="I2575" s="94">
        <v>1</v>
      </c>
      <c r="J2575" s="95">
        <v>60</v>
      </c>
    </row>
    <row r="2576" spans="1:10" x14ac:dyDescent="0.25">
      <c r="A2576" s="92">
        <v>45943</v>
      </c>
      <c r="B2576" s="93" t="s">
        <v>326</v>
      </c>
      <c r="C2576" s="89" t="s">
        <v>40</v>
      </c>
      <c r="D2576" s="93" t="s">
        <v>300</v>
      </c>
      <c r="E2576" s="93" t="s">
        <v>34</v>
      </c>
      <c r="F2576" s="93" t="s">
        <v>464</v>
      </c>
      <c r="G2576" s="93" t="s">
        <v>348</v>
      </c>
      <c r="H2576" s="93" t="s">
        <v>343</v>
      </c>
      <c r="I2576" s="94">
        <v>0.83</v>
      </c>
      <c r="J2576" s="95">
        <v>49.8</v>
      </c>
    </row>
    <row r="2577" spans="1:10" x14ac:dyDescent="0.25">
      <c r="A2577" s="92">
        <v>45944</v>
      </c>
      <c r="B2577" s="93" t="s">
        <v>331</v>
      </c>
      <c r="C2577" s="89" t="s">
        <v>40</v>
      </c>
      <c r="D2577" s="93" t="s">
        <v>316</v>
      </c>
      <c r="E2577" s="93" t="s">
        <v>35</v>
      </c>
      <c r="F2577" s="93" t="s">
        <v>338</v>
      </c>
      <c r="G2577" s="93" t="s">
        <v>337</v>
      </c>
      <c r="H2577" s="93" t="s">
        <v>352</v>
      </c>
      <c r="I2577" s="94">
        <v>3.5</v>
      </c>
      <c r="J2577" s="95">
        <v>112</v>
      </c>
    </row>
    <row r="2578" spans="1:10" x14ac:dyDescent="0.25">
      <c r="A2578" s="92">
        <v>45944</v>
      </c>
      <c r="B2578" s="93" t="s">
        <v>329</v>
      </c>
      <c r="C2578" s="89" t="s">
        <v>40</v>
      </c>
      <c r="D2578" s="93" t="s">
        <v>316</v>
      </c>
      <c r="E2578" s="93" t="s">
        <v>35</v>
      </c>
      <c r="F2578" s="93" t="s">
        <v>338</v>
      </c>
      <c r="G2578" s="93" t="s">
        <v>337</v>
      </c>
      <c r="H2578" s="93" t="s">
        <v>352</v>
      </c>
      <c r="I2578" s="94">
        <v>5</v>
      </c>
      <c r="J2578" s="95">
        <v>375</v>
      </c>
    </row>
    <row r="2579" spans="1:10" x14ac:dyDescent="0.25">
      <c r="A2579" s="92">
        <v>45944</v>
      </c>
      <c r="B2579" s="93" t="s">
        <v>330</v>
      </c>
      <c r="C2579" s="89" t="s">
        <v>40</v>
      </c>
      <c r="D2579" s="93" t="s">
        <v>178</v>
      </c>
      <c r="E2579" s="93" t="s">
        <v>341</v>
      </c>
      <c r="F2579" s="93" t="s">
        <v>460</v>
      </c>
      <c r="G2579" s="93" t="s">
        <v>347</v>
      </c>
      <c r="H2579" s="93" t="s">
        <v>344</v>
      </c>
      <c r="I2579" s="94">
        <v>1</v>
      </c>
      <c r="J2579" s="95">
        <v>60</v>
      </c>
    </row>
    <row r="2580" spans="1:10" x14ac:dyDescent="0.25">
      <c r="A2580" s="92">
        <v>45944</v>
      </c>
      <c r="B2580" s="93" t="s">
        <v>325</v>
      </c>
      <c r="C2580" s="89" t="s">
        <v>40</v>
      </c>
      <c r="D2580" s="93" t="s">
        <v>224</v>
      </c>
      <c r="E2580" s="93" t="s">
        <v>341</v>
      </c>
      <c r="F2580" s="93" t="s">
        <v>423</v>
      </c>
      <c r="G2580" s="93" t="s">
        <v>347</v>
      </c>
      <c r="H2580" s="93" t="s">
        <v>344</v>
      </c>
      <c r="I2580" s="94">
        <v>1.75</v>
      </c>
      <c r="J2580" s="95">
        <v>131.25</v>
      </c>
    </row>
    <row r="2581" spans="1:10" x14ac:dyDescent="0.25">
      <c r="A2581" s="92">
        <v>45944</v>
      </c>
      <c r="B2581" s="93" t="s">
        <v>332</v>
      </c>
      <c r="C2581" s="89" t="s">
        <v>40</v>
      </c>
      <c r="D2581" s="93" t="s">
        <v>314</v>
      </c>
      <c r="E2581" s="93" t="s">
        <v>35</v>
      </c>
      <c r="F2581" s="93" t="s">
        <v>359</v>
      </c>
      <c r="G2581" s="93" t="s">
        <v>339</v>
      </c>
      <c r="H2581" s="93" t="s">
        <v>352</v>
      </c>
      <c r="I2581" s="94">
        <v>9</v>
      </c>
      <c r="J2581" s="95">
        <v>360</v>
      </c>
    </row>
    <row r="2582" spans="1:10" x14ac:dyDescent="0.25">
      <c r="A2582" s="92">
        <v>45944</v>
      </c>
      <c r="B2582" s="93" t="s">
        <v>324</v>
      </c>
      <c r="C2582" s="89" t="s">
        <v>40</v>
      </c>
      <c r="D2582" s="93" t="s">
        <v>314</v>
      </c>
      <c r="E2582" s="93" t="s">
        <v>35</v>
      </c>
      <c r="F2582" s="93" t="s">
        <v>359</v>
      </c>
      <c r="G2582" s="93" t="s">
        <v>339</v>
      </c>
      <c r="H2582" s="93" t="s">
        <v>352</v>
      </c>
      <c r="I2582" s="94">
        <v>4.75</v>
      </c>
      <c r="J2582" s="95">
        <v>356.25</v>
      </c>
    </row>
    <row r="2583" spans="1:10" x14ac:dyDescent="0.25">
      <c r="A2583" s="92">
        <v>45944</v>
      </c>
      <c r="B2583" s="93" t="s">
        <v>333</v>
      </c>
      <c r="C2583" s="89" t="s">
        <v>40</v>
      </c>
      <c r="D2583" s="93" t="s">
        <v>320</v>
      </c>
      <c r="E2583" s="93" t="s">
        <v>35</v>
      </c>
      <c r="F2583" s="93" t="s">
        <v>322</v>
      </c>
      <c r="G2583" s="93" t="s">
        <v>319</v>
      </c>
      <c r="H2583" s="93" t="s">
        <v>352</v>
      </c>
      <c r="I2583" s="94">
        <v>7.63</v>
      </c>
      <c r="J2583" s="95">
        <v>244.16</v>
      </c>
    </row>
    <row r="2584" spans="1:10" x14ac:dyDescent="0.25">
      <c r="A2584" s="92">
        <v>45944</v>
      </c>
      <c r="B2584" s="93" t="s">
        <v>327</v>
      </c>
      <c r="C2584" s="89" t="s">
        <v>40</v>
      </c>
      <c r="D2584" s="93" t="s">
        <v>320</v>
      </c>
      <c r="E2584" s="93" t="s">
        <v>35</v>
      </c>
      <c r="F2584" s="93" t="s">
        <v>322</v>
      </c>
      <c r="G2584" s="93" t="s">
        <v>319</v>
      </c>
      <c r="H2584" s="93" t="s">
        <v>352</v>
      </c>
      <c r="I2584" s="94">
        <v>7.5</v>
      </c>
      <c r="J2584" s="95">
        <v>240</v>
      </c>
    </row>
    <row r="2585" spans="1:10" x14ac:dyDescent="0.25">
      <c r="A2585" s="92">
        <v>45944</v>
      </c>
      <c r="B2585" s="93" t="s">
        <v>323</v>
      </c>
      <c r="C2585" s="89" t="s">
        <v>40</v>
      </c>
      <c r="D2585" s="93" t="s">
        <v>201</v>
      </c>
      <c r="E2585" s="93" t="s">
        <v>341</v>
      </c>
      <c r="F2585" s="93" t="s">
        <v>395</v>
      </c>
      <c r="G2585" s="93" t="s">
        <v>346</v>
      </c>
      <c r="H2585" s="93" t="s">
        <v>344</v>
      </c>
      <c r="I2585" s="94">
        <v>1</v>
      </c>
      <c r="J2585" s="95">
        <v>60</v>
      </c>
    </row>
    <row r="2586" spans="1:10" x14ac:dyDescent="0.25">
      <c r="A2586" s="92">
        <v>45944</v>
      </c>
      <c r="B2586" s="93" t="s">
        <v>329</v>
      </c>
      <c r="C2586" s="89" t="s">
        <v>40</v>
      </c>
      <c r="D2586" s="93" t="s">
        <v>197</v>
      </c>
      <c r="E2586" s="93" t="s">
        <v>34</v>
      </c>
      <c r="F2586" s="93" t="s">
        <v>366</v>
      </c>
      <c r="G2586" s="93" t="s">
        <v>347</v>
      </c>
      <c r="H2586" s="93" t="s">
        <v>343</v>
      </c>
      <c r="I2586" s="94">
        <v>0.17</v>
      </c>
      <c r="J2586" s="95">
        <v>12.750000000000002</v>
      </c>
    </row>
    <row r="2587" spans="1:10" x14ac:dyDescent="0.25">
      <c r="A2587" s="92">
        <v>45944</v>
      </c>
      <c r="B2587" s="93" t="s">
        <v>325</v>
      </c>
      <c r="C2587" s="89" t="s">
        <v>40</v>
      </c>
      <c r="D2587" s="93" t="s">
        <v>180</v>
      </c>
      <c r="E2587" s="93" t="s">
        <v>34</v>
      </c>
      <c r="F2587" s="93" t="s">
        <v>465</v>
      </c>
      <c r="G2587" s="93" t="s">
        <v>347</v>
      </c>
      <c r="H2587" s="93" t="s">
        <v>343</v>
      </c>
      <c r="I2587" s="94">
        <v>0.25</v>
      </c>
      <c r="J2587" s="95">
        <v>18.75</v>
      </c>
    </row>
    <row r="2588" spans="1:10" x14ac:dyDescent="0.25">
      <c r="A2588" s="92">
        <v>45944</v>
      </c>
      <c r="B2588" s="93" t="s">
        <v>329</v>
      </c>
      <c r="C2588" s="89" t="s">
        <v>40</v>
      </c>
      <c r="D2588" s="93" t="s">
        <v>206</v>
      </c>
      <c r="E2588" s="93" t="s">
        <v>34</v>
      </c>
      <c r="F2588" s="93" t="s">
        <v>367</v>
      </c>
      <c r="G2588" s="93" t="s">
        <v>347</v>
      </c>
      <c r="H2588" s="93" t="s">
        <v>343</v>
      </c>
      <c r="I2588" s="94">
        <v>0.17</v>
      </c>
      <c r="J2588" s="95">
        <v>12.750000000000002</v>
      </c>
    </row>
    <row r="2589" spans="1:10" x14ac:dyDescent="0.25">
      <c r="A2589" s="92">
        <v>45944</v>
      </c>
      <c r="B2589" s="93" t="s">
        <v>329</v>
      </c>
      <c r="C2589" s="89" t="s">
        <v>40</v>
      </c>
      <c r="D2589" s="93" t="s">
        <v>303</v>
      </c>
      <c r="E2589" s="93" t="s">
        <v>34</v>
      </c>
      <c r="F2589" s="93" t="s">
        <v>400</v>
      </c>
      <c r="G2589" s="93" t="s">
        <v>347</v>
      </c>
      <c r="H2589" s="93" t="s">
        <v>343</v>
      </c>
      <c r="I2589" s="94">
        <v>0.25</v>
      </c>
      <c r="J2589" s="95">
        <v>18.75</v>
      </c>
    </row>
    <row r="2590" spans="1:10" x14ac:dyDescent="0.25">
      <c r="A2590" s="92">
        <v>45944</v>
      </c>
      <c r="B2590" s="93" t="s">
        <v>329</v>
      </c>
      <c r="C2590" s="89" t="s">
        <v>40</v>
      </c>
      <c r="D2590" s="93" t="s">
        <v>241</v>
      </c>
      <c r="E2590" s="93" t="s">
        <v>34</v>
      </c>
      <c r="F2590" s="93" t="s">
        <v>403</v>
      </c>
      <c r="G2590" s="93" t="s">
        <v>347</v>
      </c>
      <c r="H2590" s="93" t="s">
        <v>343</v>
      </c>
      <c r="I2590" s="94">
        <v>0.17</v>
      </c>
      <c r="J2590" s="95">
        <v>12.750000000000002</v>
      </c>
    </row>
    <row r="2591" spans="1:10" x14ac:dyDescent="0.25">
      <c r="A2591" s="92">
        <v>45944</v>
      </c>
      <c r="B2591" s="93" t="s">
        <v>325</v>
      </c>
      <c r="C2591" s="89" t="s">
        <v>40</v>
      </c>
      <c r="D2591" s="93" t="s">
        <v>307</v>
      </c>
      <c r="E2591" s="93" t="s">
        <v>34</v>
      </c>
      <c r="F2591" s="93" t="s">
        <v>472</v>
      </c>
      <c r="G2591" s="93" t="s">
        <v>347</v>
      </c>
      <c r="H2591" s="93" t="s">
        <v>343</v>
      </c>
      <c r="I2591" s="94">
        <v>0.57999999999999996</v>
      </c>
      <c r="J2591" s="95">
        <v>43.5</v>
      </c>
    </row>
    <row r="2592" spans="1:10" x14ac:dyDescent="0.25">
      <c r="A2592" s="92">
        <v>45944</v>
      </c>
      <c r="B2592" s="93" t="s">
        <v>329</v>
      </c>
      <c r="C2592" s="89" t="s">
        <v>40</v>
      </c>
      <c r="D2592" s="93" t="s">
        <v>295</v>
      </c>
      <c r="E2592" s="93" t="s">
        <v>34</v>
      </c>
      <c r="F2592" s="93" t="s">
        <v>379</v>
      </c>
      <c r="G2592" s="93" t="s">
        <v>347</v>
      </c>
      <c r="H2592" s="93" t="s">
        <v>343</v>
      </c>
      <c r="I2592" s="94">
        <v>0.08</v>
      </c>
      <c r="J2592" s="95">
        <v>6</v>
      </c>
    </row>
    <row r="2593" spans="1:10" x14ac:dyDescent="0.25">
      <c r="A2593" s="92">
        <v>45944</v>
      </c>
      <c r="B2593" s="93" t="s">
        <v>325</v>
      </c>
      <c r="C2593" s="89" t="s">
        <v>40</v>
      </c>
      <c r="D2593" s="93" t="s">
        <v>253</v>
      </c>
      <c r="E2593" s="93" t="s">
        <v>34</v>
      </c>
      <c r="F2593" s="93" t="s">
        <v>408</v>
      </c>
      <c r="G2593" s="93" t="s">
        <v>347</v>
      </c>
      <c r="H2593" s="93" t="s">
        <v>343</v>
      </c>
      <c r="I2593" s="94">
        <v>0.5</v>
      </c>
      <c r="J2593" s="95">
        <v>37.5</v>
      </c>
    </row>
    <row r="2594" spans="1:10" x14ac:dyDescent="0.25">
      <c r="A2594" s="92">
        <v>45944</v>
      </c>
      <c r="B2594" s="93" t="s">
        <v>325</v>
      </c>
      <c r="C2594" s="89" t="s">
        <v>40</v>
      </c>
      <c r="D2594" s="93" t="s">
        <v>264</v>
      </c>
      <c r="E2594" s="93" t="s">
        <v>34</v>
      </c>
      <c r="F2594" s="93" t="s">
        <v>384</v>
      </c>
      <c r="G2594" s="93" t="s">
        <v>347</v>
      </c>
      <c r="H2594" s="93" t="s">
        <v>343</v>
      </c>
      <c r="I2594" s="94">
        <v>0.17</v>
      </c>
      <c r="J2594" s="95">
        <v>12.750000000000002</v>
      </c>
    </row>
    <row r="2595" spans="1:10" x14ac:dyDescent="0.25">
      <c r="A2595" s="92">
        <v>45944</v>
      </c>
      <c r="B2595" s="93" t="s">
        <v>325</v>
      </c>
      <c r="C2595" s="89" t="s">
        <v>40</v>
      </c>
      <c r="D2595" s="93" t="s">
        <v>249</v>
      </c>
      <c r="E2595" s="93" t="s">
        <v>34</v>
      </c>
      <c r="F2595" s="93" t="s">
        <v>409</v>
      </c>
      <c r="G2595" s="93" t="s">
        <v>347</v>
      </c>
      <c r="H2595" s="93" t="s">
        <v>343</v>
      </c>
      <c r="I2595" s="94">
        <v>0.17</v>
      </c>
      <c r="J2595" s="95">
        <v>12.750000000000002</v>
      </c>
    </row>
    <row r="2596" spans="1:10" x14ac:dyDescent="0.25">
      <c r="A2596" s="92">
        <v>45944</v>
      </c>
      <c r="B2596" s="93" t="s">
        <v>329</v>
      </c>
      <c r="C2596" s="89" t="s">
        <v>40</v>
      </c>
      <c r="D2596" s="93" t="s">
        <v>247</v>
      </c>
      <c r="E2596" s="93" t="s">
        <v>34</v>
      </c>
      <c r="F2596" s="93" t="s">
        <v>375</v>
      </c>
      <c r="G2596" s="93" t="s">
        <v>347</v>
      </c>
      <c r="H2596" s="93" t="s">
        <v>343</v>
      </c>
      <c r="I2596" s="94">
        <v>0.17</v>
      </c>
      <c r="J2596" s="95">
        <v>12.750000000000002</v>
      </c>
    </row>
    <row r="2597" spans="1:10" x14ac:dyDescent="0.25">
      <c r="A2597" s="92">
        <v>45944</v>
      </c>
      <c r="B2597" s="93" t="s">
        <v>329</v>
      </c>
      <c r="C2597" s="89" t="s">
        <v>40</v>
      </c>
      <c r="D2597" s="93" t="s">
        <v>230</v>
      </c>
      <c r="E2597" s="93" t="s">
        <v>34</v>
      </c>
      <c r="F2597" s="93" t="s">
        <v>410</v>
      </c>
      <c r="G2597" s="93" t="s">
        <v>347</v>
      </c>
      <c r="H2597" s="93" t="s">
        <v>343</v>
      </c>
      <c r="I2597" s="94">
        <v>0.5</v>
      </c>
      <c r="J2597" s="95">
        <v>37.5</v>
      </c>
    </row>
    <row r="2598" spans="1:10" x14ac:dyDescent="0.25">
      <c r="A2598" s="92">
        <v>45944</v>
      </c>
      <c r="B2598" s="93" t="s">
        <v>329</v>
      </c>
      <c r="C2598" s="89" t="s">
        <v>40</v>
      </c>
      <c r="D2598" s="93" t="s">
        <v>272</v>
      </c>
      <c r="E2598" s="93" t="s">
        <v>34</v>
      </c>
      <c r="F2598" s="93" t="s">
        <v>362</v>
      </c>
      <c r="G2598" s="93" t="s">
        <v>347</v>
      </c>
      <c r="H2598" s="93" t="s">
        <v>343</v>
      </c>
      <c r="I2598" s="94">
        <v>0.17</v>
      </c>
      <c r="J2598" s="95">
        <v>12.750000000000002</v>
      </c>
    </row>
    <row r="2599" spans="1:10" x14ac:dyDescent="0.25">
      <c r="A2599" s="92">
        <v>45944</v>
      </c>
      <c r="B2599" s="93" t="s">
        <v>326</v>
      </c>
      <c r="C2599" s="89" t="s">
        <v>40</v>
      </c>
      <c r="D2599" s="93" t="s">
        <v>309</v>
      </c>
      <c r="E2599" s="93" t="s">
        <v>36</v>
      </c>
      <c r="F2599" s="93" t="s">
        <v>454</v>
      </c>
      <c r="G2599" s="93" t="s">
        <v>348</v>
      </c>
      <c r="H2599" s="93" t="s">
        <v>342</v>
      </c>
      <c r="I2599" s="94">
        <v>0.67</v>
      </c>
      <c r="J2599" s="95">
        <v>40.200000000000003</v>
      </c>
    </row>
    <row r="2600" spans="1:10" x14ac:dyDescent="0.25">
      <c r="A2600" s="92">
        <v>45944</v>
      </c>
      <c r="B2600" s="93" t="s">
        <v>326</v>
      </c>
      <c r="C2600" s="89" t="s">
        <v>40</v>
      </c>
      <c r="D2600" s="93" t="s">
        <v>237</v>
      </c>
      <c r="E2600" s="93" t="s">
        <v>34</v>
      </c>
      <c r="F2600" s="93" t="s">
        <v>427</v>
      </c>
      <c r="G2600" s="93" t="s">
        <v>348</v>
      </c>
      <c r="H2600" s="93" t="s">
        <v>343</v>
      </c>
      <c r="I2600" s="94">
        <v>0.25</v>
      </c>
      <c r="J2600" s="95">
        <v>15</v>
      </c>
    </row>
    <row r="2601" spans="1:10" x14ac:dyDescent="0.25">
      <c r="A2601" s="92">
        <v>45944</v>
      </c>
      <c r="B2601" s="93" t="s">
        <v>326</v>
      </c>
      <c r="C2601" s="89" t="s">
        <v>40</v>
      </c>
      <c r="D2601" s="93" t="s">
        <v>175</v>
      </c>
      <c r="E2601" s="93" t="s">
        <v>34</v>
      </c>
      <c r="F2601" s="93" t="s">
        <v>388</v>
      </c>
      <c r="G2601" s="93" t="s">
        <v>348</v>
      </c>
      <c r="H2601" s="93" t="s">
        <v>343</v>
      </c>
      <c r="I2601" s="94">
        <v>0.42</v>
      </c>
      <c r="J2601" s="95">
        <v>25.2</v>
      </c>
    </row>
    <row r="2602" spans="1:10" x14ac:dyDescent="0.25">
      <c r="A2602" s="92">
        <v>45944</v>
      </c>
      <c r="B2602" s="93" t="s">
        <v>326</v>
      </c>
      <c r="C2602" s="89" t="s">
        <v>40</v>
      </c>
      <c r="D2602" s="93" t="s">
        <v>300</v>
      </c>
      <c r="E2602" s="93" t="s">
        <v>34</v>
      </c>
      <c r="F2602" s="93" t="s">
        <v>464</v>
      </c>
      <c r="G2602" s="93" t="s">
        <v>348</v>
      </c>
      <c r="H2602" s="93" t="s">
        <v>343</v>
      </c>
      <c r="I2602" s="94">
        <v>0.42</v>
      </c>
      <c r="J2602" s="95">
        <v>25.2</v>
      </c>
    </row>
    <row r="2603" spans="1:10" x14ac:dyDescent="0.25">
      <c r="A2603" s="92">
        <v>45944</v>
      </c>
      <c r="B2603" s="93" t="s">
        <v>326</v>
      </c>
      <c r="C2603" s="89" t="s">
        <v>40</v>
      </c>
      <c r="D2603" s="93" t="s">
        <v>233</v>
      </c>
      <c r="E2603" s="93" t="s">
        <v>341</v>
      </c>
      <c r="F2603" s="93" t="s">
        <v>387</v>
      </c>
      <c r="G2603" s="93" t="s">
        <v>348</v>
      </c>
      <c r="H2603" s="93" t="s">
        <v>344</v>
      </c>
      <c r="I2603" s="94">
        <v>0.75</v>
      </c>
      <c r="J2603" s="95">
        <v>45</v>
      </c>
    </row>
    <row r="2604" spans="1:10" x14ac:dyDescent="0.25">
      <c r="A2604" s="92">
        <v>45944</v>
      </c>
      <c r="B2604" s="93" t="s">
        <v>326</v>
      </c>
      <c r="C2604" s="89" t="s">
        <v>40</v>
      </c>
      <c r="D2604" s="93" t="s">
        <v>234</v>
      </c>
      <c r="E2604" s="93" t="s">
        <v>341</v>
      </c>
      <c r="F2604" s="93" t="s">
        <v>389</v>
      </c>
      <c r="G2604" s="93" t="s">
        <v>348</v>
      </c>
      <c r="H2604" s="93" t="s">
        <v>344</v>
      </c>
      <c r="I2604" s="94">
        <v>0.75</v>
      </c>
      <c r="J2604" s="95">
        <v>45</v>
      </c>
    </row>
    <row r="2605" spans="1:10" x14ac:dyDescent="0.25">
      <c r="A2605" s="92">
        <v>45944</v>
      </c>
      <c r="B2605" s="93" t="s">
        <v>326</v>
      </c>
      <c r="C2605" s="89" t="s">
        <v>40</v>
      </c>
      <c r="D2605" s="93" t="s">
        <v>235</v>
      </c>
      <c r="E2605" s="93" t="s">
        <v>341</v>
      </c>
      <c r="F2605" s="93" t="s">
        <v>355</v>
      </c>
      <c r="G2605" s="93" t="s">
        <v>348</v>
      </c>
      <c r="H2605" s="93" t="s">
        <v>344</v>
      </c>
      <c r="I2605" s="94">
        <v>1.5</v>
      </c>
      <c r="J2605" s="95">
        <v>90</v>
      </c>
    </row>
    <row r="2606" spans="1:10" x14ac:dyDescent="0.25">
      <c r="A2606" s="92">
        <v>45944</v>
      </c>
      <c r="B2606" s="93" t="s">
        <v>326</v>
      </c>
      <c r="C2606" s="89" t="s">
        <v>40</v>
      </c>
      <c r="D2606" s="93" t="s">
        <v>236</v>
      </c>
      <c r="E2606" s="93" t="s">
        <v>341</v>
      </c>
      <c r="F2606" s="93" t="s">
        <v>357</v>
      </c>
      <c r="G2606" s="93" t="s">
        <v>348</v>
      </c>
      <c r="H2606" s="93" t="s">
        <v>344</v>
      </c>
      <c r="I2606" s="94">
        <v>1.5</v>
      </c>
      <c r="J2606" s="95">
        <v>90</v>
      </c>
    </row>
    <row r="2607" spans="1:10" x14ac:dyDescent="0.25">
      <c r="A2607" s="92">
        <v>45945</v>
      </c>
      <c r="B2607" s="93" t="s">
        <v>329</v>
      </c>
      <c r="C2607" s="89" t="s">
        <v>40</v>
      </c>
      <c r="D2607" s="93" t="s">
        <v>316</v>
      </c>
      <c r="E2607" s="93" t="s">
        <v>35</v>
      </c>
      <c r="F2607" s="93" t="s">
        <v>338</v>
      </c>
      <c r="G2607" s="93" t="s">
        <v>337</v>
      </c>
      <c r="H2607" s="93" t="s">
        <v>352</v>
      </c>
      <c r="I2607" s="94">
        <v>0.83</v>
      </c>
      <c r="J2607" s="95">
        <v>62.25</v>
      </c>
    </row>
    <row r="2608" spans="1:10" x14ac:dyDescent="0.25">
      <c r="A2608" s="92">
        <v>45945</v>
      </c>
      <c r="B2608" s="93" t="s">
        <v>323</v>
      </c>
      <c r="C2608" s="89" t="s">
        <v>40</v>
      </c>
      <c r="D2608" s="93" t="s">
        <v>168</v>
      </c>
      <c r="E2608" s="93" t="s">
        <v>36</v>
      </c>
      <c r="F2608" s="93" t="s">
        <v>419</v>
      </c>
      <c r="G2608" s="93" t="s">
        <v>346</v>
      </c>
      <c r="H2608" s="93" t="s">
        <v>342</v>
      </c>
      <c r="I2608" s="94">
        <v>0.25</v>
      </c>
      <c r="J2608" s="95">
        <v>15</v>
      </c>
    </row>
    <row r="2609" spans="1:10" x14ac:dyDescent="0.25">
      <c r="A2609" s="92">
        <v>45945</v>
      </c>
      <c r="B2609" s="93" t="s">
        <v>323</v>
      </c>
      <c r="C2609" s="89" t="s">
        <v>40</v>
      </c>
      <c r="D2609" s="93" t="s">
        <v>169</v>
      </c>
      <c r="E2609" s="93" t="s">
        <v>36</v>
      </c>
      <c r="F2609" s="93" t="s">
        <v>433</v>
      </c>
      <c r="G2609" s="93" t="s">
        <v>346</v>
      </c>
      <c r="H2609" s="93" t="s">
        <v>342</v>
      </c>
      <c r="I2609" s="94">
        <v>0.25</v>
      </c>
      <c r="J2609" s="95">
        <v>15</v>
      </c>
    </row>
    <row r="2610" spans="1:10" x14ac:dyDescent="0.25">
      <c r="A2610" s="92">
        <v>45945</v>
      </c>
      <c r="B2610" s="93" t="s">
        <v>323</v>
      </c>
      <c r="C2610" s="89" t="s">
        <v>40</v>
      </c>
      <c r="D2610" s="93" t="s">
        <v>172</v>
      </c>
      <c r="E2610" s="93" t="s">
        <v>36</v>
      </c>
      <c r="F2610" s="93" t="s">
        <v>426</v>
      </c>
      <c r="G2610" s="93" t="s">
        <v>346</v>
      </c>
      <c r="H2610" s="93" t="s">
        <v>342</v>
      </c>
      <c r="I2610" s="94">
        <v>0.25</v>
      </c>
      <c r="J2610" s="95">
        <v>15</v>
      </c>
    </row>
    <row r="2611" spans="1:10" x14ac:dyDescent="0.25">
      <c r="A2611" s="92">
        <v>45945</v>
      </c>
      <c r="B2611" s="93" t="s">
        <v>323</v>
      </c>
      <c r="C2611" s="89" t="s">
        <v>40</v>
      </c>
      <c r="D2611" s="93" t="s">
        <v>212</v>
      </c>
      <c r="E2611" s="93" t="s">
        <v>36</v>
      </c>
      <c r="F2611" s="93" t="s">
        <v>392</v>
      </c>
      <c r="G2611" s="93" t="s">
        <v>346</v>
      </c>
      <c r="H2611" s="93" t="s">
        <v>342</v>
      </c>
      <c r="I2611" s="94">
        <v>0.25</v>
      </c>
      <c r="J2611" s="95">
        <v>15</v>
      </c>
    </row>
    <row r="2612" spans="1:10" x14ac:dyDescent="0.25">
      <c r="A2612" s="92">
        <v>45945</v>
      </c>
      <c r="B2612" s="93" t="s">
        <v>332</v>
      </c>
      <c r="C2612" s="89" t="s">
        <v>40</v>
      </c>
      <c r="D2612" s="93" t="s">
        <v>314</v>
      </c>
      <c r="E2612" s="93" t="s">
        <v>35</v>
      </c>
      <c r="F2612" s="93" t="s">
        <v>359</v>
      </c>
      <c r="G2612" s="93" t="s">
        <v>339</v>
      </c>
      <c r="H2612" s="93" t="s">
        <v>352</v>
      </c>
      <c r="I2612" s="94">
        <v>8.33</v>
      </c>
      <c r="J2612" s="95">
        <v>333.2</v>
      </c>
    </row>
    <row r="2613" spans="1:10" x14ac:dyDescent="0.25">
      <c r="A2613" s="92">
        <v>45945</v>
      </c>
      <c r="B2613" s="93" t="s">
        <v>324</v>
      </c>
      <c r="C2613" s="89" t="s">
        <v>40</v>
      </c>
      <c r="D2613" s="93" t="s">
        <v>314</v>
      </c>
      <c r="E2613" s="93" t="s">
        <v>35</v>
      </c>
      <c r="F2613" s="93" t="s">
        <v>359</v>
      </c>
      <c r="G2613" s="93" t="s">
        <v>339</v>
      </c>
      <c r="H2613" s="93" t="s">
        <v>352</v>
      </c>
      <c r="I2613" s="94">
        <v>4.75</v>
      </c>
      <c r="J2613" s="95">
        <v>356.25</v>
      </c>
    </row>
    <row r="2614" spans="1:10" x14ac:dyDescent="0.25">
      <c r="A2614" s="92">
        <v>45945</v>
      </c>
      <c r="B2614" s="93" t="s">
        <v>327</v>
      </c>
      <c r="C2614" s="89" t="s">
        <v>40</v>
      </c>
      <c r="D2614" s="93" t="s">
        <v>320</v>
      </c>
      <c r="E2614" s="93" t="s">
        <v>35</v>
      </c>
      <c r="F2614" s="93" t="s">
        <v>322</v>
      </c>
      <c r="G2614" s="93" t="s">
        <v>319</v>
      </c>
      <c r="H2614" s="93" t="s">
        <v>352</v>
      </c>
      <c r="I2614" s="94">
        <v>7.42</v>
      </c>
      <c r="J2614" s="95">
        <v>237.44</v>
      </c>
    </row>
    <row r="2615" spans="1:10" x14ac:dyDescent="0.25">
      <c r="A2615" s="92">
        <v>45945</v>
      </c>
      <c r="B2615" s="93" t="s">
        <v>323</v>
      </c>
      <c r="C2615" s="89" t="s">
        <v>40</v>
      </c>
      <c r="D2615" s="93" t="s">
        <v>245</v>
      </c>
      <c r="E2615" s="93" t="s">
        <v>36</v>
      </c>
      <c r="F2615" s="93" t="s">
        <v>435</v>
      </c>
      <c r="G2615" s="93" t="s">
        <v>346</v>
      </c>
      <c r="H2615" s="93" t="s">
        <v>342</v>
      </c>
      <c r="I2615" s="94">
        <v>0.25</v>
      </c>
      <c r="J2615" s="95">
        <v>15</v>
      </c>
    </row>
    <row r="2616" spans="1:10" x14ac:dyDescent="0.25">
      <c r="A2616" s="92">
        <v>45945</v>
      </c>
      <c r="B2616" s="93" t="s">
        <v>323</v>
      </c>
      <c r="C2616" s="89" t="s">
        <v>40</v>
      </c>
      <c r="D2616" s="93" t="s">
        <v>266</v>
      </c>
      <c r="E2616" s="93" t="s">
        <v>36</v>
      </c>
      <c r="F2616" s="93" t="s">
        <v>394</v>
      </c>
      <c r="G2616" s="93" t="s">
        <v>346</v>
      </c>
      <c r="H2616" s="93" t="s">
        <v>342</v>
      </c>
      <c r="I2616" s="94">
        <v>0.25</v>
      </c>
      <c r="J2616" s="95">
        <v>15</v>
      </c>
    </row>
    <row r="2617" spans="1:10" x14ac:dyDescent="0.25">
      <c r="A2617" s="92">
        <v>45945</v>
      </c>
      <c r="B2617" s="93" t="s">
        <v>323</v>
      </c>
      <c r="C2617" s="89" t="s">
        <v>40</v>
      </c>
      <c r="D2617" s="93" t="s">
        <v>267</v>
      </c>
      <c r="E2617" s="93" t="s">
        <v>36</v>
      </c>
      <c r="F2617" s="93" t="s">
        <v>436</v>
      </c>
      <c r="G2617" s="93" t="s">
        <v>346</v>
      </c>
      <c r="H2617" s="93" t="s">
        <v>342</v>
      </c>
      <c r="I2617" s="94">
        <v>0.25</v>
      </c>
      <c r="J2617" s="95">
        <v>15</v>
      </c>
    </row>
    <row r="2618" spans="1:10" x14ac:dyDescent="0.25">
      <c r="A2618" s="92">
        <v>45945</v>
      </c>
      <c r="B2618" s="93" t="s">
        <v>329</v>
      </c>
      <c r="C2618" s="89" t="s">
        <v>40</v>
      </c>
      <c r="D2618" s="93" t="s">
        <v>197</v>
      </c>
      <c r="E2618" s="93" t="s">
        <v>34</v>
      </c>
      <c r="F2618" s="93" t="s">
        <v>366</v>
      </c>
      <c r="G2618" s="93" t="s">
        <v>347</v>
      </c>
      <c r="H2618" s="93" t="s">
        <v>343</v>
      </c>
      <c r="I2618" s="94">
        <v>0.25</v>
      </c>
      <c r="J2618" s="95">
        <v>18.75</v>
      </c>
    </row>
    <row r="2619" spans="1:10" x14ac:dyDescent="0.25">
      <c r="A2619" s="92">
        <v>45945</v>
      </c>
      <c r="B2619" s="93" t="s">
        <v>325</v>
      </c>
      <c r="C2619" s="89" t="s">
        <v>40</v>
      </c>
      <c r="D2619" s="93" t="s">
        <v>180</v>
      </c>
      <c r="E2619" s="93" t="s">
        <v>34</v>
      </c>
      <c r="F2619" s="93" t="s">
        <v>465</v>
      </c>
      <c r="G2619" s="93" t="s">
        <v>347</v>
      </c>
      <c r="H2619" s="93" t="s">
        <v>343</v>
      </c>
      <c r="I2619" s="94">
        <v>0.17</v>
      </c>
      <c r="J2619" s="95">
        <v>12.750000000000002</v>
      </c>
    </row>
    <row r="2620" spans="1:10" x14ac:dyDescent="0.25">
      <c r="A2620" s="92">
        <v>45945</v>
      </c>
      <c r="B2620" s="93" t="s">
        <v>330</v>
      </c>
      <c r="C2620" s="89" t="s">
        <v>40</v>
      </c>
      <c r="D2620" s="93" t="s">
        <v>176</v>
      </c>
      <c r="E2620" s="93" t="s">
        <v>34</v>
      </c>
      <c r="F2620" s="93" t="s">
        <v>458</v>
      </c>
      <c r="G2620" s="93" t="s">
        <v>347</v>
      </c>
      <c r="H2620" s="93" t="s">
        <v>343</v>
      </c>
      <c r="I2620" s="94">
        <v>1.5</v>
      </c>
      <c r="J2620" s="95">
        <v>90</v>
      </c>
    </row>
    <row r="2621" spans="1:10" x14ac:dyDescent="0.25">
      <c r="A2621" s="92">
        <v>45945</v>
      </c>
      <c r="B2621" s="93" t="s">
        <v>329</v>
      </c>
      <c r="C2621" s="89" t="s">
        <v>40</v>
      </c>
      <c r="D2621" s="93" t="s">
        <v>206</v>
      </c>
      <c r="E2621" s="93" t="s">
        <v>34</v>
      </c>
      <c r="F2621" s="93" t="s">
        <v>367</v>
      </c>
      <c r="G2621" s="93" t="s">
        <v>347</v>
      </c>
      <c r="H2621" s="93" t="s">
        <v>343</v>
      </c>
      <c r="I2621" s="94">
        <v>0.25</v>
      </c>
      <c r="J2621" s="95">
        <v>18.75</v>
      </c>
    </row>
    <row r="2622" spans="1:10" x14ac:dyDescent="0.25">
      <c r="A2622" s="92">
        <v>45945</v>
      </c>
      <c r="B2622" s="93" t="s">
        <v>329</v>
      </c>
      <c r="C2622" s="89" t="s">
        <v>40</v>
      </c>
      <c r="D2622" s="93" t="s">
        <v>301</v>
      </c>
      <c r="E2622" s="93" t="s">
        <v>34</v>
      </c>
      <c r="F2622" s="93" t="s">
        <v>371</v>
      </c>
      <c r="G2622" s="93" t="s">
        <v>347</v>
      </c>
      <c r="H2622" s="93" t="s">
        <v>343</v>
      </c>
      <c r="I2622" s="94">
        <v>0.5</v>
      </c>
      <c r="J2622" s="95">
        <v>37.5</v>
      </c>
    </row>
    <row r="2623" spans="1:10" x14ac:dyDescent="0.25">
      <c r="A2623" s="92">
        <v>45945</v>
      </c>
      <c r="B2623" s="93" t="s">
        <v>329</v>
      </c>
      <c r="C2623" s="89" t="s">
        <v>40</v>
      </c>
      <c r="D2623" s="93" t="s">
        <v>229</v>
      </c>
      <c r="E2623" s="93" t="s">
        <v>34</v>
      </c>
      <c r="F2623" s="93" t="s">
        <v>373</v>
      </c>
      <c r="G2623" s="93" t="s">
        <v>347</v>
      </c>
      <c r="H2623" s="93" t="s">
        <v>343</v>
      </c>
      <c r="I2623" s="94">
        <v>0.5</v>
      </c>
      <c r="J2623" s="95">
        <v>37.5</v>
      </c>
    </row>
    <row r="2624" spans="1:10" x14ac:dyDescent="0.25">
      <c r="A2624" s="92">
        <v>45945</v>
      </c>
      <c r="B2624" s="93" t="s">
        <v>329</v>
      </c>
      <c r="C2624" s="89" t="s">
        <v>40</v>
      </c>
      <c r="D2624" s="93" t="s">
        <v>221</v>
      </c>
      <c r="E2624" s="93" t="s">
        <v>34</v>
      </c>
      <c r="F2624" s="93" t="s">
        <v>369</v>
      </c>
      <c r="G2624" s="93" t="s">
        <v>347</v>
      </c>
      <c r="H2624" s="93" t="s">
        <v>343</v>
      </c>
      <c r="I2624" s="94">
        <v>0.25</v>
      </c>
      <c r="J2624" s="95">
        <v>18.75</v>
      </c>
    </row>
    <row r="2625" spans="1:10" x14ac:dyDescent="0.25">
      <c r="A2625" s="92">
        <v>45945</v>
      </c>
      <c r="B2625" s="93" t="s">
        <v>329</v>
      </c>
      <c r="C2625" s="89" t="s">
        <v>40</v>
      </c>
      <c r="D2625" s="93" t="s">
        <v>240</v>
      </c>
      <c r="E2625" s="93" t="s">
        <v>34</v>
      </c>
      <c r="F2625" s="93" t="s">
        <v>402</v>
      </c>
      <c r="G2625" s="93" t="s">
        <v>347</v>
      </c>
      <c r="H2625" s="93" t="s">
        <v>343</v>
      </c>
      <c r="I2625" s="94">
        <v>0.25</v>
      </c>
      <c r="J2625" s="95">
        <v>18.75</v>
      </c>
    </row>
    <row r="2626" spans="1:10" x14ac:dyDescent="0.25">
      <c r="A2626" s="92">
        <v>45945</v>
      </c>
      <c r="B2626" s="93" t="s">
        <v>329</v>
      </c>
      <c r="C2626" s="89" t="s">
        <v>40</v>
      </c>
      <c r="D2626" s="93" t="s">
        <v>241</v>
      </c>
      <c r="E2626" s="93" t="s">
        <v>34</v>
      </c>
      <c r="F2626" s="93" t="s">
        <v>403</v>
      </c>
      <c r="G2626" s="93" t="s">
        <v>347</v>
      </c>
      <c r="H2626" s="93" t="s">
        <v>343</v>
      </c>
      <c r="I2626" s="94">
        <v>0.5</v>
      </c>
      <c r="J2626" s="95">
        <v>37.5</v>
      </c>
    </row>
    <row r="2627" spans="1:10" x14ac:dyDescent="0.25">
      <c r="A2627" s="92">
        <v>45945</v>
      </c>
      <c r="B2627" s="93" t="s">
        <v>325</v>
      </c>
      <c r="C2627" s="89" t="s">
        <v>40</v>
      </c>
      <c r="D2627" s="93" t="s">
        <v>290</v>
      </c>
      <c r="E2627" s="93" t="s">
        <v>34</v>
      </c>
      <c r="F2627" s="93" t="s">
        <v>428</v>
      </c>
      <c r="G2627" s="93" t="s">
        <v>347</v>
      </c>
      <c r="H2627" s="93" t="s">
        <v>343</v>
      </c>
      <c r="I2627" s="94">
        <v>0.17</v>
      </c>
      <c r="J2627" s="95">
        <v>12.750000000000002</v>
      </c>
    </row>
    <row r="2628" spans="1:10" x14ac:dyDescent="0.25">
      <c r="A2628" s="92">
        <v>45945</v>
      </c>
      <c r="B2628" s="93" t="s">
        <v>329</v>
      </c>
      <c r="C2628" s="89" t="s">
        <v>40</v>
      </c>
      <c r="D2628" s="93" t="s">
        <v>296</v>
      </c>
      <c r="E2628" s="93" t="s">
        <v>34</v>
      </c>
      <c r="F2628" s="93" t="s">
        <v>411</v>
      </c>
      <c r="G2628" s="93" t="s">
        <v>347</v>
      </c>
      <c r="H2628" s="93" t="s">
        <v>343</v>
      </c>
      <c r="I2628" s="94">
        <v>0.33</v>
      </c>
      <c r="J2628" s="95">
        <v>24.75</v>
      </c>
    </row>
    <row r="2629" spans="1:10" x14ac:dyDescent="0.25">
      <c r="A2629" s="92">
        <v>45945</v>
      </c>
      <c r="B2629" s="93" t="s">
        <v>325</v>
      </c>
      <c r="C2629" s="89" t="s">
        <v>40</v>
      </c>
      <c r="D2629" s="93" t="s">
        <v>253</v>
      </c>
      <c r="E2629" s="93" t="s">
        <v>34</v>
      </c>
      <c r="F2629" s="93" t="s">
        <v>408</v>
      </c>
      <c r="G2629" s="93" t="s">
        <v>347</v>
      </c>
      <c r="H2629" s="93" t="s">
        <v>343</v>
      </c>
      <c r="I2629" s="94">
        <v>0.17</v>
      </c>
      <c r="J2629" s="95">
        <v>12.750000000000002</v>
      </c>
    </row>
    <row r="2630" spans="1:10" x14ac:dyDescent="0.25">
      <c r="A2630" s="92">
        <v>45945</v>
      </c>
      <c r="B2630" s="93" t="s">
        <v>330</v>
      </c>
      <c r="C2630" s="89" t="s">
        <v>40</v>
      </c>
      <c r="D2630" s="93" t="s">
        <v>255</v>
      </c>
      <c r="E2630" s="93" t="s">
        <v>34</v>
      </c>
      <c r="F2630" s="93" t="s">
        <v>462</v>
      </c>
      <c r="G2630" s="93" t="s">
        <v>347</v>
      </c>
      <c r="H2630" s="93" t="s">
        <v>343</v>
      </c>
      <c r="I2630" s="94">
        <v>0.5</v>
      </c>
      <c r="J2630" s="95">
        <v>30</v>
      </c>
    </row>
    <row r="2631" spans="1:10" x14ac:dyDescent="0.25">
      <c r="A2631" s="92">
        <v>45945</v>
      </c>
      <c r="B2631" s="93" t="s">
        <v>329</v>
      </c>
      <c r="C2631" s="89" t="s">
        <v>40</v>
      </c>
      <c r="D2631" s="93" t="s">
        <v>230</v>
      </c>
      <c r="E2631" s="93" t="s">
        <v>34</v>
      </c>
      <c r="F2631" s="93" t="s">
        <v>410</v>
      </c>
      <c r="G2631" s="93" t="s">
        <v>347</v>
      </c>
      <c r="H2631" s="93" t="s">
        <v>343</v>
      </c>
      <c r="I2631" s="94">
        <v>0.25</v>
      </c>
      <c r="J2631" s="95">
        <v>18.75</v>
      </c>
    </row>
    <row r="2632" spans="1:10" x14ac:dyDescent="0.25">
      <c r="A2632" s="92">
        <v>45945</v>
      </c>
      <c r="B2632" s="93" t="s">
        <v>326</v>
      </c>
      <c r="C2632" s="89" t="s">
        <v>40</v>
      </c>
      <c r="D2632" s="93" t="s">
        <v>235</v>
      </c>
      <c r="E2632" s="93" t="s">
        <v>34</v>
      </c>
      <c r="F2632" s="93" t="s">
        <v>355</v>
      </c>
      <c r="G2632" s="93" t="s">
        <v>348</v>
      </c>
      <c r="H2632" s="93" t="s">
        <v>343</v>
      </c>
      <c r="I2632" s="94">
        <v>0.67</v>
      </c>
      <c r="J2632" s="95">
        <v>40.200000000000003</v>
      </c>
    </row>
    <row r="2633" spans="1:10" x14ac:dyDescent="0.25">
      <c r="A2633" s="92">
        <v>45945</v>
      </c>
      <c r="B2633" s="93" t="s">
        <v>326</v>
      </c>
      <c r="C2633" s="89" t="s">
        <v>40</v>
      </c>
      <c r="D2633" s="93" t="s">
        <v>234</v>
      </c>
      <c r="E2633" s="93" t="s">
        <v>34</v>
      </c>
      <c r="F2633" s="93" t="s">
        <v>389</v>
      </c>
      <c r="G2633" s="93" t="s">
        <v>348</v>
      </c>
      <c r="H2633" s="93" t="s">
        <v>343</v>
      </c>
      <c r="I2633" s="94">
        <v>0.67</v>
      </c>
      <c r="J2633" s="95">
        <v>40.200000000000003</v>
      </c>
    </row>
    <row r="2634" spans="1:10" x14ac:dyDescent="0.25">
      <c r="A2634" s="92">
        <v>45945</v>
      </c>
      <c r="B2634" s="93" t="s">
        <v>326</v>
      </c>
      <c r="C2634" s="89" t="s">
        <v>40</v>
      </c>
      <c r="D2634" s="93" t="s">
        <v>233</v>
      </c>
      <c r="E2634" s="93" t="s">
        <v>34</v>
      </c>
      <c r="F2634" s="93" t="s">
        <v>387</v>
      </c>
      <c r="G2634" s="93" t="s">
        <v>348</v>
      </c>
      <c r="H2634" s="93" t="s">
        <v>343</v>
      </c>
      <c r="I2634" s="94">
        <v>0.75</v>
      </c>
      <c r="J2634" s="95">
        <v>45</v>
      </c>
    </row>
    <row r="2635" spans="1:10" x14ac:dyDescent="0.25">
      <c r="A2635" s="92">
        <v>45945</v>
      </c>
      <c r="B2635" s="93" t="s">
        <v>326</v>
      </c>
      <c r="C2635" s="89" t="s">
        <v>40</v>
      </c>
      <c r="D2635" s="93" t="s">
        <v>175</v>
      </c>
      <c r="E2635" s="93" t="s">
        <v>34</v>
      </c>
      <c r="F2635" s="93" t="s">
        <v>388</v>
      </c>
      <c r="G2635" s="93" t="s">
        <v>348</v>
      </c>
      <c r="H2635" s="93" t="s">
        <v>343</v>
      </c>
      <c r="I2635" s="94">
        <v>0.57999999999999996</v>
      </c>
      <c r="J2635" s="95">
        <v>34.799999999999997</v>
      </c>
    </row>
    <row r="2636" spans="1:10" x14ac:dyDescent="0.25">
      <c r="A2636" s="92">
        <v>45945</v>
      </c>
      <c r="B2636" s="93" t="s">
        <v>326</v>
      </c>
      <c r="C2636" s="89" t="s">
        <v>40</v>
      </c>
      <c r="D2636" s="93" t="s">
        <v>236</v>
      </c>
      <c r="E2636" s="93" t="s">
        <v>34</v>
      </c>
      <c r="F2636" s="93" t="s">
        <v>357</v>
      </c>
      <c r="G2636" s="93" t="s">
        <v>348</v>
      </c>
      <c r="H2636" s="93" t="s">
        <v>343</v>
      </c>
      <c r="I2636" s="94">
        <v>0.33</v>
      </c>
      <c r="J2636" s="95">
        <v>19.8</v>
      </c>
    </row>
    <row r="2637" spans="1:10" x14ac:dyDescent="0.25">
      <c r="A2637" s="92">
        <v>45945</v>
      </c>
      <c r="B2637" s="93" t="s">
        <v>326</v>
      </c>
      <c r="C2637" s="89" t="s">
        <v>40</v>
      </c>
      <c r="D2637" s="93" t="s">
        <v>309</v>
      </c>
      <c r="E2637" s="93" t="s">
        <v>34</v>
      </c>
      <c r="F2637" s="93" t="s">
        <v>454</v>
      </c>
      <c r="G2637" s="93" t="s">
        <v>348</v>
      </c>
      <c r="H2637" s="93" t="s">
        <v>343</v>
      </c>
      <c r="I2637" s="94">
        <v>1.42</v>
      </c>
      <c r="J2637" s="95">
        <v>85.199999999999989</v>
      </c>
    </row>
    <row r="2638" spans="1:10" x14ac:dyDescent="0.25">
      <c r="A2638" s="92">
        <v>45946</v>
      </c>
      <c r="B2638" s="93" t="s">
        <v>329</v>
      </c>
      <c r="C2638" s="89" t="s">
        <v>40</v>
      </c>
      <c r="D2638" s="93" t="s">
        <v>316</v>
      </c>
      <c r="E2638" s="93" t="s">
        <v>35</v>
      </c>
      <c r="F2638" s="93" t="s">
        <v>338</v>
      </c>
      <c r="G2638" s="93" t="s">
        <v>337</v>
      </c>
      <c r="H2638" s="93" t="s">
        <v>352</v>
      </c>
      <c r="I2638" s="94">
        <v>1.17</v>
      </c>
      <c r="J2638" s="95">
        <v>87.75</v>
      </c>
    </row>
    <row r="2639" spans="1:10" x14ac:dyDescent="0.25">
      <c r="A2639" s="92">
        <v>45946</v>
      </c>
      <c r="B2639" s="93" t="s">
        <v>330</v>
      </c>
      <c r="C2639" s="89" t="s">
        <v>40</v>
      </c>
      <c r="D2639" s="93" t="s">
        <v>178</v>
      </c>
      <c r="E2639" s="93" t="s">
        <v>341</v>
      </c>
      <c r="F2639" s="93" t="s">
        <v>460</v>
      </c>
      <c r="G2639" s="93" t="s">
        <v>347</v>
      </c>
      <c r="H2639" s="93" t="s">
        <v>344</v>
      </c>
      <c r="I2639" s="94">
        <v>0.25</v>
      </c>
      <c r="J2639" s="95">
        <v>15</v>
      </c>
    </row>
    <row r="2640" spans="1:10" x14ac:dyDescent="0.25">
      <c r="A2640" s="92">
        <v>45946</v>
      </c>
      <c r="B2640" s="93" t="s">
        <v>330</v>
      </c>
      <c r="C2640" s="89" t="s">
        <v>40</v>
      </c>
      <c r="D2640" s="93" t="s">
        <v>190</v>
      </c>
      <c r="E2640" s="93" t="s">
        <v>341</v>
      </c>
      <c r="F2640" s="93" t="s">
        <v>438</v>
      </c>
      <c r="G2640" s="93" t="s">
        <v>347</v>
      </c>
      <c r="H2640" s="93" t="s">
        <v>344</v>
      </c>
      <c r="I2640" s="94">
        <v>1</v>
      </c>
      <c r="J2640" s="95">
        <v>60</v>
      </c>
    </row>
    <row r="2641" spans="1:10" x14ac:dyDescent="0.25">
      <c r="A2641" s="92">
        <v>45946</v>
      </c>
      <c r="B2641" s="93" t="s">
        <v>329</v>
      </c>
      <c r="C2641" s="89" t="s">
        <v>40</v>
      </c>
      <c r="D2641" s="93" t="s">
        <v>302</v>
      </c>
      <c r="E2641" s="93" t="s">
        <v>341</v>
      </c>
      <c r="F2641" s="93" t="s">
        <v>398</v>
      </c>
      <c r="G2641" s="93" t="s">
        <v>347</v>
      </c>
      <c r="H2641" s="93" t="s">
        <v>344</v>
      </c>
      <c r="I2641" s="94">
        <v>1.75</v>
      </c>
      <c r="J2641" s="95">
        <v>131.25</v>
      </c>
    </row>
    <row r="2642" spans="1:10" x14ac:dyDescent="0.25">
      <c r="A2642" s="92">
        <v>45946</v>
      </c>
      <c r="B2642" s="93" t="s">
        <v>323</v>
      </c>
      <c r="C2642" s="89" t="s">
        <v>40</v>
      </c>
      <c r="D2642" s="93" t="s">
        <v>202</v>
      </c>
      <c r="E2642" s="93" t="s">
        <v>36</v>
      </c>
      <c r="F2642" s="93" t="s">
        <v>431</v>
      </c>
      <c r="G2642" s="93" t="s">
        <v>346</v>
      </c>
      <c r="H2642" s="93" t="s">
        <v>342</v>
      </c>
      <c r="I2642" s="94">
        <v>1</v>
      </c>
      <c r="J2642" s="95">
        <v>60</v>
      </c>
    </row>
    <row r="2643" spans="1:10" x14ac:dyDescent="0.25">
      <c r="A2643" s="92">
        <v>45946</v>
      </c>
      <c r="B2643" s="93" t="s">
        <v>332</v>
      </c>
      <c r="C2643" s="89" t="s">
        <v>40</v>
      </c>
      <c r="D2643" s="93" t="s">
        <v>314</v>
      </c>
      <c r="E2643" s="93" t="s">
        <v>35</v>
      </c>
      <c r="F2643" s="93" t="s">
        <v>359</v>
      </c>
      <c r="G2643" s="93" t="s">
        <v>339</v>
      </c>
      <c r="H2643" s="93" t="s">
        <v>352</v>
      </c>
      <c r="I2643" s="94">
        <v>9.33</v>
      </c>
      <c r="J2643" s="95">
        <v>373.2</v>
      </c>
    </row>
    <row r="2644" spans="1:10" x14ac:dyDescent="0.25">
      <c r="A2644" s="92">
        <v>45946</v>
      </c>
      <c r="B2644" s="93" t="s">
        <v>324</v>
      </c>
      <c r="C2644" s="89" t="s">
        <v>40</v>
      </c>
      <c r="D2644" s="93" t="s">
        <v>314</v>
      </c>
      <c r="E2644" s="93" t="s">
        <v>35</v>
      </c>
      <c r="F2644" s="93" t="s">
        <v>359</v>
      </c>
      <c r="G2644" s="93" t="s">
        <v>339</v>
      </c>
      <c r="H2644" s="93" t="s">
        <v>352</v>
      </c>
      <c r="I2644" s="94">
        <v>4.33</v>
      </c>
      <c r="J2644" s="95">
        <v>324.75</v>
      </c>
    </row>
    <row r="2645" spans="1:10" x14ac:dyDescent="0.25">
      <c r="A2645" s="92">
        <v>45946</v>
      </c>
      <c r="B2645" s="93" t="s">
        <v>333</v>
      </c>
      <c r="C2645" s="89" t="s">
        <v>40</v>
      </c>
      <c r="D2645" s="93" t="s">
        <v>320</v>
      </c>
      <c r="E2645" s="93" t="s">
        <v>35</v>
      </c>
      <c r="F2645" s="93" t="s">
        <v>322</v>
      </c>
      <c r="G2645" s="93" t="s">
        <v>319</v>
      </c>
      <c r="H2645" s="93" t="s">
        <v>352</v>
      </c>
      <c r="I2645" s="94">
        <v>7.58</v>
      </c>
      <c r="J2645" s="95">
        <v>242.56</v>
      </c>
    </row>
    <row r="2646" spans="1:10" x14ac:dyDescent="0.25">
      <c r="A2646" s="92">
        <v>45946</v>
      </c>
      <c r="B2646" s="93" t="s">
        <v>327</v>
      </c>
      <c r="C2646" s="89" t="s">
        <v>40</v>
      </c>
      <c r="D2646" s="93" t="s">
        <v>320</v>
      </c>
      <c r="E2646" s="93" t="s">
        <v>35</v>
      </c>
      <c r="F2646" s="93" t="s">
        <v>322</v>
      </c>
      <c r="G2646" s="93" t="s">
        <v>319</v>
      </c>
      <c r="H2646" s="93" t="s">
        <v>352</v>
      </c>
      <c r="I2646" s="94">
        <v>7.25</v>
      </c>
      <c r="J2646" s="95">
        <v>232</v>
      </c>
    </row>
    <row r="2647" spans="1:10" x14ac:dyDescent="0.25">
      <c r="A2647" s="92">
        <v>45946</v>
      </c>
      <c r="B2647" s="93" t="s">
        <v>323</v>
      </c>
      <c r="C2647" s="89" t="s">
        <v>40</v>
      </c>
      <c r="D2647" s="93" t="s">
        <v>200</v>
      </c>
      <c r="E2647" s="93" t="s">
        <v>341</v>
      </c>
      <c r="F2647" s="93" t="s">
        <v>391</v>
      </c>
      <c r="G2647" s="93" t="s">
        <v>346</v>
      </c>
      <c r="H2647" s="93" t="s">
        <v>344</v>
      </c>
      <c r="I2647" s="94">
        <v>1</v>
      </c>
      <c r="J2647" s="95">
        <v>60</v>
      </c>
    </row>
    <row r="2648" spans="1:10" x14ac:dyDescent="0.25">
      <c r="A2648" s="92">
        <v>45946</v>
      </c>
      <c r="B2648" s="93" t="s">
        <v>323</v>
      </c>
      <c r="C2648" s="89" t="s">
        <v>40</v>
      </c>
      <c r="D2648" s="93" t="s">
        <v>202</v>
      </c>
      <c r="E2648" s="93" t="s">
        <v>341</v>
      </c>
      <c r="F2648" s="93" t="s">
        <v>431</v>
      </c>
      <c r="G2648" s="93" t="s">
        <v>346</v>
      </c>
      <c r="H2648" s="93" t="s">
        <v>344</v>
      </c>
      <c r="I2648" s="94">
        <v>1</v>
      </c>
      <c r="J2648" s="95">
        <v>60</v>
      </c>
    </row>
    <row r="2649" spans="1:10" x14ac:dyDescent="0.25">
      <c r="A2649" s="92">
        <v>45946</v>
      </c>
      <c r="B2649" s="93" t="s">
        <v>330</v>
      </c>
      <c r="C2649" s="89" t="s">
        <v>40</v>
      </c>
      <c r="D2649" s="93" t="s">
        <v>252</v>
      </c>
      <c r="E2649" s="93" t="s">
        <v>36</v>
      </c>
      <c r="F2649" s="93" t="s">
        <v>416</v>
      </c>
      <c r="G2649" s="93" t="s">
        <v>347</v>
      </c>
      <c r="H2649" s="93" t="s">
        <v>342</v>
      </c>
      <c r="I2649" s="94">
        <v>2</v>
      </c>
      <c r="J2649" s="95">
        <v>120</v>
      </c>
    </row>
    <row r="2650" spans="1:10" x14ac:dyDescent="0.25">
      <c r="A2650" s="92">
        <v>45946</v>
      </c>
      <c r="B2650" s="93" t="s">
        <v>325</v>
      </c>
      <c r="C2650" s="89" t="s">
        <v>40</v>
      </c>
      <c r="D2650" s="93" t="s">
        <v>180</v>
      </c>
      <c r="E2650" s="93" t="s">
        <v>34</v>
      </c>
      <c r="F2650" s="93" t="s">
        <v>465</v>
      </c>
      <c r="G2650" s="93" t="s">
        <v>347</v>
      </c>
      <c r="H2650" s="93" t="s">
        <v>343</v>
      </c>
      <c r="I2650" s="94">
        <v>0.33</v>
      </c>
      <c r="J2650" s="95">
        <v>24.75</v>
      </c>
    </row>
    <row r="2651" spans="1:10" x14ac:dyDescent="0.25">
      <c r="A2651" s="92">
        <v>45946</v>
      </c>
      <c r="B2651" s="93" t="s">
        <v>329</v>
      </c>
      <c r="C2651" s="89" t="s">
        <v>40</v>
      </c>
      <c r="D2651" s="93" t="s">
        <v>302</v>
      </c>
      <c r="E2651" s="93" t="s">
        <v>34</v>
      </c>
      <c r="F2651" s="93" t="s">
        <v>398</v>
      </c>
      <c r="G2651" s="93" t="s">
        <v>347</v>
      </c>
      <c r="H2651" s="93" t="s">
        <v>343</v>
      </c>
      <c r="I2651" s="94">
        <v>0.5</v>
      </c>
      <c r="J2651" s="95">
        <v>37.5</v>
      </c>
    </row>
    <row r="2652" spans="1:10" x14ac:dyDescent="0.25">
      <c r="A2652" s="92">
        <v>45946</v>
      </c>
      <c r="B2652" s="93" t="s">
        <v>330</v>
      </c>
      <c r="C2652" s="89" t="s">
        <v>40</v>
      </c>
      <c r="D2652" s="93" t="s">
        <v>190</v>
      </c>
      <c r="E2652" s="93" t="s">
        <v>34</v>
      </c>
      <c r="F2652" s="93" t="s">
        <v>438</v>
      </c>
      <c r="G2652" s="93" t="s">
        <v>347</v>
      </c>
      <c r="H2652" s="93" t="s">
        <v>343</v>
      </c>
      <c r="I2652" s="94">
        <v>0.25</v>
      </c>
      <c r="J2652" s="95">
        <v>15</v>
      </c>
    </row>
    <row r="2653" spans="1:10" x14ac:dyDescent="0.25">
      <c r="A2653" s="92">
        <v>45946</v>
      </c>
      <c r="B2653" s="93" t="s">
        <v>329</v>
      </c>
      <c r="C2653" s="89" t="s">
        <v>40</v>
      </c>
      <c r="D2653" s="93" t="s">
        <v>241</v>
      </c>
      <c r="E2653" s="93" t="s">
        <v>34</v>
      </c>
      <c r="F2653" s="93" t="s">
        <v>403</v>
      </c>
      <c r="G2653" s="93" t="s">
        <v>347</v>
      </c>
      <c r="H2653" s="93" t="s">
        <v>343</v>
      </c>
      <c r="I2653" s="94">
        <v>0.67</v>
      </c>
      <c r="J2653" s="95">
        <v>50.25</v>
      </c>
    </row>
    <row r="2654" spans="1:10" x14ac:dyDescent="0.25">
      <c r="A2654" s="92">
        <v>45946</v>
      </c>
      <c r="B2654" s="93" t="s">
        <v>329</v>
      </c>
      <c r="C2654" s="89" t="s">
        <v>40</v>
      </c>
      <c r="D2654" s="93" t="s">
        <v>242</v>
      </c>
      <c r="E2654" s="93" t="s">
        <v>34</v>
      </c>
      <c r="F2654" s="93" t="s">
        <v>404</v>
      </c>
      <c r="G2654" s="93" t="s">
        <v>347</v>
      </c>
      <c r="H2654" s="93" t="s">
        <v>343</v>
      </c>
      <c r="I2654" s="94">
        <v>1</v>
      </c>
      <c r="J2654" s="95">
        <v>75</v>
      </c>
    </row>
    <row r="2655" spans="1:10" x14ac:dyDescent="0.25">
      <c r="A2655" s="92">
        <v>45946</v>
      </c>
      <c r="B2655" s="93" t="s">
        <v>329</v>
      </c>
      <c r="C2655" s="89" t="s">
        <v>40</v>
      </c>
      <c r="D2655" s="93" t="s">
        <v>296</v>
      </c>
      <c r="E2655" s="93" t="s">
        <v>34</v>
      </c>
      <c r="F2655" s="93" t="s">
        <v>411</v>
      </c>
      <c r="G2655" s="93" t="s">
        <v>347</v>
      </c>
      <c r="H2655" s="93" t="s">
        <v>343</v>
      </c>
      <c r="I2655" s="94">
        <v>1</v>
      </c>
      <c r="J2655" s="95">
        <v>75</v>
      </c>
    </row>
    <row r="2656" spans="1:10" x14ac:dyDescent="0.25">
      <c r="A2656" s="92">
        <v>45946</v>
      </c>
      <c r="B2656" s="93" t="s">
        <v>325</v>
      </c>
      <c r="C2656" s="89" t="s">
        <v>40</v>
      </c>
      <c r="D2656" s="93" t="s">
        <v>253</v>
      </c>
      <c r="E2656" s="93" t="s">
        <v>34</v>
      </c>
      <c r="F2656" s="93" t="s">
        <v>408</v>
      </c>
      <c r="G2656" s="93" t="s">
        <v>347</v>
      </c>
      <c r="H2656" s="93" t="s">
        <v>343</v>
      </c>
      <c r="I2656" s="94">
        <v>0.17</v>
      </c>
      <c r="J2656" s="95">
        <v>12.750000000000002</v>
      </c>
    </row>
    <row r="2657" spans="1:10" x14ac:dyDescent="0.25">
      <c r="A2657" s="92">
        <v>45946</v>
      </c>
      <c r="B2657" s="93" t="s">
        <v>325</v>
      </c>
      <c r="C2657" s="89" t="s">
        <v>40</v>
      </c>
      <c r="D2657" s="93" t="s">
        <v>277</v>
      </c>
      <c r="E2657" s="93" t="s">
        <v>34</v>
      </c>
      <c r="F2657" s="93" t="s">
        <v>353</v>
      </c>
      <c r="G2657" s="93" t="s">
        <v>347</v>
      </c>
      <c r="H2657" s="93" t="s">
        <v>343</v>
      </c>
      <c r="I2657" s="94">
        <v>0.17</v>
      </c>
      <c r="J2657" s="95">
        <v>12.750000000000002</v>
      </c>
    </row>
    <row r="2658" spans="1:10" x14ac:dyDescent="0.25">
      <c r="A2658" s="92">
        <v>45946</v>
      </c>
      <c r="B2658" s="93" t="s">
        <v>330</v>
      </c>
      <c r="C2658" s="89" t="s">
        <v>40</v>
      </c>
      <c r="D2658" s="93" t="s">
        <v>263</v>
      </c>
      <c r="E2658" s="93" t="s">
        <v>341</v>
      </c>
      <c r="F2658" s="93" t="s">
        <v>383</v>
      </c>
      <c r="G2658" s="93" t="s">
        <v>347</v>
      </c>
      <c r="H2658" s="93" t="s">
        <v>344</v>
      </c>
      <c r="I2658" s="94">
        <v>2.5</v>
      </c>
      <c r="J2658" s="95">
        <v>150</v>
      </c>
    </row>
    <row r="2659" spans="1:10" x14ac:dyDescent="0.25">
      <c r="A2659" s="92">
        <v>45946</v>
      </c>
      <c r="B2659" s="93" t="s">
        <v>329</v>
      </c>
      <c r="C2659" s="89" t="s">
        <v>40</v>
      </c>
      <c r="D2659" s="93" t="s">
        <v>299</v>
      </c>
      <c r="E2659" s="93" t="s">
        <v>312</v>
      </c>
      <c r="F2659" s="93" t="s">
        <v>455</v>
      </c>
      <c r="G2659" s="93" t="s">
        <v>347</v>
      </c>
      <c r="H2659" s="93" t="s">
        <v>350</v>
      </c>
      <c r="I2659" s="94">
        <v>0.33</v>
      </c>
      <c r="J2659" s="95">
        <v>24.75</v>
      </c>
    </row>
    <row r="2660" spans="1:10" x14ac:dyDescent="0.25">
      <c r="A2660" s="92">
        <v>45947</v>
      </c>
      <c r="B2660" s="93" t="s">
        <v>329</v>
      </c>
      <c r="C2660" s="89" t="s">
        <v>40</v>
      </c>
      <c r="D2660" s="93" t="s">
        <v>316</v>
      </c>
      <c r="E2660" s="93" t="s">
        <v>35</v>
      </c>
      <c r="F2660" s="93" t="s">
        <v>338</v>
      </c>
      <c r="G2660" s="93" t="s">
        <v>337</v>
      </c>
      <c r="H2660" s="93" t="s">
        <v>352</v>
      </c>
      <c r="I2660" s="94">
        <v>2.83</v>
      </c>
      <c r="J2660" s="95">
        <v>212.25</v>
      </c>
    </row>
    <row r="2661" spans="1:10" x14ac:dyDescent="0.25">
      <c r="A2661" s="92">
        <v>45947</v>
      </c>
      <c r="B2661" s="93" t="s">
        <v>323</v>
      </c>
      <c r="C2661" s="89" t="s">
        <v>40</v>
      </c>
      <c r="D2661" s="93" t="s">
        <v>201</v>
      </c>
      <c r="E2661" s="93" t="s">
        <v>36</v>
      </c>
      <c r="F2661" s="93" t="s">
        <v>395</v>
      </c>
      <c r="G2661" s="93" t="s">
        <v>346</v>
      </c>
      <c r="H2661" s="93" t="s">
        <v>342</v>
      </c>
      <c r="I2661" s="94">
        <v>1</v>
      </c>
      <c r="J2661" s="95">
        <v>60</v>
      </c>
    </row>
    <row r="2662" spans="1:10" x14ac:dyDescent="0.25">
      <c r="A2662" s="92">
        <v>45947</v>
      </c>
      <c r="B2662" s="93" t="s">
        <v>323</v>
      </c>
      <c r="C2662" s="89" t="s">
        <v>40</v>
      </c>
      <c r="D2662" s="93" t="s">
        <v>202</v>
      </c>
      <c r="E2662" s="93" t="s">
        <v>36</v>
      </c>
      <c r="F2662" s="93" t="s">
        <v>431</v>
      </c>
      <c r="G2662" s="93" t="s">
        <v>346</v>
      </c>
      <c r="H2662" s="93" t="s">
        <v>342</v>
      </c>
      <c r="I2662" s="94">
        <v>0.25</v>
      </c>
      <c r="J2662" s="95">
        <v>15</v>
      </c>
    </row>
    <row r="2663" spans="1:10" x14ac:dyDescent="0.25">
      <c r="A2663" s="92">
        <v>45947</v>
      </c>
      <c r="B2663" s="93" t="s">
        <v>332</v>
      </c>
      <c r="C2663" s="89" t="s">
        <v>40</v>
      </c>
      <c r="D2663" s="93" t="s">
        <v>314</v>
      </c>
      <c r="E2663" s="93" t="s">
        <v>35</v>
      </c>
      <c r="F2663" s="93" t="s">
        <v>359</v>
      </c>
      <c r="G2663" s="93" t="s">
        <v>339</v>
      </c>
      <c r="H2663" s="93" t="s">
        <v>352</v>
      </c>
      <c r="I2663" s="94">
        <v>7.33</v>
      </c>
      <c r="J2663" s="95">
        <v>293.2</v>
      </c>
    </row>
    <row r="2664" spans="1:10" x14ac:dyDescent="0.25">
      <c r="A2664" s="92">
        <v>45947</v>
      </c>
      <c r="B2664" s="93" t="s">
        <v>324</v>
      </c>
      <c r="C2664" s="89" t="s">
        <v>40</v>
      </c>
      <c r="D2664" s="93" t="s">
        <v>314</v>
      </c>
      <c r="E2664" s="93" t="s">
        <v>35</v>
      </c>
      <c r="F2664" s="93" t="s">
        <v>359</v>
      </c>
      <c r="G2664" s="93" t="s">
        <v>339</v>
      </c>
      <c r="H2664" s="93" t="s">
        <v>352</v>
      </c>
      <c r="I2664" s="94">
        <v>4</v>
      </c>
      <c r="J2664" s="95">
        <v>300</v>
      </c>
    </row>
    <row r="2665" spans="1:10" x14ac:dyDescent="0.25">
      <c r="A2665" s="92">
        <v>45947</v>
      </c>
      <c r="B2665" s="93" t="s">
        <v>333</v>
      </c>
      <c r="C2665" s="89" t="s">
        <v>40</v>
      </c>
      <c r="D2665" s="93" t="s">
        <v>320</v>
      </c>
      <c r="E2665" s="93" t="s">
        <v>35</v>
      </c>
      <c r="F2665" s="93" t="s">
        <v>322</v>
      </c>
      <c r="G2665" s="93" t="s">
        <v>319</v>
      </c>
      <c r="H2665" s="93" t="s">
        <v>352</v>
      </c>
      <c r="I2665" s="94">
        <v>7.52</v>
      </c>
      <c r="J2665" s="95">
        <v>240.64</v>
      </c>
    </row>
    <row r="2666" spans="1:10" x14ac:dyDescent="0.25">
      <c r="A2666" s="92">
        <v>45947</v>
      </c>
      <c r="B2666" s="93" t="s">
        <v>327</v>
      </c>
      <c r="C2666" s="89" t="s">
        <v>40</v>
      </c>
      <c r="D2666" s="93" t="s">
        <v>320</v>
      </c>
      <c r="E2666" s="93" t="s">
        <v>35</v>
      </c>
      <c r="F2666" s="93" t="s">
        <v>322</v>
      </c>
      <c r="G2666" s="93" t="s">
        <v>319</v>
      </c>
      <c r="H2666" s="93" t="s">
        <v>352</v>
      </c>
      <c r="I2666" s="94">
        <v>7.58</v>
      </c>
      <c r="J2666" s="95">
        <v>242.56</v>
      </c>
    </row>
    <row r="2667" spans="1:10" x14ac:dyDescent="0.25">
      <c r="A2667" s="92">
        <v>45947</v>
      </c>
      <c r="B2667" s="93" t="s">
        <v>323</v>
      </c>
      <c r="C2667" s="89" t="s">
        <v>40</v>
      </c>
      <c r="D2667" s="93" t="s">
        <v>231</v>
      </c>
      <c r="E2667" s="93" t="s">
        <v>34</v>
      </c>
      <c r="F2667" s="93" t="s">
        <v>420</v>
      </c>
      <c r="G2667" s="93" t="s">
        <v>346</v>
      </c>
      <c r="H2667" s="93" t="s">
        <v>343</v>
      </c>
      <c r="I2667" s="94">
        <v>0.25</v>
      </c>
      <c r="J2667" s="95">
        <v>15</v>
      </c>
    </row>
    <row r="2668" spans="1:10" x14ac:dyDescent="0.25">
      <c r="A2668" s="92">
        <v>45947</v>
      </c>
      <c r="B2668" s="93" t="s">
        <v>323</v>
      </c>
      <c r="C2668" s="89" t="s">
        <v>40</v>
      </c>
      <c r="D2668" s="93" t="s">
        <v>200</v>
      </c>
      <c r="E2668" s="93" t="s">
        <v>34</v>
      </c>
      <c r="F2668" s="93" t="s">
        <v>391</v>
      </c>
      <c r="G2668" s="93" t="s">
        <v>346</v>
      </c>
      <c r="H2668" s="93" t="s">
        <v>343</v>
      </c>
      <c r="I2668" s="94">
        <v>0.33</v>
      </c>
      <c r="J2668" s="95">
        <v>19.8</v>
      </c>
    </row>
    <row r="2669" spans="1:10" x14ac:dyDescent="0.25">
      <c r="A2669" s="92">
        <v>45947</v>
      </c>
      <c r="B2669" s="93" t="s">
        <v>329</v>
      </c>
      <c r="C2669" s="89" t="s">
        <v>40</v>
      </c>
      <c r="D2669" s="93" t="s">
        <v>206</v>
      </c>
      <c r="E2669" s="93" t="s">
        <v>34</v>
      </c>
      <c r="F2669" s="93" t="s">
        <v>367</v>
      </c>
      <c r="G2669" s="93" t="s">
        <v>347</v>
      </c>
      <c r="H2669" s="93" t="s">
        <v>343</v>
      </c>
      <c r="I2669" s="94">
        <v>0.08</v>
      </c>
      <c r="J2669" s="95">
        <v>6</v>
      </c>
    </row>
    <row r="2670" spans="1:10" x14ac:dyDescent="0.25">
      <c r="A2670" s="92">
        <v>45947</v>
      </c>
      <c r="B2670" s="93" t="s">
        <v>329</v>
      </c>
      <c r="C2670" s="89" t="s">
        <v>40</v>
      </c>
      <c r="D2670" s="93" t="s">
        <v>302</v>
      </c>
      <c r="E2670" s="93" t="s">
        <v>34</v>
      </c>
      <c r="F2670" s="93" t="s">
        <v>398</v>
      </c>
      <c r="G2670" s="93" t="s">
        <v>347</v>
      </c>
      <c r="H2670" s="93" t="s">
        <v>343</v>
      </c>
      <c r="I2670" s="94">
        <v>0.08</v>
      </c>
      <c r="J2670" s="95">
        <v>6</v>
      </c>
    </row>
    <row r="2671" spans="1:10" x14ac:dyDescent="0.25">
      <c r="A2671" s="92">
        <v>45947</v>
      </c>
      <c r="B2671" s="93" t="s">
        <v>329</v>
      </c>
      <c r="C2671" s="89" t="s">
        <v>40</v>
      </c>
      <c r="D2671" s="93" t="s">
        <v>301</v>
      </c>
      <c r="E2671" s="93" t="s">
        <v>34</v>
      </c>
      <c r="F2671" s="93" t="s">
        <v>371</v>
      </c>
      <c r="G2671" s="93" t="s">
        <v>347</v>
      </c>
      <c r="H2671" s="93" t="s">
        <v>343</v>
      </c>
      <c r="I2671" s="94">
        <v>0.25</v>
      </c>
      <c r="J2671" s="95">
        <v>18.75</v>
      </c>
    </row>
    <row r="2672" spans="1:10" x14ac:dyDescent="0.25">
      <c r="A2672" s="92">
        <v>45947</v>
      </c>
      <c r="B2672" s="93" t="s">
        <v>325</v>
      </c>
      <c r="C2672" s="89" t="s">
        <v>40</v>
      </c>
      <c r="D2672" s="93" t="s">
        <v>226</v>
      </c>
      <c r="E2672" s="93" t="s">
        <v>34</v>
      </c>
      <c r="F2672" s="93" t="s">
        <v>401</v>
      </c>
      <c r="G2672" s="93" t="s">
        <v>347</v>
      </c>
      <c r="H2672" s="93" t="s">
        <v>343</v>
      </c>
      <c r="I2672" s="94">
        <v>0.25</v>
      </c>
      <c r="J2672" s="95">
        <v>18.75</v>
      </c>
    </row>
    <row r="2673" spans="1:10" x14ac:dyDescent="0.25">
      <c r="A2673" s="92">
        <v>45947</v>
      </c>
      <c r="B2673" s="93" t="s">
        <v>329</v>
      </c>
      <c r="C2673" s="89" t="s">
        <v>40</v>
      </c>
      <c r="D2673" s="93" t="s">
        <v>240</v>
      </c>
      <c r="E2673" s="93" t="s">
        <v>34</v>
      </c>
      <c r="F2673" s="93" t="s">
        <v>402</v>
      </c>
      <c r="G2673" s="93" t="s">
        <v>347</v>
      </c>
      <c r="H2673" s="93" t="s">
        <v>343</v>
      </c>
      <c r="I2673" s="94">
        <v>0.17</v>
      </c>
      <c r="J2673" s="95">
        <v>12.750000000000002</v>
      </c>
    </row>
    <row r="2674" spans="1:10" x14ac:dyDescent="0.25">
      <c r="A2674" s="92">
        <v>45947</v>
      </c>
      <c r="B2674" s="93" t="s">
        <v>329</v>
      </c>
      <c r="C2674" s="89" t="s">
        <v>40</v>
      </c>
      <c r="D2674" s="93" t="s">
        <v>241</v>
      </c>
      <c r="E2674" s="93" t="s">
        <v>34</v>
      </c>
      <c r="F2674" s="93" t="s">
        <v>403</v>
      </c>
      <c r="G2674" s="93" t="s">
        <v>347</v>
      </c>
      <c r="H2674" s="93" t="s">
        <v>343</v>
      </c>
      <c r="I2674" s="94">
        <v>0.17</v>
      </c>
      <c r="J2674" s="95">
        <v>12.750000000000002</v>
      </c>
    </row>
    <row r="2675" spans="1:10" x14ac:dyDescent="0.25">
      <c r="A2675" s="92">
        <v>45947</v>
      </c>
      <c r="B2675" s="93" t="s">
        <v>329</v>
      </c>
      <c r="C2675" s="89" t="s">
        <v>40</v>
      </c>
      <c r="D2675" s="93" t="s">
        <v>242</v>
      </c>
      <c r="E2675" s="93" t="s">
        <v>34</v>
      </c>
      <c r="F2675" s="93" t="s">
        <v>404</v>
      </c>
      <c r="G2675" s="93" t="s">
        <v>347</v>
      </c>
      <c r="H2675" s="93" t="s">
        <v>343</v>
      </c>
      <c r="I2675" s="94">
        <v>0.17</v>
      </c>
      <c r="J2675" s="95">
        <v>12.750000000000002</v>
      </c>
    </row>
    <row r="2676" spans="1:10" x14ac:dyDescent="0.25">
      <c r="A2676" s="92">
        <v>45947</v>
      </c>
      <c r="B2676" s="93" t="s">
        <v>330</v>
      </c>
      <c r="C2676" s="89" t="s">
        <v>40</v>
      </c>
      <c r="D2676" s="93" t="s">
        <v>178</v>
      </c>
      <c r="E2676" s="93" t="s">
        <v>34</v>
      </c>
      <c r="F2676" s="93" t="s">
        <v>460</v>
      </c>
      <c r="G2676" s="93" t="s">
        <v>347</v>
      </c>
      <c r="H2676" s="93" t="s">
        <v>343</v>
      </c>
      <c r="I2676" s="94">
        <v>0.25</v>
      </c>
      <c r="J2676" s="95">
        <v>15</v>
      </c>
    </row>
    <row r="2677" spans="1:10" x14ac:dyDescent="0.25">
      <c r="A2677" s="92">
        <v>45947</v>
      </c>
      <c r="B2677" s="93" t="s">
        <v>329</v>
      </c>
      <c r="C2677" s="89" t="s">
        <v>40</v>
      </c>
      <c r="D2677" s="93" t="s">
        <v>288</v>
      </c>
      <c r="E2677" s="93" t="s">
        <v>34</v>
      </c>
      <c r="F2677" s="93" t="s">
        <v>405</v>
      </c>
      <c r="G2677" s="93" t="s">
        <v>347</v>
      </c>
      <c r="H2677" s="93" t="s">
        <v>343</v>
      </c>
      <c r="I2677" s="94">
        <v>1</v>
      </c>
      <c r="J2677" s="95">
        <v>75</v>
      </c>
    </row>
    <row r="2678" spans="1:10" x14ac:dyDescent="0.25">
      <c r="A2678" s="92">
        <v>45947</v>
      </c>
      <c r="B2678" s="93" t="s">
        <v>325</v>
      </c>
      <c r="C2678" s="89" t="s">
        <v>40</v>
      </c>
      <c r="D2678" s="93" t="s">
        <v>298</v>
      </c>
      <c r="E2678" s="93" t="s">
        <v>34</v>
      </c>
      <c r="F2678" s="93" t="s">
        <v>406</v>
      </c>
      <c r="G2678" s="93" t="s">
        <v>347</v>
      </c>
      <c r="H2678" s="93" t="s">
        <v>343</v>
      </c>
      <c r="I2678" s="94">
        <v>0.25</v>
      </c>
      <c r="J2678" s="95">
        <v>18.75</v>
      </c>
    </row>
    <row r="2679" spans="1:10" x14ac:dyDescent="0.25">
      <c r="A2679" s="92">
        <v>45947</v>
      </c>
      <c r="B2679" s="93" t="s">
        <v>330</v>
      </c>
      <c r="C2679" s="89" t="s">
        <v>40</v>
      </c>
      <c r="D2679" s="93" t="s">
        <v>261</v>
      </c>
      <c r="E2679" s="93" t="s">
        <v>34</v>
      </c>
      <c r="F2679" s="93" t="s">
        <v>444</v>
      </c>
      <c r="G2679" s="93" t="s">
        <v>347</v>
      </c>
      <c r="H2679" s="93" t="s">
        <v>343</v>
      </c>
      <c r="I2679" s="94">
        <v>0.92</v>
      </c>
      <c r="J2679" s="95">
        <v>55.2</v>
      </c>
    </row>
    <row r="2680" spans="1:10" x14ac:dyDescent="0.25">
      <c r="A2680" s="92">
        <v>45947</v>
      </c>
      <c r="B2680" s="93" t="s">
        <v>330</v>
      </c>
      <c r="C2680" s="89" t="s">
        <v>40</v>
      </c>
      <c r="D2680" s="93" t="s">
        <v>263</v>
      </c>
      <c r="E2680" s="93" t="s">
        <v>34</v>
      </c>
      <c r="F2680" s="93" t="s">
        <v>383</v>
      </c>
      <c r="G2680" s="93" t="s">
        <v>347</v>
      </c>
      <c r="H2680" s="93" t="s">
        <v>343</v>
      </c>
      <c r="I2680" s="94">
        <v>1.5</v>
      </c>
      <c r="J2680" s="95">
        <v>90</v>
      </c>
    </row>
    <row r="2681" spans="1:10" x14ac:dyDescent="0.25">
      <c r="A2681" s="92">
        <v>45947</v>
      </c>
      <c r="B2681" s="93" t="s">
        <v>330</v>
      </c>
      <c r="C2681" s="89" t="s">
        <v>40</v>
      </c>
      <c r="D2681" s="93" t="s">
        <v>261</v>
      </c>
      <c r="E2681" s="93" t="s">
        <v>341</v>
      </c>
      <c r="F2681" s="93" t="s">
        <v>444</v>
      </c>
      <c r="G2681" s="93" t="s">
        <v>347</v>
      </c>
      <c r="H2681" s="93" t="s">
        <v>344</v>
      </c>
      <c r="I2681" s="94">
        <v>1</v>
      </c>
      <c r="J2681" s="95">
        <v>60</v>
      </c>
    </row>
    <row r="2682" spans="1:10" x14ac:dyDescent="0.25">
      <c r="A2682" s="92">
        <v>45947</v>
      </c>
      <c r="B2682" s="93" t="s">
        <v>325</v>
      </c>
      <c r="C2682" s="89" t="s">
        <v>40</v>
      </c>
      <c r="D2682" s="93" t="s">
        <v>298</v>
      </c>
      <c r="E2682" s="93" t="s">
        <v>341</v>
      </c>
      <c r="F2682" s="93" t="s">
        <v>406</v>
      </c>
      <c r="G2682" s="93" t="s">
        <v>347</v>
      </c>
      <c r="H2682" s="93" t="s">
        <v>344</v>
      </c>
      <c r="I2682" s="94">
        <v>2</v>
      </c>
      <c r="J2682" s="95">
        <v>150</v>
      </c>
    </row>
    <row r="2683" spans="1:10" x14ac:dyDescent="0.25">
      <c r="A2683" s="92">
        <v>45947</v>
      </c>
      <c r="B2683" s="93" t="s">
        <v>329</v>
      </c>
      <c r="C2683" s="89" t="s">
        <v>40</v>
      </c>
      <c r="D2683" s="93" t="s">
        <v>288</v>
      </c>
      <c r="E2683" s="93" t="s">
        <v>341</v>
      </c>
      <c r="F2683" s="93" t="s">
        <v>405</v>
      </c>
      <c r="G2683" s="93" t="s">
        <v>347</v>
      </c>
      <c r="H2683" s="93" t="s">
        <v>344</v>
      </c>
      <c r="I2683" s="94">
        <v>2</v>
      </c>
      <c r="J2683" s="95">
        <v>150</v>
      </c>
    </row>
    <row r="2684" spans="1:10" x14ac:dyDescent="0.25">
      <c r="A2684" s="92">
        <v>45947</v>
      </c>
      <c r="B2684" s="93" t="s">
        <v>326</v>
      </c>
      <c r="C2684" s="89" t="s">
        <v>40</v>
      </c>
      <c r="D2684" s="93" t="s">
        <v>207</v>
      </c>
      <c r="E2684" s="93" t="s">
        <v>34</v>
      </c>
      <c r="F2684" s="93" t="s">
        <v>417</v>
      </c>
      <c r="G2684" s="93" t="s">
        <v>348</v>
      </c>
      <c r="H2684" s="93" t="s">
        <v>343</v>
      </c>
      <c r="I2684" s="94">
        <v>0.57999999999999996</v>
      </c>
      <c r="J2684" s="95">
        <v>34.799999999999997</v>
      </c>
    </row>
    <row r="2685" spans="1:10" x14ac:dyDescent="0.25">
      <c r="A2685" s="92">
        <v>45947</v>
      </c>
      <c r="B2685" s="93" t="s">
        <v>326</v>
      </c>
      <c r="C2685" s="89" t="s">
        <v>40</v>
      </c>
      <c r="D2685" s="93" t="s">
        <v>235</v>
      </c>
      <c r="E2685" s="93" t="s">
        <v>34</v>
      </c>
      <c r="F2685" s="93" t="s">
        <v>355</v>
      </c>
      <c r="G2685" s="93" t="s">
        <v>348</v>
      </c>
      <c r="H2685" s="93" t="s">
        <v>343</v>
      </c>
      <c r="I2685" s="94">
        <v>0.75</v>
      </c>
      <c r="J2685" s="95">
        <v>45</v>
      </c>
    </row>
    <row r="2686" spans="1:10" x14ac:dyDescent="0.25">
      <c r="A2686" s="92">
        <v>45947</v>
      </c>
      <c r="B2686" s="93" t="s">
        <v>326</v>
      </c>
      <c r="C2686" s="89" t="s">
        <v>40</v>
      </c>
      <c r="D2686" s="93" t="s">
        <v>188</v>
      </c>
      <c r="E2686" s="93" t="s">
        <v>34</v>
      </c>
      <c r="F2686" s="93" t="s">
        <v>356</v>
      </c>
      <c r="G2686" s="93" t="s">
        <v>348</v>
      </c>
      <c r="H2686" s="93" t="s">
        <v>343</v>
      </c>
      <c r="I2686" s="94">
        <v>0.57999999999999996</v>
      </c>
      <c r="J2686" s="95">
        <v>34.799999999999997</v>
      </c>
    </row>
    <row r="2687" spans="1:10" x14ac:dyDescent="0.25">
      <c r="A2687" s="92">
        <v>45948</v>
      </c>
      <c r="B2687" s="93" t="s">
        <v>332</v>
      </c>
      <c r="C2687" s="89" t="s">
        <v>40</v>
      </c>
      <c r="D2687" s="93" t="s">
        <v>314</v>
      </c>
      <c r="E2687" s="93" t="s">
        <v>35</v>
      </c>
      <c r="F2687" s="93" t="s">
        <v>359</v>
      </c>
      <c r="G2687" s="93" t="s">
        <v>339</v>
      </c>
      <c r="H2687" s="93" t="s">
        <v>352</v>
      </c>
      <c r="I2687" s="94">
        <v>5</v>
      </c>
      <c r="J2687" s="95">
        <v>200</v>
      </c>
    </row>
    <row r="2688" spans="1:10" x14ac:dyDescent="0.25">
      <c r="A2688" s="92">
        <v>45950</v>
      </c>
      <c r="B2688" s="93" t="s">
        <v>323</v>
      </c>
      <c r="C2688" s="89" t="s">
        <v>40</v>
      </c>
      <c r="D2688" s="93" t="s">
        <v>169</v>
      </c>
      <c r="E2688" s="93" t="s">
        <v>36</v>
      </c>
      <c r="F2688" s="93" t="s">
        <v>433</v>
      </c>
      <c r="G2688" s="93" t="s">
        <v>346</v>
      </c>
      <c r="H2688" s="93" t="s">
        <v>342</v>
      </c>
      <c r="I2688" s="94">
        <v>0.25</v>
      </c>
      <c r="J2688" s="95">
        <v>15</v>
      </c>
    </row>
    <row r="2689" spans="1:10" x14ac:dyDescent="0.25">
      <c r="A2689" s="92">
        <v>45950</v>
      </c>
      <c r="B2689" s="93" t="s">
        <v>323</v>
      </c>
      <c r="C2689" s="89" t="s">
        <v>40</v>
      </c>
      <c r="D2689" s="93" t="s">
        <v>200</v>
      </c>
      <c r="E2689" s="93" t="s">
        <v>36</v>
      </c>
      <c r="F2689" s="93" t="s">
        <v>391</v>
      </c>
      <c r="G2689" s="93" t="s">
        <v>346</v>
      </c>
      <c r="H2689" s="93" t="s">
        <v>342</v>
      </c>
      <c r="I2689" s="94">
        <v>0.25</v>
      </c>
      <c r="J2689" s="95">
        <v>15</v>
      </c>
    </row>
    <row r="2690" spans="1:10" x14ac:dyDescent="0.25">
      <c r="A2690" s="92">
        <v>45950</v>
      </c>
      <c r="B2690" s="93" t="s">
        <v>323</v>
      </c>
      <c r="C2690" s="89" t="s">
        <v>40</v>
      </c>
      <c r="D2690" s="93" t="s">
        <v>212</v>
      </c>
      <c r="E2690" s="93" t="s">
        <v>36</v>
      </c>
      <c r="F2690" s="93" t="s">
        <v>392</v>
      </c>
      <c r="G2690" s="93" t="s">
        <v>346</v>
      </c>
      <c r="H2690" s="93" t="s">
        <v>342</v>
      </c>
      <c r="I2690" s="94">
        <v>0.25</v>
      </c>
      <c r="J2690" s="95">
        <v>15</v>
      </c>
    </row>
    <row r="2691" spans="1:10" x14ac:dyDescent="0.25">
      <c r="A2691" s="92">
        <v>45950</v>
      </c>
      <c r="B2691" s="93" t="s">
        <v>323</v>
      </c>
      <c r="C2691" s="89" t="s">
        <v>40</v>
      </c>
      <c r="D2691" s="93" t="s">
        <v>219</v>
      </c>
      <c r="E2691" s="93" t="s">
        <v>36</v>
      </c>
      <c r="F2691" s="93" t="s">
        <v>432</v>
      </c>
      <c r="G2691" s="93" t="s">
        <v>346</v>
      </c>
      <c r="H2691" s="93" t="s">
        <v>342</v>
      </c>
      <c r="I2691" s="94">
        <v>0.25</v>
      </c>
      <c r="J2691" s="95">
        <v>15</v>
      </c>
    </row>
    <row r="2692" spans="1:10" x14ac:dyDescent="0.25">
      <c r="A2692" s="92">
        <v>45950</v>
      </c>
      <c r="B2692" s="93" t="s">
        <v>332</v>
      </c>
      <c r="C2692" s="89" t="s">
        <v>40</v>
      </c>
      <c r="D2692" s="93" t="s">
        <v>314</v>
      </c>
      <c r="E2692" s="93" t="s">
        <v>35</v>
      </c>
      <c r="F2692" s="93" t="s">
        <v>359</v>
      </c>
      <c r="G2692" s="93" t="s">
        <v>339</v>
      </c>
      <c r="H2692" s="93" t="s">
        <v>352</v>
      </c>
      <c r="I2692" s="94">
        <v>9.33</v>
      </c>
      <c r="J2692" s="95">
        <v>373.2</v>
      </c>
    </row>
    <row r="2693" spans="1:10" x14ac:dyDescent="0.25">
      <c r="A2693" s="92">
        <v>45950</v>
      </c>
      <c r="B2693" s="93" t="s">
        <v>324</v>
      </c>
      <c r="C2693" s="89" t="s">
        <v>40</v>
      </c>
      <c r="D2693" s="93" t="s">
        <v>314</v>
      </c>
      <c r="E2693" s="93" t="s">
        <v>35</v>
      </c>
      <c r="F2693" s="93" t="s">
        <v>359</v>
      </c>
      <c r="G2693" s="93" t="s">
        <v>339</v>
      </c>
      <c r="H2693" s="93" t="s">
        <v>352</v>
      </c>
      <c r="I2693" s="94">
        <v>4</v>
      </c>
      <c r="J2693" s="95">
        <v>300</v>
      </c>
    </row>
    <row r="2694" spans="1:10" x14ac:dyDescent="0.25">
      <c r="A2694" s="92">
        <v>45950</v>
      </c>
      <c r="B2694" s="93" t="s">
        <v>333</v>
      </c>
      <c r="C2694" s="89" t="s">
        <v>40</v>
      </c>
      <c r="D2694" s="93" t="s">
        <v>320</v>
      </c>
      <c r="E2694" s="93" t="s">
        <v>35</v>
      </c>
      <c r="F2694" s="93" t="s">
        <v>322</v>
      </c>
      <c r="G2694" s="93" t="s">
        <v>319</v>
      </c>
      <c r="H2694" s="93" t="s">
        <v>352</v>
      </c>
      <c r="I2694" s="94">
        <v>7.58</v>
      </c>
      <c r="J2694" s="95">
        <v>242.56</v>
      </c>
    </row>
    <row r="2695" spans="1:10" x14ac:dyDescent="0.25">
      <c r="A2695" s="92">
        <v>45950</v>
      </c>
      <c r="B2695" s="93" t="s">
        <v>327</v>
      </c>
      <c r="C2695" s="89" t="s">
        <v>40</v>
      </c>
      <c r="D2695" s="93" t="s">
        <v>320</v>
      </c>
      <c r="E2695" s="93" t="s">
        <v>35</v>
      </c>
      <c r="F2695" s="93" t="s">
        <v>322</v>
      </c>
      <c r="G2695" s="93" t="s">
        <v>319</v>
      </c>
      <c r="H2695" s="93" t="s">
        <v>352</v>
      </c>
      <c r="I2695" s="94">
        <v>7.5</v>
      </c>
      <c r="J2695" s="95">
        <v>240</v>
      </c>
    </row>
    <row r="2696" spans="1:10" x14ac:dyDescent="0.25">
      <c r="A2696" s="92">
        <v>45950</v>
      </c>
      <c r="B2696" s="93" t="s">
        <v>330</v>
      </c>
      <c r="C2696" s="89" t="s">
        <v>40</v>
      </c>
      <c r="D2696" s="93" t="s">
        <v>196</v>
      </c>
      <c r="E2696" s="93" t="s">
        <v>34</v>
      </c>
      <c r="F2696" s="93" t="s">
        <v>446</v>
      </c>
      <c r="G2696" s="93" t="s">
        <v>347</v>
      </c>
      <c r="H2696" s="93" t="s">
        <v>343</v>
      </c>
      <c r="I2696" s="94">
        <v>0.5</v>
      </c>
      <c r="J2696" s="95">
        <v>30</v>
      </c>
    </row>
    <row r="2697" spans="1:10" x14ac:dyDescent="0.25">
      <c r="A2697" s="92">
        <v>45950</v>
      </c>
      <c r="B2697" s="93" t="s">
        <v>325</v>
      </c>
      <c r="C2697" s="89" t="s">
        <v>40</v>
      </c>
      <c r="D2697" s="93" t="s">
        <v>205</v>
      </c>
      <c r="E2697" s="93" t="s">
        <v>34</v>
      </c>
      <c r="F2697" s="93" t="s">
        <v>470</v>
      </c>
      <c r="G2697" s="93" t="s">
        <v>347</v>
      </c>
      <c r="H2697" s="93" t="s">
        <v>343</v>
      </c>
      <c r="I2697" s="94">
        <v>0.17</v>
      </c>
      <c r="J2697" s="95">
        <v>12.750000000000002</v>
      </c>
    </row>
    <row r="2698" spans="1:10" x14ac:dyDescent="0.25">
      <c r="A2698" s="92">
        <v>45950</v>
      </c>
      <c r="B2698" s="93" t="s">
        <v>330</v>
      </c>
      <c r="C2698" s="89" t="s">
        <v>40</v>
      </c>
      <c r="D2698" s="93" t="s">
        <v>244</v>
      </c>
      <c r="E2698" s="93" t="s">
        <v>34</v>
      </c>
      <c r="F2698" s="93" t="s">
        <v>457</v>
      </c>
      <c r="G2698" s="93" t="s">
        <v>347</v>
      </c>
      <c r="H2698" s="93" t="s">
        <v>343</v>
      </c>
      <c r="I2698" s="94">
        <v>0.5</v>
      </c>
      <c r="J2698" s="95">
        <v>30</v>
      </c>
    </row>
    <row r="2699" spans="1:10" x14ac:dyDescent="0.25">
      <c r="A2699" s="92">
        <v>45950</v>
      </c>
      <c r="B2699" s="93" t="s">
        <v>325</v>
      </c>
      <c r="C2699" s="89" t="s">
        <v>40</v>
      </c>
      <c r="D2699" s="93" t="s">
        <v>307</v>
      </c>
      <c r="E2699" s="93" t="s">
        <v>34</v>
      </c>
      <c r="F2699" s="93" t="s">
        <v>472</v>
      </c>
      <c r="G2699" s="93" t="s">
        <v>347</v>
      </c>
      <c r="H2699" s="93" t="s">
        <v>343</v>
      </c>
      <c r="I2699" s="94">
        <v>0.17</v>
      </c>
      <c r="J2699" s="95">
        <v>12.750000000000002</v>
      </c>
    </row>
    <row r="2700" spans="1:10" x14ac:dyDescent="0.25">
      <c r="A2700" s="92">
        <v>45950</v>
      </c>
      <c r="B2700" s="93" t="s">
        <v>325</v>
      </c>
      <c r="C2700" s="89" t="s">
        <v>40</v>
      </c>
      <c r="D2700" s="93" t="s">
        <v>298</v>
      </c>
      <c r="E2700" s="93" t="s">
        <v>34</v>
      </c>
      <c r="F2700" s="93" t="s">
        <v>406</v>
      </c>
      <c r="G2700" s="93" t="s">
        <v>347</v>
      </c>
      <c r="H2700" s="93" t="s">
        <v>343</v>
      </c>
      <c r="I2700" s="94">
        <v>0.17</v>
      </c>
      <c r="J2700" s="95">
        <v>12.750000000000002</v>
      </c>
    </row>
    <row r="2701" spans="1:10" x14ac:dyDescent="0.25">
      <c r="A2701" s="92">
        <v>45950</v>
      </c>
      <c r="B2701" s="93" t="s">
        <v>325</v>
      </c>
      <c r="C2701" s="89" t="s">
        <v>40</v>
      </c>
      <c r="D2701" s="93" t="s">
        <v>253</v>
      </c>
      <c r="E2701" s="93" t="s">
        <v>34</v>
      </c>
      <c r="F2701" s="93" t="s">
        <v>408</v>
      </c>
      <c r="G2701" s="93" t="s">
        <v>347</v>
      </c>
      <c r="H2701" s="93" t="s">
        <v>343</v>
      </c>
      <c r="I2701" s="94">
        <v>0.33</v>
      </c>
      <c r="J2701" s="95">
        <v>24.75</v>
      </c>
    </row>
    <row r="2702" spans="1:10" x14ac:dyDescent="0.25">
      <c r="A2702" s="92">
        <v>45951</v>
      </c>
      <c r="B2702" s="93" t="s">
        <v>329</v>
      </c>
      <c r="C2702" s="89" t="s">
        <v>40</v>
      </c>
      <c r="D2702" s="93" t="s">
        <v>316</v>
      </c>
      <c r="E2702" s="93" t="s">
        <v>35</v>
      </c>
      <c r="F2702" s="93" t="s">
        <v>338</v>
      </c>
      <c r="G2702" s="93" t="s">
        <v>337</v>
      </c>
      <c r="H2702" s="93" t="s">
        <v>352</v>
      </c>
      <c r="I2702" s="94">
        <v>1.08</v>
      </c>
      <c r="J2702" s="95">
        <v>81</v>
      </c>
    </row>
    <row r="2703" spans="1:10" x14ac:dyDescent="0.25">
      <c r="A2703" s="92">
        <v>45951</v>
      </c>
      <c r="B2703" s="93" t="s">
        <v>325</v>
      </c>
      <c r="C2703" s="89" t="s">
        <v>40</v>
      </c>
      <c r="D2703" s="93" t="s">
        <v>205</v>
      </c>
      <c r="E2703" s="93" t="s">
        <v>341</v>
      </c>
      <c r="F2703" s="93" t="s">
        <v>470</v>
      </c>
      <c r="G2703" s="93" t="s">
        <v>347</v>
      </c>
      <c r="H2703" s="93" t="s">
        <v>344</v>
      </c>
      <c r="I2703" s="94">
        <v>1.92</v>
      </c>
      <c r="J2703" s="95">
        <v>144</v>
      </c>
    </row>
    <row r="2704" spans="1:10" x14ac:dyDescent="0.25">
      <c r="A2704" s="92">
        <v>45951</v>
      </c>
      <c r="B2704" s="93" t="s">
        <v>323</v>
      </c>
      <c r="C2704" s="89" t="s">
        <v>40</v>
      </c>
      <c r="D2704" s="93" t="s">
        <v>168</v>
      </c>
      <c r="E2704" s="93" t="s">
        <v>36</v>
      </c>
      <c r="F2704" s="93" t="s">
        <v>419</v>
      </c>
      <c r="G2704" s="93" t="s">
        <v>346</v>
      </c>
      <c r="H2704" s="93" t="s">
        <v>342</v>
      </c>
      <c r="I2704" s="94">
        <v>0.25</v>
      </c>
      <c r="J2704" s="95">
        <v>15</v>
      </c>
    </row>
    <row r="2705" spans="1:10" x14ac:dyDescent="0.25">
      <c r="A2705" s="92">
        <v>45951</v>
      </c>
      <c r="B2705" s="93" t="s">
        <v>323</v>
      </c>
      <c r="C2705" s="89" t="s">
        <v>40</v>
      </c>
      <c r="D2705" s="93" t="s">
        <v>172</v>
      </c>
      <c r="E2705" s="93" t="s">
        <v>36</v>
      </c>
      <c r="F2705" s="93" t="s">
        <v>426</v>
      </c>
      <c r="G2705" s="93" t="s">
        <v>346</v>
      </c>
      <c r="H2705" s="93" t="s">
        <v>342</v>
      </c>
      <c r="I2705" s="94">
        <v>0.25</v>
      </c>
      <c r="J2705" s="95">
        <v>15</v>
      </c>
    </row>
    <row r="2706" spans="1:10" x14ac:dyDescent="0.25">
      <c r="A2706" s="92">
        <v>45951</v>
      </c>
      <c r="B2706" s="93" t="s">
        <v>323</v>
      </c>
      <c r="C2706" s="89" t="s">
        <v>40</v>
      </c>
      <c r="D2706" s="93" t="s">
        <v>201</v>
      </c>
      <c r="E2706" s="93" t="s">
        <v>36</v>
      </c>
      <c r="F2706" s="93" t="s">
        <v>395</v>
      </c>
      <c r="G2706" s="93" t="s">
        <v>346</v>
      </c>
      <c r="H2706" s="93" t="s">
        <v>342</v>
      </c>
      <c r="I2706" s="94">
        <v>0.25</v>
      </c>
      <c r="J2706" s="95">
        <v>15</v>
      </c>
    </row>
    <row r="2707" spans="1:10" x14ac:dyDescent="0.25">
      <c r="A2707" s="92">
        <v>45951</v>
      </c>
      <c r="B2707" s="93" t="s">
        <v>323</v>
      </c>
      <c r="C2707" s="89" t="s">
        <v>40</v>
      </c>
      <c r="D2707" s="93" t="s">
        <v>202</v>
      </c>
      <c r="E2707" s="93" t="s">
        <v>36</v>
      </c>
      <c r="F2707" s="93" t="s">
        <v>431</v>
      </c>
      <c r="G2707" s="93" t="s">
        <v>346</v>
      </c>
      <c r="H2707" s="93" t="s">
        <v>342</v>
      </c>
      <c r="I2707" s="94">
        <v>0.25</v>
      </c>
      <c r="J2707" s="95">
        <v>15</v>
      </c>
    </row>
    <row r="2708" spans="1:10" x14ac:dyDescent="0.25">
      <c r="A2708" s="92">
        <v>45951</v>
      </c>
      <c r="B2708" s="93" t="s">
        <v>323</v>
      </c>
      <c r="C2708" s="89" t="s">
        <v>40</v>
      </c>
      <c r="D2708" s="93" t="s">
        <v>216</v>
      </c>
      <c r="E2708" s="93" t="s">
        <v>36</v>
      </c>
      <c r="F2708" s="93" t="s">
        <v>473</v>
      </c>
      <c r="G2708" s="93" t="s">
        <v>346</v>
      </c>
      <c r="H2708" s="93" t="s">
        <v>342</v>
      </c>
      <c r="I2708" s="94">
        <v>0.25</v>
      </c>
      <c r="J2708" s="95">
        <v>15</v>
      </c>
    </row>
    <row r="2709" spans="1:10" x14ac:dyDescent="0.25">
      <c r="A2709" s="92">
        <v>45951</v>
      </c>
      <c r="B2709" s="93" t="s">
        <v>323</v>
      </c>
      <c r="C2709" s="89" t="s">
        <v>40</v>
      </c>
      <c r="D2709" s="93" t="s">
        <v>219</v>
      </c>
      <c r="E2709" s="93" t="s">
        <v>36</v>
      </c>
      <c r="F2709" s="93" t="s">
        <v>432</v>
      </c>
      <c r="G2709" s="93" t="s">
        <v>346</v>
      </c>
      <c r="H2709" s="93" t="s">
        <v>342</v>
      </c>
      <c r="I2709" s="94">
        <v>0.25</v>
      </c>
      <c r="J2709" s="95">
        <v>15</v>
      </c>
    </row>
    <row r="2710" spans="1:10" x14ac:dyDescent="0.25">
      <c r="A2710" s="92">
        <v>45951</v>
      </c>
      <c r="B2710" s="93" t="s">
        <v>332</v>
      </c>
      <c r="C2710" s="89" t="s">
        <v>40</v>
      </c>
      <c r="D2710" s="93" t="s">
        <v>314</v>
      </c>
      <c r="E2710" s="93" t="s">
        <v>35</v>
      </c>
      <c r="F2710" s="93" t="s">
        <v>359</v>
      </c>
      <c r="G2710" s="93" t="s">
        <v>339</v>
      </c>
      <c r="H2710" s="93" t="s">
        <v>352</v>
      </c>
      <c r="I2710" s="94">
        <v>8.17</v>
      </c>
      <c r="J2710" s="95">
        <v>326.8</v>
      </c>
    </row>
    <row r="2711" spans="1:10" x14ac:dyDescent="0.25">
      <c r="A2711" s="92">
        <v>45951</v>
      </c>
      <c r="B2711" s="93" t="s">
        <v>324</v>
      </c>
      <c r="C2711" s="89" t="s">
        <v>40</v>
      </c>
      <c r="D2711" s="93" t="s">
        <v>314</v>
      </c>
      <c r="E2711" s="93" t="s">
        <v>35</v>
      </c>
      <c r="F2711" s="93" t="s">
        <v>359</v>
      </c>
      <c r="G2711" s="93" t="s">
        <v>339</v>
      </c>
      <c r="H2711" s="93" t="s">
        <v>352</v>
      </c>
      <c r="I2711" s="94">
        <v>7</v>
      </c>
      <c r="J2711" s="95">
        <v>525</v>
      </c>
    </row>
    <row r="2712" spans="1:10" x14ac:dyDescent="0.25">
      <c r="A2712" s="92">
        <v>45951</v>
      </c>
      <c r="B2712" s="93" t="s">
        <v>333</v>
      </c>
      <c r="C2712" s="89" t="s">
        <v>40</v>
      </c>
      <c r="D2712" s="93" t="s">
        <v>320</v>
      </c>
      <c r="E2712" s="93" t="s">
        <v>35</v>
      </c>
      <c r="F2712" s="93" t="s">
        <v>322</v>
      </c>
      <c r="G2712" s="93" t="s">
        <v>319</v>
      </c>
      <c r="H2712" s="93" t="s">
        <v>352</v>
      </c>
      <c r="I2712" s="94">
        <v>7.83</v>
      </c>
      <c r="J2712" s="95">
        <v>250.56</v>
      </c>
    </row>
    <row r="2713" spans="1:10" x14ac:dyDescent="0.25">
      <c r="A2713" s="92">
        <v>45951</v>
      </c>
      <c r="B2713" s="93" t="s">
        <v>327</v>
      </c>
      <c r="C2713" s="89" t="s">
        <v>40</v>
      </c>
      <c r="D2713" s="93" t="s">
        <v>320</v>
      </c>
      <c r="E2713" s="93" t="s">
        <v>35</v>
      </c>
      <c r="F2713" s="93" t="s">
        <v>322</v>
      </c>
      <c r="G2713" s="93" t="s">
        <v>319</v>
      </c>
      <c r="H2713" s="93" t="s">
        <v>352</v>
      </c>
      <c r="I2713" s="94">
        <v>4</v>
      </c>
      <c r="J2713" s="95">
        <v>128</v>
      </c>
    </row>
    <row r="2714" spans="1:10" x14ac:dyDescent="0.25">
      <c r="A2714" s="92">
        <v>45951</v>
      </c>
      <c r="B2714" s="93" t="s">
        <v>323</v>
      </c>
      <c r="C2714" s="89" t="s">
        <v>40</v>
      </c>
      <c r="D2714" s="93" t="s">
        <v>232</v>
      </c>
      <c r="E2714" s="93" t="s">
        <v>36</v>
      </c>
      <c r="F2714" s="93" t="s">
        <v>393</v>
      </c>
      <c r="G2714" s="93" t="s">
        <v>346</v>
      </c>
      <c r="H2714" s="93" t="s">
        <v>342</v>
      </c>
      <c r="I2714" s="94">
        <v>0.25</v>
      </c>
      <c r="J2714" s="95">
        <v>15</v>
      </c>
    </row>
    <row r="2715" spans="1:10" x14ac:dyDescent="0.25">
      <c r="A2715" s="92">
        <v>45951</v>
      </c>
      <c r="B2715" s="93" t="s">
        <v>323</v>
      </c>
      <c r="C2715" s="89" t="s">
        <v>40</v>
      </c>
      <c r="D2715" s="93" t="s">
        <v>245</v>
      </c>
      <c r="E2715" s="93" t="s">
        <v>36</v>
      </c>
      <c r="F2715" s="93" t="s">
        <v>435</v>
      </c>
      <c r="G2715" s="93" t="s">
        <v>346</v>
      </c>
      <c r="H2715" s="93" t="s">
        <v>342</v>
      </c>
      <c r="I2715" s="94">
        <v>0.25</v>
      </c>
      <c r="J2715" s="95">
        <v>15</v>
      </c>
    </row>
    <row r="2716" spans="1:10" x14ac:dyDescent="0.25">
      <c r="A2716" s="92">
        <v>45951</v>
      </c>
      <c r="B2716" s="93" t="s">
        <v>323</v>
      </c>
      <c r="C2716" s="89" t="s">
        <v>40</v>
      </c>
      <c r="D2716" s="93" t="s">
        <v>286</v>
      </c>
      <c r="E2716" s="93" t="s">
        <v>36</v>
      </c>
      <c r="F2716" s="93" t="s">
        <v>434</v>
      </c>
      <c r="G2716" s="93" t="s">
        <v>346</v>
      </c>
      <c r="H2716" s="93" t="s">
        <v>342</v>
      </c>
      <c r="I2716" s="94">
        <v>0.25</v>
      </c>
      <c r="J2716" s="95">
        <v>15</v>
      </c>
    </row>
    <row r="2717" spans="1:10" x14ac:dyDescent="0.25">
      <c r="A2717" s="92">
        <v>45951</v>
      </c>
      <c r="B2717" s="93" t="s">
        <v>323</v>
      </c>
      <c r="C2717" s="89" t="s">
        <v>40</v>
      </c>
      <c r="D2717" s="93" t="s">
        <v>266</v>
      </c>
      <c r="E2717" s="93" t="s">
        <v>36</v>
      </c>
      <c r="F2717" s="93" t="s">
        <v>394</v>
      </c>
      <c r="G2717" s="93" t="s">
        <v>346</v>
      </c>
      <c r="H2717" s="93" t="s">
        <v>342</v>
      </c>
      <c r="I2717" s="94">
        <v>0.25</v>
      </c>
      <c r="J2717" s="95">
        <v>15</v>
      </c>
    </row>
    <row r="2718" spans="1:10" x14ac:dyDescent="0.25">
      <c r="A2718" s="92">
        <v>45951</v>
      </c>
      <c r="B2718" s="93" t="s">
        <v>323</v>
      </c>
      <c r="C2718" s="89" t="s">
        <v>40</v>
      </c>
      <c r="D2718" s="93" t="s">
        <v>267</v>
      </c>
      <c r="E2718" s="93" t="s">
        <v>36</v>
      </c>
      <c r="F2718" s="93" t="s">
        <v>436</v>
      </c>
      <c r="G2718" s="93" t="s">
        <v>346</v>
      </c>
      <c r="H2718" s="93" t="s">
        <v>342</v>
      </c>
      <c r="I2718" s="94">
        <v>0.25</v>
      </c>
      <c r="J2718" s="95">
        <v>15</v>
      </c>
    </row>
    <row r="2719" spans="1:10" x14ac:dyDescent="0.25">
      <c r="A2719" s="92">
        <v>45951</v>
      </c>
      <c r="B2719" s="93" t="s">
        <v>330</v>
      </c>
      <c r="C2719" s="89" t="s">
        <v>40</v>
      </c>
      <c r="D2719" s="93" t="s">
        <v>196</v>
      </c>
      <c r="E2719" s="93" t="s">
        <v>34</v>
      </c>
      <c r="F2719" s="93" t="s">
        <v>446</v>
      </c>
      <c r="G2719" s="93" t="s">
        <v>347</v>
      </c>
      <c r="H2719" s="93" t="s">
        <v>343</v>
      </c>
      <c r="I2719" s="94">
        <v>0.5</v>
      </c>
      <c r="J2719" s="95">
        <v>30</v>
      </c>
    </row>
    <row r="2720" spans="1:10" x14ac:dyDescent="0.25">
      <c r="A2720" s="92">
        <v>45951</v>
      </c>
      <c r="B2720" s="93" t="s">
        <v>325</v>
      </c>
      <c r="C2720" s="89" t="s">
        <v>40</v>
      </c>
      <c r="D2720" s="93" t="s">
        <v>182</v>
      </c>
      <c r="E2720" s="93" t="s">
        <v>34</v>
      </c>
      <c r="F2720" s="93" t="s">
        <v>467</v>
      </c>
      <c r="G2720" s="93" t="s">
        <v>347</v>
      </c>
      <c r="H2720" s="93" t="s">
        <v>343</v>
      </c>
      <c r="I2720" s="94">
        <v>0.25</v>
      </c>
      <c r="J2720" s="95">
        <v>18.75</v>
      </c>
    </row>
    <row r="2721" spans="1:10" x14ac:dyDescent="0.25">
      <c r="A2721" s="92">
        <v>45951</v>
      </c>
      <c r="B2721" s="93" t="s">
        <v>325</v>
      </c>
      <c r="C2721" s="89" t="s">
        <v>40</v>
      </c>
      <c r="D2721" s="93" t="s">
        <v>179</v>
      </c>
      <c r="E2721" s="93" t="s">
        <v>34</v>
      </c>
      <c r="F2721" s="93" t="s">
        <v>422</v>
      </c>
      <c r="G2721" s="93" t="s">
        <v>347</v>
      </c>
      <c r="H2721" s="93" t="s">
        <v>343</v>
      </c>
      <c r="I2721" s="94">
        <v>0.75</v>
      </c>
      <c r="J2721" s="95">
        <v>56.25</v>
      </c>
    </row>
    <row r="2722" spans="1:10" x14ac:dyDescent="0.25">
      <c r="A2722" s="92">
        <v>45951</v>
      </c>
      <c r="B2722" s="93" t="s">
        <v>329</v>
      </c>
      <c r="C2722" s="89" t="s">
        <v>40</v>
      </c>
      <c r="D2722" s="93" t="s">
        <v>206</v>
      </c>
      <c r="E2722" s="93" t="s">
        <v>34</v>
      </c>
      <c r="F2722" s="93" t="s">
        <v>367</v>
      </c>
      <c r="G2722" s="93" t="s">
        <v>347</v>
      </c>
      <c r="H2722" s="93" t="s">
        <v>343</v>
      </c>
      <c r="I2722" s="94">
        <v>0.17</v>
      </c>
      <c r="J2722" s="95">
        <v>12.750000000000002</v>
      </c>
    </row>
    <row r="2723" spans="1:10" x14ac:dyDescent="0.25">
      <c r="A2723" s="92">
        <v>45951</v>
      </c>
      <c r="B2723" s="93" t="s">
        <v>329</v>
      </c>
      <c r="C2723" s="89" t="s">
        <v>40</v>
      </c>
      <c r="D2723" s="93" t="s">
        <v>301</v>
      </c>
      <c r="E2723" s="93" t="s">
        <v>34</v>
      </c>
      <c r="F2723" s="93" t="s">
        <v>371</v>
      </c>
      <c r="G2723" s="93" t="s">
        <v>347</v>
      </c>
      <c r="H2723" s="93" t="s">
        <v>343</v>
      </c>
      <c r="I2723" s="94">
        <v>0.5</v>
      </c>
      <c r="J2723" s="95">
        <v>37.5</v>
      </c>
    </row>
    <row r="2724" spans="1:10" x14ac:dyDescent="0.25">
      <c r="A2724" s="92">
        <v>45951</v>
      </c>
      <c r="B2724" s="93" t="s">
        <v>325</v>
      </c>
      <c r="C2724" s="89" t="s">
        <v>40</v>
      </c>
      <c r="D2724" s="93" t="s">
        <v>224</v>
      </c>
      <c r="E2724" s="93" t="s">
        <v>34</v>
      </c>
      <c r="F2724" s="93" t="s">
        <v>423</v>
      </c>
      <c r="G2724" s="93" t="s">
        <v>347</v>
      </c>
      <c r="H2724" s="93" t="s">
        <v>343</v>
      </c>
      <c r="I2724" s="94">
        <v>0.42</v>
      </c>
      <c r="J2724" s="95">
        <v>31.5</v>
      </c>
    </row>
    <row r="2725" spans="1:10" x14ac:dyDescent="0.25">
      <c r="A2725" s="92">
        <v>45951</v>
      </c>
      <c r="B2725" s="93" t="s">
        <v>329</v>
      </c>
      <c r="C2725" s="89" t="s">
        <v>40</v>
      </c>
      <c r="D2725" s="93" t="s">
        <v>303</v>
      </c>
      <c r="E2725" s="93" t="s">
        <v>34</v>
      </c>
      <c r="F2725" s="93" t="s">
        <v>400</v>
      </c>
      <c r="G2725" s="93" t="s">
        <v>347</v>
      </c>
      <c r="H2725" s="93" t="s">
        <v>343</v>
      </c>
      <c r="I2725" s="94">
        <v>0.25</v>
      </c>
      <c r="J2725" s="95">
        <v>18.75</v>
      </c>
    </row>
    <row r="2726" spans="1:10" x14ac:dyDescent="0.25">
      <c r="A2726" s="92">
        <v>45951</v>
      </c>
      <c r="B2726" s="93" t="s">
        <v>325</v>
      </c>
      <c r="C2726" s="89" t="s">
        <v>40</v>
      </c>
      <c r="D2726" s="93" t="s">
        <v>226</v>
      </c>
      <c r="E2726" s="93" t="s">
        <v>34</v>
      </c>
      <c r="F2726" s="93" t="s">
        <v>401</v>
      </c>
      <c r="G2726" s="93" t="s">
        <v>347</v>
      </c>
      <c r="H2726" s="93" t="s">
        <v>343</v>
      </c>
      <c r="I2726" s="94">
        <v>0.17</v>
      </c>
      <c r="J2726" s="95">
        <v>12.750000000000002</v>
      </c>
    </row>
    <row r="2727" spans="1:10" x14ac:dyDescent="0.25">
      <c r="A2727" s="92">
        <v>45951</v>
      </c>
      <c r="B2727" s="93" t="s">
        <v>329</v>
      </c>
      <c r="C2727" s="89" t="s">
        <v>40</v>
      </c>
      <c r="D2727" s="93" t="s">
        <v>242</v>
      </c>
      <c r="E2727" s="93" t="s">
        <v>34</v>
      </c>
      <c r="F2727" s="93" t="s">
        <v>404</v>
      </c>
      <c r="G2727" s="93" t="s">
        <v>347</v>
      </c>
      <c r="H2727" s="93" t="s">
        <v>343</v>
      </c>
      <c r="I2727" s="94">
        <v>0.17</v>
      </c>
      <c r="J2727" s="95">
        <v>12.750000000000002</v>
      </c>
    </row>
    <row r="2728" spans="1:10" x14ac:dyDescent="0.25">
      <c r="A2728" s="92">
        <v>45951</v>
      </c>
      <c r="B2728" s="93" t="s">
        <v>325</v>
      </c>
      <c r="C2728" s="89" t="s">
        <v>40</v>
      </c>
      <c r="D2728" s="93" t="s">
        <v>290</v>
      </c>
      <c r="E2728" s="93" t="s">
        <v>34</v>
      </c>
      <c r="F2728" s="93" t="s">
        <v>428</v>
      </c>
      <c r="G2728" s="93" t="s">
        <v>347</v>
      </c>
      <c r="H2728" s="93" t="s">
        <v>343</v>
      </c>
      <c r="I2728" s="94">
        <v>0.17</v>
      </c>
      <c r="J2728" s="95">
        <v>12.750000000000002</v>
      </c>
    </row>
    <row r="2729" spans="1:10" x14ac:dyDescent="0.25">
      <c r="A2729" s="92">
        <v>45951</v>
      </c>
      <c r="B2729" s="93" t="s">
        <v>329</v>
      </c>
      <c r="C2729" s="89" t="s">
        <v>40</v>
      </c>
      <c r="D2729" s="93" t="s">
        <v>288</v>
      </c>
      <c r="E2729" s="93" t="s">
        <v>34</v>
      </c>
      <c r="F2729" s="93" t="s">
        <v>405</v>
      </c>
      <c r="G2729" s="93" t="s">
        <v>347</v>
      </c>
      <c r="H2729" s="93" t="s">
        <v>343</v>
      </c>
      <c r="I2729" s="94">
        <v>0.5</v>
      </c>
      <c r="J2729" s="95">
        <v>37.5</v>
      </c>
    </row>
    <row r="2730" spans="1:10" x14ac:dyDescent="0.25">
      <c r="A2730" s="92">
        <v>45951</v>
      </c>
      <c r="B2730" s="93" t="s">
        <v>325</v>
      </c>
      <c r="C2730" s="89" t="s">
        <v>40</v>
      </c>
      <c r="D2730" s="93" t="s">
        <v>291</v>
      </c>
      <c r="E2730" s="93" t="s">
        <v>34</v>
      </c>
      <c r="F2730" s="93" t="s">
        <v>412</v>
      </c>
      <c r="G2730" s="93" t="s">
        <v>347</v>
      </c>
      <c r="H2730" s="93" t="s">
        <v>343</v>
      </c>
      <c r="I2730" s="94">
        <v>0.17</v>
      </c>
      <c r="J2730" s="95">
        <v>12.750000000000002</v>
      </c>
    </row>
    <row r="2731" spans="1:10" x14ac:dyDescent="0.25">
      <c r="A2731" s="92">
        <v>45951</v>
      </c>
      <c r="B2731" s="93" t="s">
        <v>325</v>
      </c>
      <c r="C2731" s="89" t="s">
        <v>40</v>
      </c>
      <c r="D2731" s="93" t="s">
        <v>307</v>
      </c>
      <c r="E2731" s="93" t="s">
        <v>34</v>
      </c>
      <c r="F2731" s="93" t="s">
        <v>472</v>
      </c>
      <c r="G2731" s="93" t="s">
        <v>347</v>
      </c>
      <c r="H2731" s="93" t="s">
        <v>343</v>
      </c>
      <c r="I2731" s="94">
        <v>0.33</v>
      </c>
      <c r="J2731" s="95">
        <v>24.75</v>
      </c>
    </row>
    <row r="2732" spans="1:10" x14ac:dyDescent="0.25">
      <c r="A2732" s="92">
        <v>45951</v>
      </c>
      <c r="B2732" s="93" t="s">
        <v>329</v>
      </c>
      <c r="C2732" s="89" t="s">
        <v>40</v>
      </c>
      <c r="D2732" s="93" t="s">
        <v>296</v>
      </c>
      <c r="E2732" s="93" t="s">
        <v>34</v>
      </c>
      <c r="F2732" s="93" t="s">
        <v>411</v>
      </c>
      <c r="G2732" s="93" t="s">
        <v>347</v>
      </c>
      <c r="H2732" s="93" t="s">
        <v>343</v>
      </c>
      <c r="I2732" s="94">
        <v>0.25</v>
      </c>
      <c r="J2732" s="95">
        <v>18.75</v>
      </c>
    </row>
    <row r="2733" spans="1:10" x14ac:dyDescent="0.25">
      <c r="A2733" s="92">
        <v>45951</v>
      </c>
      <c r="B2733" s="93" t="s">
        <v>329</v>
      </c>
      <c r="C2733" s="89" t="s">
        <v>40</v>
      </c>
      <c r="D2733" s="93" t="s">
        <v>295</v>
      </c>
      <c r="E2733" s="93" t="s">
        <v>34</v>
      </c>
      <c r="F2733" s="93" t="s">
        <v>379</v>
      </c>
      <c r="G2733" s="93" t="s">
        <v>347</v>
      </c>
      <c r="H2733" s="93" t="s">
        <v>343</v>
      </c>
      <c r="I2733" s="94">
        <v>0.17</v>
      </c>
      <c r="J2733" s="95">
        <v>12.750000000000002</v>
      </c>
    </row>
    <row r="2734" spans="1:10" x14ac:dyDescent="0.25">
      <c r="A2734" s="92">
        <v>45951</v>
      </c>
      <c r="B2734" s="93" t="s">
        <v>329</v>
      </c>
      <c r="C2734" s="89" t="s">
        <v>40</v>
      </c>
      <c r="D2734" s="93" t="s">
        <v>252</v>
      </c>
      <c r="E2734" s="93" t="s">
        <v>34</v>
      </c>
      <c r="F2734" s="93" t="s">
        <v>416</v>
      </c>
      <c r="G2734" s="93" t="s">
        <v>347</v>
      </c>
      <c r="H2734" s="93" t="s">
        <v>343</v>
      </c>
      <c r="I2734" s="94">
        <v>0.17</v>
      </c>
      <c r="J2734" s="95">
        <v>12.750000000000002</v>
      </c>
    </row>
    <row r="2735" spans="1:10" x14ac:dyDescent="0.25">
      <c r="A2735" s="92">
        <v>45951</v>
      </c>
      <c r="B2735" s="93" t="s">
        <v>329</v>
      </c>
      <c r="C2735" s="89" t="s">
        <v>40</v>
      </c>
      <c r="D2735" s="93" t="s">
        <v>247</v>
      </c>
      <c r="E2735" s="93" t="s">
        <v>34</v>
      </c>
      <c r="F2735" s="93" t="s">
        <v>375</v>
      </c>
      <c r="G2735" s="93" t="s">
        <v>347</v>
      </c>
      <c r="H2735" s="93" t="s">
        <v>343</v>
      </c>
      <c r="I2735" s="94">
        <v>0.5</v>
      </c>
      <c r="J2735" s="95">
        <v>37.5</v>
      </c>
    </row>
    <row r="2736" spans="1:10" x14ac:dyDescent="0.25">
      <c r="A2736" s="92">
        <v>45951</v>
      </c>
      <c r="B2736" s="93" t="s">
        <v>326</v>
      </c>
      <c r="C2736" s="89" t="s">
        <v>40</v>
      </c>
      <c r="D2736" s="93" t="s">
        <v>300</v>
      </c>
      <c r="E2736" s="93" t="s">
        <v>36</v>
      </c>
      <c r="F2736" s="93" t="s">
        <v>464</v>
      </c>
      <c r="G2736" s="93" t="s">
        <v>348</v>
      </c>
      <c r="H2736" s="93" t="s">
        <v>342</v>
      </c>
      <c r="I2736" s="94">
        <v>0.57999999999999996</v>
      </c>
      <c r="J2736" s="95">
        <v>34.799999999999997</v>
      </c>
    </row>
    <row r="2737" spans="1:10" x14ac:dyDescent="0.25">
      <c r="A2737" s="92">
        <v>45951</v>
      </c>
      <c r="B2737" s="93" t="s">
        <v>326</v>
      </c>
      <c r="C2737" s="89" t="s">
        <v>40</v>
      </c>
      <c r="D2737" s="93" t="s">
        <v>207</v>
      </c>
      <c r="E2737" s="93" t="s">
        <v>34</v>
      </c>
      <c r="F2737" s="93" t="s">
        <v>417</v>
      </c>
      <c r="G2737" s="93" t="s">
        <v>348</v>
      </c>
      <c r="H2737" s="93" t="s">
        <v>343</v>
      </c>
      <c r="I2737" s="94">
        <v>0.75</v>
      </c>
      <c r="J2737" s="95">
        <v>45</v>
      </c>
    </row>
    <row r="2738" spans="1:10" x14ac:dyDescent="0.25">
      <c r="A2738" s="92">
        <v>45951</v>
      </c>
      <c r="B2738" s="93" t="s">
        <v>326</v>
      </c>
      <c r="C2738" s="89" t="s">
        <v>40</v>
      </c>
      <c r="D2738" s="93" t="s">
        <v>235</v>
      </c>
      <c r="E2738" s="93" t="s">
        <v>34</v>
      </c>
      <c r="F2738" s="93" t="s">
        <v>355</v>
      </c>
      <c r="G2738" s="93" t="s">
        <v>348</v>
      </c>
      <c r="H2738" s="93" t="s">
        <v>343</v>
      </c>
      <c r="I2738" s="94">
        <v>0.57999999999999996</v>
      </c>
      <c r="J2738" s="95">
        <v>34.799999999999997</v>
      </c>
    </row>
    <row r="2739" spans="1:10" x14ac:dyDescent="0.25">
      <c r="A2739" s="92">
        <v>45951</v>
      </c>
      <c r="B2739" s="93" t="s">
        <v>326</v>
      </c>
      <c r="C2739" s="89" t="s">
        <v>40</v>
      </c>
      <c r="D2739" s="93" t="s">
        <v>175</v>
      </c>
      <c r="E2739" s="93" t="s">
        <v>34</v>
      </c>
      <c r="F2739" s="93" t="s">
        <v>388</v>
      </c>
      <c r="G2739" s="93" t="s">
        <v>348</v>
      </c>
      <c r="H2739" s="93" t="s">
        <v>343</v>
      </c>
      <c r="I2739" s="94">
        <v>0.83</v>
      </c>
      <c r="J2739" s="95">
        <v>49.8</v>
      </c>
    </row>
    <row r="2740" spans="1:10" x14ac:dyDescent="0.25">
      <c r="A2740" s="92">
        <v>45951</v>
      </c>
      <c r="B2740" s="93" t="s">
        <v>326</v>
      </c>
      <c r="C2740" s="89" t="s">
        <v>40</v>
      </c>
      <c r="D2740" s="93" t="s">
        <v>265</v>
      </c>
      <c r="E2740" s="93" t="s">
        <v>34</v>
      </c>
      <c r="F2740" s="93" t="s">
        <v>358</v>
      </c>
      <c r="G2740" s="93" t="s">
        <v>348</v>
      </c>
      <c r="H2740" s="93" t="s">
        <v>343</v>
      </c>
      <c r="I2740" s="94">
        <v>0.42</v>
      </c>
      <c r="J2740" s="95">
        <v>25.2</v>
      </c>
    </row>
    <row r="2741" spans="1:10" x14ac:dyDescent="0.25">
      <c r="A2741" s="92">
        <v>45951</v>
      </c>
      <c r="B2741" s="93" t="s">
        <v>326</v>
      </c>
      <c r="C2741" s="89" t="s">
        <v>40</v>
      </c>
      <c r="D2741" s="93" t="s">
        <v>309</v>
      </c>
      <c r="E2741" s="93" t="s">
        <v>34</v>
      </c>
      <c r="F2741" s="93" t="s">
        <v>454</v>
      </c>
      <c r="G2741" s="93" t="s">
        <v>348</v>
      </c>
      <c r="H2741" s="93" t="s">
        <v>343</v>
      </c>
      <c r="I2741" s="94">
        <v>0.83</v>
      </c>
      <c r="J2741" s="95">
        <v>49.8</v>
      </c>
    </row>
    <row r="2742" spans="1:10" x14ac:dyDescent="0.25">
      <c r="A2742" s="92">
        <v>45952</v>
      </c>
      <c r="B2742" s="93" t="s">
        <v>329</v>
      </c>
      <c r="C2742" s="89" t="s">
        <v>40</v>
      </c>
      <c r="D2742" s="93" t="s">
        <v>316</v>
      </c>
      <c r="E2742" s="93" t="s">
        <v>35</v>
      </c>
      <c r="F2742" s="93" t="s">
        <v>338</v>
      </c>
      <c r="G2742" s="93" t="s">
        <v>337</v>
      </c>
      <c r="H2742" s="93" t="s">
        <v>352</v>
      </c>
      <c r="I2742" s="94">
        <v>2</v>
      </c>
      <c r="J2742" s="95">
        <v>150</v>
      </c>
    </row>
    <row r="2743" spans="1:10" x14ac:dyDescent="0.25">
      <c r="A2743" s="92">
        <v>45952</v>
      </c>
      <c r="B2743" s="93" t="s">
        <v>329</v>
      </c>
      <c r="C2743" s="89" t="s">
        <v>40</v>
      </c>
      <c r="D2743" s="93" t="s">
        <v>269</v>
      </c>
      <c r="E2743" s="93" t="s">
        <v>34</v>
      </c>
      <c r="F2743" s="93" t="s">
        <v>361</v>
      </c>
      <c r="G2743" s="93" t="s">
        <v>347</v>
      </c>
      <c r="H2743" s="93" t="s">
        <v>343</v>
      </c>
      <c r="I2743" s="94">
        <v>0.17</v>
      </c>
      <c r="J2743" s="95">
        <v>12.750000000000002</v>
      </c>
    </row>
    <row r="2744" spans="1:10" x14ac:dyDescent="0.25">
      <c r="A2744" s="92">
        <v>45952</v>
      </c>
      <c r="B2744" s="93" t="s">
        <v>329</v>
      </c>
      <c r="C2744" s="89" t="s">
        <v>40</v>
      </c>
      <c r="D2744" s="93" t="s">
        <v>270</v>
      </c>
      <c r="E2744" s="93" t="s">
        <v>34</v>
      </c>
      <c r="F2744" s="93" t="s">
        <v>360</v>
      </c>
      <c r="G2744" s="93" t="s">
        <v>347</v>
      </c>
      <c r="H2744" s="93" t="s">
        <v>343</v>
      </c>
      <c r="I2744" s="94">
        <v>0.17</v>
      </c>
      <c r="J2744" s="95">
        <v>12.750000000000002</v>
      </c>
    </row>
    <row r="2745" spans="1:10" x14ac:dyDescent="0.25">
      <c r="A2745" s="92">
        <v>45952</v>
      </c>
      <c r="B2745" s="93" t="s">
        <v>332</v>
      </c>
      <c r="C2745" s="89" t="s">
        <v>40</v>
      </c>
      <c r="D2745" s="93" t="s">
        <v>314</v>
      </c>
      <c r="E2745" s="93" t="s">
        <v>35</v>
      </c>
      <c r="F2745" s="93" t="s">
        <v>359</v>
      </c>
      <c r="G2745" s="93" t="s">
        <v>339</v>
      </c>
      <c r="H2745" s="93" t="s">
        <v>352</v>
      </c>
      <c r="I2745" s="94">
        <v>8.33</v>
      </c>
      <c r="J2745" s="95">
        <v>333.2</v>
      </c>
    </row>
    <row r="2746" spans="1:10" x14ac:dyDescent="0.25">
      <c r="A2746" s="92">
        <v>45952</v>
      </c>
      <c r="B2746" s="93" t="s">
        <v>324</v>
      </c>
      <c r="C2746" s="89" t="s">
        <v>40</v>
      </c>
      <c r="D2746" s="93" t="s">
        <v>314</v>
      </c>
      <c r="E2746" s="93" t="s">
        <v>35</v>
      </c>
      <c r="F2746" s="93" t="s">
        <v>359</v>
      </c>
      <c r="G2746" s="93" t="s">
        <v>339</v>
      </c>
      <c r="H2746" s="93" t="s">
        <v>352</v>
      </c>
      <c r="I2746" s="94">
        <v>5.33</v>
      </c>
      <c r="J2746" s="95">
        <v>399.75</v>
      </c>
    </row>
    <row r="2747" spans="1:10" x14ac:dyDescent="0.25">
      <c r="A2747" s="92">
        <v>45952</v>
      </c>
      <c r="B2747" s="93" t="s">
        <v>333</v>
      </c>
      <c r="C2747" s="89" t="s">
        <v>40</v>
      </c>
      <c r="D2747" s="93" t="s">
        <v>320</v>
      </c>
      <c r="E2747" s="93" t="s">
        <v>35</v>
      </c>
      <c r="F2747" s="93" t="s">
        <v>322</v>
      </c>
      <c r="G2747" s="93" t="s">
        <v>319</v>
      </c>
      <c r="H2747" s="93" t="s">
        <v>352</v>
      </c>
      <c r="I2747" s="94">
        <v>6.9</v>
      </c>
      <c r="J2747" s="95">
        <v>220.8</v>
      </c>
    </row>
    <row r="2748" spans="1:10" x14ac:dyDescent="0.25">
      <c r="A2748" s="92">
        <v>45952</v>
      </c>
      <c r="B2748" s="93" t="s">
        <v>327</v>
      </c>
      <c r="C2748" s="89" t="s">
        <v>40</v>
      </c>
      <c r="D2748" s="93" t="s">
        <v>320</v>
      </c>
      <c r="E2748" s="93" t="s">
        <v>35</v>
      </c>
      <c r="F2748" s="93" t="s">
        <v>322</v>
      </c>
      <c r="G2748" s="93" t="s">
        <v>319</v>
      </c>
      <c r="H2748" s="93" t="s">
        <v>352</v>
      </c>
      <c r="I2748" s="94">
        <v>7.33</v>
      </c>
      <c r="J2748" s="95">
        <v>234.56</v>
      </c>
    </row>
    <row r="2749" spans="1:10" x14ac:dyDescent="0.25">
      <c r="A2749" s="92">
        <v>45952</v>
      </c>
      <c r="B2749" s="93" t="s">
        <v>323</v>
      </c>
      <c r="C2749" s="89" t="s">
        <v>40</v>
      </c>
      <c r="D2749" s="93" t="s">
        <v>245</v>
      </c>
      <c r="E2749" s="93" t="s">
        <v>36</v>
      </c>
      <c r="F2749" s="93" t="s">
        <v>435</v>
      </c>
      <c r="G2749" s="93" t="s">
        <v>346</v>
      </c>
      <c r="H2749" s="93" t="s">
        <v>342</v>
      </c>
      <c r="I2749" s="94">
        <v>0.25</v>
      </c>
      <c r="J2749" s="95">
        <v>15</v>
      </c>
    </row>
    <row r="2750" spans="1:10" x14ac:dyDescent="0.25">
      <c r="A2750" s="92">
        <v>45952</v>
      </c>
      <c r="B2750" s="93" t="s">
        <v>323</v>
      </c>
      <c r="C2750" s="89" t="s">
        <v>40</v>
      </c>
      <c r="D2750" s="93" t="s">
        <v>283</v>
      </c>
      <c r="E2750" s="93" t="s">
        <v>36</v>
      </c>
      <c r="F2750" s="93" t="s">
        <v>429</v>
      </c>
      <c r="G2750" s="93" t="s">
        <v>346</v>
      </c>
      <c r="H2750" s="93" t="s">
        <v>342</v>
      </c>
      <c r="I2750" s="94">
        <v>0.33</v>
      </c>
      <c r="J2750" s="95">
        <v>19.8</v>
      </c>
    </row>
    <row r="2751" spans="1:10" x14ac:dyDescent="0.25">
      <c r="A2751" s="92">
        <v>45952</v>
      </c>
      <c r="B2751" s="93" t="s">
        <v>329</v>
      </c>
      <c r="C2751" s="89" t="s">
        <v>40</v>
      </c>
      <c r="D2751" s="93" t="s">
        <v>197</v>
      </c>
      <c r="E2751" s="93" t="s">
        <v>34</v>
      </c>
      <c r="F2751" s="93" t="s">
        <v>366</v>
      </c>
      <c r="G2751" s="93" t="s">
        <v>347</v>
      </c>
      <c r="H2751" s="93" t="s">
        <v>343</v>
      </c>
      <c r="I2751" s="94">
        <v>0.17</v>
      </c>
      <c r="J2751" s="95">
        <v>12.750000000000002</v>
      </c>
    </row>
    <row r="2752" spans="1:10" x14ac:dyDescent="0.25">
      <c r="A2752" s="92">
        <v>45952</v>
      </c>
      <c r="B2752" s="93" t="s">
        <v>325</v>
      </c>
      <c r="C2752" s="89" t="s">
        <v>40</v>
      </c>
      <c r="D2752" s="93" t="s">
        <v>205</v>
      </c>
      <c r="E2752" s="93" t="s">
        <v>34</v>
      </c>
      <c r="F2752" s="93" t="s">
        <v>470</v>
      </c>
      <c r="G2752" s="93" t="s">
        <v>347</v>
      </c>
      <c r="H2752" s="93" t="s">
        <v>343</v>
      </c>
      <c r="I2752" s="94">
        <v>0.25</v>
      </c>
      <c r="J2752" s="95">
        <v>18.75</v>
      </c>
    </row>
    <row r="2753" spans="1:10" x14ac:dyDescent="0.25">
      <c r="A2753" s="92">
        <v>45952</v>
      </c>
      <c r="B2753" s="93" t="s">
        <v>325</v>
      </c>
      <c r="C2753" s="89" t="s">
        <v>40</v>
      </c>
      <c r="D2753" s="93" t="s">
        <v>182</v>
      </c>
      <c r="E2753" s="93" t="s">
        <v>34</v>
      </c>
      <c r="F2753" s="93" t="s">
        <v>467</v>
      </c>
      <c r="G2753" s="93" t="s">
        <v>347</v>
      </c>
      <c r="H2753" s="93" t="s">
        <v>343</v>
      </c>
      <c r="I2753" s="94">
        <v>0.17</v>
      </c>
      <c r="J2753" s="95">
        <v>12.750000000000002</v>
      </c>
    </row>
    <row r="2754" spans="1:10" x14ac:dyDescent="0.25">
      <c r="A2754" s="92">
        <v>45952</v>
      </c>
      <c r="B2754" s="93" t="s">
        <v>329</v>
      </c>
      <c r="C2754" s="89" t="s">
        <v>40</v>
      </c>
      <c r="D2754" s="93" t="s">
        <v>206</v>
      </c>
      <c r="E2754" s="93" t="s">
        <v>34</v>
      </c>
      <c r="F2754" s="93" t="s">
        <v>367</v>
      </c>
      <c r="G2754" s="93" t="s">
        <v>347</v>
      </c>
      <c r="H2754" s="93" t="s">
        <v>343</v>
      </c>
      <c r="I2754" s="94">
        <v>0.25</v>
      </c>
      <c r="J2754" s="95">
        <v>18.75</v>
      </c>
    </row>
    <row r="2755" spans="1:10" x14ac:dyDescent="0.25">
      <c r="A2755" s="92">
        <v>45952</v>
      </c>
      <c r="B2755" s="93" t="s">
        <v>329</v>
      </c>
      <c r="C2755" s="89" t="s">
        <v>40</v>
      </c>
      <c r="D2755" s="93" t="s">
        <v>302</v>
      </c>
      <c r="E2755" s="93" t="s">
        <v>34</v>
      </c>
      <c r="F2755" s="93" t="s">
        <v>398</v>
      </c>
      <c r="G2755" s="93" t="s">
        <v>347</v>
      </c>
      <c r="H2755" s="93" t="s">
        <v>343</v>
      </c>
      <c r="I2755" s="94">
        <v>0.17</v>
      </c>
      <c r="J2755" s="95">
        <v>12.750000000000002</v>
      </c>
    </row>
    <row r="2756" spans="1:10" x14ac:dyDescent="0.25">
      <c r="A2756" s="92">
        <v>45952</v>
      </c>
      <c r="B2756" s="93" t="s">
        <v>329</v>
      </c>
      <c r="C2756" s="89" t="s">
        <v>40</v>
      </c>
      <c r="D2756" s="93" t="s">
        <v>301</v>
      </c>
      <c r="E2756" s="93" t="s">
        <v>34</v>
      </c>
      <c r="F2756" s="93" t="s">
        <v>371</v>
      </c>
      <c r="G2756" s="93" t="s">
        <v>347</v>
      </c>
      <c r="H2756" s="93" t="s">
        <v>343</v>
      </c>
      <c r="I2756" s="94">
        <v>0.33</v>
      </c>
      <c r="J2756" s="95">
        <v>24.75</v>
      </c>
    </row>
    <row r="2757" spans="1:10" x14ac:dyDescent="0.25">
      <c r="A2757" s="92">
        <v>45952</v>
      </c>
      <c r="B2757" s="93" t="s">
        <v>325</v>
      </c>
      <c r="C2757" s="89" t="s">
        <v>40</v>
      </c>
      <c r="D2757" s="93" t="s">
        <v>224</v>
      </c>
      <c r="E2757" s="93" t="s">
        <v>34</v>
      </c>
      <c r="F2757" s="93" t="s">
        <v>423</v>
      </c>
      <c r="G2757" s="93" t="s">
        <v>347</v>
      </c>
      <c r="H2757" s="93" t="s">
        <v>343</v>
      </c>
      <c r="I2757" s="94">
        <v>0.25</v>
      </c>
      <c r="J2757" s="95">
        <v>18.75</v>
      </c>
    </row>
    <row r="2758" spans="1:10" x14ac:dyDescent="0.25">
      <c r="A2758" s="92">
        <v>45952</v>
      </c>
      <c r="B2758" s="93" t="s">
        <v>329</v>
      </c>
      <c r="C2758" s="89" t="s">
        <v>40</v>
      </c>
      <c r="D2758" s="93" t="s">
        <v>303</v>
      </c>
      <c r="E2758" s="93" t="s">
        <v>34</v>
      </c>
      <c r="F2758" s="93" t="s">
        <v>400</v>
      </c>
      <c r="G2758" s="93" t="s">
        <v>347</v>
      </c>
      <c r="H2758" s="93" t="s">
        <v>343</v>
      </c>
      <c r="I2758" s="94">
        <v>0.33</v>
      </c>
      <c r="J2758" s="95">
        <v>24.75</v>
      </c>
    </row>
    <row r="2759" spans="1:10" x14ac:dyDescent="0.25">
      <c r="A2759" s="92">
        <v>45952</v>
      </c>
      <c r="B2759" s="93" t="s">
        <v>329</v>
      </c>
      <c r="C2759" s="89" t="s">
        <v>40</v>
      </c>
      <c r="D2759" s="93" t="s">
        <v>221</v>
      </c>
      <c r="E2759" s="93" t="s">
        <v>34</v>
      </c>
      <c r="F2759" s="93" t="s">
        <v>369</v>
      </c>
      <c r="G2759" s="93" t="s">
        <v>347</v>
      </c>
      <c r="H2759" s="93" t="s">
        <v>343</v>
      </c>
      <c r="I2759" s="94">
        <v>0.25</v>
      </c>
      <c r="J2759" s="95">
        <v>18.75</v>
      </c>
    </row>
    <row r="2760" spans="1:10" x14ac:dyDescent="0.25">
      <c r="A2760" s="92">
        <v>45952</v>
      </c>
      <c r="B2760" s="93" t="s">
        <v>329</v>
      </c>
      <c r="C2760" s="89" t="s">
        <v>40</v>
      </c>
      <c r="D2760" s="93" t="s">
        <v>240</v>
      </c>
      <c r="E2760" s="93" t="s">
        <v>34</v>
      </c>
      <c r="F2760" s="93" t="s">
        <v>402</v>
      </c>
      <c r="G2760" s="93" t="s">
        <v>347</v>
      </c>
      <c r="H2760" s="93" t="s">
        <v>343</v>
      </c>
      <c r="I2760" s="94">
        <v>0.25</v>
      </c>
      <c r="J2760" s="95">
        <v>18.75</v>
      </c>
    </row>
    <row r="2761" spans="1:10" x14ac:dyDescent="0.25">
      <c r="A2761" s="92">
        <v>45952</v>
      </c>
      <c r="B2761" s="93" t="s">
        <v>329</v>
      </c>
      <c r="C2761" s="89" t="s">
        <v>40</v>
      </c>
      <c r="D2761" s="93" t="s">
        <v>241</v>
      </c>
      <c r="E2761" s="93" t="s">
        <v>34</v>
      </c>
      <c r="F2761" s="93" t="s">
        <v>403</v>
      </c>
      <c r="G2761" s="93" t="s">
        <v>347</v>
      </c>
      <c r="H2761" s="93" t="s">
        <v>343</v>
      </c>
      <c r="I2761" s="94">
        <v>0.25</v>
      </c>
      <c r="J2761" s="95">
        <v>18.75</v>
      </c>
    </row>
    <row r="2762" spans="1:10" x14ac:dyDescent="0.25">
      <c r="A2762" s="92">
        <v>45952</v>
      </c>
      <c r="B2762" s="93" t="s">
        <v>329</v>
      </c>
      <c r="C2762" s="89" t="s">
        <v>40</v>
      </c>
      <c r="D2762" s="93" t="s">
        <v>288</v>
      </c>
      <c r="E2762" s="93" t="s">
        <v>34</v>
      </c>
      <c r="F2762" s="93" t="s">
        <v>405</v>
      </c>
      <c r="G2762" s="93" t="s">
        <v>347</v>
      </c>
      <c r="H2762" s="93" t="s">
        <v>343</v>
      </c>
      <c r="I2762" s="94">
        <v>0.17</v>
      </c>
      <c r="J2762" s="95">
        <v>12.750000000000002</v>
      </c>
    </row>
    <row r="2763" spans="1:10" x14ac:dyDescent="0.25">
      <c r="A2763" s="92">
        <v>45952</v>
      </c>
      <c r="B2763" s="93" t="s">
        <v>329</v>
      </c>
      <c r="C2763" s="89" t="s">
        <v>40</v>
      </c>
      <c r="D2763" s="93" t="s">
        <v>296</v>
      </c>
      <c r="E2763" s="93" t="s">
        <v>34</v>
      </c>
      <c r="F2763" s="93" t="s">
        <v>411</v>
      </c>
      <c r="G2763" s="93" t="s">
        <v>347</v>
      </c>
      <c r="H2763" s="93" t="s">
        <v>343</v>
      </c>
      <c r="I2763" s="94">
        <v>0.17</v>
      </c>
      <c r="J2763" s="95">
        <v>12.750000000000002</v>
      </c>
    </row>
    <row r="2764" spans="1:10" x14ac:dyDescent="0.25">
      <c r="A2764" s="92">
        <v>45952</v>
      </c>
      <c r="B2764" s="93" t="s">
        <v>329</v>
      </c>
      <c r="C2764" s="89" t="s">
        <v>40</v>
      </c>
      <c r="D2764" s="93" t="s">
        <v>295</v>
      </c>
      <c r="E2764" s="93" t="s">
        <v>34</v>
      </c>
      <c r="F2764" s="93" t="s">
        <v>379</v>
      </c>
      <c r="G2764" s="93" t="s">
        <v>347</v>
      </c>
      <c r="H2764" s="93" t="s">
        <v>343</v>
      </c>
      <c r="I2764" s="94">
        <v>0.17</v>
      </c>
      <c r="J2764" s="95">
        <v>12.750000000000002</v>
      </c>
    </row>
    <row r="2765" spans="1:10" x14ac:dyDescent="0.25">
      <c r="A2765" s="92">
        <v>45952</v>
      </c>
      <c r="B2765" s="93" t="s">
        <v>329</v>
      </c>
      <c r="C2765" s="89" t="s">
        <v>40</v>
      </c>
      <c r="D2765" s="93" t="s">
        <v>248</v>
      </c>
      <c r="E2765" s="93" t="s">
        <v>34</v>
      </c>
      <c r="F2765" s="93" t="s">
        <v>385</v>
      </c>
      <c r="G2765" s="93" t="s">
        <v>347</v>
      </c>
      <c r="H2765" s="93" t="s">
        <v>343</v>
      </c>
      <c r="I2765" s="94">
        <v>0.25</v>
      </c>
      <c r="J2765" s="95">
        <v>18.75</v>
      </c>
    </row>
    <row r="2766" spans="1:10" x14ac:dyDescent="0.25">
      <c r="A2766" s="92">
        <v>45952</v>
      </c>
      <c r="B2766" s="93" t="s">
        <v>329</v>
      </c>
      <c r="C2766" s="89" t="s">
        <v>40</v>
      </c>
      <c r="D2766" s="93" t="s">
        <v>247</v>
      </c>
      <c r="E2766" s="93" t="s">
        <v>34</v>
      </c>
      <c r="F2766" s="93" t="s">
        <v>375</v>
      </c>
      <c r="G2766" s="93" t="s">
        <v>347</v>
      </c>
      <c r="H2766" s="93" t="s">
        <v>343</v>
      </c>
      <c r="I2766" s="94">
        <v>0.33</v>
      </c>
      <c r="J2766" s="95">
        <v>24.75</v>
      </c>
    </row>
    <row r="2767" spans="1:10" x14ac:dyDescent="0.25">
      <c r="A2767" s="92">
        <v>45952</v>
      </c>
      <c r="B2767" s="93" t="s">
        <v>329</v>
      </c>
      <c r="C2767" s="89" t="s">
        <v>40</v>
      </c>
      <c r="D2767" s="93" t="s">
        <v>230</v>
      </c>
      <c r="E2767" s="93" t="s">
        <v>34</v>
      </c>
      <c r="F2767" s="93" t="s">
        <v>410</v>
      </c>
      <c r="G2767" s="93" t="s">
        <v>347</v>
      </c>
      <c r="H2767" s="93" t="s">
        <v>343</v>
      </c>
      <c r="I2767" s="94">
        <v>0.25</v>
      </c>
      <c r="J2767" s="95">
        <v>18.75</v>
      </c>
    </row>
    <row r="2768" spans="1:10" x14ac:dyDescent="0.25">
      <c r="A2768" s="92">
        <v>45952</v>
      </c>
      <c r="B2768" s="93" t="s">
        <v>329</v>
      </c>
      <c r="C2768" s="89" t="s">
        <v>40</v>
      </c>
      <c r="D2768" s="93" t="s">
        <v>272</v>
      </c>
      <c r="E2768" s="93" t="s">
        <v>34</v>
      </c>
      <c r="F2768" s="93" t="s">
        <v>362</v>
      </c>
      <c r="G2768" s="93" t="s">
        <v>347</v>
      </c>
      <c r="H2768" s="93" t="s">
        <v>343</v>
      </c>
      <c r="I2768" s="94">
        <v>0.17</v>
      </c>
      <c r="J2768" s="95">
        <v>12.750000000000002</v>
      </c>
    </row>
    <row r="2769" spans="1:10" x14ac:dyDescent="0.25">
      <c r="A2769" s="92">
        <v>45952</v>
      </c>
      <c r="B2769" s="93" t="s">
        <v>325</v>
      </c>
      <c r="C2769" s="89" t="s">
        <v>40</v>
      </c>
      <c r="D2769" s="93" t="s">
        <v>264</v>
      </c>
      <c r="E2769" s="93" t="s">
        <v>341</v>
      </c>
      <c r="F2769" s="93" t="s">
        <v>384</v>
      </c>
      <c r="G2769" s="93" t="s">
        <v>347</v>
      </c>
      <c r="H2769" s="93" t="s">
        <v>344</v>
      </c>
      <c r="I2769" s="94">
        <v>3</v>
      </c>
      <c r="J2769" s="95">
        <v>225</v>
      </c>
    </row>
    <row r="2770" spans="1:10" x14ac:dyDescent="0.25">
      <c r="A2770" s="92">
        <v>45952</v>
      </c>
      <c r="B2770" s="93" t="s">
        <v>326</v>
      </c>
      <c r="C2770" s="89" t="s">
        <v>40</v>
      </c>
      <c r="D2770" s="93" t="s">
        <v>233</v>
      </c>
      <c r="E2770" s="93" t="s">
        <v>34</v>
      </c>
      <c r="F2770" s="93" t="s">
        <v>387</v>
      </c>
      <c r="G2770" s="93" t="s">
        <v>348</v>
      </c>
      <c r="H2770" s="93" t="s">
        <v>343</v>
      </c>
      <c r="I2770" s="94">
        <v>0.75</v>
      </c>
      <c r="J2770" s="95">
        <v>45</v>
      </c>
    </row>
    <row r="2771" spans="1:10" x14ac:dyDescent="0.25">
      <c r="A2771" s="92">
        <v>45953</v>
      </c>
      <c r="B2771" s="93" t="s">
        <v>329</v>
      </c>
      <c r="C2771" s="89" t="s">
        <v>40</v>
      </c>
      <c r="D2771" s="93" t="s">
        <v>316</v>
      </c>
      <c r="E2771" s="93" t="s">
        <v>35</v>
      </c>
      <c r="F2771" s="93" t="s">
        <v>338</v>
      </c>
      <c r="G2771" s="93" t="s">
        <v>337</v>
      </c>
      <c r="H2771" s="93" t="s">
        <v>352</v>
      </c>
      <c r="I2771" s="94">
        <v>1.42</v>
      </c>
      <c r="J2771" s="95">
        <v>106.5</v>
      </c>
    </row>
    <row r="2772" spans="1:10" x14ac:dyDescent="0.25">
      <c r="A2772" s="92">
        <v>45953</v>
      </c>
      <c r="B2772" s="93" t="s">
        <v>323</v>
      </c>
      <c r="C2772" s="89" t="s">
        <v>40</v>
      </c>
      <c r="D2772" s="93" t="s">
        <v>219</v>
      </c>
      <c r="E2772" s="93" t="s">
        <v>36</v>
      </c>
      <c r="F2772" s="93" t="s">
        <v>432</v>
      </c>
      <c r="G2772" s="93" t="s">
        <v>346</v>
      </c>
      <c r="H2772" s="93" t="s">
        <v>342</v>
      </c>
      <c r="I2772" s="94">
        <v>0.25</v>
      </c>
      <c r="J2772" s="95">
        <v>15</v>
      </c>
    </row>
    <row r="2773" spans="1:10" x14ac:dyDescent="0.25">
      <c r="A2773" s="92">
        <v>45953</v>
      </c>
      <c r="B2773" s="93" t="s">
        <v>332</v>
      </c>
      <c r="C2773" s="89" t="s">
        <v>40</v>
      </c>
      <c r="D2773" s="93" t="s">
        <v>314</v>
      </c>
      <c r="E2773" s="93" t="s">
        <v>35</v>
      </c>
      <c r="F2773" s="93" t="s">
        <v>359</v>
      </c>
      <c r="G2773" s="93" t="s">
        <v>339</v>
      </c>
      <c r="H2773" s="93" t="s">
        <v>352</v>
      </c>
      <c r="I2773" s="94">
        <v>8.5</v>
      </c>
      <c r="J2773" s="95">
        <v>340</v>
      </c>
    </row>
    <row r="2774" spans="1:10" x14ac:dyDescent="0.25">
      <c r="A2774" s="92">
        <v>45953</v>
      </c>
      <c r="B2774" s="93" t="s">
        <v>324</v>
      </c>
      <c r="C2774" s="89" t="s">
        <v>40</v>
      </c>
      <c r="D2774" s="93" t="s">
        <v>314</v>
      </c>
      <c r="E2774" s="93" t="s">
        <v>35</v>
      </c>
      <c r="F2774" s="93" t="s">
        <v>359</v>
      </c>
      <c r="G2774" s="93" t="s">
        <v>339</v>
      </c>
      <c r="H2774" s="93" t="s">
        <v>352</v>
      </c>
      <c r="I2774" s="94">
        <v>4</v>
      </c>
      <c r="J2774" s="95">
        <v>300</v>
      </c>
    </row>
    <row r="2775" spans="1:10" x14ac:dyDescent="0.25">
      <c r="A2775" s="92">
        <v>45953</v>
      </c>
      <c r="B2775" s="93" t="s">
        <v>333</v>
      </c>
      <c r="C2775" s="89" t="s">
        <v>40</v>
      </c>
      <c r="D2775" s="93" t="s">
        <v>320</v>
      </c>
      <c r="E2775" s="93" t="s">
        <v>35</v>
      </c>
      <c r="F2775" s="93" t="s">
        <v>322</v>
      </c>
      <c r="G2775" s="93" t="s">
        <v>319</v>
      </c>
      <c r="H2775" s="93" t="s">
        <v>352</v>
      </c>
      <c r="I2775" s="94">
        <v>7.73</v>
      </c>
      <c r="J2775" s="95">
        <v>247.36</v>
      </c>
    </row>
    <row r="2776" spans="1:10" x14ac:dyDescent="0.25">
      <c r="A2776" s="92">
        <v>45953</v>
      </c>
      <c r="B2776" s="93" t="s">
        <v>327</v>
      </c>
      <c r="C2776" s="89" t="s">
        <v>40</v>
      </c>
      <c r="D2776" s="93" t="s">
        <v>320</v>
      </c>
      <c r="E2776" s="93" t="s">
        <v>35</v>
      </c>
      <c r="F2776" s="93" t="s">
        <v>322</v>
      </c>
      <c r="G2776" s="93" t="s">
        <v>319</v>
      </c>
      <c r="H2776" s="93" t="s">
        <v>352</v>
      </c>
      <c r="I2776" s="94">
        <v>7.25</v>
      </c>
      <c r="J2776" s="95">
        <v>232</v>
      </c>
    </row>
    <row r="2777" spans="1:10" x14ac:dyDescent="0.25">
      <c r="A2777" s="92">
        <v>45953</v>
      </c>
      <c r="B2777" s="93" t="s">
        <v>323</v>
      </c>
      <c r="C2777" s="89" t="s">
        <v>40</v>
      </c>
      <c r="D2777" s="93" t="s">
        <v>280</v>
      </c>
      <c r="E2777" s="93" t="s">
        <v>36</v>
      </c>
      <c r="F2777" s="93" t="s">
        <v>445</v>
      </c>
      <c r="G2777" s="93" t="s">
        <v>346</v>
      </c>
      <c r="H2777" s="93" t="s">
        <v>342</v>
      </c>
      <c r="I2777" s="94">
        <v>0.25</v>
      </c>
      <c r="J2777" s="95">
        <v>15</v>
      </c>
    </row>
    <row r="2778" spans="1:10" x14ac:dyDescent="0.25">
      <c r="A2778" s="92">
        <v>45953</v>
      </c>
      <c r="B2778" s="93" t="s">
        <v>323</v>
      </c>
      <c r="C2778" s="89" t="s">
        <v>40</v>
      </c>
      <c r="D2778" s="93" t="s">
        <v>266</v>
      </c>
      <c r="E2778" s="93" t="s">
        <v>34</v>
      </c>
      <c r="F2778" s="93" t="s">
        <v>394</v>
      </c>
      <c r="G2778" s="93" t="s">
        <v>346</v>
      </c>
      <c r="H2778" s="93" t="s">
        <v>343</v>
      </c>
      <c r="I2778" s="94">
        <v>0.5</v>
      </c>
      <c r="J2778" s="95">
        <v>30</v>
      </c>
    </row>
    <row r="2779" spans="1:10" x14ac:dyDescent="0.25">
      <c r="A2779" s="92">
        <v>45953</v>
      </c>
      <c r="B2779" s="93" t="s">
        <v>323</v>
      </c>
      <c r="C2779" s="89" t="s">
        <v>40</v>
      </c>
      <c r="D2779" s="93" t="s">
        <v>285</v>
      </c>
      <c r="E2779" s="93" t="s">
        <v>34</v>
      </c>
      <c r="F2779" s="93" t="s">
        <v>448</v>
      </c>
      <c r="G2779" s="93" t="s">
        <v>346</v>
      </c>
      <c r="H2779" s="93" t="s">
        <v>343</v>
      </c>
      <c r="I2779" s="94">
        <v>1</v>
      </c>
      <c r="J2779" s="95">
        <v>60</v>
      </c>
    </row>
    <row r="2780" spans="1:10" x14ac:dyDescent="0.25">
      <c r="A2780" s="92">
        <v>45953</v>
      </c>
      <c r="B2780" s="93" t="s">
        <v>329</v>
      </c>
      <c r="C2780" s="89" t="s">
        <v>40</v>
      </c>
      <c r="D2780" s="93" t="s">
        <v>186</v>
      </c>
      <c r="E2780" s="93" t="s">
        <v>34</v>
      </c>
      <c r="F2780" s="93" t="s">
        <v>397</v>
      </c>
      <c r="G2780" s="93" t="s">
        <v>347</v>
      </c>
      <c r="H2780" s="93" t="s">
        <v>343</v>
      </c>
      <c r="I2780" s="94">
        <v>0.08</v>
      </c>
      <c r="J2780" s="95">
        <v>6</v>
      </c>
    </row>
    <row r="2781" spans="1:10" x14ac:dyDescent="0.25">
      <c r="A2781" s="92">
        <v>45953</v>
      </c>
      <c r="B2781" s="93" t="s">
        <v>329</v>
      </c>
      <c r="C2781" s="89" t="s">
        <v>40</v>
      </c>
      <c r="D2781" s="93" t="s">
        <v>197</v>
      </c>
      <c r="E2781" s="93" t="s">
        <v>34</v>
      </c>
      <c r="F2781" s="93" t="s">
        <v>366</v>
      </c>
      <c r="G2781" s="93" t="s">
        <v>347</v>
      </c>
      <c r="H2781" s="93" t="s">
        <v>343</v>
      </c>
      <c r="I2781" s="94">
        <v>0.17</v>
      </c>
      <c r="J2781" s="95">
        <v>12.750000000000002</v>
      </c>
    </row>
    <row r="2782" spans="1:10" x14ac:dyDescent="0.25">
      <c r="A2782" s="92">
        <v>45953</v>
      </c>
      <c r="B2782" s="93" t="s">
        <v>329</v>
      </c>
      <c r="C2782" s="89" t="s">
        <v>40</v>
      </c>
      <c r="D2782" s="93" t="s">
        <v>301</v>
      </c>
      <c r="E2782" s="93" t="s">
        <v>34</v>
      </c>
      <c r="F2782" s="93" t="s">
        <v>371</v>
      </c>
      <c r="G2782" s="93" t="s">
        <v>347</v>
      </c>
      <c r="H2782" s="93" t="s">
        <v>343</v>
      </c>
      <c r="I2782" s="94">
        <v>0.25</v>
      </c>
      <c r="J2782" s="95">
        <v>18.75</v>
      </c>
    </row>
    <row r="2783" spans="1:10" x14ac:dyDescent="0.25">
      <c r="A2783" s="92">
        <v>45953</v>
      </c>
      <c r="B2783" s="93" t="s">
        <v>330</v>
      </c>
      <c r="C2783" s="89" t="s">
        <v>40</v>
      </c>
      <c r="D2783" s="93" t="s">
        <v>190</v>
      </c>
      <c r="E2783" s="93" t="s">
        <v>34</v>
      </c>
      <c r="F2783" s="93" t="s">
        <v>438</v>
      </c>
      <c r="G2783" s="93" t="s">
        <v>347</v>
      </c>
      <c r="H2783" s="93" t="s">
        <v>343</v>
      </c>
      <c r="I2783" s="94">
        <v>0.5</v>
      </c>
      <c r="J2783" s="95">
        <v>30</v>
      </c>
    </row>
    <row r="2784" spans="1:10" x14ac:dyDescent="0.25">
      <c r="A2784" s="92">
        <v>45953</v>
      </c>
      <c r="B2784" s="93" t="s">
        <v>329</v>
      </c>
      <c r="C2784" s="89" t="s">
        <v>40</v>
      </c>
      <c r="D2784" s="93" t="s">
        <v>303</v>
      </c>
      <c r="E2784" s="93" t="s">
        <v>34</v>
      </c>
      <c r="F2784" s="93" t="s">
        <v>400</v>
      </c>
      <c r="G2784" s="93" t="s">
        <v>347</v>
      </c>
      <c r="H2784" s="93" t="s">
        <v>343</v>
      </c>
      <c r="I2784" s="94">
        <v>0.25</v>
      </c>
      <c r="J2784" s="95">
        <v>18.75</v>
      </c>
    </row>
    <row r="2785" spans="1:10" x14ac:dyDescent="0.25">
      <c r="A2785" s="92">
        <v>45953</v>
      </c>
      <c r="B2785" s="93" t="s">
        <v>329</v>
      </c>
      <c r="C2785" s="89" t="s">
        <v>40</v>
      </c>
      <c r="D2785" s="93" t="s">
        <v>221</v>
      </c>
      <c r="E2785" s="93" t="s">
        <v>34</v>
      </c>
      <c r="F2785" s="93" t="s">
        <v>369</v>
      </c>
      <c r="G2785" s="93" t="s">
        <v>347</v>
      </c>
      <c r="H2785" s="93" t="s">
        <v>343</v>
      </c>
      <c r="I2785" s="94">
        <v>0.42</v>
      </c>
      <c r="J2785" s="95">
        <v>31.5</v>
      </c>
    </row>
    <row r="2786" spans="1:10" x14ac:dyDescent="0.25">
      <c r="A2786" s="92">
        <v>45953</v>
      </c>
      <c r="B2786" s="93" t="s">
        <v>329</v>
      </c>
      <c r="C2786" s="89" t="s">
        <v>40</v>
      </c>
      <c r="D2786" s="93" t="s">
        <v>288</v>
      </c>
      <c r="E2786" s="93" t="s">
        <v>34</v>
      </c>
      <c r="F2786" s="93" t="s">
        <v>405</v>
      </c>
      <c r="G2786" s="93" t="s">
        <v>347</v>
      </c>
      <c r="H2786" s="93" t="s">
        <v>343</v>
      </c>
      <c r="I2786" s="94">
        <v>0.42</v>
      </c>
      <c r="J2786" s="95">
        <v>31.5</v>
      </c>
    </row>
    <row r="2787" spans="1:10" x14ac:dyDescent="0.25">
      <c r="A2787" s="92">
        <v>45953</v>
      </c>
      <c r="B2787" s="93" t="s">
        <v>329</v>
      </c>
      <c r="C2787" s="89" t="s">
        <v>40</v>
      </c>
      <c r="D2787" s="93" t="s">
        <v>259</v>
      </c>
      <c r="E2787" s="93" t="s">
        <v>34</v>
      </c>
      <c r="F2787" s="93" t="s">
        <v>407</v>
      </c>
      <c r="G2787" s="93" t="s">
        <v>347</v>
      </c>
      <c r="H2787" s="93" t="s">
        <v>343</v>
      </c>
      <c r="I2787" s="94">
        <v>0.33</v>
      </c>
      <c r="J2787" s="95">
        <v>24.75</v>
      </c>
    </row>
    <row r="2788" spans="1:10" x14ac:dyDescent="0.25">
      <c r="A2788" s="92">
        <v>45953</v>
      </c>
      <c r="B2788" s="93" t="s">
        <v>326</v>
      </c>
      <c r="C2788" s="89" t="s">
        <v>40</v>
      </c>
      <c r="D2788" s="93" t="s">
        <v>233</v>
      </c>
      <c r="E2788" s="93" t="s">
        <v>36</v>
      </c>
      <c r="F2788" s="93" t="s">
        <v>387</v>
      </c>
      <c r="G2788" s="93" t="s">
        <v>348</v>
      </c>
      <c r="H2788" s="93" t="s">
        <v>342</v>
      </c>
      <c r="I2788" s="94">
        <v>0.5</v>
      </c>
      <c r="J2788" s="95">
        <v>30</v>
      </c>
    </row>
    <row r="2789" spans="1:10" x14ac:dyDescent="0.25">
      <c r="A2789" s="92">
        <v>45953</v>
      </c>
      <c r="B2789" s="93" t="s">
        <v>326</v>
      </c>
      <c r="C2789" s="89" t="s">
        <v>40</v>
      </c>
      <c r="D2789" s="93" t="s">
        <v>236</v>
      </c>
      <c r="E2789" s="93" t="s">
        <v>36</v>
      </c>
      <c r="F2789" s="93" t="s">
        <v>357</v>
      </c>
      <c r="G2789" s="93" t="s">
        <v>348</v>
      </c>
      <c r="H2789" s="93" t="s">
        <v>342</v>
      </c>
      <c r="I2789" s="94">
        <v>0.5</v>
      </c>
      <c r="J2789" s="95">
        <v>30</v>
      </c>
    </row>
    <row r="2790" spans="1:10" x14ac:dyDescent="0.25">
      <c r="A2790" s="92">
        <v>45953</v>
      </c>
      <c r="B2790" s="93" t="s">
        <v>326</v>
      </c>
      <c r="C2790" s="89" t="s">
        <v>40</v>
      </c>
      <c r="D2790" s="93" t="s">
        <v>188</v>
      </c>
      <c r="E2790" s="93" t="s">
        <v>34</v>
      </c>
      <c r="F2790" s="93" t="s">
        <v>356</v>
      </c>
      <c r="G2790" s="93" t="s">
        <v>348</v>
      </c>
      <c r="H2790" s="93" t="s">
        <v>343</v>
      </c>
      <c r="I2790" s="94">
        <v>1</v>
      </c>
      <c r="J2790" s="95">
        <v>60</v>
      </c>
    </row>
    <row r="2791" spans="1:10" x14ac:dyDescent="0.25">
      <c r="A2791" s="92">
        <v>45954</v>
      </c>
      <c r="B2791" s="93" t="s">
        <v>329</v>
      </c>
      <c r="C2791" s="89" t="s">
        <v>40</v>
      </c>
      <c r="D2791" s="93" t="s">
        <v>316</v>
      </c>
      <c r="E2791" s="93" t="s">
        <v>35</v>
      </c>
      <c r="F2791" s="93" t="s">
        <v>338</v>
      </c>
      <c r="G2791" s="93" t="s">
        <v>337</v>
      </c>
      <c r="H2791" s="93" t="s">
        <v>352</v>
      </c>
      <c r="I2791" s="94">
        <v>1.17</v>
      </c>
      <c r="J2791" s="95">
        <v>87.75</v>
      </c>
    </row>
    <row r="2792" spans="1:10" x14ac:dyDescent="0.25">
      <c r="A2792" s="92">
        <v>45954</v>
      </c>
      <c r="B2792" s="93" t="s">
        <v>329</v>
      </c>
      <c r="C2792" s="89" t="s">
        <v>40</v>
      </c>
      <c r="D2792" s="93" t="s">
        <v>272</v>
      </c>
      <c r="E2792" s="93" t="s">
        <v>341</v>
      </c>
      <c r="F2792" s="93" t="s">
        <v>362</v>
      </c>
      <c r="G2792" s="93" t="s">
        <v>347</v>
      </c>
      <c r="H2792" s="93" t="s">
        <v>344</v>
      </c>
      <c r="I2792" s="94">
        <v>2.5</v>
      </c>
      <c r="J2792" s="95">
        <v>187.5</v>
      </c>
    </row>
    <row r="2793" spans="1:10" x14ac:dyDescent="0.25">
      <c r="A2793" s="92">
        <v>45954</v>
      </c>
      <c r="B2793" s="93" t="s">
        <v>332</v>
      </c>
      <c r="C2793" s="89" t="s">
        <v>40</v>
      </c>
      <c r="D2793" s="93" t="s">
        <v>314</v>
      </c>
      <c r="E2793" s="93" t="s">
        <v>35</v>
      </c>
      <c r="F2793" s="93" t="s">
        <v>359</v>
      </c>
      <c r="G2793" s="93" t="s">
        <v>339</v>
      </c>
      <c r="H2793" s="93" t="s">
        <v>352</v>
      </c>
      <c r="I2793" s="94">
        <v>9.33</v>
      </c>
      <c r="J2793" s="95">
        <v>373.2</v>
      </c>
    </row>
    <row r="2794" spans="1:10" x14ac:dyDescent="0.25">
      <c r="A2794" s="92">
        <v>45954</v>
      </c>
      <c r="B2794" s="93" t="s">
        <v>324</v>
      </c>
      <c r="C2794" s="89" t="s">
        <v>40</v>
      </c>
      <c r="D2794" s="93" t="s">
        <v>314</v>
      </c>
      <c r="E2794" s="93" t="s">
        <v>35</v>
      </c>
      <c r="F2794" s="93" t="s">
        <v>359</v>
      </c>
      <c r="G2794" s="93" t="s">
        <v>339</v>
      </c>
      <c r="H2794" s="93" t="s">
        <v>352</v>
      </c>
      <c r="I2794" s="94">
        <v>3.25</v>
      </c>
      <c r="J2794" s="95">
        <v>243.75</v>
      </c>
    </row>
    <row r="2795" spans="1:10" x14ac:dyDescent="0.25">
      <c r="A2795" s="92">
        <v>45954</v>
      </c>
      <c r="B2795" s="93" t="s">
        <v>333</v>
      </c>
      <c r="C2795" s="89" t="s">
        <v>40</v>
      </c>
      <c r="D2795" s="93" t="s">
        <v>320</v>
      </c>
      <c r="E2795" s="93" t="s">
        <v>35</v>
      </c>
      <c r="F2795" s="93" t="s">
        <v>322</v>
      </c>
      <c r="G2795" s="93" t="s">
        <v>319</v>
      </c>
      <c r="H2795" s="93" t="s">
        <v>352</v>
      </c>
      <c r="I2795" s="94">
        <v>7.62</v>
      </c>
      <c r="J2795" s="95">
        <v>243.84</v>
      </c>
    </row>
    <row r="2796" spans="1:10" x14ac:dyDescent="0.25">
      <c r="A2796" s="92">
        <v>45954</v>
      </c>
      <c r="B2796" s="93" t="s">
        <v>327</v>
      </c>
      <c r="C2796" s="89" t="s">
        <v>40</v>
      </c>
      <c r="D2796" s="93" t="s">
        <v>320</v>
      </c>
      <c r="E2796" s="93" t="s">
        <v>35</v>
      </c>
      <c r="F2796" s="93" t="s">
        <v>322</v>
      </c>
      <c r="G2796" s="93" t="s">
        <v>319</v>
      </c>
      <c r="H2796" s="93" t="s">
        <v>352</v>
      </c>
      <c r="I2796" s="94">
        <v>7.25</v>
      </c>
      <c r="J2796" s="95">
        <v>232</v>
      </c>
    </row>
    <row r="2797" spans="1:10" x14ac:dyDescent="0.25">
      <c r="A2797" s="92">
        <v>45954</v>
      </c>
      <c r="B2797" s="93" t="s">
        <v>323</v>
      </c>
      <c r="C2797" s="89" t="s">
        <v>40</v>
      </c>
      <c r="D2797" s="93" t="s">
        <v>274</v>
      </c>
      <c r="E2797" s="93" t="s">
        <v>36</v>
      </c>
      <c r="F2797" s="93" t="s">
        <v>421</v>
      </c>
      <c r="G2797" s="93" t="s">
        <v>346</v>
      </c>
      <c r="H2797" s="93" t="s">
        <v>342</v>
      </c>
      <c r="I2797" s="94">
        <v>0.25</v>
      </c>
      <c r="J2797" s="95">
        <v>15</v>
      </c>
    </row>
    <row r="2798" spans="1:10" x14ac:dyDescent="0.25">
      <c r="A2798" s="92">
        <v>45954</v>
      </c>
      <c r="B2798" s="93" t="s">
        <v>323</v>
      </c>
      <c r="C2798" s="89" t="s">
        <v>40</v>
      </c>
      <c r="D2798" s="93" t="s">
        <v>280</v>
      </c>
      <c r="E2798" s="93" t="s">
        <v>36</v>
      </c>
      <c r="F2798" s="93" t="s">
        <v>445</v>
      </c>
      <c r="G2798" s="93" t="s">
        <v>346</v>
      </c>
      <c r="H2798" s="93" t="s">
        <v>342</v>
      </c>
      <c r="I2798" s="94">
        <v>0.25</v>
      </c>
      <c r="J2798" s="95">
        <v>15</v>
      </c>
    </row>
    <row r="2799" spans="1:10" x14ac:dyDescent="0.25">
      <c r="A2799" s="92">
        <v>45954</v>
      </c>
      <c r="B2799" s="93" t="s">
        <v>323</v>
      </c>
      <c r="C2799" s="89" t="s">
        <v>40</v>
      </c>
      <c r="D2799" s="93" t="s">
        <v>281</v>
      </c>
      <c r="E2799" s="93" t="s">
        <v>36</v>
      </c>
      <c r="F2799" s="93" t="s">
        <v>430</v>
      </c>
      <c r="G2799" s="93" t="s">
        <v>346</v>
      </c>
      <c r="H2799" s="93" t="s">
        <v>342</v>
      </c>
      <c r="I2799" s="94">
        <v>0.25</v>
      </c>
      <c r="J2799" s="95">
        <v>15</v>
      </c>
    </row>
    <row r="2800" spans="1:10" x14ac:dyDescent="0.25">
      <c r="A2800" s="92">
        <v>45954</v>
      </c>
      <c r="B2800" s="93" t="s">
        <v>329</v>
      </c>
      <c r="C2800" s="89" t="s">
        <v>40</v>
      </c>
      <c r="D2800" s="93" t="s">
        <v>301</v>
      </c>
      <c r="E2800" s="93" t="s">
        <v>34</v>
      </c>
      <c r="F2800" s="93" t="s">
        <v>371</v>
      </c>
      <c r="G2800" s="93" t="s">
        <v>347</v>
      </c>
      <c r="H2800" s="93" t="s">
        <v>343</v>
      </c>
      <c r="I2800" s="94">
        <v>0.33</v>
      </c>
      <c r="J2800" s="95">
        <v>24.75</v>
      </c>
    </row>
    <row r="2801" spans="1:10" x14ac:dyDescent="0.25">
      <c r="A2801" s="92">
        <v>45954</v>
      </c>
      <c r="B2801" s="93" t="s">
        <v>329</v>
      </c>
      <c r="C2801" s="89" t="s">
        <v>40</v>
      </c>
      <c r="D2801" s="93" t="s">
        <v>242</v>
      </c>
      <c r="E2801" s="93" t="s">
        <v>34</v>
      </c>
      <c r="F2801" s="93" t="s">
        <v>404</v>
      </c>
      <c r="G2801" s="93" t="s">
        <v>347</v>
      </c>
      <c r="H2801" s="93" t="s">
        <v>343</v>
      </c>
      <c r="I2801" s="94">
        <v>0.25</v>
      </c>
      <c r="J2801" s="95">
        <v>18.75</v>
      </c>
    </row>
    <row r="2802" spans="1:10" x14ac:dyDescent="0.25">
      <c r="A2802" s="92">
        <v>45954</v>
      </c>
      <c r="B2802" s="93" t="s">
        <v>329</v>
      </c>
      <c r="C2802" s="89" t="s">
        <v>40</v>
      </c>
      <c r="D2802" s="93" t="s">
        <v>288</v>
      </c>
      <c r="E2802" s="93" t="s">
        <v>34</v>
      </c>
      <c r="F2802" s="93" t="s">
        <v>405</v>
      </c>
      <c r="G2802" s="93" t="s">
        <v>347</v>
      </c>
      <c r="H2802" s="93" t="s">
        <v>343</v>
      </c>
      <c r="I2802" s="94">
        <v>0.33</v>
      </c>
      <c r="J2802" s="95">
        <v>24.75</v>
      </c>
    </row>
    <row r="2803" spans="1:10" x14ac:dyDescent="0.25">
      <c r="A2803" s="92">
        <v>45954</v>
      </c>
      <c r="B2803" s="93" t="s">
        <v>330</v>
      </c>
      <c r="C2803" s="89" t="s">
        <v>40</v>
      </c>
      <c r="D2803" s="93" t="s">
        <v>297</v>
      </c>
      <c r="E2803" s="93" t="s">
        <v>34</v>
      </c>
      <c r="F2803" s="93" t="s">
        <v>380</v>
      </c>
      <c r="G2803" s="93" t="s">
        <v>347</v>
      </c>
      <c r="H2803" s="93" t="s">
        <v>343</v>
      </c>
      <c r="I2803" s="94">
        <v>0.5</v>
      </c>
      <c r="J2803" s="95">
        <v>30</v>
      </c>
    </row>
    <row r="2804" spans="1:10" x14ac:dyDescent="0.25">
      <c r="A2804" s="92">
        <v>45954</v>
      </c>
      <c r="B2804" s="93" t="s">
        <v>329</v>
      </c>
      <c r="C2804" s="89" t="s">
        <v>40</v>
      </c>
      <c r="D2804" s="93" t="s">
        <v>259</v>
      </c>
      <c r="E2804" s="93" t="s">
        <v>34</v>
      </c>
      <c r="F2804" s="93" t="s">
        <v>407</v>
      </c>
      <c r="G2804" s="93" t="s">
        <v>347</v>
      </c>
      <c r="H2804" s="93" t="s">
        <v>343</v>
      </c>
      <c r="I2804" s="94">
        <v>0.25</v>
      </c>
      <c r="J2804" s="95">
        <v>18.75</v>
      </c>
    </row>
    <row r="2805" spans="1:10" x14ac:dyDescent="0.25">
      <c r="A2805" s="92">
        <v>45954</v>
      </c>
      <c r="B2805" s="93" t="s">
        <v>329</v>
      </c>
      <c r="C2805" s="89" t="s">
        <v>40</v>
      </c>
      <c r="D2805" s="93" t="s">
        <v>230</v>
      </c>
      <c r="E2805" s="93" t="s">
        <v>34</v>
      </c>
      <c r="F2805" s="93" t="s">
        <v>410</v>
      </c>
      <c r="G2805" s="93" t="s">
        <v>347</v>
      </c>
      <c r="H2805" s="93" t="s">
        <v>343</v>
      </c>
      <c r="I2805" s="94">
        <v>0.17</v>
      </c>
      <c r="J2805" s="95">
        <v>12.750000000000002</v>
      </c>
    </row>
    <row r="2806" spans="1:10" x14ac:dyDescent="0.25">
      <c r="A2806" s="92">
        <v>45954</v>
      </c>
      <c r="B2806" s="93" t="s">
        <v>329</v>
      </c>
      <c r="C2806" s="89" t="s">
        <v>40</v>
      </c>
      <c r="D2806" s="93" t="s">
        <v>272</v>
      </c>
      <c r="E2806" s="93" t="s">
        <v>34</v>
      </c>
      <c r="F2806" s="93" t="s">
        <v>362</v>
      </c>
      <c r="G2806" s="93" t="s">
        <v>347</v>
      </c>
      <c r="H2806" s="93" t="s">
        <v>343</v>
      </c>
      <c r="I2806" s="94">
        <v>1</v>
      </c>
      <c r="J2806" s="95">
        <v>75</v>
      </c>
    </row>
    <row r="2807" spans="1:10" x14ac:dyDescent="0.25">
      <c r="A2807" s="92">
        <v>45954</v>
      </c>
      <c r="B2807" s="93" t="s">
        <v>326</v>
      </c>
      <c r="C2807" s="89" t="s">
        <v>40</v>
      </c>
      <c r="D2807" s="93" t="s">
        <v>207</v>
      </c>
      <c r="E2807" s="93" t="s">
        <v>36</v>
      </c>
      <c r="F2807" s="93" t="s">
        <v>417</v>
      </c>
      <c r="G2807" s="93" t="s">
        <v>348</v>
      </c>
      <c r="H2807" s="93" t="s">
        <v>342</v>
      </c>
      <c r="I2807" s="94">
        <v>1</v>
      </c>
      <c r="J2807" s="95">
        <v>60</v>
      </c>
    </row>
    <row r="2808" spans="1:10" x14ac:dyDescent="0.25">
      <c r="A2808" s="92">
        <v>45954</v>
      </c>
      <c r="B2808" s="93" t="s">
        <v>326</v>
      </c>
      <c r="C2808" s="89" t="s">
        <v>40</v>
      </c>
      <c r="D2808" s="93" t="s">
        <v>175</v>
      </c>
      <c r="E2808" s="93" t="s">
        <v>34</v>
      </c>
      <c r="F2808" s="93" t="s">
        <v>388</v>
      </c>
      <c r="G2808" s="93" t="s">
        <v>348</v>
      </c>
      <c r="H2808" s="93" t="s">
        <v>343</v>
      </c>
      <c r="I2808" s="94">
        <v>1.17</v>
      </c>
      <c r="J2808" s="95">
        <v>70.199999999999989</v>
      </c>
    </row>
    <row r="2809" spans="1:10" x14ac:dyDescent="0.25">
      <c r="A2809" s="92">
        <v>45955</v>
      </c>
      <c r="B2809" s="93" t="s">
        <v>332</v>
      </c>
      <c r="C2809" s="89" t="s">
        <v>40</v>
      </c>
      <c r="D2809" s="93" t="s">
        <v>314</v>
      </c>
      <c r="E2809" s="93" t="s">
        <v>35</v>
      </c>
      <c r="F2809" s="93" t="s">
        <v>359</v>
      </c>
      <c r="G2809" s="93" t="s">
        <v>339</v>
      </c>
      <c r="H2809" s="93" t="s">
        <v>352</v>
      </c>
      <c r="I2809" s="94">
        <v>5</v>
      </c>
      <c r="J2809" s="95">
        <v>200</v>
      </c>
    </row>
    <row r="2810" spans="1:10" x14ac:dyDescent="0.25">
      <c r="A2810" s="92">
        <v>45957</v>
      </c>
      <c r="B2810" s="93" t="s">
        <v>327</v>
      </c>
      <c r="C2810" s="89" t="s">
        <v>40</v>
      </c>
      <c r="D2810" s="93" t="s">
        <v>320</v>
      </c>
      <c r="E2810" s="93" t="s">
        <v>35</v>
      </c>
      <c r="F2810" s="93" t="s">
        <v>322</v>
      </c>
      <c r="G2810" s="93" t="s">
        <v>319</v>
      </c>
      <c r="H2810" s="93" t="s">
        <v>352</v>
      </c>
      <c r="I2810" s="94">
        <v>7.5</v>
      </c>
      <c r="J2810" s="95">
        <v>240</v>
      </c>
    </row>
    <row r="2811" spans="1:10" x14ac:dyDescent="0.25">
      <c r="A2811" s="92">
        <v>45957</v>
      </c>
      <c r="B2811" s="93" t="s">
        <v>333</v>
      </c>
      <c r="C2811" s="89" t="s">
        <v>40</v>
      </c>
      <c r="D2811" s="93" t="s">
        <v>320</v>
      </c>
      <c r="E2811" s="93" t="s">
        <v>35</v>
      </c>
      <c r="F2811" s="93" t="s">
        <v>322</v>
      </c>
      <c r="G2811" s="93" t="s">
        <v>319</v>
      </c>
      <c r="H2811" s="93" t="s">
        <v>352</v>
      </c>
      <c r="I2811" s="94">
        <v>7.57</v>
      </c>
      <c r="J2811" s="95">
        <v>242.24</v>
      </c>
    </row>
    <row r="2812" spans="1:10" x14ac:dyDescent="0.25">
      <c r="A2812" s="92">
        <v>45958</v>
      </c>
      <c r="B2812" s="93" t="s">
        <v>333</v>
      </c>
      <c r="C2812" s="89" t="s">
        <v>40</v>
      </c>
      <c r="D2812" s="93" t="s">
        <v>320</v>
      </c>
      <c r="E2812" s="93" t="s">
        <v>35</v>
      </c>
      <c r="F2812" s="93" t="s">
        <v>322</v>
      </c>
      <c r="G2812" s="93" t="s">
        <v>319</v>
      </c>
      <c r="H2812" s="93" t="s">
        <v>352</v>
      </c>
      <c r="I2812" s="94">
        <v>7.08</v>
      </c>
      <c r="J2812" s="95">
        <v>226.56</v>
      </c>
    </row>
    <row r="2813" spans="1:10" x14ac:dyDescent="0.25">
      <c r="A2813" s="92">
        <v>45958</v>
      </c>
      <c r="B2813" s="93" t="s">
        <v>327</v>
      </c>
      <c r="C2813" s="89" t="s">
        <v>40</v>
      </c>
      <c r="D2813" s="93" t="s">
        <v>320</v>
      </c>
      <c r="E2813" s="93" t="s">
        <v>35</v>
      </c>
      <c r="F2813" s="93" t="s">
        <v>322</v>
      </c>
      <c r="G2813" s="93" t="s">
        <v>319</v>
      </c>
      <c r="H2813" s="93" t="s">
        <v>352</v>
      </c>
      <c r="I2813" s="94">
        <v>7.42</v>
      </c>
      <c r="J2813" s="95">
        <v>237.44</v>
      </c>
    </row>
    <row r="2814" spans="1:10" x14ac:dyDescent="0.25">
      <c r="A2814" s="92">
        <v>45958</v>
      </c>
      <c r="B2814" s="93" t="s">
        <v>326</v>
      </c>
      <c r="C2814" s="89" t="s">
        <v>40</v>
      </c>
      <c r="D2814" s="93" t="s">
        <v>265</v>
      </c>
      <c r="E2814" s="93" t="s">
        <v>34</v>
      </c>
      <c r="F2814" s="93" t="s">
        <v>358</v>
      </c>
      <c r="G2814" s="93" t="s">
        <v>348</v>
      </c>
      <c r="H2814" s="93" t="s">
        <v>343</v>
      </c>
      <c r="I2814" s="94">
        <v>0.83</v>
      </c>
      <c r="J2814" s="95">
        <v>49.8</v>
      </c>
    </row>
    <row r="2815" spans="1:10" x14ac:dyDescent="0.25">
      <c r="A2815" s="92">
        <v>45958</v>
      </c>
      <c r="B2815" s="93" t="s">
        <v>326</v>
      </c>
      <c r="C2815" s="89" t="s">
        <v>40</v>
      </c>
      <c r="D2815" s="93" t="s">
        <v>188</v>
      </c>
      <c r="E2815" s="93" t="s">
        <v>341</v>
      </c>
      <c r="F2815" s="93" t="s">
        <v>356</v>
      </c>
      <c r="G2815" s="93" t="s">
        <v>348</v>
      </c>
      <c r="H2815" s="93" t="s">
        <v>344</v>
      </c>
      <c r="I2815" s="94">
        <v>1.58</v>
      </c>
      <c r="J2815" s="95">
        <v>94.800000000000011</v>
      </c>
    </row>
    <row r="2816" spans="1:10" x14ac:dyDescent="0.25">
      <c r="A2816" s="92">
        <v>45959</v>
      </c>
      <c r="B2816" s="93" t="s">
        <v>328</v>
      </c>
      <c r="C2816" s="89" t="s">
        <v>40</v>
      </c>
      <c r="D2816" s="93" t="s">
        <v>297</v>
      </c>
      <c r="E2816" s="93" t="s">
        <v>311</v>
      </c>
      <c r="F2816" s="93" t="s">
        <v>474</v>
      </c>
      <c r="G2816" s="93" t="s">
        <v>345</v>
      </c>
      <c r="H2816" s="93" t="s">
        <v>349</v>
      </c>
      <c r="I2816" s="94">
        <v>3.5</v>
      </c>
      <c r="J2816" s="95">
        <v>315</v>
      </c>
    </row>
    <row r="2817" spans="1:10" x14ac:dyDescent="0.25">
      <c r="A2817" s="92">
        <v>45959</v>
      </c>
      <c r="B2817" s="93" t="s">
        <v>333</v>
      </c>
      <c r="C2817" s="89" t="s">
        <v>40</v>
      </c>
      <c r="D2817" s="93" t="s">
        <v>320</v>
      </c>
      <c r="E2817" s="93" t="s">
        <v>35</v>
      </c>
      <c r="F2817" s="93" t="s">
        <v>322</v>
      </c>
      <c r="G2817" s="93" t="s">
        <v>319</v>
      </c>
      <c r="H2817" s="93" t="s">
        <v>352</v>
      </c>
      <c r="I2817" s="94">
        <v>7.38</v>
      </c>
      <c r="J2817" s="95">
        <v>236.16</v>
      </c>
    </row>
    <row r="2818" spans="1:10" x14ac:dyDescent="0.25">
      <c r="A2818" s="92">
        <v>45959</v>
      </c>
      <c r="B2818" s="93" t="s">
        <v>327</v>
      </c>
      <c r="C2818" s="89" t="s">
        <v>40</v>
      </c>
      <c r="D2818" s="93" t="s">
        <v>320</v>
      </c>
      <c r="E2818" s="93" t="s">
        <v>35</v>
      </c>
      <c r="F2818" s="93" t="s">
        <v>322</v>
      </c>
      <c r="G2818" s="93" t="s">
        <v>319</v>
      </c>
      <c r="H2818" s="93" t="s">
        <v>352</v>
      </c>
      <c r="I2818" s="94">
        <v>7.17</v>
      </c>
      <c r="J2818" s="95">
        <v>229.44</v>
      </c>
    </row>
    <row r="2819" spans="1:10" x14ac:dyDescent="0.25">
      <c r="A2819" s="92">
        <v>45959</v>
      </c>
      <c r="B2819" s="93" t="s">
        <v>323</v>
      </c>
      <c r="C2819" s="89" t="s">
        <v>40</v>
      </c>
      <c r="D2819" s="93" t="s">
        <v>202</v>
      </c>
      <c r="E2819" s="93" t="s">
        <v>36</v>
      </c>
      <c r="F2819" s="93" t="s">
        <v>431</v>
      </c>
      <c r="G2819" s="93" t="s">
        <v>346</v>
      </c>
      <c r="H2819" s="93" t="s">
        <v>342</v>
      </c>
      <c r="I2819" s="94">
        <v>0.5</v>
      </c>
      <c r="J2819" s="95">
        <v>30</v>
      </c>
    </row>
    <row r="2820" spans="1:10" x14ac:dyDescent="0.25">
      <c r="A2820" s="92">
        <v>45959</v>
      </c>
      <c r="B2820" s="93" t="s">
        <v>323</v>
      </c>
      <c r="C2820" s="89" t="s">
        <v>40</v>
      </c>
      <c r="D2820" s="93" t="s">
        <v>232</v>
      </c>
      <c r="E2820" s="93" t="s">
        <v>36</v>
      </c>
      <c r="F2820" s="93" t="s">
        <v>393</v>
      </c>
      <c r="G2820" s="93" t="s">
        <v>346</v>
      </c>
      <c r="H2820" s="93" t="s">
        <v>342</v>
      </c>
      <c r="I2820" s="94">
        <v>0.25</v>
      </c>
      <c r="J2820" s="95">
        <v>15</v>
      </c>
    </row>
    <row r="2821" spans="1:10" x14ac:dyDescent="0.25">
      <c r="A2821" s="92">
        <v>45959</v>
      </c>
      <c r="B2821" s="93" t="s">
        <v>323</v>
      </c>
      <c r="C2821" s="89" t="s">
        <v>40</v>
      </c>
      <c r="D2821" s="93" t="s">
        <v>285</v>
      </c>
      <c r="E2821" s="93" t="s">
        <v>36</v>
      </c>
      <c r="F2821" s="93" t="s">
        <v>448</v>
      </c>
      <c r="G2821" s="93" t="s">
        <v>346</v>
      </c>
      <c r="H2821" s="93" t="s">
        <v>342</v>
      </c>
      <c r="I2821" s="94">
        <v>0.25</v>
      </c>
      <c r="J2821" s="95">
        <v>15</v>
      </c>
    </row>
    <row r="2822" spans="1:10" x14ac:dyDescent="0.25">
      <c r="A2822" s="92">
        <v>45959</v>
      </c>
      <c r="B2822" s="93" t="s">
        <v>323</v>
      </c>
      <c r="C2822" s="89" t="s">
        <v>40</v>
      </c>
      <c r="D2822" s="93" t="s">
        <v>283</v>
      </c>
      <c r="E2822" s="93" t="s">
        <v>36</v>
      </c>
      <c r="F2822" s="93" t="s">
        <v>429</v>
      </c>
      <c r="G2822" s="93" t="s">
        <v>346</v>
      </c>
      <c r="H2822" s="93" t="s">
        <v>342</v>
      </c>
      <c r="I2822" s="94">
        <v>0.25</v>
      </c>
      <c r="J2822" s="95">
        <v>15</v>
      </c>
    </row>
    <row r="2823" spans="1:10" x14ac:dyDescent="0.25">
      <c r="A2823" s="92">
        <v>45959</v>
      </c>
      <c r="B2823" s="93" t="s">
        <v>323</v>
      </c>
      <c r="C2823" s="89" t="s">
        <v>40</v>
      </c>
      <c r="D2823" s="93" t="s">
        <v>274</v>
      </c>
      <c r="E2823" s="93" t="s">
        <v>36</v>
      </c>
      <c r="F2823" s="93" t="s">
        <v>421</v>
      </c>
      <c r="G2823" s="93" t="s">
        <v>346</v>
      </c>
      <c r="H2823" s="93" t="s">
        <v>342</v>
      </c>
      <c r="I2823" s="94">
        <v>0.5</v>
      </c>
      <c r="J2823" s="95">
        <v>30</v>
      </c>
    </row>
    <row r="2824" spans="1:10" x14ac:dyDescent="0.25">
      <c r="A2824" s="92">
        <v>45959</v>
      </c>
      <c r="B2824" s="93" t="s">
        <v>323</v>
      </c>
      <c r="C2824" s="89" t="s">
        <v>40</v>
      </c>
      <c r="D2824" s="93" t="s">
        <v>281</v>
      </c>
      <c r="E2824" s="93" t="s">
        <v>36</v>
      </c>
      <c r="F2824" s="93" t="s">
        <v>430</v>
      </c>
      <c r="G2824" s="93" t="s">
        <v>346</v>
      </c>
      <c r="H2824" s="93" t="s">
        <v>342</v>
      </c>
      <c r="I2824" s="94">
        <v>0.5</v>
      </c>
      <c r="J2824" s="95">
        <v>30</v>
      </c>
    </row>
    <row r="2825" spans="1:10" x14ac:dyDescent="0.25">
      <c r="A2825" s="92">
        <v>45959</v>
      </c>
      <c r="B2825" s="93" t="s">
        <v>330</v>
      </c>
      <c r="C2825" s="89" t="s">
        <v>40</v>
      </c>
      <c r="D2825" s="93" t="s">
        <v>297</v>
      </c>
      <c r="E2825" s="93" t="s">
        <v>341</v>
      </c>
      <c r="F2825" s="93" t="s">
        <v>380</v>
      </c>
      <c r="G2825" s="93" t="s">
        <v>347</v>
      </c>
      <c r="H2825" s="93" t="s">
        <v>344</v>
      </c>
      <c r="I2825" s="94">
        <v>1</v>
      </c>
      <c r="J2825" s="95">
        <v>60</v>
      </c>
    </row>
    <row r="2826" spans="1:10" x14ac:dyDescent="0.25">
      <c r="A2826" s="92">
        <v>45959</v>
      </c>
      <c r="B2826" s="93" t="s">
        <v>326</v>
      </c>
      <c r="C2826" s="89" t="s">
        <v>40</v>
      </c>
      <c r="D2826" s="93" t="s">
        <v>265</v>
      </c>
      <c r="E2826" s="93" t="s">
        <v>34</v>
      </c>
      <c r="F2826" s="93" t="s">
        <v>358</v>
      </c>
      <c r="G2826" s="93" t="s">
        <v>348</v>
      </c>
      <c r="H2826" s="93" t="s">
        <v>343</v>
      </c>
      <c r="I2826" s="94">
        <v>1.42</v>
      </c>
      <c r="J2826" s="95">
        <v>85.199999999999989</v>
      </c>
    </row>
    <row r="2827" spans="1:10" x14ac:dyDescent="0.25">
      <c r="A2827" s="92">
        <v>45960</v>
      </c>
      <c r="B2827" s="93" t="s">
        <v>333</v>
      </c>
      <c r="C2827" s="89" t="s">
        <v>40</v>
      </c>
      <c r="D2827" s="93" t="s">
        <v>320</v>
      </c>
      <c r="E2827" s="93" t="s">
        <v>35</v>
      </c>
      <c r="F2827" s="93" t="s">
        <v>322</v>
      </c>
      <c r="G2827" s="93" t="s">
        <v>319</v>
      </c>
      <c r="H2827" s="93" t="s">
        <v>352</v>
      </c>
      <c r="I2827" s="94">
        <v>7.67</v>
      </c>
      <c r="J2827" s="95">
        <v>245.44</v>
      </c>
    </row>
    <row r="2828" spans="1:10" x14ac:dyDescent="0.25">
      <c r="A2828" s="92">
        <v>45960</v>
      </c>
      <c r="B2828" s="93" t="s">
        <v>327</v>
      </c>
      <c r="C2828" s="89" t="s">
        <v>40</v>
      </c>
      <c r="D2828" s="93" t="s">
        <v>320</v>
      </c>
      <c r="E2828" s="93" t="s">
        <v>35</v>
      </c>
      <c r="F2828" s="93" t="s">
        <v>322</v>
      </c>
      <c r="G2828" s="93" t="s">
        <v>319</v>
      </c>
      <c r="H2828" s="93" t="s">
        <v>352</v>
      </c>
      <c r="I2828" s="94">
        <v>7.42</v>
      </c>
      <c r="J2828" s="95">
        <v>237.44</v>
      </c>
    </row>
    <row r="2829" spans="1:10" x14ac:dyDescent="0.25">
      <c r="A2829" s="92">
        <v>45960</v>
      </c>
      <c r="B2829" s="93" t="s">
        <v>326</v>
      </c>
      <c r="C2829" s="89" t="s">
        <v>40</v>
      </c>
      <c r="D2829" s="93" t="s">
        <v>235</v>
      </c>
      <c r="E2829" s="93" t="s">
        <v>34</v>
      </c>
      <c r="F2829" s="93" t="s">
        <v>355</v>
      </c>
      <c r="G2829" s="93" t="s">
        <v>348</v>
      </c>
      <c r="H2829" s="93" t="s">
        <v>343</v>
      </c>
      <c r="I2829" s="94">
        <v>1.67</v>
      </c>
      <c r="J2829" s="95">
        <v>100.19999999999999</v>
      </c>
    </row>
    <row r="2830" spans="1:10" x14ac:dyDescent="0.25">
      <c r="A2830" s="92">
        <v>45960</v>
      </c>
      <c r="B2830" s="93" t="s">
        <v>326</v>
      </c>
      <c r="C2830" s="89" t="s">
        <v>40</v>
      </c>
      <c r="D2830" s="93" t="s">
        <v>234</v>
      </c>
      <c r="E2830" s="93" t="s">
        <v>34</v>
      </c>
      <c r="F2830" s="93" t="s">
        <v>389</v>
      </c>
      <c r="G2830" s="93" t="s">
        <v>348</v>
      </c>
      <c r="H2830" s="93" t="s">
        <v>343</v>
      </c>
      <c r="I2830" s="94">
        <v>1.42</v>
      </c>
      <c r="J2830" s="95">
        <v>85.199999999999989</v>
      </c>
    </row>
    <row r="2831" spans="1:10" x14ac:dyDescent="0.25">
      <c r="A2831" s="92">
        <v>45960</v>
      </c>
      <c r="B2831" s="93" t="s">
        <v>326</v>
      </c>
      <c r="C2831" s="89" t="s">
        <v>40</v>
      </c>
      <c r="D2831" s="93" t="s">
        <v>188</v>
      </c>
      <c r="E2831" s="93" t="s">
        <v>34</v>
      </c>
      <c r="F2831" s="93" t="s">
        <v>356</v>
      </c>
      <c r="G2831" s="93" t="s">
        <v>348</v>
      </c>
      <c r="H2831" s="93" t="s">
        <v>343</v>
      </c>
      <c r="I2831" s="94">
        <v>1</v>
      </c>
      <c r="J2831" s="95">
        <v>60</v>
      </c>
    </row>
    <row r="2832" spans="1:10" x14ac:dyDescent="0.25">
      <c r="A2832" s="92">
        <v>45960</v>
      </c>
      <c r="B2832" s="93" t="s">
        <v>326</v>
      </c>
      <c r="C2832" s="89" t="s">
        <v>40</v>
      </c>
      <c r="D2832" s="93" t="s">
        <v>233</v>
      </c>
      <c r="E2832" s="93" t="s">
        <v>34</v>
      </c>
      <c r="F2832" s="93" t="s">
        <v>387</v>
      </c>
      <c r="G2832" s="93" t="s">
        <v>348</v>
      </c>
      <c r="H2832" s="93" t="s">
        <v>343</v>
      </c>
      <c r="I2832" s="94">
        <v>0.5</v>
      </c>
      <c r="J2832" s="95">
        <v>30</v>
      </c>
    </row>
    <row r="2833" spans="1:10" x14ac:dyDescent="0.25">
      <c r="A2833" s="92">
        <v>45960</v>
      </c>
      <c r="B2833" s="93" t="s">
        <v>326</v>
      </c>
      <c r="C2833" s="89" t="s">
        <v>40</v>
      </c>
      <c r="D2833" s="93" t="s">
        <v>236</v>
      </c>
      <c r="E2833" s="93" t="s">
        <v>34</v>
      </c>
      <c r="F2833" s="93" t="s">
        <v>357</v>
      </c>
      <c r="G2833" s="93" t="s">
        <v>348</v>
      </c>
      <c r="H2833" s="93" t="s">
        <v>343</v>
      </c>
      <c r="I2833" s="94">
        <v>0.75</v>
      </c>
      <c r="J2833" s="95">
        <v>45</v>
      </c>
    </row>
    <row r="2834" spans="1:10" x14ac:dyDescent="0.25">
      <c r="A2834" s="92">
        <v>45961</v>
      </c>
      <c r="B2834" s="93" t="s">
        <v>329</v>
      </c>
      <c r="C2834" s="89" t="s">
        <v>40</v>
      </c>
      <c r="D2834" s="93" t="s">
        <v>316</v>
      </c>
      <c r="E2834" s="93" t="s">
        <v>35</v>
      </c>
      <c r="F2834" s="93" t="s">
        <v>338</v>
      </c>
      <c r="G2834" s="93" t="s">
        <v>337</v>
      </c>
      <c r="H2834" s="93" t="s">
        <v>352</v>
      </c>
      <c r="I2834" s="94">
        <v>0.33</v>
      </c>
      <c r="J2834" s="95">
        <v>24.75</v>
      </c>
    </row>
    <row r="2835" spans="1:10" x14ac:dyDescent="0.25">
      <c r="A2835" s="92">
        <v>45961</v>
      </c>
      <c r="B2835" s="93" t="s">
        <v>333</v>
      </c>
      <c r="C2835" s="89" t="s">
        <v>40</v>
      </c>
      <c r="D2835" s="93" t="s">
        <v>320</v>
      </c>
      <c r="E2835" s="93" t="s">
        <v>35</v>
      </c>
      <c r="F2835" s="93" t="s">
        <v>322</v>
      </c>
      <c r="G2835" s="93" t="s">
        <v>319</v>
      </c>
      <c r="H2835" s="93" t="s">
        <v>352</v>
      </c>
      <c r="I2835" s="94">
        <v>7.68</v>
      </c>
      <c r="J2835" s="95">
        <v>245.76</v>
      </c>
    </row>
    <row r="2836" spans="1:10" x14ac:dyDescent="0.25">
      <c r="A2836" s="92">
        <v>45961</v>
      </c>
      <c r="B2836" s="93" t="s">
        <v>327</v>
      </c>
      <c r="C2836" s="89" t="s">
        <v>40</v>
      </c>
      <c r="D2836" s="93" t="s">
        <v>320</v>
      </c>
      <c r="E2836" s="93" t="s">
        <v>35</v>
      </c>
      <c r="F2836" s="93" t="s">
        <v>322</v>
      </c>
      <c r="G2836" s="93" t="s">
        <v>319</v>
      </c>
      <c r="H2836" s="93" t="s">
        <v>352</v>
      </c>
      <c r="I2836" s="94">
        <v>7.25</v>
      </c>
      <c r="J2836" s="95">
        <v>232</v>
      </c>
    </row>
    <row r="2837" spans="1:10" x14ac:dyDescent="0.25">
      <c r="A2837" s="92">
        <v>45961</v>
      </c>
      <c r="B2837" s="93" t="s">
        <v>323</v>
      </c>
      <c r="C2837" s="89" t="s">
        <v>40</v>
      </c>
      <c r="D2837" s="93" t="s">
        <v>202</v>
      </c>
      <c r="E2837" s="93" t="s">
        <v>36</v>
      </c>
      <c r="F2837" s="93" t="s">
        <v>431</v>
      </c>
      <c r="G2837" s="93" t="s">
        <v>346</v>
      </c>
      <c r="H2837" s="93" t="s">
        <v>342</v>
      </c>
      <c r="I2837" s="94">
        <v>0.25</v>
      </c>
      <c r="J2837" s="95">
        <v>15</v>
      </c>
    </row>
    <row r="2838" spans="1:10" x14ac:dyDescent="0.25">
      <c r="A2838" s="92">
        <v>45961</v>
      </c>
      <c r="B2838" s="93" t="s">
        <v>332</v>
      </c>
      <c r="C2838" s="89" t="s">
        <v>40</v>
      </c>
      <c r="D2838" s="93" t="s">
        <v>314</v>
      </c>
      <c r="E2838" s="93" t="s">
        <v>35</v>
      </c>
      <c r="F2838" s="93" t="s">
        <v>359</v>
      </c>
      <c r="G2838" s="93" t="s">
        <v>339</v>
      </c>
      <c r="H2838" s="93" t="s">
        <v>352</v>
      </c>
      <c r="I2838" s="94">
        <v>8.67</v>
      </c>
      <c r="J2838" s="95">
        <v>346.8</v>
      </c>
    </row>
    <row r="2839" spans="1:10" x14ac:dyDescent="0.25">
      <c r="A2839" s="92">
        <v>45961</v>
      </c>
      <c r="B2839" s="93" t="s">
        <v>323</v>
      </c>
      <c r="C2839" s="89" t="s">
        <v>40</v>
      </c>
      <c r="D2839" s="93" t="s">
        <v>274</v>
      </c>
      <c r="E2839" s="93" t="s">
        <v>36</v>
      </c>
      <c r="F2839" s="93" t="s">
        <v>421</v>
      </c>
      <c r="G2839" s="93" t="s">
        <v>346</v>
      </c>
      <c r="H2839" s="93" t="s">
        <v>342</v>
      </c>
      <c r="I2839" s="94">
        <v>0.33</v>
      </c>
      <c r="J2839" s="95">
        <v>19.8</v>
      </c>
    </row>
    <row r="2840" spans="1:10" x14ac:dyDescent="0.25">
      <c r="A2840" s="92">
        <v>45961</v>
      </c>
      <c r="B2840" s="93" t="s">
        <v>323</v>
      </c>
      <c r="C2840" s="89" t="s">
        <v>40</v>
      </c>
      <c r="D2840" s="93" t="s">
        <v>281</v>
      </c>
      <c r="E2840" s="93" t="s">
        <v>36</v>
      </c>
      <c r="F2840" s="93" t="s">
        <v>430</v>
      </c>
      <c r="G2840" s="93" t="s">
        <v>346</v>
      </c>
      <c r="H2840" s="93" t="s">
        <v>342</v>
      </c>
      <c r="I2840" s="94">
        <v>0.25</v>
      </c>
      <c r="J2840" s="95">
        <v>15</v>
      </c>
    </row>
    <row r="2841" spans="1:10" x14ac:dyDescent="0.25">
      <c r="A2841" s="92">
        <v>45961</v>
      </c>
      <c r="B2841" s="93" t="s">
        <v>329</v>
      </c>
      <c r="C2841" s="89" t="s">
        <v>40</v>
      </c>
      <c r="D2841" s="93" t="s">
        <v>186</v>
      </c>
      <c r="E2841" s="93" t="s">
        <v>34</v>
      </c>
      <c r="F2841" s="93" t="s">
        <v>397</v>
      </c>
      <c r="G2841" s="93" t="s">
        <v>347</v>
      </c>
      <c r="H2841" s="93" t="s">
        <v>343</v>
      </c>
      <c r="I2841" s="94">
        <v>0.33</v>
      </c>
      <c r="J2841" s="95">
        <v>24.75</v>
      </c>
    </row>
    <row r="2842" spans="1:10" x14ac:dyDescent="0.25">
      <c r="A2842" s="92">
        <v>45961</v>
      </c>
      <c r="B2842" s="93" t="s">
        <v>329</v>
      </c>
      <c r="C2842" s="89" t="s">
        <v>40</v>
      </c>
      <c r="D2842" s="93" t="s">
        <v>302</v>
      </c>
      <c r="E2842" s="93" t="s">
        <v>34</v>
      </c>
      <c r="F2842" s="93" t="s">
        <v>398</v>
      </c>
      <c r="G2842" s="93" t="s">
        <v>347</v>
      </c>
      <c r="H2842" s="93" t="s">
        <v>343</v>
      </c>
      <c r="I2842" s="94">
        <v>0.17</v>
      </c>
      <c r="J2842" s="95">
        <v>12.750000000000002</v>
      </c>
    </row>
    <row r="2843" spans="1:10" x14ac:dyDescent="0.25">
      <c r="A2843" s="92">
        <v>45961</v>
      </c>
      <c r="B2843" s="93" t="s">
        <v>325</v>
      </c>
      <c r="C2843" s="89" t="s">
        <v>40</v>
      </c>
      <c r="D2843" s="93" t="s">
        <v>224</v>
      </c>
      <c r="E2843" s="93" t="s">
        <v>34</v>
      </c>
      <c r="F2843" s="93" t="s">
        <v>423</v>
      </c>
      <c r="G2843" s="93" t="s">
        <v>347</v>
      </c>
      <c r="H2843" s="93" t="s">
        <v>343</v>
      </c>
      <c r="I2843" s="94">
        <v>0.33</v>
      </c>
      <c r="J2843" s="95">
        <v>24.75</v>
      </c>
    </row>
    <row r="2844" spans="1:10" x14ac:dyDescent="0.25">
      <c r="A2844" s="92">
        <v>45961</v>
      </c>
      <c r="B2844" s="93" t="s">
        <v>329</v>
      </c>
      <c r="C2844" s="89" t="s">
        <v>40</v>
      </c>
      <c r="D2844" s="93" t="s">
        <v>303</v>
      </c>
      <c r="E2844" s="93" t="s">
        <v>34</v>
      </c>
      <c r="F2844" s="93" t="s">
        <v>400</v>
      </c>
      <c r="G2844" s="93" t="s">
        <v>347</v>
      </c>
      <c r="H2844" s="93" t="s">
        <v>343</v>
      </c>
      <c r="I2844" s="94">
        <v>0.17</v>
      </c>
      <c r="J2844" s="95">
        <v>12.750000000000002</v>
      </c>
    </row>
    <row r="2845" spans="1:10" x14ac:dyDescent="0.25">
      <c r="A2845" s="92">
        <v>45961</v>
      </c>
      <c r="B2845" s="93" t="s">
        <v>329</v>
      </c>
      <c r="C2845" s="89" t="s">
        <v>40</v>
      </c>
      <c r="D2845" s="93" t="s">
        <v>288</v>
      </c>
      <c r="E2845" s="93" t="s">
        <v>34</v>
      </c>
      <c r="F2845" s="93" t="s">
        <v>405</v>
      </c>
      <c r="G2845" s="93" t="s">
        <v>347</v>
      </c>
      <c r="H2845" s="93" t="s">
        <v>343</v>
      </c>
      <c r="I2845" s="94">
        <v>0.17</v>
      </c>
      <c r="J2845" s="95">
        <v>12.750000000000002</v>
      </c>
    </row>
    <row r="2846" spans="1:10" x14ac:dyDescent="0.25">
      <c r="A2846" s="92">
        <v>45961</v>
      </c>
      <c r="B2846" s="93" t="s">
        <v>329</v>
      </c>
      <c r="C2846" s="89" t="s">
        <v>40</v>
      </c>
      <c r="D2846" s="93" t="s">
        <v>294</v>
      </c>
      <c r="E2846" s="93" t="s">
        <v>34</v>
      </c>
      <c r="F2846" s="93" t="s">
        <v>377</v>
      </c>
      <c r="G2846" s="93" t="s">
        <v>347</v>
      </c>
      <c r="H2846" s="93" t="s">
        <v>343</v>
      </c>
      <c r="I2846" s="94">
        <v>0.25</v>
      </c>
      <c r="J2846" s="95">
        <v>18.75</v>
      </c>
    </row>
    <row r="2847" spans="1:10" x14ac:dyDescent="0.25">
      <c r="A2847" s="92">
        <v>45961</v>
      </c>
      <c r="B2847" s="93" t="s">
        <v>325</v>
      </c>
      <c r="C2847" s="89" t="s">
        <v>40</v>
      </c>
      <c r="D2847" s="93" t="s">
        <v>254</v>
      </c>
      <c r="E2847" s="93" t="s">
        <v>34</v>
      </c>
      <c r="F2847" s="93" t="s">
        <v>441</v>
      </c>
      <c r="G2847" s="93" t="s">
        <v>347</v>
      </c>
      <c r="H2847" s="93" t="s">
        <v>343</v>
      </c>
      <c r="I2847" s="94">
        <v>0.25</v>
      </c>
      <c r="J2847" s="95">
        <v>18.75</v>
      </c>
    </row>
    <row r="2848" spans="1:10" x14ac:dyDescent="0.25">
      <c r="A2848" s="92">
        <v>45961</v>
      </c>
      <c r="B2848" s="93" t="s">
        <v>329</v>
      </c>
      <c r="C2848" s="89" t="s">
        <v>40</v>
      </c>
      <c r="D2848" s="93" t="s">
        <v>247</v>
      </c>
      <c r="E2848" s="93" t="s">
        <v>34</v>
      </c>
      <c r="F2848" s="93" t="s">
        <v>375</v>
      </c>
      <c r="G2848" s="93" t="s">
        <v>347</v>
      </c>
      <c r="H2848" s="93" t="s">
        <v>343</v>
      </c>
      <c r="I2848" s="94">
        <v>0.17</v>
      </c>
      <c r="J2848" s="95">
        <v>12.750000000000002</v>
      </c>
    </row>
    <row r="2849" spans="1:10" x14ac:dyDescent="0.25">
      <c r="A2849" s="92">
        <v>45961</v>
      </c>
      <c r="B2849" s="93" t="s">
        <v>326</v>
      </c>
      <c r="C2849" s="89" t="s">
        <v>40</v>
      </c>
      <c r="D2849" s="93" t="s">
        <v>188</v>
      </c>
      <c r="E2849" s="93" t="s">
        <v>34</v>
      </c>
      <c r="F2849" s="93" t="s">
        <v>356</v>
      </c>
      <c r="G2849" s="93" t="s">
        <v>348</v>
      </c>
      <c r="H2849" s="93" t="s">
        <v>343</v>
      </c>
      <c r="I2849" s="94">
        <v>1</v>
      </c>
      <c r="J2849" s="95">
        <v>60</v>
      </c>
    </row>
    <row r="2850" spans="1:10" x14ac:dyDescent="0.25">
      <c r="A2850" s="92">
        <v>45961</v>
      </c>
      <c r="B2850" s="93" t="s">
        <v>326</v>
      </c>
      <c r="C2850" s="89" t="s">
        <v>40</v>
      </c>
      <c r="D2850" s="93" t="s">
        <v>265</v>
      </c>
      <c r="E2850" s="93" t="s">
        <v>34</v>
      </c>
      <c r="F2850" s="93" t="s">
        <v>358</v>
      </c>
      <c r="G2850" s="93" t="s">
        <v>348</v>
      </c>
      <c r="H2850" s="93" t="s">
        <v>343</v>
      </c>
      <c r="I2850" s="94">
        <v>0.92</v>
      </c>
      <c r="J2850" s="95">
        <v>55.2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Dashboard</vt:lpstr>
      <vt:lpstr>DataSheet</vt:lpstr>
      <vt:lpstr>Guide</vt:lpstr>
      <vt:lpstr>ExampleResourceData</vt:lpstr>
      <vt:lpstr>Dashboard!Print_Titles</vt:lpstr>
    </vt:vector>
  </TitlesOfParts>
  <Company>Norse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NPSNRKK1020</dc:creator>
  <cp:lastModifiedBy>Kris Kilsby</cp:lastModifiedBy>
  <cp:lastPrinted>2025-10-22T06:31:16Z</cp:lastPrinted>
  <dcterms:created xsi:type="dcterms:W3CDTF">2023-05-18T15:16:13Z</dcterms:created>
  <dcterms:modified xsi:type="dcterms:W3CDTF">2026-05-20T05:39:44Z</dcterms:modified>
</cp:coreProperties>
</file>